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/>
  <mc:AlternateContent xmlns:mc="http://schemas.openxmlformats.org/markup-compatibility/2006">
    <mc:Choice Requires="x15">
      <x15ac:absPath xmlns:x15ac="http://schemas.microsoft.com/office/spreadsheetml/2010/11/ac" url="C:\Users\1002001\Desktop\ARS LIFTING 2018-19\ARS SALE 2021-22\"/>
    </mc:Choice>
  </mc:AlternateContent>
  <xr:revisionPtr revIDLastSave="0" documentId="13_ncr:1_{ADFB2A94-CB84-4FB3-B2F4-C445A9A514A6}" xr6:coauthVersionLast="36" xr6:coauthVersionMax="36" xr10:uidLastSave="{00000000-0000-0000-0000-000000000000}"/>
  <bookViews>
    <workbookView xWindow="0" yWindow="0" windowWidth="21855" windowHeight="14940" activeTab="1" xr2:uid="{00000000-000D-0000-FFFF-FFFF00000000}"/>
  </bookViews>
  <sheets>
    <sheet name="Sheet1" sheetId="7" r:id="rId1"/>
    <sheet name="mtd sale" sheetId="4" r:id="rId2"/>
    <sheet name="SCHEME" sheetId="5" state="hidden" r:id="rId3"/>
    <sheet name="SUMMARY" sheetId="6" state="hidden" r:id="rId4"/>
  </sheets>
  <definedNames>
    <definedName name="_xlnm._FilterDatabase" localSheetId="1" hidden="1">'mtd sale'!$A$2:$AM$547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AI3" i="4" l="1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90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207" i="4"/>
  <c r="AI141" i="4"/>
  <c r="AI387" i="4"/>
  <c r="AI391" i="4"/>
  <c r="AI388" i="4"/>
  <c r="AI389" i="4"/>
  <c r="AI392" i="4"/>
  <c r="AI142" i="4"/>
  <c r="AI143" i="4"/>
  <c r="AI144" i="4"/>
  <c r="AI145" i="4"/>
  <c r="AI545" i="4"/>
  <c r="AI546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90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207" i="4"/>
  <c r="AH141" i="4"/>
  <c r="AH387" i="4"/>
  <c r="AH391" i="4"/>
  <c r="AH388" i="4"/>
  <c r="AH389" i="4"/>
  <c r="AH392" i="4"/>
  <c r="AH142" i="4"/>
  <c r="AH143" i="4"/>
  <c r="AH144" i="4"/>
  <c r="AH145" i="4"/>
  <c r="AH545" i="4"/>
  <c r="AH546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G374" i="4"/>
  <c r="AG375" i="4"/>
  <c r="AG376" i="4"/>
  <c r="AG377" i="4"/>
  <c r="AG378" i="4"/>
  <c r="AG379" i="4"/>
  <c r="AG380" i="4"/>
  <c r="AG381" i="4"/>
  <c r="AG382" i="4"/>
  <c r="AG383" i="4"/>
  <c r="AG384" i="4"/>
  <c r="AG385" i="4"/>
  <c r="AG386" i="4"/>
  <c r="AG390" i="4"/>
  <c r="AG393" i="4"/>
  <c r="AG394" i="4"/>
  <c r="AG395" i="4"/>
  <c r="AG396" i="4"/>
  <c r="AG397" i="4"/>
  <c r="AG398" i="4"/>
  <c r="AG399" i="4"/>
  <c r="AG400" i="4"/>
  <c r="AG401" i="4"/>
  <c r="AG402" i="4"/>
  <c r="AG403" i="4"/>
  <c r="AG404" i="4"/>
  <c r="AG405" i="4"/>
  <c r="AG406" i="4"/>
  <c r="AG407" i="4"/>
  <c r="AG408" i="4"/>
  <c r="AG409" i="4"/>
  <c r="AG410" i="4"/>
  <c r="AG411" i="4"/>
  <c r="AG412" i="4"/>
  <c r="AG413" i="4"/>
  <c r="AG414" i="4"/>
  <c r="AG415" i="4"/>
  <c r="AG416" i="4"/>
  <c r="AG417" i="4"/>
  <c r="AG418" i="4"/>
  <c r="AG419" i="4"/>
  <c r="AG420" i="4"/>
  <c r="AG421" i="4"/>
  <c r="AG422" i="4"/>
  <c r="AG423" i="4"/>
  <c r="AG424" i="4"/>
  <c r="AG425" i="4"/>
  <c r="AG426" i="4"/>
  <c r="AG427" i="4"/>
  <c r="AG428" i="4"/>
  <c r="AG429" i="4"/>
  <c r="AG430" i="4"/>
  <c r="AG431" i="4"/>
  <c r="AG432" i="4"/>
  <c r="AG433" i="4"/>
  <c r="AG434" i="4"/>
  <c r="AG435" i="4"/>
  <c r="AG436" i="4"/>
  <c r="AG437" i="4"/>
  <c r="AG438" i="4"/>
  <c r="AG439" i="4"/>
  <c r="AG440" i="4"/>
  <c r="AG441" i="4"/>
  <c r="AG442" i="4"/>
  <c r="AG443" i="4"/>
  <c r="AG444" i="4"/>
  <c r="AG445" i="4"/>
  <c r="AG446" i="4"/>
  <c r="AG447" i="4"/>
  <c r="AG448" i="4"/>
  <c r="AG449" i="4"/>
  <c r="AG450" i="4"/>
  <c r="AG451" i="4"/>
  <c r="AG452" i="4"/>
  <c r="AG453" i="4"/>
  <c r="AG454" i="4"/>
  <c r="AG455" i="4"/>
  <c r="AG456" i="4"/>
  <c r="AG457" i="4"/>
  <c r="AG458" i="4"/>
  <c r="AG459" i="4"/>
  <c r="AG460" i="4"/>
  <c r="AG461" i="4"/>
  <c r="AG462" i="4"/>
  <c r="AG463" i="4"/>
  <c r="AG464" i="4"/>
  <c r="AG465" i="4"/>
  <c r="AG466" i="4"/>
  <c r="AG467" i="4"/>
  <c r="AG468" i="4"/>
  <c r="AG469" i="4"/>
  <c r="AG470" i="4"/>
  <c r="AG471" i="4"/>
  <c r="AG472" i="4"/>
  <c r="AG473" i="4"/>
  <c r="AG474" i="4"/>
  <c r="AG475" i="4"/>
  <c r="AG476" i="4"/>
  <c r="AG477" i="4"/>
  <c r="AG478" i="4"/>
  <c r="AG479" i="4"/>
  <c r="AG480" i="4"/>
  <c r="AG481" i="4"/>
  <c r="AG482" i="4"/>
  <c r="AG483" i="4"/>
  <c r="AG484" i="4"/>
  <c r="AG485" i="4"/>
  <c r="AG486" i="4"/>
  <c r="AG487" i="4"/>
  <c r="AG488" i="4"/>
  <c r="AG489" i="4"/>
  <c r="AG490" i="4"/>
  <c r="AG491" i="4"/>
  <c r="AG492" i="4"/>
  <c r="AG493" i="4"/>
  <c r="AG494" i="4"/>
  <c r="AG495" i="4"/>
  <c r="AG496" i="4"/>
  <c r="AG497" i="4"/>
  <c r="AG498" i="4"/>
  <c r="AG499" i="4"/>
  <c r="AG500" i="4"/>
  <c r="AG501" i="4"/>
  <c r="AG502" i="4"/>
  <c r="AG503" i="4"/>
  <c r="AG504" i="4"/>
  <c r="AG505" i="4"/>
  <c r="AG506" i="4"/>
  <c r="AG507" i="4"/>
  <c r="AG508" i="4"/>
  <c r="AG509" i="4"/>
  <c r="AG510" i="4"/>
  <c r="AG511" i="4"/>
  <c r="AG512" i="4"/>
  <c r="AG513" i="4"/>
  <c r="AG514" i="4"/>
  <c r="AG515" i="4"/>
  <c r="AG516" i="4"/>
  <c r="AG517" i="4"/>
  <c r="AG518" i="4"/>
  <c r="AG519" i="4"/>
  <c r="AG520" i="4"/>
  <c r="AG521" i="4"/>
  <c r="AG522" i="4"/>
  <c r="AG523" i="4"/>
  <c r="AG524" i="4"/>
  <c r="AG525" i="4"/>
  <c r="AG526" i="4"/>
  <c r="AG527" i="4"/>
  <c r="AG528" i="4"/>
  <c r="AG529" i="4"/>
  <c r="AG530" i="4"/>
  <c r="AG531" i="4"/>
  <c r="AG532" i="4"/>
  <c r="AG533" i="4"/>
  <c r="AG534" i="4"/>
  <c r="AG535" i="4"/>
  <c r="AG536" i="4"/>
  <c r="AG537" i="4"/>
  <c r="AG538" i="4"/>
  <c r="AG539" i="4"/>
  <c r="AG540" i="4"/>
  <c r="AG541" i="4"/>
  <c r="AG542" i="4"/>
  <c r="AG543" i="4"/>
  <c r="AG544" i="4"/>
  <c r="AG207" i="4"/>
  <c r="AG141" i="4"/>
  <c r="AG387" i="4"/>
  <c r="AG391" i="4"/>
  <c r="AG388" i="4"/>
  <c r="AG389" i="4"/>
  <c r="AG392" i="4"/>
  <c r="AG142" i="4"/>
  <c r="AG143" i="4"/>
  <c r="AG144" i="4"/>
  <c r="AG145" i="4"/>
  <c r="AG545" i="4"/>
  <c r="AG546" i="4"/>
  <c r="F547" i="4"/>
  <c r="G547" i="4"/>
  <c r="H547" i="4"/>
  <c r="I547" i="4"/>
  <c r="J547" i="4"/>
  <c r="K547" i="4"/>
  <c r="L547" i="4"/>
  <c r="M547" i="4"/>
  <c r="N547" i="4"/>
  <c r="O547" i="4"/>
  <c r="P547" i="4"/>
  <c r="Q547" i="4"/>
  <c r="R547" i="4"/>
  <c r="S547" i="4"/>
  <c r="T547" i="4"/>
  <c r="U547" i="4"/>
  <c r="V547" i="4"/>
  <c r="W547" i="4"/>
  <c r="X547" i="4"/>
  <c r="Y547" i="4"/>
  <c r="Z547" i="4"/>
  <c r="AA547" i="4"/>
  <c r="AB547" i="4"/>
  <c r="AC547" i="4"/>
  <c r="AD547" i="4"/>
  <c r="AE547" i="4"/>
  <c r="AF547" i="4"/>
  <c r="AH547" i="4"/>
  <c r="AG547" i="4" l="1"/>
  <c r="AI547" i="4"/>
  <c r="A207" i="4"/>
  <c r="A141" i="4"/>
  <c r="A387" i="4"/>
  <c r="A391" i="4"/>
  <c r="A388" i="4"/>
  <c r="A389" i="4"/>
  <c r="A392" i="4"/>
  <c r="A142" i="4"/>
  <c r="A143" i="4"/>
  <c r="A144" i="4"/>
  <c r="A145" i="4"/>
  <c r="A140" i="4" l="1"/>
  <c r="A383" i="4"/>
  <c r="A384" i="4"/>
  <c r="A385" i="4"/>
  <c r="A386" i="4"/>
  <c r="A539" i="4"/>
  <c r="A540" i="4"/>
  <c r="A541" i="4"/>
  <c r="A542" i="4"/>
  <c r="A543" i="4"/>
  <c r="A544" i="4"/>
  <c r="A206" i="4" l="1"/>
  <c r="A227" i="4"/>
  <c r="A139" i="4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90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381" i="4"/>
  <c r="A382" i="4"/>
  <c r="A270" i="4"/>
  <c r="F9" i="6" l="1"/>
  <c r="E9" i="6"/>
  <c r="E10" i="6"/>
  <c r="E8" i="6"/>
  <c r="E7" i="6"/>
  <c r="E6" i="6"/>
  <c r="F6" i="6"/>
  <c r="F8" i="6"/>
  <c r="F7" i="6"/>
  <c r="F10" i="6"/>
  <c r="F11" i="6" l="1"/>
  <c r="E11" i="6"/>
</calcChain>
</file>

<file path=xl/sharedStrings.xml><?xml version="1.0" encoding="utf-8"?>
<sst xmlns="http://schemas.openxmlformats.org/spreadsheetml/2006/main" count="2806" uniqueCount="650">
  <si>
    <t>BHARATPUR</t>
  </si>
  <si>
    <t>YADAV BUILDING MATERIAL</t>
  </si>
  <si>
    <t>GOYAL BUILDING MATERIAL</t>
  </si>
  <si>
    <t>BALAJI CEMENT AGENCY</t>
  </si>
  <si>
    <t>SAINI BUILDING MATERIAL SUPPLI</t>
  </si>
  <si>
    <t>SAINI TRADERS</t>
  </si>
  <si>
    <t>Kuntal Building Material</t>
  </si>
  <si>
    <t>ARTI BUILDING MATERIAL</t>
  </si>
  <si>
    <t>SHRI BALAJI BUILDING MATERIAL</t>
  </si>
  <si>
    <t>LAXMI BUILDING MATERIAL</t>
  </si>
  <si>
    <t>MITALI ALLOYS PVT LTD</t>
  </si>
  <si>
    <t>ALWAR</t>
  </si>
  <si>
    <t>AGARWAL AGENCIES</t>
  </si>
  <si>
    <t>GARG AGRO AGENCIES</t>
  </si>
  <si>
    <t>ASHWINI AND SONS</t>
  </si>
  <si>
    <t>SAINI BUILDING MATERIAL</t>
  </si>
  <si>
    <t>SHIV SHAKTI BUILDING MATERIAL</t>
  </si>
  <si>
    <t>AGARWAL MACHINERY STORES</t>
  </si>
  <si>
    <t>SHRI GOMTI BM &amp; SUPPLIERS</t>
  </si>
  <si>
    <t>DHOLPUR</t>
  </si>
  <si>
    <t>SHARMA CEMENT AGENCY</t>
  </si>
  <si>
    <t>PAHARIA CHEMICALS</t>
  </si>
  <si>
    <t>POOJA TRADING COMPANY</t>
  </si>
  <si>
    <t>BANSAL TRADING COMPANY</t>
  </si>
  <si>
    <t>AGARWAL CEMENT AGENCY</t>
  </si>
  <si>
    <t>MAA BHAGWATI TRADERS</t>
  </si>
  <si>
    <t>MAHAVEER ASSOCIATES</t>
  </si>
  <si>
    <t>SHREE SHYAM TRADERS</t>
  </si>
  <si>
    <t>KHAJANCHI TRADING CO.</t>
  </si>
  <si>
    <t>MASTER CEMENT AGENCY</t>
  </si>
  <si>
    <t>SHARMA TRADERS</t>
  </si>
  <si>
    <t>SHIV TRADERS</t>
  </si>
  <si>
    <t>RIDHI SIDHI TRADERS</t>
  </si>
  <si>
    <t>SHIKHA ENTERPRSIES</t>
  </si>
  <si>
    <t>SHIV CHARAN LAL RAKESH KUMAR</t>
  </si>
  <si>
    <t>Goyal &amp; Co.</t>
  </si>
  <si>
    <t>SHREE BALAJI TRADERS</t>
  </si>
  <si>
    <t>PAWAN BUILDERS</t>
  </si>
  <si>
    <t>VED (MP) CEMENT AGENCY</t>
  </si>
  <si>
    <t>R K TRADERS</t>
  </si>
  <si>
    <t>UMA IRON &amp; CEMENT AGENCY</t>
  </si>
  <si>
    <t>RIDHIMA ENTERPRISES</t>
  </si>
  <si>
    <t>SISODIYA TRADERS</t>
  </si>
  <si>
    <t>GARG TRADING COMPANY</t>
  </si>
  <si>
    <t>OM CEMENT HOUSE</t>
  </si>
  <si>
    <t>H S TRADERS</t>
  </si>
  <si>
    <t>YADAV TRADING COMPANY</t>
  </si>
  <si>
    <t>YADAV CEMENT AGENCY</t>
  </si>
  <si>
    <t>SHREE JI BUILDING MATERIAL STO</t>
  </si>
  <si>
    <t>SHIV SHAKTI TRADERS</t>
  </si>
  <si>
    <t>KHANDELWAL CEMENT AGENCY</t>
  </si>
  <si>
    <t>SHARDUL CEMENT AGENCY</t>
  </si>
  <si>
    <t>PUSHPENDRA SINGH J K CEMENT AG</t>
  </si>
  <si>
    <t>KISHAN SINGH CEMENT AGENCY</t>
  </si>
  <si>
    <t>SHREE SHYAM CEMENT AGENCY</t>
  </si>
  <si>
    <t>DEEPAK TRADERS</t>
  </si>
  <si>
    <t>SARDAR BUILDING MATERIAL STORE</t>
  </si>
  <si>
    <t>GOVIND BUILDING MATERIAL</t>
  </si>
  <si>
    <t>LAXMI TRADERS</t>
  </si>
  <si>
    <t>SANTOSH KUMAR SATISH CHAND</t>
  </si>
  <si>
    <t>JINDAL KHAD BEEJ BHANDAR</t>
  </si>
  <si>
    <t>DAUSA</t>
  </si>
  <si>
    <t>BADAYA TRADERS</t>
  </si>
  <si>
    <t>KHANDELWAL TRADERS</t>
  </si>
  <si>
    <t>SHRI BALAJI CEMENT AGENCY</t>
  </si>
  <si>
    <t>BALAJI TRADERS</t>
  </si>
  <si>
    <t>RAHUL BUILDING MATERIAL</t>
  </si>
  <si>
    <t>YOGESH TRADERS</t>
  </si>
  <si>
    <t>JAI SHREE GANESH BUILDING MATE</t>
  </si>
  <si>
    <t>GUPTA HARDWARE STORE</t>
  </si>
  <si>
    <t>RAVINDRA SINGH PARMAR</t>
  </si>
  <si>
    <t>ANKIT TRADERS</t>
  </si>
  <si>
    <t>HEMLATA CEMENT AGENCY</t>
  </si>
  <si>
    <t>KISAAN KHAD BEEJ BHANDAR</t>
  </si>
  <si>
    <t>GURUKRIPA BUILDING MATERIAL</t>
  </si>
  <si>
    <t>DEEPAK TRADING COMPANY</t>
  </si>
  <si>
    <t>SHRI KRISHNA TRADERS</t>
  </si>
  <si>
    <t>BALAJI BUILDING MATERIAL SUPPL</t>
  </si>
  <si>
    <t>SURESH CHAND &amp; CO</t>
  </si>
  <si>
    <t>SHANKAR KHAD BHANDAR</t>
  </si>
  <si>
    <t>KUMAWAT CEMENT AGENCY</t>
  </si>
  <si>
    <t>SANJAY KUMAR SAINI</t>
  </si>
  <si>
    <t>GUPTA TRADERS</t>
  </si>
  <si>
    <t>YADHWANSHI BUILDING MATERIAL</t>
  </si>
  <si>
    <t>ANSHU CEMENT AGENCY</t>
  </si>
  <si>
    <t>ROHIT TRADERS</t>
  </si>
  <si>
    <t>SWASTIK CEMENT AGENCIES</t>
  </si>
  <si>
    <t>SHREE KRISHNA CEMENT STORE</t>
  </si>
  <si>
    <t>JAGDAMBEY BUILDING MATERIAL SU</t>
  </si>
  <si>
    <t>BANSAL IRON &amp; CEMENT TRADERS</t>
  </si>
  <si>
    <t>HITA JK SUPER CEMENT</t>
  </si>
  <si>
    <t>SHREE GOPAL TRADING CO</t>
  </si>
  <si>
    <t>NIRBHAY CEMENT AGENCY</t>
  </si>
  <si>
    <t>HARI OM TRADERS</t>
  </si>
  <si>
    <t>VINAYAK TRADERS</t>
  </si>
  <si>
    <t>MANGAL BUILDING MATERIAL STORE</t>
  </si>
  <si>
    <t>JAIN KHAD BEEJ BHANDAR</t>
  </si>
  <si>
    <t>DEEPAK TRADING CO</t>
  </si>
  <si>
    <t>BANSAL MARBLES</t>
  </si>
  <si>
    <t>VIJAY TRADING COMPANY</t>
  </si>
  <si>
    <t>AGARWAL KHAD BEEJ BHANDAR</t>
  </si>
  <si>
    <t>FAUJDAR BUILDING MATERIAL</t>
  </si>
  <si>
    <t>SHRI RADHEY KRISHAN TRADERS</t>
  </si>
  <si>
    <t>RAJORIYA TRADING COMPANY</t>
  </si>
  <si>
    <t>SHREE KRISHNA TRADERS</t>
  </si>
  <si>
    <t>BALAJI BUILDING MATERIAL</t>
  </si>
  <si>
    <t>MISHRA TRADERS</t>
  </si>
  <si>
    <t>SHIVANSH TRADERS</t>
  </si>
  <si>
    <t>SUKHDEV JI GUPTA</t>
  </si>
  <si>
    <t>AMERIA BUILDING MATERIAL</t>
  </si>
  <si>
    <t>KUSHAL TRADING COMPANY</t>
  </si>
  <si>
    <t>KRISHNA ENTERPRISES</t>
  </si>
  <si>
    <t>ARORA CEMENT AGENCY</t>
  </si>
  <si>
    <t>GAURAV BUILDING MATERIAL SUPPL</t>
  </si>
  <si>
    <t>SAINI CHIPS &amp; MARBLE</t>
  </si>
  <si>
    <t>BALAJI BUILDING MATERIAL STORE</t>
  </si>
  <si>
    <t>GOYAL TRADERS</t>
  </si>
  <si>
    <t>MAHAVEER BUILDING MATERIAL</t>
  </si>
  <si>
    <t>PRABHU DAYAL HARISH CHAND</t>
  </si>
  <si>
    <t>KUMAWAT TRADERS</t>
  </si>
  <si>
    <t>NAITIK TRADERS</t>
  </si>
  <si>
    <t>TIWARI AGENCIES</t>
  </si>
  <si>
    <t>AGARWAL TRADERS</t>
  </si>
  <si>
    <t>DEV CEMENT AGENCY</t>
  </si>
  <si>
    <t>GOMTI BUILDING MATERIAL STORE</t>
  </si>
  <si>
    <t>BANKE BIHARI KHAD BEEJ BHANDAR</t>
  </si>
  <si>
    <t>B M TRADING &amp; CONSTRUCTION COM</t>
  </si>
  <si>
    <t>CHOUDHARY TRADERS</t>
  </si>
  <si>
    <t>MANISH CEMENT AGENCY</t>
  </si>
  <si>
    <t>SHIV SHANKAR BUILDING MATERIAL</t>
  </si>
  <si>
    <t>NISHA ENTERPRISES</t>
  </si>
  <si>
    <t>NARENDRA SUPPLIERS</t>
  </si>
  <si>
    <t>SAINI KHAD BEEJ BHANDAR</t>
  </si>
  <si>
    <t>AGGARWAL CEMENT STORE</t>
  </si>
  <si>
    <t>NEW SAINI TRADING COMPANY</t>
  </si>
  <si>
    <t>BABA TRADING COMPANY</t>
  </si>
  <si>
    <t>DURGA TRADING COMPANY</t>
  </si>
  <si>
    <t>S S AGRAWAL AND COMPANY</t>
  </si>
  <si>
    <t>GAURAV MARBLE</t>
  </si>
  <si>
    <t>GD ASSOCIATES</t>
  </si>
  <si>
    <t>DURGESH ENTERPRISES</t>
  </si>
  <si>
    <t>GOYAL CONSTRUCTION &amp; CONSULTAN</t>
  </si>
  <si>
    <t>OM TRADERS</t>
  </si>
  <si>
    <t>RAM JI BUILDING MATERIAL SUPPL</t>
  </si>
  <si>
    <t>MAA TRADERS</t>
  </si>
  <si>
    <t>ADITYA ENTERPRISES</t>
  </si>
  <si>
    <t>SHARMA SALES CORPORATION</t>
  </si>
  <si>
    <t>SITARAM INFRA PROJECTS</t>
  </si>
  <si>
    <t>GHODELA BUILDING MATERIAL AND</t>
  </si>
  <si>
    <t>MANGLA STEELS AGENCY</t>
  </si>
  <si>
    <t>SARWAN KUMAR MAHESH KUMAR</t>
  </si>
  <si>
    <t>LAXMI BUILDING MATERIAL STORE</t>
  </si>
  <si>
    <t>GOVIND TRADERS</t>
  </si>
  <si>
    <t>KARTIK ENTERPRISES</t>
  </si>
  <si>
    <t>GANESH AGENCIES</t>
  </si>
  <si>
    <t>AGRAWAL TRADERS</t>
  </si>
  <si>
    <t>DIPESH STEEL AND BUILDING MATE</t>
  </si>
  <si>
    <t>SHRI BAJRANG STEEL &amp; CEMENT AG</t>
  </si>
  <si>
    <t>ASHISH SALES CORPORATION</t>
  </si>
  <si>
    <t>ANUPAM PAINTS AND HARDWARES</t>
  </si>
  <si>
    <t>KEDIA TRADING COMPANY</t>
  </si>
  <si>
    <t>SHREE SHYAM BUILDING MATERIAL</t>
  </si>
  <si>
    <t>JAI BAJRANG STEELS</t>
  </si>
  <si>
    <t>MAHA LAXMI SALES</t>
  </si>
  <si>
    <t>KUMAWAT CONSTRUTION AND SUPPLI</t>
  </si>
  <si>
    <t>VINAYAK TRADE HOME</t>
  </si>
  <si>
    <t>ABHAY CONSTRUCTION AND PROPERT</t>
  </si>
  <si>
    <t>SHRI LAXMI AGENCIES</t>
  </si>
  <si>
    <t>VIVEK ENTERPRISES</t>
  </si>
  <si>
    <t>NAGORA  &amp; COMPANY</t>
  </si>
  <si>
    <t>M.N.ASSOCIATES</t>
  </si>
  <si>
    <t>R S TRADERS</t>
  </si>
  <si>
    <t>SAINI STONE SUPPLIERS</t>
  </si>
  <si>
    <t>SHARMA BUILDING MATERIAL SUPPL</t>
  </si>
  <si>
    <t>SATISH CHAND GUPTA</t>
  </si>
  <si>
    <t>BANWARI LAL KUMHAR</t>
  </si>
  <si>
    <t>ASHISH TRADERS</t>
  </si>
  <si>
    <t>SHRI MINESH CONSTRUCTION COMPA</t>
  </si>
  <si>
    <t>SHARMA BUILDING MATERIAL</t>
  </si>
  <si>
    <t>KHANDELWAL TRADING AND COMPANY</t>
  </si>
  <si>
    <t>AKHIL AGARWAL</t>
  </si>
  <si>
    <t>RAHUL SALES</t>
  </si>
  <si>
    <t>ROSHAN SAINI</t>
  </si>
  <si>
    <t>HIMANI ASSOCIATES</t>
  </si>
  <si>
    <t>ARPIT TRADERS</t>
  </si>
  <si>
    <t>PRAJAPAT CEMENT AGENCY</t>
  </si>
  <si>
    <t>RUPESH KHANDELWAL BUILDERS</t>
  </si>
  <si>
    <t>KALPANA CEMENT AGENCY</t>
  </si>
  <si>
    <t>KANHA BUILDERS</t>
  </si>
  <si>
    <t>SHRI SHYAM TENT HOUSE</t>
  </si>
  <si>
    <t>RUCHI ENTERPRISES</t>
  </si>
  <si>
    <t>M K STEEL &amp; DÉCOR</t>
  </si>
  <si>
    <t>NEESHA BUILDING MATERIALS</t>
  </si>
  <si>
    <t>ROHIT STEEL AND BUILDING MATER</t>
  </si>
  <si>
    <t>DRASHTIKA ENTERPRISES</t>
  </si>
  <si>
    <t>SHIV CEMENT AGENCY</t>
  </si>
  <si>
    <t>KARTIK SANITARY &amp; BUILDING MAT</t>
  </si>
  <si>
    <t>MITTAL AGENCY</t>
  </si>
  <si>
    <t>CHHITAR MAL KUMAWAT</t>
  </si>
  <si>
    <t>VAIBHAV ENTERPRISES</t>
  </si>
  <si>
    <t>PUNJABI BUILDING MATERIALS</t>
  </si>
  <si>
    <t>GAURAV CONSTRUCTION</t>
  </si>
  <si>
    <t>BHAIRAV BUILDING MATERIAL SUPP</t>
  </si>
  <si>
    <t>M A TRADING COMPANY</t>
  </si>
  <si>
    <t>RAVITA TRADERS</t>
  </si>
  <si>
    <t>SHARDA TRADERS</t>
  </si>
  <si>
    <t>SHARDA ENTERPRISES</t>
  </si>
  <si>
    <t>SHREE GIRIRAJ TRADERS</t>
  </si>
  <si>
    <t>JAI MATADI  BUILDING MATERIAL</t>
  </si>
  <si>
    <t>RUDRA TRADERS</t>
  </si>
  <si>
    <t>S R TRADERS</t>
  </si>
  <si>
    <t>ANIL SALES</t>
  </si>
  <si>
    <t>AGRWAL TRADERS</t>
  </si>
  <si>
    <t>TAMBI TRADING CO</t>
  </si>
  <si>
    <t>GUPTA BUILDING MATERIAL SUPPLI</t>
  </si>
  <si>
    <t>SUMAN ENTERPRISES</t>
  </si>
  <si>
    <t>SUIWAL BROTHERS</t>
  </si>
  <si>
    <t>OM SHIV CEMENT SUPPLIERS</t>
  </si>
  <si>
    <t>SHRI RAM BUILDING MATERIAL</t>
  </si>
  <si>
    <t>NATIONAL BUILDERS</t>
  </si>
  <si>
    <t>ARVIND CEMENT &amp; KALI UDYOG</t>
  </si>
  <si>
    <t>SHREE RIDDHI SIDDHI TRADERS</t>
  </si>
  <si>
    <t>AGRAWAL PLYWOOD AND TIMBER</t>
  </si>
  <si>
    <t>VASUDA ASSOCIATES</t>
  </si>
  <si>
    <t>ANKIT AGENCIES</t>
  </si>
  <si>
    <t>JAI KARAULI MAA TRADERS</t>
  </si>
  <si>
    <t>TAK BROTHERS</t>
  </si>
  <si>
    <t>SARASWATI TRADERS</t>
  </si>
  <si>
    <t>BHUVAN AGENCIES</t>
  </si>
  <si>
    <t>SHREE OM TRADING COMPANY</t>
  </si>
  <si>
    <t>JAI SHREE SHYAM TRADERS</t>
  </si>
  <si>
    <t>R R CONSTRUCTION COMPANY</t>
  </si>
  <si>
    <t>MISHRA CEMENT AGENCIES</t>
  </si>
  <si>
    <t>KHANDELWAL TIMBER MART</t>
  </si>
  <si>
    <t>NETA ELECTRICALS</t>
  </si>
  <si>
    <t>JAGDAMBA SUPPLIERS</t>
  </si>
  <si>
    <t>SAINI BUILDER</t>
  </si>
  <si>
    <t>SHREE GANESH TRADING COMPANY</t>
  </si>
  <si>
    <t>SAPNA TRADERS</t>
  </si>
  <si>
    <t>TEENA BUILDING MATERIAL SUPPLI</t>
  </si>
  <si>
    <t>TIWARI BUILDERS</t>
  </si>
  <si>
    <t>NEERAJ ENTERPRISES</t>
  </si>
  <si>
    <t>SHREE JI HARDWARE &amp; SANITARY</t>
  </si>
  <si>
    <t>AGARWAL SANITATION</t>
  </si>
  <si>
    <t>SHREE RAM TRADERS</t>
  </si>
  <si>
    <t>NANDINI TIMBER &amp; BUILDING MATE</t>
  </si>
  <si>
    <t>JAIN BUILDING MATERIAL STORE</t>
  </si>
  <si>
    <t>SHEETAL BUILDING MATERIAL SUPP</t>
  </si>
  <si>
    <t>MARUTI ENTERPRISES</t>
  </si>
  <si>
    <t>SATTGURU BUILDING MATERIAL SUP</t>
  </si>
  <si>
    <t>GOTHAWAL CEMENT AGENCY</t>
  </si>
  <si>
    <t>SIDDHI ENTERPRISES</t>
  </si>
  <si>
    <t>RAMSWAROOP PRAKASHCHAND</t>
  </si>
  <si>
    <t>LATA CEMENT AGENCY</t>
  </si>
  <si>
    <t>CCC ASSOCIATES</t>
  </si>
  <si>
    <t>RADHAKRISHNA ENTERPRISES</t>
  </si>
  <si>
    <t>GUPTA CEMENT AGENCY</t>
  </si>
  <si>
    <t>MADHAV TRADERS</t>
  </si>
  <si>
    <t>BANWARI LAL PRAKESH CHAND</t>
  </si>
  <si>
    <t>MEHTA SANITARY HARDWARE</t>
  </si>
  <si>
    <t>SHRI RADHA SHYAM BUILDERS</t>
  </si>
  <si>
    <t>MAVAR CEMENT AGENCY</t>
  </si>
  <si>
    <t>FAIR TRADING CO</t>
  </si>
  <si>
    <t>LAXMI BANS BALLI UDYOG</t>
  </si>
  <si>
    <t>KAKA BUILDERS</t>
  </si>
  <si>
    <t>SRIRAM CEMENT AGENCY</t>
  </si>
  <si>
    <t>GOYAL BUILDERS</t>
  </si>
  <si>
    <t>BABA MOHANRAM BUILDING MATERIA</t>
  </si>
  <si>
    <t>AGARWAL BUILDING MATERIAL SUPP</t>
  </si>
  <si>
    <t>ABHISHEK CHODHARY &amp; COMPANY</t>
  </si>
  <si>
    <t>AGARWAL PROPERTIES AND BUILDIN</t>
  </si>
  <si>
    <t>SHREE RADHIKA TRADERS</t>
  </si>
  <si>
    <t>LAXMI BUILDING MATERIAL SUPPLI</t>
  </si>
  <si>
    <t>LOKESH BUILDING MATERIAL</t>
  </si>
  <si>
    <t>GANESH TRADERS</t>
  </si>
  <si>
    <t>DEEPENDRA SINGH CHOUHAN</t>
  </si>
  <si>
    <t>MAHALAXMI B M TRADERS</t>
  </si>
  <si>
    <t>NAGPAL BUILDERS</t>
  </si>
  <si>
    <t>SHUBHAM BUILDIERS</t>
  </si>
  <si>
    <t>AGARWAL AGRICULTURE AGENCIES</t>
  </si>
  <si>
    <t>SHREE BALAJI BUILDING MATERIAL</t>
  </si>
  <si>
    <t>TRILOK NATH AGARWAL</t>
  </si>
  <si>
    <t>MEENA BUILDING MATERIAL SUPPLI</t>
  </si>
  <si>
    <t>DILIP SAINI</t>
  </si>
  <si>
    <t>JAI  AMBE TRADERS</t>
  </si>
  <si>
    <t>KRISHNA TRADING COMPANY</t>
  </si>
  <si>
    <t>SHREE SHYAM CONSTRUCTION COMPA</t>
  </si>
  <si>
    <t>VINOD KUMAR SAINI</t>
  </si>
  <si>
    <t>TANVI CEMENT AGENCY</t>
  </si>
  <si>
    <t>GURUKRIPA SUPPLIERS</t>
  </si>
  <si>
    <t>SHIV SANITARY &amp; HARDWARE STORE</t>
  </si>
  <si>
    <t>RAKESH BUILDERS</t>
  </si>
  <si>
    <t>RAJESH BUILDING MATERIAL AND S</t>
  </si>
  <si>
    <t>JAI KISHAN BUILDING MATERIAL S</t>
  </si>
  <si>
    <t>SHRINATH TRADERS</t>
  </si>
  <si>
    <t>RIYA TRADERS</t>
  </si>
  <si>
    <t>MADAN SANITATION</t>
  </si>
  <si>
    <t>SHREE TRADING COMPANY</t>
  </si>
  <si>
    <t>SHREE KALYAN BUILDING MATERIAL</t>
  </si>
  <si>
    <t>YOGESH AGENCY</t>
  </si>
  <si>
    <t>ANKIT TRADERS &amp; CONSTRUCTION</t>
  </si>
  <si>
    <t>PANKAJ KUMAR YADAV</t>
  </si>
  <si>
    <t>SHRI SHYAM STEEL</t>
  </si>
  <si>
    <t>DINESH KUMAR KUMAWAT</t>
  </si>
  <si>
    <t>TANU CEMENT AGENCY</t>
  </si>
  <si>
    <t>RAVI SHANKAR SAINI</t>
  </si>
  <si>
    <t>SAHIL BUILDERS TRADING COMPANY</t>
  </si>
  <si>
    <t>SHRI SHYAM TRADERS</t>
  </si>
  <si>
    <t>SHREE KRISHNA CEMENT AGENCY</t>
  </si>
  <si>
    <t>SAPNA BUILDING MATERIAL SUPPLI</t>
  </si>
  <si>
    <t>SHAKUN ENTERPRISES</t>
  </si>
  <si>
    <t>Concerned Dealer code</t>
  </si>
  <si>
    <t>Concerned Dealer Name</t>
  </si>
  <si>
    <t>Dist</t>
  </si>
  <si>
    <t>AO</t>
  </si>
  <si>
    <t>State</t>
  </si>
  <si>
    <t>DOA</t>
  </si>
  <si>
    <t>RJ-JAIPUR</t>
  </si>
  <si>
    <t>SHIV GANPATI MARBLE AND GRANIT</t>
  </si>
  <si>
    <t>ANKUR CEMENT AGENCY</t>
  </si>
  <si>
    <t>KANHA BUILDING MATERIAL</t>
  </si>
  <si>
    <t>Combined</t>
  </si>
  <si>
    <t>TOTAL</t>
  </si>
  <si>
    <t>DEVENDRA BUILDING MATERIAL</t>
  </si>
  <si>
    <t>SHEOJI RAM NIRBHAY RAM KUMAWAT</t>
  </si>
  <si>
    <t>PRIYA ENTERPRISES</t>
  </si>
  <si>
    <t>ISRAIL CEMENT AGENCY</t>
  </si>
  <si>
    <t>YADAV CONSTRUCTION COMPANY</t>
  </si>
  <si>
    <t>SEEMA BUILDING MATERIAL SUPPLI</t>
  </si>
  <si>
    <t>MANISH TRADERS</t>
  </si>
  <si>
    <t>VIKAS CEMENT AGENCY</t>
  </si>
  <si>
    <t>HARI SINGH GURJAR</t>
  </si>
  <si>
    <t>SHIVANI BUILDING MATERIAL STOR</t>
  </si>
  <si>
    <t>JAI BALAJI CEMENT AGENCY</t>
  </si>
  <si>
    <t>SAINI BUILDERS</t>
  </si>
  <si>
    <t>SONU BUILDING MATERIAL &amp; SUPPL</t>
  </si>
  <si>
    <t>PRADEEP CHOUDHARY J K SUPER CE</t>
  </si>
  <si>
    <t>TANWAR TRADING CO</t>
  </si>
  <si>
    <t>A1 CEMENT AGENCY</t>
  </si>
  <si>
    <t>SAINI TRADING COMPANY</t>
  </si>
  <si>
    <t>BHARADWAJ BUILDERS</t>
  </si>
  <si>
    <t>GOPAL CEMENT SUPPLIERS</t>
  </si>
  <si>
    <t>PRAJAPATI TRADING COMPANY</t>
  </si>
  <si>
    <t>GAGAN TRADERS</t>
  </si>
  <si>
    <t>CHANDER TIMBER DEPOT</t>
  </si>
  <si>
    <t>SAINI SINGODIYA STONE SUPPLIER</t>
  </si>
  <si>
    <t>MODI BUILDERS</t>
  </si>
  <si>
    <t>MADHU SHARMA</t>
  </si>
  <si>
    <t>KHAN BUILDING MATERIAL SUPPLIE</t>
  </si>
  <si>
    <t>SHASTRI BUILDING MATERIAL STOR</t>
  </si>
  <si>
    <t>KOMAL TRADERS</t>
  </si>
  <si>
    <t>BADIWAL TRADERS</t>
  </si>
  <si>
    <t>SWASTIK ENTERPRISES</t>
  </si>
  <si>
    <t>SHISHRAM BUILDING MATERIAL</t>
  </si>
  <si>
    <t>BENIWAL TRADERS</t>
  </si>
  <si>
    <t>KUMAWAT SUPPLIERS</t>
  </si>
  <si>
    <t>BALAJI CEMENT MATERIALS SUPPLI</t>
  </si>
  <si>
    <t>JAI AMBE TRADERS</t>
  </si>
  <si>
    <t>SAINI TENT HOUSE</t>
  </si>
  <si>
    <t>SAINI FLOUR MEELS AND GENERAL</t>
  </si>
  <si>
    <t>GURUKRIPA CONSTRUCTION COMPANY</t>
  </si>
  <si>
    <t>NARESH TRADERS</t>
  </si>
  <si>
    <t>MORDHWAJ CEMENT AGENCY</t>
  </si>
  <si>
    <t>HARSHA CEMENT AGENCY</t>
  </si>
  <si>
    <t>LILA RAM GURJAR</t>
  </si>
  <si>
    <t>KAMAL SINGH GURJAR</t>
  </si>
  <si>
    <t>RUPESH CEMENT AGENCY</t>
  </si>
  <si>
    <t>MADHAV ENTERPRISES</t>
  </si>
  <si>
    <t>SHRI SHYAM CEMENT AGENCY</t>
  </si>
  <si>
    <t>HATHWALA CEMENT AGENCY</t>
  </si>
  <si>
    <t>JAI AMBEY TRADERS</t>
  </si>
  <si>
    <t>SHRI GOGA TRADING COMPANY</t>
  </si>
  <si>
    <t>KHANDELWAL AGENCY</t>
  </si>
  <si>
    <t>SHASHI ENTERPRISES</t>
  </si>
  <si>
    <t>J KUMAR &amp; COMPANY</t>
  </si>
  <si>
    <t>DHAWAN BUILDERS</t>
  </si>
  <si>
    <t>SAINI CEMENT AGENCY</t>
  </si>
  <si>
    <t>PRIYANKA BUILDERS</t>
  </si>
  <si>
    <t>BHUPENDRA CEMENT AGENCY</t>
  </si>
  <si>
    <t>SWASTIK BUILDING</t>
  </si>
  <si>
    <t>BABA STEEL AND BUILDING MATERI</t>
  </si>
  <si>
    <t>AJMERA TRANSPORTER</t>
  </si>
  <si>
    <t>KIRAN TRADERS</t>
  </si>
  <si>
    <t>ASHUTOSH CONSTRUCTION CO</t>
  </si>
  <si>
    <t>SAINI CEMENT SUPPLIER</t>
  </si>
  <si>
    <t>KRISHNA CEMENT AGENCY</t>
  </si>
  <si>
    <t>CHOUHAN TRADERS</t>
  </si>
  <si>
    <t>JATIN CEMENT AGENCY</t>
  </si>
  <si>
    <t>SHRI BALAJI TRADERS</t>
  </si>
  <si>
    <t>SHREE BALAJI ENTERPRISES</t>
  </si>
  <si>
    <t>MUSKAN TRADING COMPANY</t>
  </si>
  <si>
    <t>SHREE NEELKHANT STEEL &amp; CEMENT</t>
  </si>
  <si>
    <t>GAURAV CEMENT AGENCY</t>
  </si>
  <si>
    <t>CHOUDHARY CEMENT AGENCY</t>
  </si>
  <si>
    <t>SWAMI CONSTRUCTION AND CEMENT</t>
  </si>
  <si>
    <t>PRIYANKA ENTERPRISES</t>
  </si>
  <si>
    <t>AHUJA CEMENT &amp; SANITARYWARE</t>
  </si>
  <si>
    <t>KRISHNA KUMAR RAGHUVEER SINGH</t>
  </si>
  <si>
    <t>DELIGHT MARKETING</t>
  </si>
  <si>
    <t>ANAND SALES (ARM AGRI TRADE LL</t>
  </si>
  <si>
    <t>ANIL TRADING COMPANY</t>
  </si>
  <si>
    <t>BALAJI STONE &amp; BUILDING MATERI</t>
  </si>
  <si>
    <t>SATNAM CEMENT AGENCY</t>
  </si>
  <si>
    <t>PAYAL TRADERS</t>
  </si>
  <si>
    <t>LAVKUSH KHAD BEEJ BHANDAR</t>
  </si>
  <si>
    <t>YOGESH CONSTRUCTION</t>
  </si>
  <si>
    <t>AKHLESH TRADING COMPANY</t>
  </si>
  <si>
    <t>BRIJENDRA SINGH CHAUHAN</t>
  </si>
  <si>
    <t>SHRI KANHAIYA BUILDING MATERIA</t>
  </si>
  <si>
    <t>SITARAM SHARMA</t>
  </si>
  <si>
    <t>KUMAWAT STONE MERCHANT</t>
  </si>
  <si>
    <t>TRIVENI CEMENT SUPPLIERS</t>
  </si>
  <si>
    <t>GOYAL TRADING COMPANY</t>
  </si>
  <si>
    <t>B L BUILDING MATERIAL</t>
  </si>
  <si>
    <t>CHHIRANJILAL OM PRAKASH</t>
  </si>
  <si>
    <t>MITTAL FERTILIZERS</t>
  </si>
  <si>
    <t>UPADHYAY BUILDING MATERIAL</t>
  </si>
  <si>
    <t>GUPTA BUILDING MATERIAL STORE</t>
  </si>
  <si>
    <t>HARSH STEELS</t>
  </si>
  <si>
    <t>RAJENDRA TRADERS</t>
  </si>
  <si>
    <t>JAI SHREE RAM AGENCY</t>
  </si>
  <si>
    <t>SHREE BALAJI STEELS TRADERS</t>
  </si>
  <si>
    <t>GAURAV KUMAWAT</t>
  </si>
  <si>
    <t>VAISHALI TRADING COMPANY</t>
  </si>
  <si>
    <t>JAIPUR RURAL</t>
  </si>
  <si>
    <t>JAIPUR URBAN</t>
  </si>
  <si>
    <t>SHREE MAHARANI BUILDING MATERI</t>
  </si>
  <si>
    <t>NEELKANTH SALES AGENCY</t>
  </si>
  <si>
    <t>RAMAVATAR BUILDING MATERIAL</t>
  </si>
  <si>
    <t>R R MATERIAL SUPPLIER</t>
  </si>
  <si>
    <t>BK CONSTRUCTION COMPANY</t>
  </si>
  <si>
    <t>NAMO ENTERPRISES</t>
  </si>
  <si>
    <t>ASHISH SUPPLIERS</t>
  </si>
  <si>
    <t>POOJA TRADERS</t>
  </si>
  <si>
    <t>MOHAN LAL SAINI</t>
  </si>
  <si>
    <t>N R CEMENT AGENCY</t>
  </si>
  <si>
    <t>SHREE VINAYAK AGENCIES</t>
  </si>
  <si>
    <t>MEENAKSHI BUILDING MATERIAL SU</t>
  </si>
  <si>
    <t>SATISH CHAND NARESH CHAND</t>
  </si>
  <si>
    <t>VINAYAK BUILDERS AND SUPPLIERS</t>
  </si>
  <si>
    <t>RAJ TRADERS</t>
  </si>
  <si>
    <t>ROHIT ENTERPRISES</t>
  </si>
  <si>
    <t>SHRI KRISHNA BUILDING MATERIAL</t>
  </si>
  <si>
    <t>MUNIRAJ MEENA</t>
  </si>
  <si>
    <t>KRISHNA CONSTRUCTION</t>
  </si>
  <si>
    <t>PARAS STEEL</t>
  </si>
  <si>
    <t>KHANDELWAL TRADING COMPANY</t>
  </si>
  <si>
    <t>BANDAWALA CEMENT AGENCY</t>
  </si>
  <si>
    <t>NISHA TRADERS</t>
  </si>
  <si>
    <t>JOSHI AGENCIES</t>
  </si>
  <si>
    <t>PRADEEP BUILDING MATERIAL SUPP</t>
  </si>
  <si>
    <t>HONEY CEMENT AGENCY</t>
  </si>
  <si>
    <t>KAMLESH CEMENT AGENCY</t>
  </si>
  <si>
    <t>LOKESH TRADERS</t>
  </si>
  <si>
    <t>POOJA STEEL</t>
  </si>
  <si>
    <t>SHIV SHAKTI WELDING WORKS</t>
  </si>
  <si>
    <t>SHRI KRISHNA ASSOCIATES</t>
  </si>
  <si>
    <t>SHRI KHANDAL CEMENT AGENCY</t>
  </si>
  <si>
    <t>R K ELECTRICALS AND HARDWARE</t>
  </si>
  <si>
    <t>DHANPAL LODHA</t>
  </si>
  <si>
    <t>LALITA CEMENT STORE</t>
  </si>
  <si>
    <t>SHREE SIDDH BABA SAIPURI CEMEN</t>
  </si>
  <si>
    <t>JAI BUILDING MATERIAL SUPPLIER</t>
  </si>
  <si>
    <t>RADHEY CEMENT AGENCY</t>
  </si>
  <si>
    <t>Retailer Desc-</t>
  </si>
  <si>
    <t>JASORIA DISTRIBUTORS</t>
  </si>
  <si>
    <t>MANGAL BUILDING MATERIAL</t>
  </si>
  <si>
    <t>MURARI LAL GOYAL</t>
  </si>
  <si>
    <t>YASH BUILDING MATERIAL SUPPLIE</t>
  </si>
  <si>
    <t>JAGDAMBA TRADING CO</t>
  </si>
  <si>
    <t>BALAJI BUILDING MATERIAL CONST</t>
  </si>
  <si>
    <t>DHARMENDRA &amp; COMPANY</t>
  </si>
  <si>
    <t>KULDEEP CEMENT AGENCY</t>
  </si>
  <si>
    <t>RAMESH CEMENT AGENCY</t>
  </si>
  <si>
    <t>KRATIKA ENTERPRISES</t>
  </si>
  <si>
    <t>HARDENIYA CEMENT AGENCIES</t>
  </si>
  <si>
    <t>DHAKED BUILDING MATERIAL</t>
  </si>
  <si>
    <t>INDU JAIN</t>
  </si>
  <si>
    <t>GAURI CEMENT AGENCY</t>
  </si>
  <si>
    <t>Slab</t>
  </si>
  <si>
    <t>Tour</t>
  </si>
  <si>
    <t>---</t>
  </si>
  <si>
    <t>Goa</t>
  </si>
  <si>
    <t>Kerala</t>
  </si>
  <si>
    <t>Thailand</t>
  </si>
  <si>
    <t>Singapore</t>
  </si>
  <si>
    <t>Slab-1</t>
  </si>
  <si>
    <t>Slab-2</t>
  </si>
  <si>
    <t>Slab-3</t>
  </si>
  <si>
    <t>Slab-4</t>
  </si>
  <si>
    <t>&lt;400</t>
  </si>
  <si>
    <t>400-599.99</t>
  </si>
  <si>
    <t>600-899.99</t>
  </si>
  <si>
    <t>900-1199.99</t>
  </si>
  <si>
    <t>&gt;=1200</t>
  </si>
  <si>
    <t xml:space="preserve">Annual Volume in MT </t>
  </si>
  <si>
    <t>Total</t>
  </si>
  <si>
    <t>No of ARS</t>
  </si>
  <si>
    <t>Qty.</t>
  </si>
  <si>
    <t>Actutal till Feb 2022</t>
  </si>
  <si>
    <t>Retailer Code</t>
  </si>
  <si>
    <t>MAA BHAGWATI BUILDING SOLUTION</t>
  </si>
  <si>
    <t>SHREE SAI CONSTRUCTION</t>
  </si>
  <si>
    <t>DURGA SHANKAR SHARMA</t>
  </si>
  <si>
    <t>VISHWAKARMA CEMENT AGENCY</t>
  </si>
  <si>
    <t>JANGID ENTERPRISES</t>
  </si>
  <si>
    <t>SHREE BAJRANG BUILDING MATERIA</t>
  </si>
  <si>
    <t>R V BUILDING MATERIAL SUPPLIER</t>
  </si>
  <si>
    <t>JAI BHOMIYA BUILDING MATERIAL</t>
  </si>
  <si>
    <t>MEENA KHAD BEEJ BHANDAR</t>
  </si>
  <si>
    <t>VIRENDRA SAINI</t>
  </si>
  <si>
    <t>NARAYAN CEMENT AGENCY</t>
  </si>
  <si>
    <t>PINANIYA CONSTRUCTION COMPANY</t>
  </si>
  <si>
    <t>VIRMANI BUILDERS</t>
  </si>
  <si>
    <t>SHREE GANESH ENTERPRISES</t>
  </si>
  <si>
    <t>SHREE JEE CEMENT AGENCY</t>
  </si>
  <si>
    <t>RAJPOOT CEMENT AGENCY</t>
  </si>
  <si>
    <t>SURYANSH CEMENT AGENCY</t>
  </si>
  <si>
    <t>AADINATH TRADERS</t>
  </si>
  <si>
    <t>RK BUILDERS</t>
  </si>
  <si>
    <t>VINOD SALES AGENCIES</t>
  </si>
  <si>
    <t>ANIL GOYAL</t>
  </si>
  <si>
    <t>RAJ BUILDING MATERIAL</t>
  </si>
  <si>
    <t>CHOUDHARY GENERAL STORE</t>
  </si>
  <si>
    <t>PUNJABI ENTERPRISES</t>
  </si>
  <si>
    <t>RAJESH KUMAR &amp; SONS</t>
  </si>
  <si>
    <t>CHOUHAN CEMENT AGENCY</t>
  </si>
  <si>
    <t>Apr'22</t>
  </si>
  <si>
    <t>May'22</t>
  </si>
  <si>
    <t>HARE KRISHNA TRADERS</t>
  </si>
  <si>
    <t>MANASVI SALES CORPORATION</t>
  </si>
  <si>
    <t>MOHIT CEMENT AGENCY</t>
  </si>
  <si>
    <t>AYAAN CEMENT AGENCY</t>
  </si>
  <si>
    <t>GURU SANITARY &amp; HARDWARES</t>
  </si>
  <si>
    <t>VANSH CEMENT AGENCY</t>
  </si>
  <si>
    <t>KRISHNA BUILDCON</t>
  </si>
  <si>
    <t>BACHCHU SINGH SAINI</t>
  </si>
  <si>
    <t>BHARAT RAJ &amp; COMPANY</t>
  </si>
  <si>
    <t>SHREE SHYAM SALES CORPORATION</t>
  </si>
  <si>
    <t>LALITA DEVI GUPTA</t>
  </si>
  <si>
    <t>PARI CEMENT AGENCY</t>
  </si>
  <si>
    <t>BASANT HARDWARE &amp; PLYWOOD</t>
  </si>
  <si>
    <t>MK.SUPPLIER</t>
  </si>
  <si>
    <t>RAJ KUMAR BAIRWA</t>
  </si>
  <si>
    <t>KHEDA TRADERS</t>
  </si>
  <si>
    <t>SOHAM TRADING</t>
  </si>
  <si>
    <t>AMAN SALES AGENCY</t>
  </si>
  <si>
    <t>SHRI ROHITASH CEMENT AGENCY</t>
  </si>
  <si>
    <t>ANKIT BUILDING MATERIAL SUPPLI</t>
  </si>
  <si>
    <t>June'22</t>
  </si>
  <si>
    <t>RAM PRASAD KHATIK</t>
  </si>
  <si>
    <t>JADAUN BUILDING MATERIAL</t>
  </si>
  <si>
    <t>GANPATI STEELS</t>
  </si>
  <si>
    <t>PANKAJ BUILDING MATERIAL SUPPL</t>
  </si>
  <si>
    <t>WS</t>
  </si>
  <si>
    <t>PPCSS</t>
  </si>
  <si>
    <t>SHREE RAMAN BUILDING MATERIALS</t>
  </si>
  <si>
    <t>NANCY ENTERPRISES</t>
  </si>
  <si>
    <t>SHREE NIRANJAN ASSOCIATES</t>
  </si>
  <si>
    <t>KUMAWAT BUILDING MATERIAL</t>
  </si>
  <si>
    <t>MAHALAXMI TRADING CO.</t>
  </si>
  <si>
    <t>JITENDRA KUMAR MOHIT KUMAR</t>
  </si>
  <si>
    <t>BHARAT CEMENT AGENCY</t>
  </si>
  <si>
    <t>SATNAM BUIDLING MATERIAL SUPPL</t>
  </si>
  <si>
    <t>SHREE TAKUR HAKIM SINGH</t>
  </si>
  <si>
    <t>KAKA BUILDING MATERIAL SUPPLIE</t>
  </si>
  <si>
    <t>BHOLENATH BUILDING MATERIAL SA</t>
  </si>
  <si>
    <t>SHREE RAM KOTA &amp; MARBLE</t>
  </si>
  <si>
    <t>GAJANAND BUILDING MATERIAL SUP</t>
  </si>
  <si>
    <t>JAI MANSA CEMENT AGENCY</t>
  </si>
  <si>
    <t>CHARBHUJA STEELS</t>
  </si>
  <si>
    <t>TAMBI CONSTRUCTION COMPANY</t>
  </si>
  <si>
    <t>RASHI CEMENT AGENCY</t>
  </si>
  <si>
    <t>GOVINDAM CEMENT</t>
  </si>
  <si>
    <t>KUSHAL BUILDERS</t>
  </si>
  <si>
    <t>July'22</t>
  </si>
  <si>
    <t>SHREE BUILDERS</t>
  </si>
  <si>
    <t>MANVENDRA CEMENT AGENCY</t>
  </si>
  <si>
    <t>MANDYA TRADERS</t>
  </si>
  <si>
    <t>MUKESH BUILDERS</t>
  </si>
  <si>
    <t>SHRI PRAJAPATI ENTERPRISES</t>
  </si>
  <si>
    <t>K D BUILDING MATERIAL SUPPLIER</t>
  </si>
  <si>
    <t>SAMARA BUILDING MATERIAL SUPPL</t>
  </si>
  <si>
    <t>Aug'22</t>
  </si>
  <si>
    <t>179893</t>
  </si>
  <si>
    <t>210619</t>
  </si>
  <si>
    <t>BANKEY BIHARI TRADERS</t>
  </si>
  <si>
    <t>208516</t>
  </si>
  <si>
    <t>204307</t>
  </si>
  <si>
    <t>CHETAN BUILDING MATERIAL</t>
  </si>
  <si>
    <t>ASTHA ENTERPRISES</t>
  </si>
  <si>
    <t>SHRIPATI CONSTRUCTION</t>
  </si>
  <si>
    <t>METHI BUILDERS</t>
  </si>
  <si>
    <t>JASRAM CEMENT AGENCY</t>
  </si>
  <si>
    <t>VANSHIKA CEMENT AGENCY</t>
  </si>
  <si>
    <t>AMIT KHAD BEEJ BHANDAR</t>
  </si>
  <si>
    <t>CHOUDHARY BUILDERS</t>
  </si>
  <si>
    <t>GURU KRIPA BUILDING MATERIAL A</t>
  </si>
  <si>
    <t>ARIF CEMENT AGENCY</t>
  </si>
  <si>
    <t>SHRI NATH JI HOME BUILD SOLUTI</t>
  </si>
  <si>
    <t>SINGODIYA CEMENT UDYOG</t>
  </si>
  <si>
    <t>KHANDELWAL ENTERPRISES</t>
  </si>
  <si>
    <t>ERAM CONSTRUCTION</t>
  </si>
  <si>
    <t>SUSHILA ENTERPRISES</t>
  </si>
  <si>
    <t>JAIPUR</t>
  </si>
  <si>
    <t>MAA GORI AGENCY</t>
  </si>
  <si>
    <t>MAA JAGDAMBA AGENCIES</t>
  </si>
  <si>
    <t>RAJKAPOOR MEENA</t>
  </si>
  <si>
    <t>MAHA LAKSHMI BUILDING MATERIAL</t>
  </si>
  <si>
    <t>PEEYUSH SHARMA</t>
  </si>
  <si>
    <t>Sep'22</t>
  </si>
  <si>
    <t>GARG BUILDING MATERIAL AND PRO</t>
  </si>
  <si>
    <t>TEJAL TRADERS</t>
  </si>
  <si>
    <t>AGRASEN BUILDING MATERIAL AND</t>
  </si>
  <si>
    <t>JAI BHAWANI HARDWARE</t>
  </si>
  <si>
    <t>SHIV BUILDING MATERIAL STORE</t>
  </si>
  <si>
    <t>VIRENDRA CEMENT AGENCY</t>
  </si>
  <si>
    <t>SURENDRA ASSOCIATES</t>
  </si>
  <si>
    <t>MAHESH ASSOCIATES</t>
  </si>
  <si>
    <t>SHREE LAXMI TRADERS</t>
  </si>
  <si>
    <t>AYUSH ENTERPRISES</t>
  </si>
  <si>
    <t>BADAYA AGENCIES</t>
  </si>
  <si>
    <t>Oct'22</t>
  </si>
  <si>
    <t>YASH CEMENT SALES</t>
  </si>
  <si>
    <t>RAJU TRADING COMPANY</t>
  </si>
  <si>
    <t>B M TRADERS</t>
  </si>
  <si>
    <t>Nov'22</t>
  </si>
  <si>
    <t>SHIV STONE COMPANY</t>
  </si>
  <si>
    <t>SHREE MADHAV TRADING COMPANY</t>
  </si>
  <si>
    <t>ANUJ BUILDING MATERIAL STORE</t>
  </si>
  <si>
    <t>SHREE BALAJI TARDERS</t>
  </si>
  <si>
    <t>RAJDHANI PIPES</t>
  </si>
  <si>
    <t>Row Labels</t>
  </si>
  <si>
    <t>Grand Total</t>
  </si>
  <si>
    <t>Sum of Total9</t>
  </si>
  <si>
    <t>MAHADEV MARKETING</t>
  </si>
  <si>
    <t>SHRI SHYAM TILES AND GRANITES</t>
  </si>
  <si>
    <t>SAINI ENTERPRISES</t>
  </si>
  <si>
    <t>DEVA STEEL</t>
  </si>
  <si>
    <t>KHANAK CEMENT AGENCY</t>
  </si>
  <si>
    <t>MAMTA CEMENT SUPPLIERS</t>
  </si>
  <si>
    <t>B L TRADERS</t>
  </si>
  <si>
    <t>HITIKA BUILDERS</t>
  </si>
  <si>
    <t>AVENUE BUILDTECH</t>
  </si>
  <si>
    <t>PARVEZ CONSTRUCTION COMPANY</t>
  </si>
  <si>
    <t>Dec'22</t>
  </si>
  <si>
    <t>821820206049</t>
  </si>
  <si>
    <t>821739149892</t>
  </si>
  <si>
    <t>VIJAY VARGIYA BROTHERS</t>
  </si>
  <si>
    <t>VIJAYVERGIYA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</si>
</sst>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*\ #,##0_ ;_*\ \-#,##0_ ;_*\ &quot;-&quot;_ ;_ @_ "/>
    <numFmt numFmtId="165" formatCode="_ * #,##0_ ;_ * \-#,##0_ ;_ * &quot;-&quot;??_ ;_ @_ "/>
  </numFmts>
  <fonts count="13" x14ac:knownFonts="1">
    <font>
      <sz val="10"/>
      <name val="Arial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40"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14" fontId="3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quotePrefix="1" applyFont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5" fontId="9" fillId="0" borderId="1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left" vertical="center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0" fontId="2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left" vertical="top"/>
    </xf>
    <xf numFmtId="164" fontId="12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endra Kumar Vyas" refreshedDate="44903.727872222225" createdVersion="6" refreshedVersion="6" minRefreshableVersion="3" recordCount="3439" xr:uid="{4C85238C-9372-4FE8-9750-061A1421F288}">
  <cacheSource type="worksheet">
    <worksheetSource ref="A2:AM546" sheet="mtd sale"/>
  </cacheSource>
  <cacheFields count="36">
    <cacheField name="Combined" numFmtId="0">
      <sharedItems/>
    </cacheField>
    <cacheField name="Retailer Code" numFmtId="0">
      <sharedItems containsSemiMixedTypes="0" containsString="0" containsNumber="1" containsInteger="1" minValue="801582" maxValue="821479" count="3161">
        <n v="801764"/>
        <n v="801867"/>
        <n v="801868"/>
        <n v="801869"/>
        <n v="801871"/>
        <n v="802164"/>
        <n v="803594"/>
        <n v="803755"/>
        <n v="804431"/>
        <n v="804773"/>
        <n v="804774"/>
        <n v="804832"/>
        <n v="805149"/>
        <n v="806141"/>
        <n v="806142"/>
        <n v="806246"/>
        <n v="806517"/>
        <n v="806540"/>
        <n v="806782"/>
        <n v="807228"/>
        <n v="807303"/>
        <n v="807776"/>
        <n v="807777"/>
        <n v="807778"/>
        <n v="807915"/>
        <n v="808103"/>
        <n v="808133"/>
        <n v="808155"/>
        <n v="808289"/>
        <n v="808346"/>
        <n v="808347"/>
        <n v="808391"/>
        <n v="808434"/>
        <n v="808471"/>
        <n v="808795"/>
        <n v="808857"/>
        <n v="808858"/>
        <n v="809044"/>
        <n v="809183"/>
        <n v="809184"/>
        <n v="809413"/>
        <n v="809471"/>
        <n v="809476"/>
        <n v="809617"/>
        <n v="809735"/>
        <n v="809892"/>
        <n v="809893"/>
        <n v="809916"/>
        <n v="810094"/>
        <n v="810182"/>
        <n v="810685"/>
        <n v="810913"/>
        <n v="810914"/>
        <n v="811244"/>
        <n v="811405"/>
        <n v="811550"/>
        <n v="811693"/>
        <n v="811799"/>
        <n v="811800"/>
        <n v="812301"/>
        <n v="812333"/>
        <n v="812569"/>
        <n v="812688"/>
        <n v="812737"/>
        <n v="812850"/>
        <n v="812900"/>
        <n v="813096"/>
        <n v="813120"/>
        <n v="813157"/>
        <n v="813158"/>
        <n v="813347"/>
        <n v="813676"/>
        <n v="813788"/>
        <n v="813815"/>
        <n v="814040"/>
        <n v="814055"/>
        <n v="814259"/>
        <n v="814639"/>
        <n v="814668"/>
        <n v="814705"/>
        <n v="814871"/>
        <n v="815022"/>
        <n v="815051"/>
        <n v="815052"/>
        <n v="815064"/>
        <n v="815066"/>
        <n v="815067"/>
        <n v="815068"/>
        <n v="815088"/>
        <n v="815151"/>
        <n v="815601"/>
        <n v="815621"/>
        <n v="815671"/>
        <n v="815900"/>
        <n v="815901"/>
        <n v="815936"/>
        <n v="816021"/>
        <n v="816022"/>
        <n v="816096"/>
        <n v="816097"/>
        <n v="816098"/>
        <n v="816301"/>
        <n v="816469"/>
        <n v="816471"/>
        <n v="816767"/>
        <n v="816940"/>
        <n v="817482"/>
        <n v="817900"/>
        <n v="818227"/>
        <n v="818263"/>
        <n v="818808"/>
        <n v="818959"/>
        <n v="819394"/>
        <n v="819439"/>
        <n v="819590"/>
        <n v="819591"/>
        <n v="820421"/>
        <n v="809276"/>
        <n v="812623"/>
        <n v="819442"/>
        <n v="812136"/>
        <n v="802105"/>
        <n v="802870"/>
        <n v="803983"/>
        <n v="804176"/>
        <n v="804251"/>
        <n v="805911"/>
        <n v="806395"/>
        <n v="806969"/>
        <n v="808348"/>
        <n v="809121"/>
        <n v="811184"/>
        <n v="811185"/>
        <n v="811360"/>
        <n v="811523"/>
        <n v="811534"/>
        <n v="811582"/>
        <n v="811584"/>
        <n v="811585"/>
        <n v="811628"/>
        <n v="811629"/>
        <n v="811771"/>
        <n v="812472"/>
        <n v="812812"/>
        <n v="812859"/>
        <n v="812866"/>
        <n v="812971"/>
        <n v="813290"/>
        <n v="815597"/>
        <n v="815668"/>
        <n v="816483"/>
        <n v="816627"/>
        <n v="818201"/>
        <n v="818207"/>
        <n v="818216"/>
        <n v="818221"/>
        <n v="819131"/>
        <n v="819178"/>
        <n v="820599"/>
        <n v="807305"/>
        <n v="811093"/>
        <n v="811165"/>
        <n v="811681"/>
        <n v="811897"/>
        <n v="812617"/>
        <n v="812723"/>
        <n v="813099"/>
        <n v="813101"/>
        <n v="813118"/>
        <n v="814507"/>
        <n v="814539"/>
        <n v="814693"/>
        <n v="814978"/>
        <n v="814992"/>
        <n v="815027"/>
        <n v="815314"/>
        <n v="815438"/>
        <n v="815503"/>
        <n v="815635"/>
        <n v="815819"/>
        <n v="815822"/>
        <n v="815905"/>
        <n v="816920"/>
        <n v="816991"/>
        <n v="818217"/>
        <n v="818294"/>
        <n v="818328"/>
        <n v="818329"/>
        <n v="818730"/>
        <n v="818815"/>
        <n v="818861"/>
        <n v="819449"/>
        <n v="820198"/>
        <n v="804365"/>
        <n v="804746"/>
        <n v="804888"/>
        <n v="804992"/>
        <n v="805810"/>
        <n v="805848"/>
        <n v="807490"/>
        <n v="807706"/>
        <n v="807707"/>
        <n v="807812"/>
        <n v="808732"/>
        <n v="810084"/>
        <n v="811088"/>
        <n v="811134"/>
        <n v="811191"/>
        <n v="811403"/>
        <n v="811481"/>
        <n v="811588"/>
        <n v="811891"/>
        <n v="812005"/>
        <n v="812059"/>
        <n v="812572"/>
        <n v="812616"/>
        <n v="813022"/>
        <n v="813023"/>
        <n v="813376"/>
        <n v="813438"/>
        <n v="814031"/>
        <n v="814138"/>
        <n v="814298"/>
        <n v="814436"/>
        <n v="814483"/>
        <n v="814522"/>
        <n v="814625"/>
        <n v="815274"/>
        <n v="815275"/>
        <n v="815306"/>
        <n v="815466"/>
        <n v="815609"/>
        <n v="815834"/>
        <n v="816239"/>
        <n v="816576"/>
        <n v="817193"/>
        <n v="817298"/>
        <n v="817585"/>
        <n v="818255"/>
        <n v="818259"/>
        <n v="818261"/>
        <n v="818412"/>
        <n v="818415"/>
        <n v="818417"/>
        <n v="818599"/>
        <n v="820780"/>
        <n v="812746"/>
        <n v="821085"/>
        <n v="821115"/>
        <n v="806359"/>
        <n v="806360"/>
        <n v="807439"/>
        <n v="809004"/>
        <n v="811546"/>
        <n v="811547"/>
        <n v="811549"/>
        <n v="811892"/>
        <n v="812060"/>
        <n v="812065"/>
        <n v="812409"/>
        <n v="812571"/>
        <n v="812615"/>
        <n v="812778"/>
        <n v="812780"/>
        <n v="813048"/>
        <n v="813053"/>
        <n v="813150"/>
        <n v="813377"/>
        <n v="813632"/>
        <n v="813633"/>
        <n v="813635"/>
        <n v="813638"/>
        <n v="814308"/>
        <n v="814381"/>
        <n v="814470"/>
        <n v="814481"/>
        <n v="814484"/>
        <n v="814504"/>
        <n v="815273"/>
        <n v="815636"/>
        <n v="815830"/>
        <n v="815831"/>
        <n v="815961"/>
        <n v="816013"/>
        <n v="816114"/>
        <n v="816551"/>
        <n v="816651"/>
        <n v="816917"/>
        <n v="817235"/>
        <n v="817667"/>
        <n v="817870"/>
        <n v="817887"/>
        <n v="818136"/>
        <n v="818140"/>
        <n v="818375"/>
        <n v="818376"/>
        <n v="818846"/>
        <n v="819624"/>
        <n v="819629"/>
        <n v="820781"/>
        <n v="820865"/>
        <n v="820047"/>
        <n v="806999"/>
        <n v="807438"/>
        <n v="807570"/>
        <n v="807811"/>
        <n v="807975"/>
        <n v="807986"/>
        <n v="807987"/>
        <n v="808433"/>
        <n v="809016"/>
        <n v="809179"/>
        <n v="809295"/>
        <n v="809656"/>
        <n v="810434"/>
        <n v="811118"/>
        <n v="811136"/>
        <n v="811182"/>
        <n v="811192"/>
        <n v="811423"/>
        <n v="811896"/>
        <n v="812195"/>
        <n v="812282"/>
        <n v="812395"/>
        <n v="812483"/>
        <n v="812570"/>
        <n v="812627"/>
        <n v="812880"/>
        <n v="812884"/>
        <n v="813009"/>
        <n v="813056"/>
        <n v="813167"/>
        <n v="813215"/>
        <n v="813413"/>
        <n v="813734"/>
        <n v="813802"/>
        <n v="814117"/>
        <n v="814151"/>
        <n v="814236"/>
        <n v="814425"/>
        <n v="814498"/>
        <n v="814594"/>
        <n v="814595"/>
        <n v="814708"/>
        <n v="814767"/>
        <n v="814768"/>
        <n v="814909"/>
        <n v="815084"/>
        <n v="815111"/>
        <n v="815307"/>
        <n v="815342"/>
        <n v="815356"/>
        <n v="815490"/>
        <n v="815575"/>
        <n v="815630"/>
        <n v="815715"/>
        <n v="815773"/>
        <n v="815777"/>
        <n v="815850"/>
        <n v="816047"/>
        <n v="816154"/>
        <n v="816156"/>
        <n v="816157"/>
        <n v="816210"/>
        <n v="816353"/>
        <n v="816436"/>
        <n v="816595"/>
        <n v="816601"/>
        <n v="816606"/>
        <n v="816652"/>
        <n v="816946"/>
        <n v="816948"/>
        <n v="816949"/>
        <n v="817094"/>
        <n v="817238"/>
        <n v="817239"/>
        <n v="817384"/>
        <n v="817542"/>
        <n v="817646"/>
        <n v="817668"/>
        <n v="817746"/>
        <n v="817833"/>
        <n v="817958"/>
        <n v="817989"/>
        <n v="818193"/>
        <n v="818410"/>
        <n v="818411"/>
        <n v="818468"/>
        <n v="818487"/>
        <n v="818589"/>
        <n v="818847"/>
        <n v="818849"/>
        <n v="819047"/>
        <n v="819448"/>
        <n v="819532"/>
        <n v="820073"/>
        <n v="820135"/>
        <n v="820136"/>
        <n v="820222"/>
        <n v="820402"/>
        <n v="820199"/>
        <n v="820575"/>
        <n v="820641"/>
        <n v="820736"/>
        <n v="820778"/>
        <n v="820776"/>
        <n v="820814"/>
        <n v="820782"/>
        <n v="821006"/>
        <n v="820642"/>
        <n v="821160"/>
        <n v="821200"/>
        <n v="821294"/>
        <n v="805468"/>
        <n v="805995"/>
        <n v="806024"/>
        <n v="807164"/>
        <n v="808713"/>
        <n v="808979"/>
        <n v="809120"/>
        <n v="809439"/>
        <n v="809736"/>
        <n v="810122"/>
        <n v="810756"/>
        <n v="811694"/>
        <n v="812336"/>
        <n v="812352"/>
        <n v="812426"/>
        <n v="812854"/>
        <n v="813094"/>
        <n v="813122"/>
        <n v="814593"/>
        <n v="814827"/>
        <n v="815982"/>
        <n v="816240"/>
        <n v="816241"/>
        <n v="816315"/>
        <n v="816424"/>
        <n v="816425"/>
        <n v="816496"/>
        <n v="816625"/>
        <n v="816932"/>
        <n v="816984"/>
        <n v="817064"/>
        <n v="817093"/>
        <n v="817587"/>
        <n v="817665"/>
        <n v="817666"/>
        <n v="817791"/>
        <n v="817976"/>
        <n v="818306"/>
        <n v="818485"/>
        <n v="818499"/>
        <n v="818522"/>
        <n v="818555"/>
        <n v="818710"/>
        <n v="818749"/>
        <n v="818986"/>
        <n v="819183"/>
        <n v="819232"/>
        <n v="820400"/>
        <n v="820444"/>
        <n v="820585"/>
        <n v="820640"/>
        <n v="820784"/>
        <n v="821058"/>
        <n v="819625"/>
        <n v="820902"/>
        <n v="821170"/>
        <n v="802156"/>
        <n v="802987"/>
        <n v="803017"/>
        <n v="803148"/>
        <n v="803201"/>
        <n v="803251"/>
        <n v="803256"/>
        <n v="803364"/>
        <n v="805574"/>
        <n v="806051"/>
        <n v="806052"/>
        <n v="806099"/>
        <n v="806321"/>
        <n v="806322"/>
        <n v="806323"/>
        <n v="806327"/>
        <n v="806346"/>
        <n v="806748"/>
        <n v="806841"/>
        <n v="806968"/>
        <n v="807017"/>
        <n v="807988"/>
        <n v="808094"/>
        <n v="808259"/>
        <n v="808269"/>
        <n v="808789"/>
        <n v="808791"/>
        <n v="809191"/>
        <n v="809580"/>
        <n v="811032"/>
        <n v="811107"/>
        <n v="811241"/>
        <n v="811324"/>
        <n v="811356"/>
        <n v="811357"/>
        <n v="811924"/>
        <n v="812066"/>
        <n v="812134"/>
        <n v="812684"/>
        <n v="812687"/>
        <n v="812738"/>
        <n v="812755"/>
        <n v="812964"/>
        <n v="813054"/>
        <n v="813213"/>
        <n v="813217"/>
        <n v="813409"/>
        <n v="813539"/>
        <n v="813541"/>
        <n v="813763"/>
        <n v="813765"/>
        <n v="813847"/>
        <n v="814094"/>
        <n v="814095"/>
        <n v="814139"/>
        <n v="814388"/>
        <n v="814390"/>
        <n v="814431"/>
        <n v="814441"/>
        <n v="814482"/>
        <n v="814494"/>
        <n v="814496"/>
        <n v="814497"/>
        <n v="814524"/>
        <n v="814670"/>
        <n v="814723"/>
        <n v="815093"/>
        <n v="815123"/>
        <n v="815210"/>
        <n v="815211"/>
        <n v="815218"/>
        <n v="815256"/>
        <n v="815420"/>
        <n v="815424"/>
        <n v="815428"/>
        <n v="815429"/>
        <n v="815430"/>
        <n v="815474"/>
        <n v="815501"/>
        <n v="815930"/>
        <n v="815985"/>
        <n v="815986"/>
        <n v="816038"/>
        <n v="816574"/>
        <n v="816575"/>
        <n v="816986"/>
        <n v="816987"/>
        <n v="817005"/>
        <n v="817014"/>
        <n v="817063"/>
        <n v="817263"/>
        <n v="817264"/>
        <n v="817271"/>
        <n v="817647"/>
        <n v="817774"/>
        <n v="817882"/>
        <n v="817894"/>
        <n v="817905"/>
        <n v="817940"/>
        <n v="818135"/>
        <n v="818238"/>
        <n v="818240"/>
        <n v="818391"/>
        <n v="818392"/>
        <n v="818556"/>
        <n v="818595"/>
        <n v="819150"/>
        <n v="819168"/>
        <n v="819474"/>
        <n v="819608"/>
        <n v="819745"/>
        <n v="819860"/>
        <n v="820265"/>
        <n v="819939"/>
        <n v="820574"/>
        <n v="820811"/>
        <n v="821059"/>
        <n v="821061"/>
        <n v="804178"/>
        <n v="804286"/>
        <n v="804980"/>
        <n v="806430"/>
        <n v="806431"/>
        <n v="806484"/>
        <n v="806487"/>
        <n v="806615"/>
        <n v="806689"/>
        <n v="806720"/>
        <n v="806721"/>
        <n v="806871"/>
        <n v="807201"/>
        <n v="807929"/>
        <n v="808275"/>
        <n v="808547"/>
        <n v="809466"/>
        <n v="809467"/>
        <n v="809507"/>
        <n v="809569"/>
        <n v="809785"/>
        <n v="810055"/>
        <n v="810120"/>
        <n v="810324"/>
        <n v="810435"/>
        <n v="810595"/>
        <n v="810648"/>
        <n v="810683"/>
        <n v="810686"/>
        <n v="810922"/>
        <n v="811091"/>
        <n v="811092"/>
        <n v="811135"/>
        <n v="811422"/>
        <n v="811522"/>
        <n v="811630"/>
        <n v="812056"/>
        <n v="812291"/>
        <n v="812300"/>
        <n v="812382"/>
        <n v="812391"/>
        <n v="812461"/>
        <n v="812469"/>
        <n v="812969"/>
        <n v="813172"/>
        <n v="813521"/>
        <n v="813636"/>
        <n v="813672"/>
        <n v="813692"/>
        <n v="813728"/>
        <n v="813729"/>
        <n v="813896"/>
        <n v="813909"/>
        <n v="814183"/>
        <n v="814184"/>
        <n v="814227"/>
        <n v="814253"/>
        <n v="814447"/>
        <n v="814540"/>
        <n v="814545"/>
        <n v="814777"/>
        <n v="814907"/>
        <n v="814934"/>
        <n v="814939"/>
        <n v="815104"/>
        <n v="815105"/>
        <n v="815175"/>
        <n v="815176"/>
        <n v="815237"/>
        <n v="815421"/>
        <n v="815481"/>
        <n v="815643"/>
        <n v="815644"/>
        <n v="815645"/>
        <n v="815774"/>
        <n v="815864"/>
        <n v="816128"/>
        <n v="816249"/>
        <n v="816270"/>
        <n v="816409"/>
        <n v="816554"/>
        <n v="817054"/>
        <n v="817308"/>
        <n v="817610"/>
        <n v="817792"/>
        <n v="817943"/>
        <n v="818256"/>
        <n v="818325"/>
        <n v="818340"/>
        <n v="818341"/>
        <n v="818347"/>
        <n v="818354"/>
        <n v="818440"/>
        <n v="818441"/>
        <n v="818483"/>
        <n v="818523"/>
        <n v="818702"/>
        <n v="818765"/>
        <n v="818782"/>
        <n v="818883"/>
        <n v="818884"/>
        <n v="819325"/>
        <n v="819326"/>
        <n v="819350"/>
        <n v="819351"/>
        <n v="819425"/>
        <n v="819901"/>
        <n v="820092"/>
        <n v="820149"/>
        <n v="820460"/>
        <n v="820094"/>
        <n v="820288"/>
        <n v="820492"/>
        <n v="820484"/>
        <n v="820559"/>
        <n v="820623"/>
        <n v="820634"/>
        <n v="820701"/>
        <n v="820081"/>
        <n v="821086"/>
        <n v="821207"/>
        <n v="801588"/>
        <n v="801589"/>
        <n v="801590"/>
        <n v="801627"/>
        <n v="802165"/>
        <n v="802918"/>
        <n v="803820"/>
        <n v="805151"/>
        <n v="805158"/>
        <n v="805811"/>
        <n v="806234"/>
        <n v="806436"/>
        <n v="806439"/>
        <n v="806440"/>
        <n v="806882"/>
        <n v="806926"/>
        <n v="807002"/>
        <n v="807143"/>
        <n v="807779"/>
        <n v="808644"/>
        <n v="808925"/>
        <n v="808926"/>
        <n v="811475"/>
        <n v="812299"/>
        <n v="812741"/>
        <n v="812944"/>
        <n v="812967"/>
        <n v="813154"/>
        <n v="813385"/>
        <n v="813746"/>
        <n v="813876"/>
        <n v="813877"/>
        <n v="813894"/>
        <n v="813895"/>
        <n v="814096"/>
        <n v="814416"/>
        <n v="814499"/>
        <n v="814671"/>
        <n v="814733"/>
        <n v="814749"/>
        <n v="814776"/>
        <n v="815440"/>
        <n v="815576"/>
        <n v="815713"/>
        <n v="816352"/>
        <n v="816437"/>
        <n v="816534"/>
        <n v="816555"/>
        <n v="816742"/>
        <n v="817167"/>
        <n v="817352"/>
        <n v="817835"/>
        <n v="818218"/>
        <n v="818406"/>
        <n v="818587"/>
        <n v="819337"/>
        <n v="819538"/>
        <n v="820917"/>
        <n v="807200"/>
        <n v="811848"/>
        <n v="811944"/>
        <n v="812372"/>
        <n v="812404"/>
        <n v="813151"/>
        <n v="813299"/>
        <n v="815101"/>
        <n v="816037"/>
        <n v="817789"/>
        <n v="817871"/>
        <n v="818073"/>
        <n v="818100"/>
        <n v="818484"/>
        <n v="819817"/>
        <n v="820008"/>
        <n v="820429"/>
        <n v="820486"/>
        <n v="820702"/>
        <n v="820866"/>
        <n v="808980"/>
        <n v="811106"/>
        <n v="812076"/>
        <n v="812100"/>
        <n v="812384"/>
        <n v="812392"/>
        <n v="812407"/>
        <n v="812474"/>
        <n v="812562"/>
        <n v="812751"/>
        <n v="812810"/>
        <n v="812811"/>
        <n v="813378"/>
        <n v="813821"/>
        <n v="813842"/>
        <n v="814109"/>
        <n v="814116"/>
        <n v="814350"/>
        <n v="815467"/>
        <n v="815468"/>
        <n v="815479"/>
        <n v="815924"/>
        <n v="817366"/>
        <n v="817404"/>
        <n v="817913"/>
        <n v="817914"/>
        <n v="817916"/>
        <n v="817934"/>
        <n v="818071"/>
        <n v="818239"/>
        <n v="818867"/>
        <n v="819240"/>
        <n v="819248"/>
        <n v="819249"/>
        <n v="819813"/>
        <n v="820755"/>
        <n v="820759"/>
        <n v="820760"/>
        <n v="821009"/>
        <n v="820498"/>
        <n v="820510"/>
        <n v="820513"/>
        <n v="820530"/>
        <n v="820566"/>
        <n v="820629"/>
        <n v="803018"/>
        <n v="803698"/>
        <n v="804818"/>
        <n v="804978"/>
        <n v="805005"/>
        <n v="805378"/>
        <n v="805869"/>
        <n v="806296"/>
        <n v="806511"/>
        <n v="806616"/>
        <n v="806887"/>
        <n v="806898"/>
        <n v="807065"/>
        <n v="807121"/>
        <n v="807122"/>
        <n v="807141"/>
        <n v="807353"/>
        <n v="807368"/>
        <n v="807690"/>
        <n v="808419"/>
        <n v="808731"/>
        <n v="809479"/>
        <n v="810821"/>
        <n v="811242"/>
        <n v="811243"/>
        <n v="812077"/>
        <n v="812102"/>
        <n v="812160"/>
        <n v="812237"/>
        <n v="812546"/>
        <n v="812793"/>
        <n v="812794"/>
        <n v="812883"/>
        <n v="813149"/>
        <n v="813195"/>
        <n v="813271"/>
        <n v="813946"/>
        <n v="814097"/>
        <n v="814248"/>
        <n v="814284"/>
        <n v="814528"/>
        <n v="814541"/>
        <n v="814711"/>
        <n v="815057"/>
        <n v="815231"/>
        <n v="815408"/>
        <n v="815417"/>
        <n v="815426"/>
        <n v="815514"/>
        <n v="815593"/>
        <n v="815657"/>
        <n v="815663"/>
        <n v="815664"/>
        <n v="815719"/>
        <n v="815720"/>
        <n v="815929"/>
        <n v="816261"/>
        <n v="816262"/>
        <n v="816272"/>
        <n v="816348"/>
        <n v="816639"/>
        <n v="816906"/>
        <n v="816933"/>
        <n v="817030"/>
        <n v="817102"/>
        <n v="817272"/>
        <n v="817342"/>
        <n v="817343"/>
        <n v="817546"/>
        <n v="817611"/>
        <n v="817628"/>
        <n v="817917"/>
        <n v="817933"/>
        <n v="818163"/>
        <n v="818194"/>
        <n v="818232"/>
        <n v="818235"/>
        <n v="818237"/>
        <n v="818357"/>
        <n v="818469"/>
        <n v="818514"/>
        <n v="818515"/>
        <n v="818530"/>
        <n v="818540"/>
        <n v="818611"/>
        <n v="818744"/>
        <n v="818790"/>
        <n v="818805"/>
        <n v="818912"/>
        <n v="818966"/>
        <n v="818983"/>
        <n v="819056"/>
        <n v="819328"/>
        <n v="819375"/>
        <n v="819476"/>
        <n v="819589"/>
        <n v="819594"/>
        <n v="819812"/>
        <n v="819848"/>
        <n v="820157"/>
        <n v="820516"/>
        <n v="820336"/>
        <n v="820716"/>
        <n v="820879"/>
        <n v="821185"/>
        <n v="821083"/>
        <n v="821020"/>
        <n v="820878"/>
        <n v="819605"/>
        <n v="801716"/>
        <n v="801729"/>
        <n v="801876"/>
        <n v="801965"/>
        <n v="801966"/>
        <n v="801967"/>
        <n v="802073"/>
        <n v="802948"/>
        <n v="803877"/>
        <n v="804935"/>
        <n v="805095"/>
        <n v="805255"/>
        <n v="805375"/>
        <n v="805377"/>
        <n v="805406"/>
        <n v="805419"/>
        <n v="805453"/>
        <n v="805796"/>
        <n v="806289"/>
        <n v="806433"/>
        <n v="806510"/>
        <n v="806717"/>
        <n v="806722"/>
        <n v="806723"/>
        <n v="807120"/>
        <n v="807142"/>
        <n v="807202"/>
        <n v="807203"/>
        <n v="807244"/>
        <n v="807416"/>
        <n v="807576"/>
        <n v="807780"/>
        <n v="807781"/>
        <n v="807889"/>
        <n v="808730"/>
        <n v="808937"/>
        <n v="809330"/>
        <n v="809534"/>
        <n v="809579"/>
        <n v="809618"/>
        <n v="809917"/>
        <n v="809918"/>
        <n v="810127"/>
        <n v="810242"/>
        <n v="810684"/>
        <n v="810734"/>
        <n v="810830"/>
        <n v="810852"/>
        <n v="811137"/>
        <n v="811183"/>
        <n v="811251"/>
        <n v="811401"/>
        <n v="811455"/>
        <n v="811480"/>
        <n v="811535"/>
        <n v="811639"/>
        <n v="811862"/>
        <n v="812071"/>
        <n v="812072"/>
        <n v="812142"/>
        <n v="812161"/>
        <n v="812196"/>
        <n v="812425"/>
        <n v="812428"/>
        <n v="812658"/>
        <n v="813074"/>
        <n v="813147"/>
        <n v="813327"/>
        <n v="813602"/>
        <n v="813800"/>
        <n v="813820"/>
        <n v="813897"/>
        <n v="814050"/>
        <n v="814290"/>
        <n v="814503"/>
        <n v="814521"/>
        <n v="814602"/>
        <n v="814651"/>
        <n v="814935"/>
        <n v="814942"/>
        <n v="815393"/>
        <n v="815401"/>
        <n v="815502"/>
        <n v="815594"/>
        <n v="815595"/>
        <n v="815646"/>
        <n v="815647"/>
        <n v="815658"/>
        <n v="815672"/>
        <n v="816116"/>
        <n v="816253"/>
        <n v="816314"/>
        <n v="816351"/>
        <n v="816529"/>
        <n v="816685"/>
        <n v="816905"/>
        <n v="817029"/>
        <n v="817031"/>
        <n v="817032"/>
        <n v="817052"/>
        <n v="817053"/>
        <n v="817127"/>
        <n v="817136"/>
        <n v="817152"/>
        <n v="817153"/>
        <n v="817189"/>
        <n v="817320"/>
        <n v="817377"/>
        <n v="817382"/>
        <n v="817386"/>
        <n v="817417"/>
        <n v="817514"/>
        <n v="817543"/>
        <n v="817591"/>
        <n v="817742"/>
        <n v="817915"/>
        <n v="818066"/>
        <n v="818537"/>
        <n v="818661"/>
        <n v="818731"/>
        <n v="818908"/>
        <n v="819023"/>
        <n v="819453"/>
        <n v="819471"/>
        <n v="819473"/>
        <n v="819832"/>
        <n v="819853"/>
        <n v="819913"/>
        <n v="820030"/>
        <n v="820031"/>
        <n v="820032"/>
        <n v="820287"/>
        <n v="820286"/>
        <n v="820380"/>
        <n v="820621"/>
        <n v="820639"/>
        <n v="821007"/>
        <n v="821008"/>
        <n v="821023"/>
        <n v="821184"/>
        <n v="821272"/>
        <n v="821284"/>
        <n v="821349"/>
        <n v="821352"/>
        <n v="806230"/>
        <n v="806233"/>
        <n v="809219"/>
        <n v="809338"/>
        <n v="809459"/>
        <n v="810225"/>
        <n v="810513"/>
        <n v="810899"/>
        <n v="810901"/>
        <n v="810902"/>
        <n v="810920"/>
        <n v="810951"/>
        <n v="811049"/>
        <n v="811189"/>
        <n v="811256"/>
        <n v="811328"/>
        <n v="811329"/>
        <n v="811348"/>
        <n v="811419"/>
        <n v="811420"/>
        <n v="811489"/>
        <n v="811777"/>
        <n v="811778"/>
        <n v="812505"/>
        <n v="812624"/>
        <n v="812626"/>
        <n v="812700"/>
        <n v="812743"/>
        <n v="812860"/>
        <n v="812861"/>
        <n v="813314"/>
        <n v="813570"/>
        <n v="813724"/>
        <n v="813799"/>
        <n v="814079"/>
        <n v="814115"/>
        <n v="814514"/>
        <n v="814690"/>
        <n v="814692"/>
        <n v="814769"/>
        <n v="815030"/>
        <n v="815155"/>
        <n v="816546"/>
        <n v="816547"/>
        <n v="816566"/>
        <n v="816592"/>
        <n v="817217"/>
        <n v="817218"/>
        <n v="817219"/>
        <n v="817221"/>
        <n v="817411"/>
        <n v="817412"/>
        <n v="817413"/>
        <n v="817794"/>
        <n v="817795"/>
        <n v="817796"/>
        <n v="817797"/>
        <n v="817799"/>
        <n v="817812"/>
        <n v="817876"/>
        <n v="817878"/>
        <n v="817881"/>
        <n v="817891"/>
        <n v="817979"/>
        <n v="818251"/>
        <n v="818252"/>
        <n v="818254"/>
        <n v="818279"/>
        <n v="818287"/>
        <n v="818317"/>
        <n v="818539"/>
        <n v="818634"/>
        <n v="818806"/>
        <n v="818837"/>
        <n v="818998"/>
        <n v="819004"/>
        <n v="819218"/>
        <n v="819388"/>
        <n v="819390"/>
        <n v="819406"/>
        <n v="819710"/>
        <n v="819743"/>
        <n v="820420"/>
        <n v="820705"/>
        <n v="821285"/>
        <n v="821287"/>
        <n v="821274"/>
        <n v="821457"/>
        <n v="821479"/>
        <n v="808182"/>
        <n v="820048"/>
        <n v="821203"/>
        <n v="821325"/>
        <n v="812396"/>
        <n v="803775"/>
        <n v="806864"/>
        <n v="811425"/>
        <n v="813782"/>
        <n v="815799"/>
        <n v="817039"/>
        <n v="817813"/>
        <n v="818142"/>
        <n v="819535"/>
        <n v="819712"/>
        <n v="820003"/>
        <n v="821263"/>
        <n v="821265"/>
        <n v="819702"/>
        <n v="802838"/>
        <n v="802878"/>
        <n v="802964"/>
        <n v="802965"/>
        <n v="803051"/>
        <n v="803352"/>
        <n v="803425"/>
        <n v="803578"/>
        <n v="803579"/>
        <n v="803843"/>
        <n v="804023"/>
        <n v="804031"/>
        <n v="804122"/>
        <n v="804136"/>
        <n v="804220"/>
        <n v="804235"/>
        <n v="804313"/>
        <n v="804485"/>
        <n v="804863"/>
        <n v="804909"/>
        <n v="804910"/>
        <n v="804940"/>
        <n v="805403"/>
        <n v="805432"/>
        <n v="805433"/>
        <n v="805454"/>
        <n v="805544"/>
        <n v="805621"/>
        <n v="805654"/>
        <n v="805677"/>
        <n v="805822"/>
        <n v="805921"/>
        <n v="806097"/>
        <n v="806125"/>
        <n v="806155"/>
        <n v="806156"/>
        <n v="806157"/>
        <n v="806158"/>
        <n v="806174"/>
        <n v="806175"/>
        <n v="806210"/>
        <n v="806283"/>
        <n v="806288"/>
        <n v="806400"/>
        <n v="806401"/>
        <n v="806468"/>
        <n v="806469"/>
        <n v="806474"/>
        <n v="806565"/>
        <n v="806830"/>
        <n v="806863"/>
        <n v="807105"/>
        <n v="807112"/>
        <n v="807113"/>
        <n v="807577"/>
        <n v="807601"/>
        <n v="807609"/>
        <n v="807629"/>
        <n v="807643"/>
        <n v="807647"/>
        <n v="807648"/>
        <n v="807680"/>
        <n v="807702"/>
        <n v="807815"/>
        <n v="807817"/>
        <n v="807819"/>
        <n v="807861"/>
        <n v="807862"/>
        <n v="807863"/>
        <n v="807864"/>
        <n v="807865"/>
        <n v="807884"/>
        <n v="807885"/>
        <n v="807886"/>
        <n v="807908"/>
        <n v="807931"/>
        <n v="807940"/>
        <n v="807956"/>
        <n v="807958"/>
        <n v="807998"/>
        <n v="808151"/>
        <n v="808206"/>
        <n v="808372"/>
        <n v="808424"/>
        <n v="808619"/>
        <n v="808739"/>
        <n v="808749"/>
        <n v="808750"/>
        <n v="808823"/>
        <n v="808890"/>
        <n v="808902"/>
        <n v="808903"/>
        <n v="809165"/>
        <n v="809168"/>
        <n v="809170"/>
        <n v="809280"/>
        <n v="809282"/>
        <n v="809283"/>
        <n v="809350"/>
        <n v="809394"/>
        <n v="809622"/>
        <n v="809643"/>
        <n v="809778"/>
        <n v="809983"/>
        <n v="809984"/>
        <n v="810377"/>
        <n v="811066"/>
        <n v="811085"/>
        <n v="811086"/>
        <n v="811098"/>
        <n v="811275"/>
        <n v="811316"/>
        <n v="811349"/>
        <n v="811350"/>
        <n v="811433"/>
        <n v="811621"/>
        <n v="811622"/>
        <n v="811683"/>
        <n v="811779"/>
        <n v="812096"/>
        <n v="812097"/>
        <n v="812110"/>
        <n v="812360"/>
        <n v="812362"/>
        <n v="812548"/>
        <n v="812552"/>
        <n v="812808"/>
        <n v="812984"/>
        <n v="812985"/>
        <n v="812986"/>
        <n v="812990"/>
        <n v="812992"/>
        <n v="812994"/>
        <n v="812999"/>
        <n v="813006"/>
        <n v="813031"/>
        <n v="813034"/>
        <n v="813787"/>
        <n v="813832"/>
        <n v="813928"/>
        <n v="814047"/>
        <n v="814058"/>
        <n v="814110"/>
        <n v="814113"/>
        <n v="814114"/>
        <n v="814279"/>
        <n v="814280"/>
        <n v="814661"/>
        <n v="814665"/>
        <n v="814667"/>
        <n v="814689"/>
        <n v="814843"/>
        <n v="814874"/>
        <n v="814886"/>
        <n v="814902"/>
        <n v="814903"/>
        <n v="814962"/>
        <n v="814993"/>
        <n v="815031"/>
        <n v="815135"/>
        <n v="815152"/>
        <n v="815277"/>
        <n v="815483"/>
        <n v="815484"/>
        <n v="815485"/>
        <n v="815486"/>
        <n v="815511"/>
        <n v="815557"/>
        <n v="815558"/>
        <n v="815797"/>
        <n v="815798"/>
        <n v="815845"/>
        <n v="815865"/>
        <n v="816056"/>
        <n v="816093"/>
        <n v="816363"/>
        <n v="816594"/>
        <n v="816642"/>
        <n v="816760"/>
        <n v="816781"/>
        <n v="817106"/>
        <n v="817108"/>
        <n v="817159"/>
        <n v="817337"/>
        <n v="817349"/>
        <n v="817372"/>
        <n v="817480"/>
        <n v="817489"/>
        <n v="817588"/>
        <n v="817589"/>
        <n v="817735"/>
        <n v="817866"/>
        <n v="817901"/>
        <n v="817902"/>
        <n v="818177"/>
        <n v="818181"/>
        <n v="818212"/>
        <n v="818280"/>
        <n v="818290"/>
        <n v="818293"/>
        <n v="818342"/>
        <n v="818409"/>
        <n v="818477"/>
        <n v="818635"/>
        <n v="818649"/>
        <n v="818736"/>
        <n v="818771"/>
        <n v="818902"/>
        <n v="818970"/>
        <n v="819398"/>
        <n v="819503"/>
        <n v="819569"/>
        <n v="819607"/>
        <n v="819744"/>
        <n v="820183"/>
        <n v="820203"/>
        <n v="820229"/>
        <n v="820266"/>
        <n v="820271"/>
        <n v="820285"/>
        <n v="820395"/>
        <n v="805980"/>
        <n v="820715"/>
        <n v="820807"/>
        <n v="820810"/>
        <n v="820918"/>
        <n v="820914"/>
        <n v="820916"/>
        <n v="820907"/>
        <n v="807095"/>
        <n v="808428"/>
        <n v="820427"/>
        <n v="821276"/>
        <n v="821266"/>
        <n v="803721"/>
        <n v="804966"/>
        <n v="805984"/>
        <n v="806232"/>
        <n v="807140"/>
        <n v="807377"/>
        <n v="808292"/>
        <n v="808345"/>
        <n v="808390"/>
        <n v="808639"/>
        <n v="808924"/>
        <n v="810348"/>
        <n v="810533"/>
        <n v="810751"/>
        <n v="810958"/>
        <n v="811033"/>
        <n v="811089"/>
        <n v="811181"/>
        <n v="811910"/>
        <n v="812346"/>
        <n v="812561"/>
        <n v="812654"/>
        <n v="813656"/>
        <n v="813806"/>
        <n v="814067"/>
        <n v="814068"/>
        <n v="814069"/>
        <n v="814330"/>
        <n v="814332"/>
        <n v="814386"/>
        <n v="814655"/>
        <n v="815102"/>
        <n v="815133"/>
        <n v="815202"/>
        <n v="815838"/>
        <n v="815839"/>
        <n v="815935"/>
        <n v="816356"/>
        <n v="816785"/>
        <n v="816786"/>
        <n v="816787"/>
        <n v="817338"/>
        <n v="817730"/>
        <n v="817732"/>
        <n v="817763"/>
        <n v="818662"/>
        <n v="818748"/>
        <n v="818750"/>
        <n v="819356"/>
        <n v="819490"/>
        <n v="819545"/>
        <n v="819688"/>
        <n v="820377"/>
        <n v="810551"/>
        <n v="819152"/>
        <n v="804744"/>
        <n v="804864"/>
        <n v="805870"/>
        <n v="806754"/>
        <n v="806885"/>
        <n v="807683"/>
        <n v="808575"/>
        <n v="808708"/>
        <n v="810104"/>
        <n v="811051"/>
        <n v="811052"/>
        <n v="811513"/>
        <n v="811545"/>
        <n v="811868"/>
        <n v="813146"/>
        <n v="813621"/>
        <n v="814805"/>
        <n v="814839"/>
        <n v="814901"/>
        <n v="814910"/>
        <n v="815508"/>
        <n v="815509"/>
        <n v="815510"/>
        <n v="816427"/>
        <n v="816764"/>
        <n v="816765"/>
        <n v="816859"/>
        <n v="817055"/>
        <n v="817056"/>
        <n v="817057"/>
        <n v="817188"/>
        <n v="817270"/>
        <n v="818131"/>
        <n v="818132"/>
        <n v="818133"/>
        <n v="818164"/>
        <n v="818213"/>
        <n v="818250"/>
        <n v="818408"/>
        <n v="818602"/>
        <n v="818851"/>
        <n v="818870"/>
        <n v="818899"/>
        <n v="818901"/>
        <n v="819392"/>
        <n v="819444"/>
        <n v="819446"/>
        <n v="819468"/>
        <n v="819771"/>
        <n v="820813"/>
        <n v="801727"/>
        <n v="804429"/>
        <n v="807258"/>
        <n v="807259"/>
        <n v="807704"/>
        <n v="807826"/>
        <n v="808413"/>
        <n v="808578"/>
        <n v="809212"/>
        <n v="809279"/>
        <n v="809421"/>
        <n v="809552"/>
        <n v="810304"/>
        <n v="810894"/>
        <n v="811071"/>
        <n v="811214"/>
        <n v="811685"/>
        <n v="811735"/>
        <n v="812178"/>
        <n v="812664"/>
        <n v="812666"/>
        <n v="812667"/>
        <n v="812668"/>
        <n v="812792"/>
        <n v="812996"/>
        <n v="813001"/>
        <n v="813002"/>
        <n v="813192"/>
        <n v="813983"/>
        <n v="814130"/>
        <n v="814891"/>
        <n v="814905"/>
        <n v="815271"/>
        <n v="815869"/>
        <n v="815946"/>
        <n v="816829"/>
        <n v="816941"/>
        <n v="817268"/>
        <n v="817364"/>
        <n v="817365"/>
        <n v="817454"/>
        <n v="817972"/>
        <n v="817980"/>
        <n v="818288"/>
        <n v="818997"/>
        <n v="819025"/>
        <n v="819441"/>
        <n v="820318"/>
        <n v="820939"/>
        <n v="820941"/>
        <n v="820953"/>
        <n v="820972"/>
        <n v="801878"/>
        <n v="801883"/>
        <n v="801999"/>
        <n v="802044"/>
        <n v="802089"/>
        <n v="802117"/>
        <n v="802913"/>
        <n v="803351"/>
        <n v="805401"/>
        <n v="805872"/>
        <n v="807949"/>
        <n v="808572"/>
        <n v="808693"/>
        <n v="810843"/>
        <n v="811255"/>
        <n v="811625"/>
        <n v="812768"/>
        <n v="812909"/>
        <n v="813981"/>
        <n v="813984"/>
        <n v="814129"/>
        <n v="814397"/>
        <n v="815993"/>
        <n v="816252"/>
        <n v="816309"/>
        <n v="816882"/>
        <n v="818426"/>
        <n v="818913"/>
        <n v="820552"/>
        <n v="820535"/>
        <n v="820763"/>
        <n v="821329"/>
        <n v="801583"/>
        <n v="801837"/>
        <n v="801838"/>
        <n v="801915"/>
        <n v="803952"/>
        <n v="804106"/>
        <n v="804135"/>
        <n v="804933"/>
        <n v="805397"/>
        <n v="806032"/>
        <n v="806047"/>
        <n v="806307"/>
        <n v="806601"/>
        <n v="807103"/>
        <n v="807104"/>
        <n v="807153"/>
        <n v="807177"/>
        <n v="807257"/>
        <n v="807395"/>
        <n v="807594"/>
        <n v="807722"/>
        <n v="807723"/>
        <n v="807724"/>
        <n v="807763"/>
        <n v="808283"/>
        <n v="808284"/>
        <n v="808315"/>
        <n v="808446"/>
        <n v="808451"/>
        <n v="808469"/>
        <n v="808488"/>
        <n v="808606"/>
        <n v="808607"/>
        <n v="808608"/>
        <n v="808609"/>
        <n v="808674"/>
        <n v="808751"/>
        <n v="808821"/>
        <n v="808822"/>
        <n v="808910"/>
        <n v="808929"/>
        <n v="808939"/>
        <n v="808940"/>
        <n v="808951"/>
        <n v="808957"/>
        <n v="809039"/>
        <n v="809143"/>
        <n v="809354"/>
        <n v="809527"/>
        <n v="809860"/>
        <n v="810376"/>
        <n v="810481"/>
        <n v="810510"/>
        <n v="810511"/>
        <n v="810559"/>
        <n v="810700"/>
        <n v="810762"/>
        <n v="810896"/>
        <n v="810897"/>
        <n v="810898"/>
        <n v="810952"/>
        <n v="810953"/>
        <n v="810954"/>
        <n v="810956"/>
        <n v="811037"/>
        <n v="811038"/>
        <n v="811099"/>
        <n v="811418"/>
        <n v="811511"/>
        <n v="811544"/>
        <n v="811772"/>
        <n v="811773"/>
        <n v="812052"/>
        <n v="812068"/>
        <n v="812389"/>
        <n v="812625"/>
        <n v="812634"/>
        <n v="812842"/>
        <n v="812846"/>
        <n v="812856"/>
        <n v="813162"/>
        <n v="813245"/>
        <n v="813258"/>
        <n v="813260"/>
        <n v="813266"/>
        <n v="814111"/>
        <n v="814255"/>
        <n v="814256"/>
        <n v="814288"/>
        <n v="814377"/>
        <n v="814378"/>
        <n v="814401"/>
        <n v="814402"/>
        <n v="814445"/>
        <n v="814638"/>
        <n v="814785"/>
        <n v="814806"/>
        <n v="814870"/>
        <n v="814873"/>
        <n v="814878"/>
        <n v="815182"/>
        <n v="815199"/>
        <n v="815200"/>
        <n v="815354"/>
        <n v="815355"/>
        <n v="815654"/>
        <n v="815882"/>
        <n v="815887"/>
        <n v="815938"/>
        <n v="816055"/>
        <n v="816167"/>
        <n v="816255"/>
        <n v="816256"/>
        <n v="816497"/>
        <n v="816498"/>
        <n v="816522"/>
        <n v="816525"/>
        <n v="816536"/>
        <n v="816561"/>
        <n v="816570"/>
        <n v="816689"/>
        <n v="816690"/>
        <n v="816691"/>
        <n v="816694"/>
        <n v="817143"/>
        <n v="817144"/>
        <n v="817172"/>
        <n v="817251"/>
        <n v="817252"/>
        <n v="817283"/>
        <n v="817350"/>
        <n v="817811"/>
        <n v="817819"/>
        <n v="817820"/>
        <n v="817839"/>
        <n v="817864"/>
        <n v="817880"/>
        <n v="818077"/>
        <n v="818343"/>
        <n v="818423"/>
        <n v="818583"/>
        <n v="818586"/>
        <n v="818592"/>
        <n v="818601"/>
        <n v="819063"/>
        <n v="819066"/>
        <n v="819391"/>
        <n v="819420"/>
        <n v="819421"/>
        <n v="819422"/>
        <n v="819426"/>
        <n v="819428"/>
        <n v="819430"/>
        <n v="819466"/>
        <n v="819470"/>
        <n v="819493"/>
        <n v="819783"/>
        <n v="819792"/>
        <n v="819984"/>
        <n v="818594"/>
        <n v="820038"/>
        <n v="820040"/>
        <n v="820483"/>
        <n v="820511"/>
        <n v="820512"/>
        <n v="820523"/>
        <n v="820568"/>
        <n v="820211"/>
        <n v="821204"/>
        <n v="821218"/>
        <n v="821234"/>
        <n v="821202"/>
        <n v="806922"/>
        <n v="806923"/>
        <n v="807733"/>
        <n v="807734"/>
        <n v="809361"/>
        <n v="809438"/>
        <n v="809577"/>
        <n v="809578"/>
        <n v="810596"/>
        <n v="810597"/>
        <n v="811119"/>
        <n v="811402"/>
        <n v="811679"/>
        <n v="811921"/>
        <n v="811922"/>
        <n v="812393"/>
        <n v="812433"/>
        <n v="813003"/>
        <n v="813020"/>
        <n v="813050"/>
        <n v="813055"/>
        <n v="813155"/>
        <n v="813173"/>
        <n v="813174"/>
        <n v="813642"/>
        <n v="813816"/>
        <n v="813926"/>
        <n v="813971"/>
        <n v="813997"/>
        <n v="813998"/>
        <n v="814000"/>
        <n v="814376"/>
        <n v="814793"/>
        <n v="814794"/>
        <n v="814867"/>
        <n v="814936"/>
        <n v="815254"/>
        <n v="815507"/>
        <n v="815572"/>
        <n v="815573"/>
        <n v="816111"/>
        <n v="816129"/>
        <n v="816366"/>
        <n v="816500"/>
        <n v="816687"/>
        <n v="817192"/>
        <n v="817224"/>
        <n v="817403"/>
        <n v="817427"/>
        <n v="817461"/>
        <n v="817513"/>
        <n v="817787"/>
        <n v="818541"/>
        <n v="818607"/>
        <n v="818636"/>
        <n v="818653"/>
        <n v="818663"/>
        <n v="820361"/>
        <n v="820457"/>
        <n v="820860"/>
        <n v="820912"/>
        <n v="820877"/>
        <n v="821121"/>
        <n v="820615"/>
        <n v="812236"/>
        <n v="812848"/>
        <n v="813005"/>
        <n v="813613"/>
        <n v="814866"/>
        <n v="815844"/>
        <n v="815988"/>
        <n v="816836"/>
        <n v="817549"/>
        <n v="817614"/>
        <n v="817775"/>
        <n v="818907"/>
        <n v="818909"/>
        <n v="819910"/>
        <n v="819912"/>
        <n v="819915"/>
        <n v="819916"/>
        <n v="819919"/>
        <n v="820014"/>
        <n v="820033"/>
        <n v="820087"/>
        <n v="820091"/>
        <n v="820201"/>
        <n v="820202"/>
        <n v="820392"/>
        <n v="820367"/>
        <n v="820422"/>
        <n v="820534"/>
        <n v="820618"/>
        <n v="820704"/>
        <n v="820223"/>
        <n v="820749"/>
        <n v="820482"/>
        <n v="820756"/>
        <n v="821022"/>
        <n v="820700"/>
        <n v="805385"/>
        <n v="805597"/>
        <n v="805847"/>
        <n v="806371"/>
        <n v="806396"/>
        <n v="806539"/>
        <n v="806670"/>
        <n v="807053"/>
        <n v="807054"/>
        <n v="807055"/>
        <n v="807056"/>
        <n v="807359"/>
        <n v="807360"/>
        <n v="807608"/>
        <n v="808210"/>
        <n v="808733"/>
        <n v="808786"/>
        <n v="808787"/>
        <n v="809133"/>
        <n v="809223"/>
        <n v="809411"/>
        <n v="809506"/>
        <n v="809532"/>
        <n v="810647"/>
        <n v="811218"/>
        <n v="811219"/>
        <n v="811454"/>
        <n v="811633"/>
        <n v="811634"/>
        <n v="811677"/>
        <n v="812043"/>
        <n v="812064"/>
        <n v="812099"/>
        <n v="812381"/>
        <n v="812535"/>
        <n v="812536"/>
        <n v="812537"/>
        <n v="812891"/>
        <n v="812920"/>
        <n v="812983"/>
        <n v="813007"/>
        <n v="813036"/>
        <n v="813284"/>
        <n v="813288"/>
        <n v="813690"/>
        <n v="813962"/>
        <n v="813974"/>
        <n v="814018"/>
        <n v="814168"/>
        <n v="814176"/>
        <n v="814218"/>
        <n v="814281"/>
        <n v="814681"/>
        <n v="814750"/>
        <n v="814846"/>
        <n v="814850"/>
        <n v="814955"/>
        <n v="815091"/>
        <n v="815092"/>
        <n v="815096"/>
        <n v="815097"/>
        <n v="815136"/>
        <n v="815183"/>
        <n v="815422"/>
        <n v="815423"/>
        <n v="815425"/>
        <n v="815427"/>
        <n v="815567"/>
        <n v="815577"/>
        <n v="815634"/>
        <n v="815909"/>
        <n v="815962"/>
        <n v="815963"/>
        <n v="816367"/>
        <n v="816426"/>
        <n v="816430"/>
        <n v="816435"/>
        <n v="816705"/>
        <n v="816716"/>
        <n v="816718"/>
        <n v="816796"/>
        <n v="816931"/>
        <n v="816989"/>
        <n v="816996"/>
        <n v="817045"/>
        <n v="817081"/>
        <n v="817122"/>
        <n v="817146"/>
        <n v="817163"/>
        <n v="817203"/>
        <n v="817212"/>
        <n v="817254"/>
        <n v="817276"/>
        <n v="817319"/>
        <n v="817322"/>
        <n v="817329"/>
        <n v="817426"/>
        <n v="817679"/>
        <n v="817757"/>
        <n v="817834"/>
        <n v="817838"/>
        <n v="817858"/>
        <n v="818137"/>
        <n v="818156"/>
        <n v="818214"/>
        <n v="818257"/>
        <n v="818277"/>
        <n v="818393"/>
        <n v="818394"/>
        <n v="818395"/>
        <n v="818506"/>
        <n v="818507"/>
        <n v="818511"/>
        <n v="818513"/>
        <n v="818557"/>
        <n v="818810"/>
        <n v="818969"/>
        <n v="818973"/>
        <n v="818974"/>
        <n v="818996"/>
        <n v="819133"/>
        <n v="819134"/>
        <n v="819253"/>
        <n v="819626"/>
        <n v="819795"/>
        <n v="819986"/>
        <n v="820075"/>
        <n v="820257"/>
        <n v="820284"/>
        <n v="820366"/>
        <n v="820544"/>
        <n v="820602"/>
        <n v="820605"/>
        <n v="819431"/>
        <n v="820903"/>
        <n v="821021"/>
        <n v="821004"/>
        <n v="821286"/>
        <n v="821095"/>
        <n v="821267"/>
        <n v="819785"/>
        <n v="805765"/>
        <n v="806659"/>
        <n v="806804"/>
        <n v="806805"/>
        <n v="806829"/>
        <n v="806843"/>
        <n v="806862"/>
        <n v="807912"/>
        <n v="808154"/>
        <n v="808426"/>
        <n v="808427"/>
        <n v="808449"/>
        <n v="808492"/>
        <n v="808569"/>
        <n v="809102"/>
        <n v="809103"/>
        <n v="809426"/>
        <n v="809529"/>
        <n v="809908"/>
        <n v="809909"/>
        <n v="810298"/>
        <n v="810386"/>
        <n v="810584"/>
        <n v="811479"/>
        <n v="811647"/>
        <n v="811686"/>
        <n v="811687"/>
        <n v="811918"/>
        <n v="812069"/>
        <n v="812070"/>
        <n v="812109"/>
        <n v="812663"/>
        <n v="812665"/>
        <n v="812701"/>
        <n v="812712"/>
        <n v="812729"/>
        <n v="812852"/>
        <n v="812863"/>
        <n v="812869"/>
        <n v="812897"/>
        <n v="812899"/>
        <n v="812903"/>
        <n v="812949"/>
        <n v="813008"/>
        <n v="813010"/>
        <n v="813366"/>
        <n v="813388"/>
        <n v="813450"/>
        <n v="813619"/>
        <n v="814433"/>
        <n v="814434"/>
        <n v="814444"/>
        <n v="814786"/>
        <n v="814868"/>
        <n v="814883"/>
        <n v="814917"/>
        <n v="815134"/>
        <n v="815600"/>
        <n v="815602"/>
        <n v="815815"/>
        <n v="815816"/>
        <n v="815866"/>
        <n v="815867"/>
        <n v="815868"/>
        <n v="815870"/>
        <n v="815899"/>
        <n v="815904"/>
        <n v="815934"/>
        <n v="816109"/>
        <n v="816142"/>
        <n v="816719"/>
        <n v="817196"/>
        <n v="817208"/>
        <n v="817368"/>
        <n v="817598"/>
        <n v="817650"/>
        <n v="817847"/>
        <n v="817848"/>
        <n v="817868"/>
        <n v="818134"/>
        <n v="818478"/>
        <n v="818811"/>
        <n v="818946"/>
        <n v="819222"/>
        <n v="819440"/>
        <n v="820072"/>
        <n v="820096"/>
        <n v="820186"/>
        <n v="820296"/>
        <n v="820539"/>
        <n v="820609"/>
        <n v="820614"/>
        <n v="820612"/>
        <n v="820835"/>
        <n v="812141"/>
        <n v="821143"/>
        <n v="821201"/>
        <n v="821380"/>
        <n v="821381"/>
        <n v="802068"/>
        <n v="802376"/>
        <n v="803240"/>
        <n v="803501"/>
        <n v="803769"/>
        <n v="803770"/>
        <n v="803885"/>
        <n v="804080"/>
        <n v="804082"/>
        <n v="804833"/>
        <n v="804876"/>
        <n v="805545"/>
        <n v="805572"/>
        <n v="806620"/>
        <n v="806939"/>
        <n v="807393"/>
        <n v="807394"/>
        <n v="807682"/>
        <n v="807684"/>
        <n v="807711"/>
        <n v="807883"/>
        <n v="807887"/>
        <n v="807976"/>
        <n v="808147"/>
        <n v="808172"/>
        <n v="808229"/>
        <n v="808309"/>
        <n v="808443"/>
        <n v="808448"/>
        <n v="808487"/>
        <n v="808495"/>
        <n v="808496"/>
        <n v="808497"/>
        <n v="808610"/>
        <n v="808611"/>
        <n v="808934"/>
        <n v="809180"/>
        <n v="809205"/>
        <n v="809267"/>
        <n v="809620"/>
        <n v="809621"/>
        <n v="809644"/>
        <n v="809780"/>
        <n v="809781"/>
        <n v="809794"/>
        <n v="810105"/>
        <n v="810155"/>
        <n v="810222"/>
        <n v="810223"/>
        <n v="810387"/>
        <n v="810653"/>
        <n v="810798"/>
        <n v="810799"/>
        <n v="811315"/>
        <n v="811510"/>
        <n v="811870"/>
        <n v="811871"/>
        <n v="812551"/>
        <n v="812563"/>
        <n v="812564"/>
        <n v="812807"/>
        <n v="812821"/>
        <n v="812823"/>
        <n v="812838"/>
        <n v="814257"/>
        <n v="814459"/>
        <n v="814672"/>
        <n v="814789"/>
        <n v="814790"/>
        <n v="814791"/>
        <n v="815167"/>
        <n v="815168"/>
        <n v="815512"/>
        <n v="815871"/>
        <n v="815947"/>
        <n v="816094"/>
        <n v="816095"/>
        <n v="816144"/>
        <n v="816290"/>
        <n v="816477"/>
        <n v="817038"/>
        <n v="817041"/>
        <n v="817644"/>
        <n v="817677"/>
        <n v="818004"/>
        <n v="818159"/>
        <n v="818161"/>
        <n v="818292"/>
        <n v="818460"/>
        <n v="818585"/>
        <n v="818600"/>
        <n v="818812"/>
        <n v="818858"/>
        <n v="818943"/>
        <n v="818945"/>
        <n v="818958"/>
        <n v="819136"/>
        <n v="819165"/>
        <n v="819180"/>
        <n v="819182"/>
        <n v="819242"/>
        <n v="819259"/>
        <n v="819866"/>
        <n v="820080"/>
        <n v="820086"/>
        <n v="820088"/>
        <n v="820090"/>
        <n v="820200"/>
        <n v="820263"/>
        <n v="820085"/>
        <n v="819273"/>
        <n v="820456"/>
        <n v="820515"/>
        <n v="820540"/>
        <n v="820545"/>
        <n v="820588"/>
        <n v="820626"/>
        <n v="820883"/>
        <n v="820884"/>
        <n v="821120"/>
        <n v="821074"/>
        <n v="802088"/>
        <n v="802094"/>
        <n v="802095"/>
        <n v="802100"/>
        <n v="802161"/>
        <n v="802196"/>
        <n v="803003"/>
        <n v="805752"/>
        <n v="805986"/>
        <n v="806178"/>
        <n v="807026"/>
        <n v="807151"/>
        <n v="807611"/>
        <n v="807911"/>
        <n v="808316"/>
        <n v="808374"/>
        <n v="808429"/>
        <n v="808852"/>
        <n v="808856"/>
        <n v="808893"/>
        <n v="808931"/>
        <n v="809117"/>
        <n v="809181"/>
        <n v="809182"/>
        <n v="809422"/>
        <n v="809424"/>
        <n v="810919"/>
        <n v="811064"/>
        <n v="811139"/>
        <n v="811780"/>
        <n v="811781"/>
        <n v="811860"/>
        <n v="811869"/>
        <n v="811913"/>
        <n v="812703"/>
        <n v="812706"/>
        <n v="812893"/>
        <n v="812902"/>
        <n v="812905"/>
        <n v="813040"/>
        <n v="813182"/>
        <n v="813184"/>
        <n v="813188"/>
        <n v="813374"/>
        <n v="813375"/>
        <n v="813681"/>
        <n v="813867"/>
        <n v="813932"/>
        <n v="813935"/>
        <n v="814001"/>
        <n v="814034"/>
        <n v="814091"/>
        <n v="814152"/>
        <n v="814188"/>
        <n v="814226"/>
        <n v="814250"/>
        <n v="814297"/>
        <n v="814311"/>
        <n v="814380"/>
        <n v="814414"/>
        <n v="814415"/>
        <n v="814506"/>
        <n v="814631"/>
        <n v="814676"/>
        <n v="814683"/>
        <n v="814710"/>
        <n v="814756"/>
        <n v="814757"/>
        <n v="814823"/>
        <n v="814972"/>
        <n v="814979"/>
        <n v="814980"/>
        <n v="815002"/>
        <n v="815046"/>
        <n v="815047"/>
        <n v="815127"/>
        <n v="815253"/>
        <n v="815473"/>
        <n v="815823"/>
        <n v="815824"/>
        <n v="815849"/>
        <n v="816014"/>
        <n v="816015"/>
        <n v="816299"/>
        <n v="816405"/>
        <n v="816499"/>
        <n v="816580"/>
        <n v="816626"/>
        <n v="817060"/>
        <n v="817065"/>
        <n v="817078"/>
        <n v="817515"/>
        <n v="817941"/>
        <n v="817961"/>
        <n v="817977"/>
        <n v="817978"/>
        <n v="818043"/>
        <n v="818099"/>
        <n v="818153"/>
        <n v="818324"/>
        <n v="818404"/>
        <n v="818429"/>
        <n v="818588"/>
        <n v="818623"/>
        <n v="818809"/>
        <n v="819102"/>
        <n v="819423"/>
        <n v="819526"/>
        <n v="819983"/>
        <n v="820034"/>
        <n v="820197"/>
        <n v="820208"/>
        <n v="820431"/>
        <n v="813181"/>
        <n v="819800"/>
        <n v="820506"/>
        <n v="820567"/>
        <n v="820577"/>
        <n v="820137"/>
        <n v="820591"/>
        <n v="820607"/>
        <n v="820608"/>
        <n v="820622"/>
        <n v="820627"/>
        <n v="820508"/>
        <n v="820509"/>
        <n v="820812"/>
        <n v="820905"/>
        <n v="821062"/>
        <n v="821065"/>
        <n v="821151"/>
        <n v="821152"/>
        <n v="820578"/>
        <n v="821147"/>
        <n v="821229"/>
        <n v="803193"/>
        <n v="803293"/>
        <n v="803955"/>
        <n v="805276"/>
        <n v="806100"/>
        <n v="806101"/>
        <n v="806337"/>
        <n v="806339"/>
        <n v="806466"/>
        <n v="806471"/>
        <n v="806472"/>
        <n v="807595"/>
        <n v="808120"/>
        <n v="808121"/>
        <n v="808145"/>
        <n v="808157"/>
        <n v="808181"/>
        <n v="808775"/>
        <n v="808930"/>
        <n v="809315"/>
        <n v="809325"/>
        <n v="809326"/>
        <n v="809327"/>
        <n v="809332"/>
        <n v="809333"/>
        <n v="809334"/>
        <n v="810128"/>
        <n v="810129"/>
        <n v="810130"/>
        <n v="810131"/>
        <n v="810132"/>
        <n v="810991"/>
        <n v="811034"/>
        <n v="811036"/>
        <n v="811172"/>
        <n v="811173"/>
        <n v="811648"/>
        <n v="811663"/>
        <n v="811672"/>
        <n v="811682"/>
        <n v="811782"/>
        <n v="811863"/>
        <n v="811864"/>
        <n v="812049"/>
        <n v="812344"/>
        <n v="812545"/>
        <n v="812565"/>
        <n v="812630"/>
        <n v="812747"/>
        <n v="812760"/>
        <n v="813124"/>
        <n v="813160"/>
        <n v="813210"/>
        <n v="813228"/>
        <n v="813291"/>
        <n v="813312"/>
        <n v="813324"/>
        <n v="813364"/>
        <n v="813368"/>
        <n v="813433"/>
        <n v="813453"/>
        <n v="813491"/>
        <n v="813532"/>
        <n v="813567"/>
        <n v="813725"/>
        <n v="814093"/>
        <n v="814186"/>
        <n v="814214"/>
        <n v="814349"/>
        <n v="814458"/>
        <n v="814679"/>
        <n v="814755"/>
        <n v="814845"/>
        <n v="814862"/>
        <n v="814877"/>
        <n v="814977"/>
        <n v="815021"/>
        <n v="815184"/>
        <n v="815439"/>
        <n v="815441"/>
        <n v="815451"/>
        <n v="815480"/>
        <n v="815482"/>
        <n v="815547"/>
        <n v="815633"/>
        <n v="815820"/>
        <n v="815821"/>
        <n v="815987"/>
        <n v="816328"/>
        <n v="816388"/>
        <n v="816389"/>
        <n v="816918"/>
        <n v="817046"/>
        <n v="817095"/>
        <n v="817103"/>
        <n v="817206"/>
        <n v="817223"/>
        <n v="817275"/>
        <n v="817609"/>
        <n v="817709"/>
        <n v="818018"/>
        <n v="818023"/>
        <n v="818063"/>
        <n v="818102"/>
        <n v="818124"/>
        <n v="818307"/>
        <n v="818414"/>
        <n v="818418"/>
        <n v="818465"/>
        <n v="818466"/>
        <n v="818637"/>
        <n v="818670"/>
        <n v="818675"/>
        <n v="818684"/>
        <n v="818709"/>
        <n v="818726"/>
        <n v="818816"/>
        <n v="818838"/>
        <n v="818848"/>
        <n v="818850"/>
        <n v="819045"/>
        <n v="819046"/>
        <n v="819089"/>
        <n v="819153"/>
        <n v="819219"/>
        <n v="819429"/>
        <n v="819533"/>
        <n v="819568"/>
        <n v="819816"/>
        <n v="819949"/>
        <n v="819950"/>
        <n v="819953"/>
        <n v="819450"/>
        <n v="820182"/>
        <n v="820254"/>
        <n v="820603"/>
        <n v="820604"/>
        <n v="820625"/>
        <n v="820651"/>
        <n v="820652"/>
        <n v="820181"/>
        <n v="820677"/>
        <n v="804084"/>
        <n v="820862"/>
        <n v="820925"/>
        <n v="820992"/>
        <n v="821037"/>
        <n v="821098"/>
        <n v="820927"/>
        <n v="821019"/>
        <n v="821250"/>
        <n v="820993"/>
        <n v="803125"/>
        <n v="806668"/>
        <n v="806669"/>
        <n v="807726"/>
        <n v="808186"/>
        <n v="808227"/>
        <n v="808276"/>
        <n v="808550"/>
        <n v="808570"/>
        <n v="808613"/>
        <n v="808891"/>
        <n v="808958"/>
        <n v="809550"/>
        <n v="810908"/>
        <n v="811138"/>
        <n v="811996"/>
        <n v="813148"/>
        <n v="813301"/>
        <n v="813568"/>
        <n v="813938"/>
        <n v="814038"/>
        <n v="814187"/>
        <n v="814456"/>
        <n v="814457"/>
        <n v="815400"/>
        <n v="815832"/>
        <n v="815863"/>
        <n v="816289"/>
        <n v="816631"/>
        <n v="816947"/>
        <n v="817225"/>
        <n v="817872"/>
        <n v="817945"/>
        <n v="818521"/>
        <n v="818656"/>
        <n v="818677"/>
        <n v="818840"/>
        <n v="819197"/>
        <n v="819227"/>
        <n v="819681"/>
        <n v="820601"/>
        <n v="820650"/>
        <n v="820558"/>
        <n v="820706"/>
        <n v="821056"/>
        <n v="819814"/>
        <n v="801796"/>
        <n v="801918"/>
        <n v="803821"/>
        <n v="803886"/>
        <n v="804243"/>
        <n v="804312"/>
        <n v="804430"/>
        <n v="805185"/>
        <n v="805325"/>
        <n v="806212"/>
        <n v="806651"/>
        <n v="806802"/>
        <n v="806828"/>
        <n v="807265"/>
        <n v="807430"/>
        <n v="807997"/>
        <n v="808313"/>
        <n v="808317"/>
        <n v="808318"/>
        <n v="808330"/>
        <n v="808491"/>
        <n v="808676"/>
        <n v="808677"/>
        <n v="808938"/>
        <n v="808941"/>
        <n v="809142"/>
        <n v="809221"/>
        <n v="809423"/>
        <n v="809457"/>
        <n v="809989"/>
        <n v="810158"/>
        <n v="810839"/>
        <n v="810907"/>
        <n v="811253"/>
        <n v="811385"/>
        <n v="811386"/>
        <n v="811514"/>
        <n v="811543"/>
        <n v="811776"/>
        <n v="812705"/>
        <n v="812730"/>
        <n v="812759"/>
        <n v="813198"/>
        <n v="813254"/>
        <n v="813256"/>
        <n v="813257"/>
        <n v="813293"/>
        <n v="813829"/>
        <n v="813830"/>
        <n v="813933"/>
        <n v="813979"/>
        <n v="814084"/>
        <n v="814346"/>
        <n v="814387"/>
        <n v="814577"/>
        <n v="814701"/>
        <n v="814824"/>
        <n v="814941"/>
        <n v="815100"/>
        <n v="815236"/>
        <n v="815394"/>
        <n v="815395"/>
        <n v="815983"/>
        <n v="815984"/>
        <n v="816088"/>
        <n v="816329"/>
        <n v="816330"/>
        <n v="816368"/>
        <n v="816442"/>
        <n v="816634"/>
        <n v="816950"/>
        <n v="817123"/>
        <n v="817124"/>
        <n v="817586"/>
        <n v="817595"/>
        <n v="817659"/>
        <n v="817715"/>
        <n v="818141"/>
        <n v="818192"/>
        <n v="818482"/>
        <n v="818566"/>
        <n v="818608"/>
        <n v="819401"/>
        <n v="819815"/>
        <n v="819982"/>
        <n v="819742"/>
        <n v="820209"/>
        <n v="820411"/>
        <n v="820412"/>
        <n v="820413"/>
        <n v="820505"/>
        <n v="817630"/>
        <n v="820499"/>
        <n v="820707"/>
        <n v="820863"/>
        <n v="820664"/>
        <n v="821035"/>
        <n v="801916"/>
        <n v="802149"/>
        <n v="802151"/>
        <n v="802210"/>
        <n v="802371"/>
        <n v="802841"/>
        <n v="802968"/>
        <n v="802972"/>
        <n v="803141"/>
        <n v="803794"/>
        <n v="803832"/>
        <n v="803954"/>
        <n v="804050"/>
        <n v="804079"/>
        <n v="804898"/>
        <n v="805420"/>
        <n v="805828"/>
        <n v="807626"/>
        <n v="807948"/>
        <n v="808082"/>
        <n v="808198"/>
        <n v="808200"/>
        <n v="808310"/>
        <n v="808312"/>
        <n v="808328"/>
        <n v="808548"/>
        <n v="808552"/>
        <n v="808558"/>
        <n v="808559"/>
        <n v="808615"/>
        <n v="808618"/>
        <n v="808622"/>
        <n v="808623"/>
        <n v="808792"/>
        <n v="808835"/>
        <n v="808837"/>
        <n v="808845"/>
        <n v="808849"/>
        <n v="808894"/>
        <n v="808895"/>
        <n v="808928"/>
        <n v="809217"/>
        <n v="809368"/>
        <n v="809418"/>
        <n v="809420"/>
        <n v="809988"/>
        <n v="810159"/>
        <n v="810274"/>
        <n v="810560"/>
        <n v="810841"/>
        <n v="810906"/>
        <n v="811047"/>
        <n v="811254"/>
        <n v="811596"/>
        <n v="811817"/>
        <n v="812267"/>
        <n v="812317"/>
        <n v="812320"/>
        <n v="812507"/>
        <n v="812757"/>
        <n v="813060"/>
        <n v="813105"/>
        <n v="813106"/>
        <n v="813269"/>
        <n v="813277"/>
        <n v="813279"/>
        <n v="813302"/>
        <n v="813303"/>
        <n v="813647"/>
        <n v="813651"/>
        <n v="813674"/>
        <n v="813679"/>
        <n v="813834"/>
        <n v="814011"/>
        <n v="814013"/>
        <n v="814048"/>
        <n v="814140"/>
        <n v="814141"/>
        <n v="814596"/>
        <n v="814603"/>
        <n v="814923"/>
        <n v="815016"/>
        <n v="815232"/>
        <n v="815836"/>
        <n v="815837"/>
        <n v="815906"/>
        <n v="816189"/>
        <n v="816324"/>
        <n v="816501"/>
        <n v="816895"/>
        <n v="816896"/>
        <n v="816897"/>
        <n v="816898"/>
        <n v="816921"/>
        <n v="816922"/>
        <n v="816923"/>
        <n v="816970"/>
        <n v="816975"/>
        <n v="817073"/>
        <n v="817074"/>
        <n v="817087"/>
        <n v="817121"/>
        <n v="817168"/>
        <n v="817277"/>
        <n v="817302"/>
        <n v="817743"/>
        <n v="817744"/>
        <n v="818021"/>
        <n v="818295"/>
        <n v="818372"/>
        <n v="818405"/>
        <n v="818621"/>
        <n v="818878"/>
        <n v="818892"/>
        <n v="818910"/>
        <n v="819055"/>
        <n v="819239"/>
        <n v="819371"/>
        <n v="819682"/>
        <n v="819684"/>
        <n v="820138"/>
        <n v="820140"/>
        <n v="820425"/>
        <n v="820393"/>
        <n v="817176"/>
        <n v="820587"/>
        <n v="820672"/>
        <n v="820576"/>
        <n v="820673"/>
        <n v="821034"/>
        <n v="821332"/>
        <n v="801582"/>
        <n v="801766"/>
        <n v="801881"/>
        <n v="801920"/>
        <n v="802012"/>
        <n v="802212"/>
        <n v="802214"/>
        <n v="803292"/>
        <n v="803690"/>
        <n v="803691"/>
        <n v="804165"/>
        <n v="804310"/>
        <n v="804474"/>
        <n v="804971"/>
        <n v="805323"/>
        <n v="805324"/>
        <n v="805351"/>
        <n v="805624"/>
        <n v="805969"/>
        <n v="806362"/>
        <n v="806915"/>
        <n v="806943"/>
        <n v="807066"/>
        <n v="807603"/>
        <n v="807681"/>
        <n v="807703"/>
        <n v="808173"/>
        <n v="808553"/>
        <n v="808678"/>
        <n v="808818"/>
        <n v="808820"/>
        <n v="809985"/>
        <n v="809986"/>
        <n v="810224"/>
        <n v="810512"/>
        <n v="810741"/>
        <n v="811045"/>
        <n v="811774"/>
        <n v="811998"/>
        <n v="812000"/>
        <n v="812003"/>
        <n v="812047"/>
        <n v="812976"/>
        <n v="812978"/>
        <n v="813866"/>
        <n v="814108"/>
        <n v="814530"/>
        <n v="814758"/>
        <n v="815655"/>
        <n v="815755"/>
        <n v="815756"/>
        <n v="815757"/>
        <n v="815835"/>
        <n v="816263"/>
        <n v="816298"/>
        <n v="816494"/>
        <n v="817164"/>
        <n v="817165"/>
        <n v="819319"/>
        <n v="819329"/>
        <n v="821100"/>
        <n v="821101"/>
        <n v="821112"/>
        <n v="821394"/>
        <n v="821463"/>
        <n v="801757"/>
        <n v="801800"/>
        <n v="802147"/>
        <n v="802148"/>
        <n v="802213"/>
        <n v="802265"/>
        <n v="802370"/>
        <n v="802848"/>
        <n v="802893"/>
        <n v="802894"/>
        <n v="802895"/>
        <n v="802896"/>
        <n v="802921"/>
        <n v="802923"/>
        <n v="802925"/>
        <n v="803020"/>
        <n v="803021"/>
        <n v="803022"/>
        <n v="803023"/>
        <n v="803049"/>
        <n v="803071"/>
        <n v="803124"/>
        <n v="803188"/>
        <n v="803258"/>
        <n v="803260"/>
        <n v="803534"/>
        <n v="803778"/>
        <n v="803809"/>
        <n v="803811"/>
        <n v="803946"/>
        <n v="803990"/>
        <n v="803991"/>
        <n v="803992"/>
        <n v="803993"/>
        <n v="804006"/>
        <n v="804057"/>
        <n v="804058"/>
        <n v="804081"/>
        <n v="804131"/>
        <n v="804132"/>
        <n v="804432"/>
        <n v="804632"/>
        <n v="804897"/>
        <n v="804968"/>
        <n v="804969"/>
        <n v="805627"/>
        <n v="805646"/>
        <n v="806094"/>
        <n v="806095"/>
        <n v="806176"/>
        <n v="806827"/>
        <n v="806872"/>
        <n v="806883"/>
        <n v="806971"/>
        <n v="806972"/>
        <n v="806973"/>
        <n v="806975"/>
        <n v="806996"/>
        <n v="807016"/>
        <n v="807025"/>
        <n v="807187"/>
        <n v="807261"/>
        <n v="807310"/>
        <n v="807406"/>
        <n v="807407"/>
        <n v="807568"/>
        <n v="807718"/>
        <n v="807719"/>
        <n v="807909"/>
        <n v="808084"/>
        <n v="808087"/>
        <n v="808088"/>
        <n v="808152"/>
        <n v="808163"/>
        <n v="808184"/>
        <n v="808228"/>
        <n v="808271"/>
        <n v="808272"/>
        <n v="808444"/>
        <n v="808498"/>
        <n v="808554"/>
        <n v="808889"/>
        <n v="808892"/>
        <n v="808911"/>
        <n v="808912"/>
        <n v="808914"/>
        <n v="808959"/>
        <n v="809012"/>
        <n v="809020"/>
        <n v="809114"/>
        <n v="809115"/>
        <n v="809222"/>
        <n v="809241"/>
        <n v="809242"/>
        <n v="809281"/>
        <n v="809284"/>
        <n v="809285"/>
        <n v="809312"/>
        <n v="809348"/>
        <n v="809455"/>
        <n v="809551"/>
        <n v="809906"/>
        <n v="809907"/>
        <n v="810157"/>
        <n v="810221"/>
        <n v="810299"/>
        <n v="810305"/>
        <n v="810475"/>
        <n v="810480"/>
        <n v="810558"/>
        <n v="810583"/>
        <n v="810840"/>
        <n v="810871"/>
        <n v="811070"/>
        <n v="811121"/>
        <n v="811186"/>
        <n v="811187"/>
        <n v="811270"/>
        <n v="811271"/>
        <n v="811273"/>
        <n v="811274"/>
        <n v="811387"/>
        <n v="811512"/>
        <n v="811623"/>
        <n v="811624"/>
        <n v="811674"/>
        <n v="811676"/>
        <n v="811733"/>
        <n v="811872"/>
        <n v="812067"/>
        <n v="812175"/>
        <n v="812176"/>
        <n v="812177"/>
        <n v="812218"/>
        <n v="812265"/>
        <n v="812266"/>
        <n v="812289"/>
        <n v="812450"/>
        <n v="812451"/>
        <n v="812752"/>
        <n v="812776"/>
        <n v="812947"/>
        <n v="813019"/>
        <n v="813021"/>
        <n v="813152"/>
        <n v="813161"/>
        <n v="813168"/>
        <n v="813170"/>
        <n v="813185"/>
        <n v="813190"/>
        <n v="813194"/>
        <n v="813229"/>
        <n v="813231"/>
        <n v="813434"/>
        <n v="813489"/>
        <n v="813572"/>
        <n v="813731"/>
        <n v="813778"/>
        <n v="813780"/>
        <n v="813936"/>
        <n v="814004"/>
        <n v="814085"/>
        <n v="814086"/>
        <n v="814087"/>
        <n v="814106"/>
        <n v="814107"/>
        <n v="814220"/>
        <n v="814221"/>
        <n v="814222"/>
        <n v="814223"/>
        <n v="814224"/>
        <n v="814225"/>
        <n v="814310"/>
        <n v="814446"/>
        <n v="814505"/>
        <n v="814623"/>
        <n v="814641"/>
        <n v="814643"/>
        <n v="814702"/>
        <n v="814709"/>
        <n v="814766"/>
        <n v="814773"/>
        <n v="814875"/>
        <n v="814876"/>
        <n v="814913"/>
        <n v="814914"/>
        <n v="814916"/>
        <n v="815278"/>
        <n v="815402"/>
        <n v="815416"/>
        <n v="815418"/>
        <n v="815431"/>
        <n v="815469"/>
        <n v="815470"/>
        <n v="815471"/>
        <n v="815472"/>
        <n v="815665"/>
        <n v="815666"/>
        <n v="815817"/>
        <n v="815818"/>
        <n v="815826"/>
        <n v="815840"/>
        <n v="815841"/>
        <n v="815907"/>
        <n v="815958"/>
        <n v="815959"/>
        <n v="816139"/>
        <n v="816140"/>
        <n v="816247"/>
        <n v="816248"/>
        <n v="816250"/>
        <n v="816251"/>
        <n v="816275"/>
        <n v="816276"/>
        <n v="816390"/>
        <n v="816407"/>
        <n v="816408"/>
        <n v="816733"/>
        <n v="816735"/>
        <n v="816736"/>
        <n v="816738"/>
        <n v="816739"/>
        <n v="816740"/>
        <n v="817211"/>
        <n v="817213"/>
        <n v="817214"/>
        <n v="817233"/>
        <n v="817273"/>
        <n v="817459"/>
        <n v="817606"/>
        <n v="817684"/>
        <n v="817705"/>
        <n v="817737"/>
        <n v="817739"/>
        <n v="817740"/>
        <n v="817788"/>
        <n v="817809"/>
        <n v="817814"/>
        <n v="817831"/>
        <n v="817947"/>
        <n v="818017"/>
        <n v="818098"/>
        <n v="818101"/>
        <n v="818155"/>
        <n v="818286"/>
        <n v="818326"/>
        <n v="818344"/>
        <n v="818345"/>
        <n v="818407"/>
        <n v="818437"/>
        <n v="818554"/>
        <n v="818622"/>
        <n v="818718"/>
        <n v="818839"/>
        <n v="819331"/>
        <n v="819544"/>
        <n v="819676"/>
        <n v="819685"/>
        <n v="819820"/>
        <n v="819852"/>
        <n v="820028"/>
        <n v="806096"/>
        <n v="820399"/>
        <n v="820428"/>
        <n v="820439"/>
        <n v="819698"/>
        <n v="820583"/>
        <n v="820589"/>
        <n v="820663"/>
        <n v="820668"/>
        <n v="820593"/>
        <n v="820600"/>
        <n v="820606"/>
        <n v="820631"/>
        <n v="820667"/>
        <n v="820695"/>
        <n v="820740"/>
        <n v="820805"/>
        <n v="820882"/>
        <n v="820901"/>
        <n v="820928"/>
        <n v="820926"/>
        <n v="821057"/>
        <n v="820994"/>
        <n v="821067"/>
        <n v="821295"/>
        <n v="821343"/>
      </sharedItems>
    </cacheField>
    <cacheField name="Retailer Desc-" numFmtId="0">
      <sharedItems/>
    </cacheField>
    <cacheField name="Concerned Dealer code" numFmtId="0">
      <sharedItems containsMixedTypes="1" containsNumber="1" containsInteger="1" minValue="119023" maxValue="818499"/>
    </cacheField>
    <cacheField name="Concerned Dealer Name" numFmtId="0">
      <sharedItems/>
    </cacheField>
    <cacheField name="Total" numFmtId="164">
      <sharedItems containsSemiMixedTypes="0" containsString="0" containsNumber="1" minValue="0" maxValue="531.5"/>
    </cacheField>
    <cacheField name="WS" numFmtId="164">
      <sharedItems containsSemiMixedTypes="0" containsString="0" containsNumber="1" minValue="0" maxValue="97"/>
    </cacheField>
    <cacheField name="PPCSS" numFmtId="164">
      <sharedItems containsSemiMixedTypes="0" containsString="0" containsNumber="1" containsInteger="1" minValue="0" maxValue="0"/>
    </cacheField>
    <cacheField name="Total2" numFmtId="164">
      <sharedItems containsSemiMixedTypes="0" containsString="0" containsNumber="1" minValue="0" maxValue="474.25"/>
    </cacheField>
    <cacheField name="WS2" numFmtId="164">
      <sharedItems containsSemiMixedTypes="0" containsString="0" containsNumber="1" minValue="0" maxValue="92.35"/>
    </cacheField>
    <cacheField name="PPCSS2" numFmtId="164">
      <sharedItems containsSemiMixedTypes="0" containsString="0" containsNumber="1" containsInteger="1" minValue="0" maxValue="0"/>
    </cacheField>
    <cacheField name="Total3" numFmtId="164">
      <sharedItems containsSemiMixedTypes="0" containsString="0" containsNumber="1" minValue="0" maxValue="598.9"/>
    </cacheField>
    <cacheField name="WS3" numFmtId="164">
      <sharedItems containsSemiMixedTypes="0" containsString="0" containsNumber="1" minValue="0" maxValue="74"/>
    </cacheField>
    <cacheField name="PPCSS3" numFmtId="164">
      <sharedItems containsSemiMixedTypes="0" containsString="0" containsNumber="1" minValue="0" maxValue="145"/>
    </cacheField>
    <cacheField name="Total4" numFmtId="164">
      <sharedItems containsSemiMixedTypes="0" containsString="0" containsNumber="1" minValue="0" maxValue="466.75"/>
    </cacheField>
    <cacheField name="WS4" numFmtId="164">
      <sharedItems containsSemiMixedTypes="0" containsString="0" containsNumber="1" minValue="0" maxValue="65"/>
    </cacheField>
    <cacheField name="PPCSS4" numFmtId="164">
      <sharedItems containsSemiMixedTypes="0" containsString="0" containsNumber="1" minValue="0" maxValue="105"/>
    </cacheField>
    <cacheField name="Total5" numFmtId="164">
      <sharedItems containsSemiMixedTypes="0" containsString="0" containsNumber="1" minValue="0" maxValue="952.5"/>
    </cacheField>
    <cacheField name="WS5" numFmtId="164">
      <sharedItems containsSemiMixedTypes="0" containsString="0" containsNumber="1" minValue="0" maxValue="85"/>
    </cacheField>
    <cacheField name="PPCSS5" numFmtId="164">
      <sharedItems containsSemiMixedTypes="0" containsString="0" containsNumber="1" minValue="0" maxValue="127.5"/>
    </cacheField>
    <cacheField name="Total6" numFmtId="164">
      <sharedItems containsSemiMixedTypes="0" containsString="0" containsNumber="1" minValue="0" maxValue="669"/>
    </cacheField>
    <cacheField name="WS6" numFmtId="164">
      <sharedItems containsSemiMixedTypes="0" containsString="0" containsNumber="1" minValue="0" maxValue="105"/>
    </cacheField>
    <cacheField name="PPCSS6" numFmtId="164">
      <sharedItems containsSemiMixedTypes="0" containsString="0" containsNumber="1" minValue="0" maxValue="126.5"/>
    </cacheField>
    <cacheField name="Total7" numFmtId="164">
      <sharedItems containsSemiMixedTypes="0" containsString="0" containsNumber="1" minValue="0" maxValue="762.9"/>
    </cacheField>
    <cacheField name="WS7" numFmtId="164">
      <sharedItems containsSemiMixedTypes="0" containsString="0" containsNumber="1" minValue="0" maxValue="157"/>
    </cacheField>
    <cacheField name="PPCSS7" numFmtId="164">
      <sharedItems containsSemiMixedTypes="0" containsString="0" containsNumber="1" minValue="0" maxValue="161"/>
    </cacheField>
    <cacheField name="Total8" numFmtId="164">
      <sharedItems containsSemiMixedTypes="0" containsString="0" containsNumber="1" minValue="0" maxValue="716.25"/>
    </cacheField>
    <cacheField name="WS8" numFmtId="164">
      <sharedItems containsSemiMixedTypes="0" containsString="0" containsNumber="1" minValue="0" maxValue="106"/>
    </cacheField>
    <cacheField name="PPCSS8" numFmtId="164">
      <sharedItems containsSemiMixedTypes="0" containsString="0" containsNumber="1" minValue="0" maxValue="78"/>
    </cacheField>
    <cacheField name="Total9" numFmtId="164">
      <sharedItems containsSemiMixedTypes="0" containsString="0" containsNumber="1" minValue="0" maxValue="3356.35"/>
    </cacheField>
    <cacheField name="WS9" numFmtId="164">
      <sharedItems containsSemiMixedTypes="0" containsString="0" containsNumber="1" minValue="0" maxValue="514.35"/>
    </cacheField>
    <cacheField name="PPCSS9" numFmtId="164">
      <sharedItems containsSemiMixedTypes="0" containsString="0" containsNumber="1" minValue="0" maxValue="515"/>
    </cacheField>
    <cacheField name="Dist" numFmtId="0">
      <sharedItems/>
    </cacheField>
    <cacheField name="AO" numFmtId="0">
      <sharedItems/>
    </cacheField>
    <cacheField name="State" numFmtId="0">
      <sharedItems/>
    </cacheField>
    <cacheField name="DOA" numFmtId="14">
      <sharedItems containsSemiMixedTypes="0" containsNonDate="0" containsDate="1" containsString="0" minDate="2012-12-28T00:00:00" maxDate="2022-12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39">
  <r>
    <s v="801764170692"/>
    <x v="0"/>
    <s v="NIHAL CHAND SRISRIMAL"/>
    <n v="170692"/>
    <s v="JAIN TRADERS"/>
    <n v="66"/>
    <n v="0"/>
    <n v="0"/>
    <n v="0"/>
    <n v="0"/>
    <n v="0"/>
    <n v="0"/>
    <n v="0"/>
    <n v="0"/>
    <n v="32.85"/>
    <n v="2.85"/>
    <n v="0"/>
    <n v="0"/>
    <n v="0"/>
    <n v="0"/>
    <n v="32"/>
    <n v="0"/>
    <n v="0"/>
    <n v="38"/>
    <n v="15"/>
    <n v="0"/>
    <n v="19"/>
    <n v="0"/>
    <n v="0"/>
    <n v="187.85"/>
    <n v="17.850000000000001"/>
    <n v="0"/>
    <s v="AJMER"/>
    <s v="AJMER"/>
    <s v="RJ-AJMER"/>
    <d v="2013-02-22T00:00:00"/>
  </r>
  <r>
    <s v="801867119042"/>
    <x v="1"/>
    <s v="KRISHNA ENTERPRISES"/>
    <n v="119042"/>
    <s v="SARAS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13-03-21T00:00:00"/>
  </r>
  <r>
    <s v="801868119042"/>
    <x v="2"/>
    <s v="SURAJ TRADERS"/>
    <n v="119042"/>
    <s v="SARAS ENTERPRISES"/>
    <n v="63"/>
    <n v="0"/>
    <n v="0"/>
    <n v="77.5"/>
    <n v="0"/>
    <n v="0"/>
    <n v="30"/>
    <n v="0"/>
    <n v="20"/>
    <n v="0"/>
    <n v="0"/>
    <n v="0"/>
    <n v="15"/>
    <n v="0"/>
    <n v="0"/>
    <n v="0"/>
    <n v="0"/>
    <n v="0"/>
    <n v="0"/>
    <n v="0"/>
    <n v="0"/>
    <n v="10"/>
    <n v="0"/>
    <n v="0"/>
    <n v="195.5"/>
    <n v="0"/>
    <n v="20"/>
    <s v="AJMER"/>
    <s v="AJMER"/>
    <s v="RJ-AJMER"/>
    <d v="2013-03-21T00:00:00"/>
  </r>
  <r>
    <s v="801869119042"/>
    <x v="3"/>
    <s v="LALCHAND PRAJAPATI MATERIALS S"/>
    <n v="119042"/>
    <s v="SARAS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13-03-21T00:00:00"/>
  </r>
  <r>
    <s v="801871119042"/>
    <x v="4"/>
    <s v="PUJA CEMENT SUPPLIERS"/>
    <n v="119042"/>
    <s v="SARAS ENTERPRISES"/>
    <n v="5"/>
    <n v="0"/>
    <n v="0"/>
    <n v="7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0"/>
    <n v="0"/>
    <s v="AJMER"/>
    <s v="AJMER"/>
    <s v="RJ-AJMER"/>
    <d v="2013-03-21T00:00:00"/>
  </r>
  <r>
    <s v="802164119208"/>
    <x v="5"/>
    <s v="SHYORAM MALI"/>
    <n v="119208"/>
    <s v="SURAJMAL TANSUKH RAI"/>
    <n v="34.5"/>
    <n v="0"/>
    <n v="0"/>
    <n v="0"/>
    <n v="0"/>
    <n v="0"/>
    <n v="0"/>
    <n v="0"/>
    <n v="0"/>
    <n v="0"/>
    <n v="0"/>
    <n v="0"/>
    <n v="51.5"/>
    <n v="0"/>
    <n v="0"/>
    <n v="35"/>
    <n v="0"/>
    <n v="0"/>
    <n v="70"/>
    <n v="0"/>
    <n v="0"/>
    <n v="35"/>
    <n v="0"/>
    <n v="0"/>
    <n v="226"/>
    <n v="0"/>
    <n v="0"/>
    <s v="AJMER"/>
    <s v="AJMER"/>
    <s v="RJ-AJMER"/>
    <d v="2013-07-05T00:00:00"/>
  </r>
  <r>
    <s v="803594119029"/>
    <x v="6"/>
    <s v="KUMAWAT CEMENT AGENCY"/>
    <n v="119029"/>
    <s v="LALLAMAL KANHYALAL &amp; SONS"/>
    <n v="24"/>
    <n v="0"/>
    <n v="0"/>
    <n v="0"/>
    <n v="0"/>
    <n v="0"/>
    <n v="0"/>
    <n v="0"/>
    <n v="0"/>
    <n v="10"/>
    <n v="0"/>
    <n v="0"/>
    <n v="0"/>
    <n v="0"/>
    <n v="0"/>
    <n v="7"/>
    <n v="0"/>
    <n v="0"/>
    <n v="0"/>
    <n v="0"/>
    <n v="0"/>
    <n v="10"/>
    <n v="0"/>
    <n v="0"/>
    <n v="51"/>
    <n v="0"/>
    <n v="0"/>
    <s v="AJMER"/>
    <s v="AJMER"/>
    <s v="RJ-AJMER"/>
    <d v="2014-09-18T00:00:00"/>
  </r>
  <r>
    <s v="803755119029"/>
    <x v="7"/>
    <s v="AGARWAL TRADERS"/>
    <n v="119029"/>
    <s v="LALLAMAL KANHYALAL &amp; SONS"/>
    <n v="20"/>
    <n v="0"/>
    <n v="0"/>
    <n v="0"/>
    <n v="0"/>
    <n v="0"/>
    <n v="10"/>
    <n v="0"/>
    <n v="0"/>
    <n v="0"/>
    <n v="0"/>
    <n v="0"/>
    <n v="0"/>
    <n v="0"/>
    <n v="0"/>
    <n v="10"/>
    <n v="0"/>
    <n v="0"/>
    <n v="0"/>
    <n v="0"/>
    <n v="0"/>
    <n v="0"/>
    <n v="0"/>
    <n v="0"/>
    <n v="40"/>
    <n v="0"/>
    <n v="0"/>
    <s v="AJMER"/>
    <s v="AJMER"/>
    <s v="RJ-AJMER"/>
    <d v="2014-12-18T00:00:00"/>
  </r>
  <r>
    <s v="804431119208"/>
    <x v="8"/>
    <s v="JAIN ENTERPRISES"/>
    <n v="119208"/>
    <s v="SURAJMAL TANSUKH RAI"/>
    <n v="406"/>
    <n v="48"/>
    <n v="0"/>
    <n v="83"/>
    <n v="17.5"/>
    <n v="0"/>
    <n v="404.5"/>
    <n v="42"/>
    <n v="42"/>
    <n v="163"/>
    <n v="43"/>
    <n v="44"/>
    <n v="205"/>
    <n v="83"/>
    <n v="87"/>
    <n v="181.5"/>
    <n v="105"/>
    <n v="76.5"/>
    <n v="244"/>
    <n v="157"/>
    <n v="87"/>
    <n v="315"/>
    <n v="106"/>
    <n v="78"/>
    <n v="2002"/>
    <n v="495.5"/>
    <n v="336.5"/>
    <s v="AJMER"/>
    <s v="AJMER"/>
    <s v="RJ-AJMER"/>
    <d v="2015-11-19T00:00:00"/>
  </r>
  <r>
    <s v="804773119179"/>
    <x v="9"/>
    <s v="JAI SHREE NATH STONE &amp; BUILDIN"/>
    <n v="119179"/>
    <s v="KUMAWAT BUILDING MATERIA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16-01-29T00:00:00"/>
  </r>
  <r>
    <s v="804774119179"/>
    <x v="10"/>
    <s v="GAHLOT BUILDING MATERIAL SUPPL"/>
    <n v="119179"/>
    <s v="KUMAWAT BUILDING MATERIALS"/>
    <n v="10"/>
    <n v="0"/>
    <n v="0"/>
    <n v="15"/>
    <n v="0"/>
    <n v="0"/>
    <n v="19.5"/>
    <n v="0"/>
    <n v="0"/>
    <n v="0"/>
    <n v="0"/>
    <n v="0"/>
    <n v="33"/>
    <n v="2"/>
    <n v="0"/>
    <n v="10"/>
    <n v="0"/>
    <n v="0"/>
    <n v="7.5"/>
    <n v="0"/>
    <n v="0"/>
    <n v="7.5"/>
    <n v="0"/>
    <n v="0"/>
    <n v="102.5"/>
    <n v="2"/>
    <n v="0"/>
    <s v="AJMER"/>
    <s v="AJMER"/>
    <s v="RJ-AJMER"/>
    <d v="2016-01-29T00:00:00"/>
  </r>
  <r>
    <s v="804832119029"/>
    <x v="11"/>
    <s v="CHAMUNDA STONE"/>
    <n v="119029"/>
    <s v="LALLAMAL KANHYALAL &amp; SON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AJMER"/>
    <s v="AJMER"/>
    <s v="RJ-AJMER"/>
    <d v="2016-02-10T00:00:00"/>
  </r>
  <r>
    <s v="805149119208"/>
    <x v="12"/>
    <s v="KUMAWAT TRADERS"/>
    <n v="119208"/>
    <s v="SURAJMAL TANSUKH RAI"/>
    <n v="80"/>
    <n v="0"/>
    <n v="0"/>
    <n v="0"/>
    <n v="0"/>
    <n v="0"/>
    <n v="69"/>
    <n v="0"/>
    <n v="0"/>
    <n v="0"/>
    <n v="0"/>
    <n v="0"/>
    <n v="5"/>
    <n v="0"/>
    <n v="0"/>
    <n v="0"/>
    <n v="0"/>
    <n v="0"/>
    <n v="0"/>
    <n v="0"/>
    <n v="0"/>
    <n v="25"/>
    <n v="0"/>
    <n v="0"/>
    <n v="179"/>
    <n v="0"/>
    <n v="0"/>
    <s v="AJMER"/>
    <s v="AJMER"/>
    <s v="RJ-AJMER"/>
    <d v="2016-06-07T00:00:00"/>
  </r>
  <r>
    <s v="806141119222"/>
    <x v="13"/>
    <s v="HARCHAND TRADERS"/>
    <n v="119222"/>
    <s v="MITHU LAL ROOP CH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17-03-09T00:00:00"/>
  </r>
  <r>
    <s v="806142119179"/>
    <x v="14"/>
    <s v="MANISH STONE SUPPLIERS"/>
    <n v="119179"/>
    <s v="KUMAWAT BUILDING MATERIALS"/>
    <n v="0"/>
    <n v="0"/>
    <n v="0"/>
    <n v="5"/>
    <n v="0"/>
    <n v="0"/>
    <n v="10"/>
    <n v="0"/>
    <n v="0"/>
    <n v="0"/>
    <n v="0"/>
    <n v="0"/>
    <n v="5"/>
    <n v="0"/>
    <n v="0"/>
    <n v="5"/>
    <n v="0"/>
    <n v="0"/>
    <n v="0"/>
    <n v="0"/>
    <n v="0"/>
    <n v="10"/>
    <n v="0"/>
    <n v="0"/>
    <n v="35"/>
    <n v="0"/>
    <n v="0"/>
    <s v="AJMER"/>
    <s v="AJMER"/>
    <s v="RJ-AJMER"/>
    <d v="2017-03-09T00:00:00"/>
  </r>
  <r>
    <s v="806246119042"/>
    <x v="15"/>
    <s v="VISHAL BUILDING MATERIAL"/>
    <n v="119042"/>
    <s v="SARAS ENTERPRISES"/>
    <n v="35"/>
    <n v="0"/>
    <n v="0"/>
    <n v="0"/>
    <n v="0"/>
    <n v="0"/>
    <n v="80"/>
    <n v="0"/>
    <n v="0"/>
    <n v="30"/>
    <n v="12"/>
    <n v="0"/>
    <n v="0"/>
    <n v="0"/>
    <n v="0"/>
    <n v="20"/>
    <n v="0"/>
    <n v="0"/>
    <n v="0"/>
    <n v="0"/>
    <n v="0"/>
    <n v="15"/>
    <n v="0"/>
    <n v="0"/>
    <n v="180"/>
    <n v="12"/>
    <n v="0"/>
    <s v="AJMER"/>
    <s v="AJMER"/>
    <s v="RJ-AJMER"/>
    <d v="2017-04-11T00:00:00"/>
  </r>
  <r>
    <s v="806517170692"/>
    <x v="16"/>
    <s v="GANPAT LAL LOHAR"/>
    <n v="170692"/>
    <s v="JAIN TRADERS"/>
    <n v="67"/>
    <n v="0"/>
    <n v="0"/>
    <n v="47.75"/>
    <n v="0"/>
    <n v="0"/>
    <n v="0"/>
    <n v="0"/>
    <n v="0"/>
    <n v="65"/>
    <n v="0"/>
    <n v="5"/>
    <n v="0"/>
    <n v="0"/>
    <n v="0"/>
    <n v="73"/>
    <n v="0"/>
    <n v="0"/>
    <n v="62.5"/>
    <n v="2.5"/>
    <n v="0"/>
    <n v="22"/>
    <n v="0"/>
    <n v="0"/>
    <n v="337.25"/>
    <n v="2.5"/>
    <n v="5"/>
    <s v="AJMER"/>
    <s v="AJMER"/>
    <s v="RJ-AJMER"/>
    <d v="2017-06-23T00:00:00"/>
  </r>
  <r>
    <s v="806540119029"/>
    <x v="17"/>
    <s v="CHANDA STONE"/>
    <n v="119029"/>
    <s v="LALLAMAL KANHYALAL &amp; SONS"/>
    <n v="47"/>
    <n v="0"/>
    <n v="0"/>
    <n v="0"/>
    <n v="0"/>
    <n v="0"/>
    <n v="0"/>
    <n v="0"/>
    <n v="0"/>
    <n v="0"/>
    <n v="0"/>
    <n v="0"/>
    <n v="0"/>
    <n v="0"/>
    <n v="0"/>
    <n v="30"/>
    <n v="0"/>
    <n v="0"/>
    <n v="15"/>
    <n v="0"/>
    <n v="0"/>
    <n v="20"/>
    <n v="0"/>
    <n v="0"/>
    <n v="112"/>
    <n v="0"/>
    <n v="0"/>
    <s v="AJMER"/>
    <s v="AJMER"/>
    <s v="RJ-AJMER"/>
    <d v="2017-07-04T00:00:00"/>
  </r>
  <r>
    <s v="806782119208"/>
    <x v="18"/>
    <s v="MAHENDRA SINGH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0"/>
    <n v="0"/>
    <n v="0"/>
    <n v="0"/>
    <n v="0"/>
    <n v="85"/>
    <n v="0"/>
    <n v="0"/>
    <s v="AJMER"/>
    <s v="AJMER"/>
    <s v="RJ-AJMER"/>
    <d v="2017-06-13T00:00:00"/>
  </r>
  <r>
    <s v="807228119042"/>
    <x v="19"/>
    <s v="HANSRAJ DAGDI"/>
    <n v="119042"/>
    <s v="SARAS ENTERPRISES"/>
    <n v="0"/>
    <n v="0"/>
    <n v="0"/>
    <n v="0"/>
    <n v="0"/>
    <n v="0"/>
    <n v="15"/>
    <n v="0"/>
    <n v="0"/>
    <n v="0"/>
    <n v="0"/>
    <n v="0"/>
    <n v="0"/>
    <n v="0"/>
    <n v="0"/>
    <n v="15"/>
    <n v="0"/>
    <n v="0"/>
    <n v="0"/>
    <n v="0"/>
    <n v="0"/>
    <n v="0"/>
    <n v="0"/>
    <n v="0"/>
    <n v="30"/>
    <n v="0"/>
    <n v="0"/>
    <s v="AJMER"/>
    <s v="AJMER"/>
    <s v="RJ-AJMER"/>
    <d v="2017-11-12T00:00:00"/>
  </r>
  <r>
    <s v="807303119208"/>
    <x v="20"/>
    <s v="CHORDIA CEMENT AGENCY"/>
    <n v="119208"/>
    <s v="SURAJMAL TANSUKH RAI"/>
    <n v="129"/>
    <n v="0"/>
    <n v="0"/>
    <n v="323.5"/>
    <n v="0"/>
    <n v="0"/>
    <n v="405"/>
    <n v="0"/>
    <n v="35"/>
    <n v="148"/>
    <n v="0"/>
    <n v="0"/>
    <n v="83.5"/>
    <n v="0"/>
    <n v="0"/>
    <n v="232"/>
    <n v="0"/>
    <n v="0"/>
    <n v="160"/>
    <n v="0"/>
    <n v="0"/>
    <n v="131.80000000000001"/>
    <n v="0"/>
    <n v="0"/>
    <n v="1612.8"/>
    <n v="0"/>
    <n v="35"/>
    <s v="AJMER"/>
    <s v="AJMER"/>
    <s v="RJ-AJMER"/>
    <d v="2018-12-06T00:00:00"/>
  </r>
  <r>
    <s v="807776119042"/>
    <x v="21"/>
    <s v="VIKAS BUILDING MATERIAL"/>
    <n v="119042"/>
    <s v="SARAS ENTERPRISES"/>
    <n v="15"/>
    <n v="0"/>
    <n v="0"/>
    <n v="14.5"/>
    <n v="0"/>
    <n v="0"/>
    <n v="35"/>
    <n v="0"/>
    <n v="0"/>
    <n v="0"/>
    <n v="0"/>
    <n v="0"/>
    <n v="40"/>
    <n v="0"/>
    <n v="0"/>
    <n v="15"/>
    <n v="0"/>
    <n v="0"/>
    <n v="0"/>
    <n v="0"/>
    <n v="0"/>
    <n v="0"/>
    <n v="0"/>
    <n v="0"/>
    <n v="119.5"/>
    <n v="0"/>
    <n v="0"/>
    <s v="AJMER"/>
    <s v="AJMER"/>
    <s v="RJ-AJMER"/>
    <d v="2019-01-22T00:00:00"/>
  </r>
  <r>
    <s v="807777119222"/>
    <x v="22"/>
    <s v="RAJARAM SAMARIYA"/>
    <n v="119222"/>
    <s v="MITHU LAL ROOP CHAND"/>
    <n v="135"/>
    <n v="0"/>
    <n v="0"/>
    <n v="241.8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.85"/>
    <n v="35"/>
    <n v="0"/>
    <s v="AJMER"/>
    <s v="AJMER"/>
    <s v="RJ-AJMER"/>
    <d v="2019-01-22T00:00:00"/>
  </r>
  <r>
    <s v="807778119208"/>
    <x v="23"/>
    <s v="LAL CHAND KHATEEK"/>
    <n v="119208"/>
    <s v="SURAJMAL TANSUKH RAI"/>
    <n v="35"/>
    <n v="0"/>
    <n v="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0"/>
    <n v="0"/>
    <s v="AJMER"/>
    <s v="AJMER"/>
    <s v="RJ-AJMER"/>
    <d v="2019-01-22T00:00:00"/>
  </r>
  <r>
    <s v="807915119029"/>
    <x v="24"/>
    <s v="SHIKHAR TRADERS"/>
    <n v="119029"/>
    <s v="LALLAMAL KANHYALAL &amp; SONS"/>
    <n v="29"/>
    <n v="0"/>
    <n v="0"/>
    <n v="0"/>
    <n v="0"/>
    <n v="0"/>
    <n v="40"/>
    <n v="0"/>
    <n v="0"/>
    <n v="28"/>
    <n v="0"/>
    <n v="0"/>
    <n v="72"/>
    <n v="0"/>
    <n v="0"/>
    <n v="10"/>
    <n v="0"/>
    <n v="0"/>
    <n v="30"/>
    <n v="0"/>
    <n v="0"/>
    <n v="10"/>
    <n v="0"/>
    <n v="0"/>
    <n v="219"/>
    <n v="0"/>
    <n v="0"/>
    <s v="AJMER"/>
    <s v="AJMER"/>
    <s v="RJ-AJMER"/>
    <d v="2018-01-19T00:00:00"/>
  </r>
  <r>
    <s v="808103119222"/>
    <x v="25"/>
    <s v="JAI KISHAN KHINCHI"/>
    <n v="119222"/>
    <s v="MITHU LAL ROOP CH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18-03-12T00:00:00"/>
  </r>
  <r>
    <s v="808133119208"/>
    <x v="26"/>
    <s v="GOPAL JAT"/>
    <n v="119208"/>
    <s v="SURAJMAL TANSUKH RAI"/>
    <n v="123"/>
    <n v="0"/>
    <n v="0"/>
    <n v="145.85"/>
    <n v="0"/>
    <n v="0"/>
    <n v="258"/>
    <n v="0"/>
    <n v="0"/>
    <n v="87.5"/>
    <n v="0"/>
    <n v="0"/>
    <n v="147"/>
    <n v="0"/>
    <n v="0"/>
    <n v="173"/>
    <n v="0"/>
    <n v="0"/>
    <n v="0"/>
    <n v="0"/>
    <n v="0"/>
    <n v="110"/>
    <n v="0"/>
    <n v="0"/>
    <n v="1044.3499999999999"/>
    <n v="0"/>
    <n v="0"/>
    <s v="AJMER"/>
    <s v="AJMER"/>
    <s v="RJ-AJMER"/>
    <d v="2018-03-19T00:00:00"/>
  </r>
  <r>
    <s v="808155119208"/>
    <x v="27"/>
    <s v="GOKUL RAM JAT"/>
    <n v="119208"/>
    <s v="SURAJMAL TANSUKH RAI"/>
    <n v="0"/>
    <n v="0"/>
    <n v="0"/>
    <n v="85.5"/>
    <n v="0"/>
    <n v="0"/>
    <n v="0"/>
    <n v="0"/>
    <n v="0"/>
    <n v="77"/>
    <n v="0"/>
    <n v="0"/>
    <n v="122"/>
    <n v="0"/>
    <n v="0"/>
    <n v="77.5"/>
    <n v="0"/>
    <n v="0"/>
    <n v="0"/>
    <n v="0"/>
    <n v="0"/>
    <n v="19"/>
    <n v="0"/>
    <n v="0"/>
    <n v="381"/>
    <n v="0"/>
    <n v="0"/>
    <s v="AJMER"/>
    <s v="AJMER"/>
    <s v="RJ-AJMER"/>
    <d v="2018-03-22T00:00:00"/>
  </r>
  <r>
    <s v="808289171662"/>
    <x v="28"/>
    <s v="SHRI NAKODA HARDWARE"/>
    <n v="171662"/>
    <s v="CHHABRA STONES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22.7"/>
    <n v="0"/>
    <n v="0"/>
    <n v="32.700000000000003"/>
    <n v="0"/>
    <n v="0"/>
    <s v="AJMER"/>
    <s v="AJMER"/>
    <s v="RJ-AJMER"/>
    <d v="2018-05-03T00:00:00"/>
  </r>
  <r>
    <s v="808346171662"/>
    <x v="29"/>
    <s v="GOVIND KHINCHI"/>
    <n v="171662"/>
    <s v="CHHABRA STONES"/>
    <n v="67.5"/>
    <n v="0"/>
    <n v="0"/>
    <n v="35"/>
    <n v="0"/>
    <n v="0"/>
    <n v="80"/>
    <n v="0"/>
    <n v="0"/>
    <n v="25"/>
    <n v="0"/>
    <n v="0"/>
    <n v="42.5"/>
    <n v="0"/>
    <n v="0"/>
    <n v="95"/>
    <n v="0"/>
    <n v="0"/>
    <n v="105"/>
    <n v="0"/>
    <n v="0"/>
    <n v="117.3"/>
    <n v="0"/>
    <n v="0"/>
    <n v="567.29999999999995"/>
    <n v="0"/>
    <n v="0"/>
    <s v="AJMER"/>
    <s v="AJMER"/>
    <s v="RJ-AJMER"/>
    <d v="2018-05-12T00:00:00"/>
  </r>
  <r>
    <s v="808347171662"/>
    <x v="30"/>
    <s v="JANKI THARWANI"/>
    <n v="171662"/>
    <s v="CHHABRA STONES"/>
    <n v="60"/>
    <n v="0"/>
    <n v="0"/>
    <n v="110"/>
    <n v="5"/>
    <n v="0"/>
    <n v="40"/>
    <n v="0"/>
    <n v="0"/>
    <n v="0"/>
    <n v="0"/>
    <n v="0"/>
    <n v="37.75"/>
    <n v="7.75"/>
    <n v="10"/>
    <n v="80"/>
    <n v="0"/>
    <n v="0"/>
    <n v="72.5"/>
    <n v="0"/>
    <n v="0"/>
    <n v="25"/>
    <n v="0"/>
    <n v="0"/>
    <n v="425.25"/>
    <n v="12.75"/>
    <n v="10"/>
    <s v="AJMER"/>
    <s v="AJMER"/>
    <s v="RJ-AJMER"/>
    <d v="2018-05-12T00:00:00"/>
  </r>
  <r>
    <s v="808391119042"/>
    <x v="31"/>
    <s v="KUMAWAT BUILDING MATERIALS SUP"/>
    <n v="119042"/>
    <s v="SARAS ENTERPRISES"/>
    <n v="5"/>
    <n v="0"/>
    <n v="0"/>
    <n v="0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s v="AJMER"/>
    <s v="AJMER"/>
    <s v="RJ-AJMER"/>
    <d v="2018-05-21T00:00:00"/>
  </r>
  <r>
    <s v="808434119208"/>
    <x v="32"/>
    <s v="PRAKASH CHAND CHHAJER"/>
    <n v="119208"/>
    <s v="SURAJMAL TANSUKH RAI"/>
    <n v="339.5"/>
    <n v="0"/>
    <n v="0"/>
    <n v="155.5"/>
    <n v="41.5"/>
    <n v="0"/>
    <n v="203"/>
    <n v="0"/>
    <n v="0"/>
    <n v="35.299999999999997"/>
    <n v="0"/>
    <n v="0"/>
    <n v="42"/>
    <n v="0"/>
    <n v="0"/>
    <n v="125"/>
    <n v="0"/>
    <n v="0"/>
    <n v="76"/>
    <n v="0"/>
    <n v="0"/>
    <n v="80"/>
    <n v="0"/>
    <n v="0"/>
    <n v="1056.3"/>
    <n v="41.5"/>
    <n v="0"/>
    <s v="AJMER"/>
    <s v="AJMER"/>
    <s v="RJ-AJMER"/>
    <d v="2018-05-26T00:00:00"/>
  </r>
  <r>
    <s v="808471119208"/>
    <x v="33"/>
    <s v="MOHAN LAL"/>
    <n v="119208"/>
    <s v="SURAJMAL TANSUKH RAI"/>
    <n v="214.5"/>
    <n v="0"/>
    <n v="0"/>
    <n v="0"/>
    <n v="0"/>
    <n v="0"/>
    <n v="174.5"/>
    <n v="5.5"/>
    <n v="0"/>
    <n v="76.5"/>
    <n v="0"/>
    <n v="0"/>
    <n v="0"/>
    <n v="0"/>
    <n v="0"/>
    <n v="110.5"/>
    <n v="0"/>
    <n v="0"/>
    <n v="12"/>
    <n v="0"/>
    <n v="0"/>
    <n v="0"/>
    <n v="0"/>
    <n v="0"/>
    <n v="588"/>
    <n v="5.5"/>
    <n v="0"/>
    <s v="AJMER"/>
    <s v="AJMER"/>
    <s v="RJ-AJMER"/>
    <d v="2018-05-30T00:00:00"/>
  </r>
  <r>
    <s v="808795119208"/>
    <x v="34"/>
    <s v="SADDAM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18-08-18T00:00:00"/>
  </r>
  <r>
    <s v="808857119042"/>
    <x v="35"/>
    <s v="VISHNU ASBESTOS CEMENT PRODUCT"/>
    <n v="119042"/>
    <s v="SARAS ENTERPRISES"/>
    <n v="18"/>
    <n v="0"/>
    <n v="0"/>
    <n v="7.5"/>
    <n v="0"/>
    <n v="0"/>
    <n v="0"/>
    <n v="0"/>
    <n v="0"/>
    <n v="7.5"/>
    <n v="0"/>
    <n v="0"/>
    <n v="0"/>
    <n v="0"/>
    <n v="0"/>
    <n v="17"/>
    <n v="0"/>
    <n v="0"/>
    <n v="10"/>
    <n v="0"/>
    <n v="0"/>
    <n v="5"/>
    <n v="0"/>
    <n v="0"/>
    <n v="65"/>
    <n v="0"/>
    <n v="0"/>
    <s v="AJMER"/>
    <s v="AJMER"/>
    <s v="RJ-AJMER"/>
    <d v="2018-09-04T00:00:00"/>
  </r>
  <r>
    <s v="808858119208"/>
    <x v="36"/>
    <s v="GAJENDRA STONE AND BUILDING MA"/>
    <n v="119208"/>
    <s v="SURAJMAL TANSUKH RAI"/>
    <n v="110"/>
    <n v="0"/>
    <n v="0"/>
    <n v="101"/>
    <n v="0"/>
    <n v="0"/>
    <n v="150"/>
    <n v="0"/>
    <n v="0"/>
    <n v="15"/>
    <n v="0"/>
    <n v="0"/>
    <n v="0"/>
    <n v="0"/>
    <n v="0"/>
    <n v="0"/>
    <n v="0"/>
    <n v="0"/>
    <n v="0"/>
    <n v="0"/>
    <n v="0"/>
    <n v="67.95"/>
    <n v="0"/>
    <n v="0"/>
    <n v="443.95"/>
    <n v="0"/>
    <n v="0"/>
    <s v="AJMER"/>
    <s v="AJMER"/>
    <s v="RJ-AJMER"/>
    <d v="2018-09-04T00:00:00"/>
  </r>
  <r>
    <s v="809044119221"/>
    <x v="37"/>
    <s v="SHRINATH SANITARY AND HARDWARE"/>
    <n v="119221"/>
    <s v="AKSHAY TRADERS"/>
    <n v="119"/>
    <n v="0"/>
    <n v="0"/>
    <n v="110"/>
    <n v="0"/>
    <n v="0"/>
    <n v="12.5"/>
    <n v="0"/>
    <n v="12.5"/>
    <n v="79"/>
    <n v="5"/>
    <n v="4"/>
    <n v="0"/>
    <n v="0"/>
    <n v="0"/>
    <n v="114"/>
    <n v="0"/>
    <n v="25"/>
    <n v="102.5"/>
    <n v="0"/>
    <n v="35"/>
    <n v="37.5"/>
    <n v="0"/>
    <n v="15"/>
    <n v="574.5"/>
    <n v="5"/>
    <n v="76.5"/>
    <s v="AJMER"/>
    <s v="AJMER"/>
    <s v="RJ-AJMER"/>
    <d v="2018-09-24T00:00:00"/>
  </r>
  <r>
    <s v="809183119208"/>
    <x v="38"/>
    <s v="MOHAMMAD IMRAN"/>
    <n v="119208"/>
    <s v="SURAJMAL TANSUKH RAI"/>
    <n v="182"/>
    <n v="0"/>
    <n v="0"/>
    <n v="35"/>
    <n v="0"/>
    <n v="0"/>
    <n v="77.5"/>
    <n v="0"/>
    <n v="0"/>
    <n v="80"/>
    <n v="0"/>
    <n v="0"/>
    <n v="0"/>
    <n v="0"/>
    <n v="0"/>
    <n v="0"/>
    <n v="0"/>
    <n v="0"/>
    <n v="114.5"/>
    <n v="0"/>
    <n v="0"/>
    <n v="139.5"/>
    <n v="0"/>
    <n v="0"/>
    <n v="628.5"/>
    <n v="0"/>
    <n v="0"/>
    <s v="AJMER"/>
    <s v="AJMER"/>
    <s v="RJ-AJMER"/>
    <d v="2019-02-22T00:00:00"/>
  </r>
  <r>
    <s v="809184119208"/>
    <x v="39"/>
    <s v="VIMAL KIRANA &amp; GENERAL STORE"/>
    <n v="119208"/>
    <s v="SURAJMAL TANSUKH RAI"/>
    <n v="0"/>
    <n v="0"/>
    <n v="0"/>
    <n v="0"/>
    <n v="0"/>
    <n v="0"/>
    <n v="0"/>
    <n v="0"/>
    <n v="0"/>
    <n v="115"/>
    <n v="0"/>
    <n v="0"/>
    <n v="0"/>
    <n v="0"/>
    <n v="0"/>
    <n v="0"/>
    <n v="0"/>
    <n v="0"/>
    <n v="0"/>
    <n v="0"/>
    <n v="0"/>
    <n v="0"/>
    <n v="0"/>
    <n v="0"/>
    <n v="115"/>
    <n v="0"/>
    <n v="0"/>
    <s v="AJMER"/>
    <s v="AJMER"/>
    <s v="RJ-AJMER"/>
    <d v="2019-02-22T00:00:00"/>
  </r>
  <r>
    <s v="809413119042"/>
    <x v="40"/>
    <s v="BHATI CEMENT SUPPLIERS"/>
    <n v="119042"/>
    <s v="SARAS ENTERPRISES"/>
    <n v="10"/>
    <n v="0"/>
    <n v="0"/>
    <n v="32.5"/>
    <n v="0"/>
    <n v="0"/>
    <n v="40"/>
    <n v="0"/>
    <n v="0"/>
    <n v="0"/>
    <n v="0"/>
    <n v="0"/>
    <n v="15"/>
    <n v="0"/>
    <n v="0"/>
    <n v="10"/>
    <n v="0"/>
    <n v="0"/>
    <n v="0"/>
    <n v="0"/>
    <n v="0"/>
    <n v="10"/>
    <n v="0"/>
    <n v="0"/>
    <n v="117.5"/>
    <n v="0"/>
    <n v="0"/>
    <s v="AJMER"/>
    <s v="AJMER"/>
    <s v="RJ-AJMER"/>
    <d v="2019-04-20T00:00:00"/>
  </r>
  <r>
    <s v="809471119029"/>
    <x v="41"/>
    <s v="ANKUSH RATHI"/>
    <n v="119029"/>
    <s v="LALLAMAL KANHYALAL &amp; SONS"/>
    <n v="15"/>
    <n v="0"/>
    <n v="0"/>
    <n v="0"/>
    <n v="0"/>
    <n v="0"/>
    <n v="15"/>
    <n v="0"/>
    <n v="0"/>
    <n v="0"/>
    <n v="0"/>
    <n v="0"/>
    <n v="0"/>
    <n v="0"/>
    <n v="0"/>
    <n v="7"/>
    <n v="0"/>
    <n v="0"/>
    <n v="0"/>
    <n v="0"/>
    <n v="0"/>
    <n v="0"/>
    <n v="0"/>
    <n v="0"/>
    <n v="37"/>
    <n v="0"/>
    <n v="0"/>
    <s v="AJMER"/>
    <s v="AJMER"/>
    <s v="RJ-AJMER"/>
    <d v="2019-05-03T00:00:00"/>
  </r>
  <r>
    <s v="809476119029"/>
    <x v="42"/>
    <s v="ANOOP KUMAR RATHI"/>
    <n v="119029"/>
    <s v="LALLAMAL KANHYALAL &amp; SONS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n v="10"/>
    <n v="0"/>
    <n v="0"/>
    <n v="10"/>
    <n v="0"/>
    <n v="0"/>
    <n v="40"/>
    <n v="0"/>
    <n v="0"/>
    <s v="AJMER"/>
    <s v="AJMER"/>
    <s v="RJ-AJMER"/>
    <d v="2019-05-03T00:00:00"/>
  </r>
  <r>
    <s v="809617171662"/>
    <x v="43"/>
    <s v="JEEV RAJ"/>
    <n v="171662"/>
    <s v="CHHABRA STONES"/>
    <n v="0"/>
    <n v="0"/>
    <n v="0"/>
    <n v="0"/>
    <n v="0"/>
    <n v="0"/>
    <n v="0"/>
    <n v="0"/>
    <n v="0"/>
    <n v="0"/>
    <n v="0"/>
    <n v="0"/>
    <n v="5"/>
    <n v="0"/>
    <n v="0"/>
    <n v="7.5"/>
    <n v="0"/>
    <n v="0"/>
    <n v="0"/>
    <n v="0"/>
    <n v="0"/>
    <n v="0"/>
    <n v="0"/>
    <n v="0"/>
    <n v="12.5"/>
    <n v="0"/>
    <n v="0"/>
    <s v="AJMER"/>
    <s v="AJMER"/>
    <s v="RJ-AJMER"/>
    <d v="2019-05-24T00:00:00"/>
  </r>
  <r>
    <s v="809735119029"/>
    <x v="44"/>
    <s v="CHANCHAL KACHAWA"/>
    <n v="119029"/>
    <s v="LALLAMAL KANHYALAL &amp; SONS"/>
    <n v="76.150000000000006"/>
    <n v="21"/>
    <n v="0"/>
    <n v="21"/>
    <n v="0"/>
    <n v="0"/>
    <n v="75"/>
    <n v="0"/>
    <n v="0"/>
    <n v="64"/>
    <n v="0"/>
    <n v="0"/>
    <n v="0"/>
    <n v="0"/>
    <n v="0"/>
    <n v="15"/>
    <n v="0"/>
    <n v="0"/>
    <n v="16"/>
    <n v="0"/>
    <n v="0"/>
    <n v="70.5"/>
    <n v="5"/>
    <n v="0"/>
    <n v="337.65"/>
    <n v="21"/>
    <n v="0"/>
    <s v="AJMER"/>
    <s v="AJMER"/>
    <s v="RJ-AJMER"/>
    <d v="2019-06-15T00:00:00"/>
  </r>
  <r>
    <s v="809892119029"/>
    <x v="45"/>
    <s v="SHUBHAM TRADERS"/>
    <n v="119029"/>
    <s v="LALLAMAL KANHYALAL &amp; SON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20"/>
    <n v="0"/>
    <n v="0"/>
    <s v="AJMER"/>
    <s v="AJMER"/>
    <s v="RJ-AJMER"/>
    <d v="2019-07-09T00:00:00"/>
  </r>
  <r>
    <s v="809893171662"/>
    <x v="46"/>
    <s v="SAMEER TRADERS"/>
    <n v="171662"/>
    <s v="CHHABRA STONES"/>
    <n v="142"/>
    <n v="0"/>
    <n v="0"/>
    <n v="44"/>
    <n v="0"/>
    <n v="0"/>
    <n v="63"/>
    <n v="0"/>
    <n v="0"/>
    <n v="70"/>
    <n v="0"/>
    <n v="0"/>
    <n v="84.5"/>
    <n v="0"/>
    <n v="0"/>
    <n v="115"/>
    <n v="0"/>
    <n v="0"/>
    <n v="84"/>
    <n v="0"/>
    <n v="0"/>
    <n v="79.5"/>
    <n v="0"/>
    <n v="9.5"/>
    <n v="682"/>
    <n v="0"/>
    <n v="0"/>
    <s v="AJMER"/>
    <s v="AJMER"/>
    <s v="RJ-AJMER"/>
    <d v="2019-07-09T00:00:00"/>
  </r>
  <r>
    <s v="809916119208"/>
    <x v="47"/>
    <s v="MUNSHI KHAN"/>
    <n v="119208"/>
    <s v="SURAJMAL TANSUKH RAI"/>
    <n v="35"/>
    <n v="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0"/>
    <n v="0"/>
    <s v="AJMER"/>
    <s v="AJMER"/>
    <s v="RJ-AJMER"/>
    <d v="2019-07-13T00:00:00"/>
  </r>
  <r>
    <s v="810094119029"/>
    <x v="48"/>
    <s v="ROOPANGARIYA BROTHERS"/>
    <n v="119029"/>
    <s v="LALLAMAL KANHYALAL &amp; SONS"/>
    <n v="15"/>
    <n v="0"/>
    <n v="0"/>
    <n v="0"/>
    <n v="0"/>
    <n v="0"/>
    <n v="74"/>
    <n v="0"/>
    <n v="0"/>
    <n v="0"/>
    <n v="0"/>
    <n v="0"/>
    <n v="20.5"/>
    <n v="0"/>
    <n v="0"/>
    <n v="20"/>
    <n v="0"/>
    <n v="0"/>
    <n v="25"/>
    <n v="0"/>
    <n v="0"/>
    <n v="9"/>
    <n v="0"/>
    <n v="0"/>
    <n v="163.5"/>
    <n v="0"/>
    <n v="0"/>
    <s v="AJMER"/>
    <s v="AJMER"/>
    <s v="RJ-AJMER"/>
    <d v="2019-07-30T00:00:00"/>
  </r>
  <r>
    <s v="810182140829"/>
    <x v="49"/>
    <s v="SHREE YADAIN BUILDERS"/>
    <n v="140829"/>
    <s v="SHREE YADEN BUILDING MATERIAL"/>
    <n v="55"/>
    <n v="0"/>
    <n v="0"/>
    <n v="95"/>
    <n v="0"/>
    <n v="0"/>
    <n v="55"/>
    <n v="0"/>
    <n v="0"/>
    <n v="70"/>
    <n v="0"/>
    <n v="0"/>
    <n v="35"/>
    <n v="0"/>
    <n v="0"/>
    <n v="108"/>
    <n v="0"/>
    <n v="0"/>
    <n v="35"/>
    <n v="0"/>
    <n v="0"/>
    <n v="35"/>
    <n v="0"/>
    <n v="10"/>
    <n v="488"/>
    <n v="0"/>
    <n v="0"/>
    <s v="AJMER"/>
    <s v="AJMER"/>
    <s v="RJ-AJMER"/>
    <d v="2019-08-07T00:00:00"/>
  </r>
  <r>
    <s v="810685119208"/>
    <x v="50"/>
    <s v="VISHRAM LAL MALI"/>
    <n v="119208"/>
    <s v="SURAJMAL TANSUKH RAI"/>
    <n v="45"/>
    <n v="0"/>
    <n v="0"/>
    <n v="0"/>
    <n v="0"/>
    <n v="0"/>
    <n v="84"/>
    <n v="0"/>
    <n v="0"/>
    <n v="0"/>
    <n v="0"/>
    <n v="0"/>
    <n v="0"/>
    <n v="0"/>
    <n v="0"/>
    <n v="0"/>
    <n v="0"/>
    <n v="0"/>
    <n v="0"/>
    <n v="0"/>
    <n v="0"/>
    <n v="45"/>
    <n v="0"/>
    <n v="0"/>
    <n v="174"/>
    <n v="0"/>
    <n v="0"/>
    <s v="AJMER"/>
    <s v="AJMER"/>
    <s v="RJ-AJMER"/>
    <d v="2019-10-23T00:00:00"/>
  </r>
  <r>
    <s v="810913119029"/>
    <x v="51"/>
    <s v="MOHAN LAL"/>
    <n v="119029"/>
    <s v="LALLAMAL KANHYALAL &amp; SONS"/>
    <n v="0"/>
    <n v="0"/>
    <n v="0"/>
    <n v="0"/>
    <n v="0"/>
    <n v="0"/>
    <n v="10"/>
    <n v="0"/>
    <n v="0"/>
    <n v="0"/>
    <n v="0"/>
    <n v="0"/>
    <n v="0"/>
    <n v="0"/>
    <n v="0"/>
    <n v="5"/>
    <n v="0"/>
    <n v="0"/>
    <n v="20"/>
    <n v="0"/>
    <n v="0"/>
    <n v="5"/>
    <n v="0"/>
    <n v="0"/>
    <n v="40"/>
    <n v="0"/>
    <n v="0"/>
    <s v="AJMER"/>
    <s v="AJMER"/>
    <s v="RJ-AJMER"/>
    <d v="2019-12-05T00:00:00"/>
  </r>
  <r>
    <s v="810914119179"/>
    <x v="52"/>
    <s v="RAHUL STONE"/>
    <n v="119179"/>
    <s v="KUMAWAT BUILDING MATERIALS"/>
    <n v="0"/>
    <n v="0"/>
    <n v="0"/>
    <n v="12.5"/>
    <n v="0"/>
    <n v="0"/>
    <n v="7.5"/>
    <n v="0"/>
    <n v="0"/>
    <n v="0"/>
    <n v="0"/>
    <n v="0"/>
    <n v="0"/>
    <n v="0"/>
    <n v="0"/>
    <n v="5"/>
    <n v="0"/>
    <n v="0"/>
    <n v="0"/>
    <n v="0"/>
    <n v="0"/>
    <n v="0"/>
    <n v="0"/>
    <n v="0"/>
    <n v="25"/>
    <n v="0"/>
    <n v="0"/>
    <s v="AJMER"/>
    <s v="AJMER"/>
    <s v="RJ-AJMER"/>
    <d v="2019-12-05T00:00:00"/>
  </r>
  <r>
    <s v="811244178768"/>
    <x v="53"/>
    <s v="MOHAN SINGH"/>
    <n v="178768"/>
    <s v="JAI BAJRANG CEMENT AGENCIES"/>
    <n v="0"/>
    <n v="0"/>
    <n v="0"/>
    <n v="0"/>
    <n v="0"/>
    <n v="0"/>
    <n v="35"/>
    <n v="0"/>
    <n v="0"/>
    <n v="20.25"/>
    <n v="0"/>
    <n v="0"/>
    <n v="19"/>
    <n v="0"/>
    <n v="0"/>
    <n v="0"/>
    <n v="0"/>
    <n v="0"/>
    <n v="10"/>
    <n v="0"/>
    <n v="0"/>
    <n v="0"/>
    <n v="0"/>
    <n v="0"/>
    <n v="84.25"/>
    <n v="0"/>
    <n v="0"/>
    <s v="AJMER"/>
    <s v="AJMER"/>
    <s v="RJ-AJMER"/>
    <d v="2020-01-14T00:00:00"/>
  </r>
  <r>
    <s v="811405178768"/>
    <x v="54"/>
    <s v="KANCHAN DEVI"/>
    <n v="178768"/>
    <s v="JAI BAJRANG CEMENT AGENCIES"/>
    <n v="75"/>
    <n v="0"/>
    <n v="0"/>
    <n v="26.25"/>
    <n v="0"/>
    <n v="0"/>
    <n v="10"/>
    <n v="0"/>
    <n v="0"/>
    <n v="65"/>
    <n v="0"/>
    <n v="0"/>
    <n v="0"/>
    <n v="0"/>
    <n v="0"/>
    <n v="65"/>
    <n v="0"/>
    <n v="0"/>
    <n v="85"/>
    <n v="0"/>
    <n v="0"/>
    <n v="50"/>
    <n v="0"/>
    <n v="0"/>
    <n v="376.25"/>
    <n v="0"/>
    <n v="0"/>
    <s v="AJMER"/>
    <s v="AJMER"/>
    <s v="RJ-AJMER"/>
    <d v="2020-02-04T00:00:00"/>
  </r>
  <r>
    <s v="811550119208"/>
    <x v="55"/>
    <s v="AMRUDDIN KHAN"/>
    <n v="119208"/>
    <s v="SURAJMAL TANSUKH RAI"/>
    <n v="42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45"/>
    <n v="0"/>
    <n v="0"/>
    <n v="97"/>
    <n v="0"/>
    <n v="0"/>
    <s v="AJMER"/>
    <s v="AJMER"/>
    <s v="RJ-AJMER"/>
    <d v="2020-02-20T00:00:00"/>
  </r>
  <r>
    <s v="811693119029"/>
    <x v="56"/>
    <s v="SANDEEP"/>
    <n v="119029"/>
    <s v="LALLAMAL KANHYALAL &amp; SONS"/>
    <n v="0"/>
    <n v="0"/>
    <n v="0"/>
    <n v="0"/>
    <n v="0"/>
    <n v="0"/>
    <n v="15"/>
    <n v="0"/>
    <n v="0"/>
    <n v="15"/>
    <n v="0"/>
    <n v="0"/>
    <n v="3"/>
    <n v="0"/>
    <n v="3"/>
    <n v="28.05"/>
    <n v="0"/>
    <n v="0"/>
    <n v="20"/>
    <n v="0"/>
    <n v="0"/>
    <n v="20"/>
    <n v="0"/>
    <n v="0"/>
    <n v="101.05"/>
    <n v="0"/>
    <n v="3"/>
    <s v="AJMER"/>
    <s v="AJMER"/>
    <s v="RJ-AJMER"/>
    <d v="2020-03-06T00:00:00"/>
  </r>
  <r>
    <s v="811799119208"/>
    <x v="57"/>
    <s v="MANVENDRA SINGH RATHORE"/>
    <n v="119208"/>
    <s v="SURAJMAL TANSUKH RAI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34"/>
    <n v="0"/>
    <n v="0"/>
    <n v="144"/>
    <n v="0"/>
    <n v="0"/>
    <s v="AJMER"/>
    <s v="AJMER"/>
    <s v="RJ-AJMER"/>
    <d v="2020-05-05T00:00:00"/>
  </r>
  <r>
    <s v="811800119208"/>
    <x v="58"/>
    <s v="GHANSHYAM SINGH"/>
    <n v="119208"/>
    <s v="SURAJMAL TANSUKH RAI"/>
    <n v="42"/>
    <n v="0"/>
    <n v="0"/>
    <n v="44"/>
    <n v="0"/>
    <n v="0"/>
    <n v="0"/>
    <n v="0"/>
    <n v="0"/>
    <n v="0"/>
    <n v="0"/>
    <n v="0"/>
    <n v="0"/>
    <n v="0"/>
    <n v="0"/>
    <n v="0"/>
    <n v="0"/>
    <n v="0"/>
    <n v="27"/>
    <n v="0"/>
    <n v="0"/>
    <n v="100.45"/>
    <n v="0"/>
    <n v="0"/>
    <n v="213.45"/>
    <n v="0"/>
    <n v="0"/>
    <s v="AJMER"/>
    <s v="AJMER"/>
    <s v="RJ-AJMER"/>
    <d v="2020-05-05T00:00:00"/>
  </r>
  <r>
    <s v="812301119208"/>
    <x v="59"/>
    <s v="MUKESH CHOUDHARY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0-07-21T00:00:00"/>
  </r>
  <r>
    <s v="812333171662"/>
    <x v="60"/>
    <s v="DEVARAM GURJAR"/>
    <n v="171662"/>
    <s v="CHHABRA STONES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s v="AJMER"/>
    <s v="AJMER"/>
    <s v="RJ-AJMER"/>
    <d v="2020-07-23T00:00:00"/>
  </r>
  <r>
    <s v="812569119029"/>
    <x v="61"/>
    <s v="HARSHITA ENTERPRSES"/>
    <n v="119029"/>
    <s v="LALLAMAL KANHYALAL &amp; SONS"/>
    <n v="144.5"/>
    <n v="28.5"/>
    <n v="0"/>
    <n v="112.5"/>
    <n v="0"/>
    <n v="0"/>
    <n v="127.7"/>
    <n v="0"/>
    <n v="5"/>
    <n v="66"/>
    <n v="0"/>
    <n v="0"/>
    <n v="70"/>
    <n v="0"/>
    <n v="0"/>
    <n v="79.5"/>
    <n v="0"/>
    <n v="0"/>
    <n v="65.75"/>
    <n v="0"/>
    <n v="0"/>
    <n v="143.5"/>
    <n v="0"/>
    <n v="0"/>
    <n v="809.45"/>
    <n v="28.5"/>
    <n v="5"/>
    <s v="AJMER"/>
    <s v="AJMER"/>
    <s v="RJ-AJMER"/>
    <d v="2020-08-19T00:00:00"/>
  </r>
  <r>
    <s v="812688119042"/>
    <x v="62"/>
    <s v="DEV SANIK ENTERPRISES"/>
    <n v="119042"/>
    <s v="SARAS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  <n v="0"/>
    <n v="0"/>
    <s v="AJMER"/>
    <s v="AJMER"/>
    <s v="RJ-AJMER"/>
    <d v="2020-08-28T00:00:00"/>
  </r>
  <r>
    <s v="812737170614"/>
    <x v="63"/>
    <s v="PRITI CHOUDHARY"/>
    <n v="170614"/>
    <s v="HARIKARAN CHAUDHARY"/>
    <n v="144"/>
    <n v="0"/>
    <n v="0"/>
    <n v="135"/>
    <n v="0"/>
    <n v="0"/>
    <n v="15"/>
    <n v="0"/>
    <n v="0"/>
    <n v="107"/>
    <n v="0"/>
    <n v="0"/>
    <n v="30"/>
    <n v="0"/>
    <n v="0"/>
    <n v="98"/>
    <n v="0"/>
    <n v="0"/>
    <n v="40"/>
    <n v="0"/>
    <n v="0"/>
    <n v="105.5"/>
    <n v="0"/>
    <n v="0"/>
    <n v="674.5"/>
    <n v="0"/>
    <n v="0"/>
    <s v="AJMER"/>
    <s v="AJMER"/>
    <s v="RJ-AJMER"/>
    <d v="2020-08-31T00:00:00"/>
  </r>
  <r>
    <s v="812850171662"/>
    <x v="64"/>
    <s v="TARVINDER KAUR"/>
    <n v="171662"/>
    <s v="CHHABRA STONES"/>
    <n v="82.5"/>
    <n v="0"/>
    <n v="0"/>
    <n v="161"/>
    <n v="0"/>
    <n v="0"/>
    <n v="236.5"/>
    <n v="2.5"/>
    <n v="4"/>
    <n v="20"/>
    <n v="5"/>
    <n v="0"/>
    <n v="86"/>
    <n v="0"/>
    <n v="0"/>
    <n v="72"/>
    <n v="0"/>
    <n v="0"/>
    <n v="82"/>
    <n v="0"/>
    <n v="0"/>
    <n v="106"/>
    <n v="0"/>
    <n v="16"/>
    <n v="846"/>
    <n v="7.5"/>
    <n v="4"/>
    <s v="AJMER"/>
    <s v="AJMER"/>
    <s v="RJ-AJMER"/>
    <d v="2020-09-09T00:00:00"/>
  </r>
  <r>
    <s v="812900171662"/>
    <x v="65"/>
    <s v="SUNITA VAISHNAV"/>
    <n v="171662"/>
    <s v="CHHABRA STONES"/>
    <n v="0"/>
    <n v="0"/>
    <n v="0"/>
    <n v="15"/>
    <n v="0"/>
    <n v="0"/>
    <n v="35"/>
    <n v="0"/>
    <n v="0"/>
    <n v="0"/>
    <n v="0"/>
    <n v="0"/>
    <n v="45"/>
    <n v="0"/>
    <n v="0"/>
    <n v="20"/>
    <n v="0"/>
    <n v="0"/>
    <n v="57.5"/>
    <n v="0"/>
    <n v="0"/>
    <n v="67.5"/>
    <n v="0"/>
    <n v="0"/>
    <n v="240"/>
    <n v="0"/>
    <n v="0"/>
    <s v="AJMER"/>
    <s v="AJMER"/>
    <s v="RJ-AJMER"/>
    <d v="2020-09-12T00:00:00"/>
  </r>
  <r>
    <s v="813096119042"/>
    <x v="66"/>
    <s v="SHREE KRISHNA CEMENT AGENCY"/>
    <n v="119042"/>
    <s v="SARAS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0-09-28T00:00:00"/>
  </r>
  <r>
    <s v="813120119042"/>
    <x v="67"/>
    <s v="ARYAN CEMENT SUPPLIER"/>
    <n v="119042"/>
    <s v="SARAS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0-09-29T00:00:00"/>
  </r>
  <r>
    <s v="813157202713"/>
    <x v="68"/>
    <s v="JAI BAJRANG CEMENT"/>
    <n v="202713"/>
    <s v="DADHICH STONE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0-10-01T00:00:00"/>
  </r>
  <r>
    <s v="813158119042"/>
    <x v="69"/>
    <s v="JYOTI CEMENT UDHYOG"/>
    <n v="119042"/>
    <s v="SARAS ENTERPRISES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n v="40"/>
    <n v="0"/>
    <n v="0"/>
    <n v="56"/>
    <n v="0"/>
    <n v="0"/>
    <n v="116"/>
    <n v="0"/>
    <n v="0"/>
    <s v="AJMER"/>
    <s v="AJMER"/>
    <s v="RJ-AJMER"/>
    <d v="2020-10-01T00:00:00"/>
  </r>
  <r>
    <s v="813347171662"/>
    <x v="70"/>
    <s v="MANJIT SINGH TUTEJA"/>
    <n v="171662"/>
    <s v="CHHABRA STONES"/>
    <n v="15"/>
    <n v="0"/>
    <n v="0"/>
    <n v="30"/>
    <n v="0"/>
    <n v="0"/>
    <n v="40"/>
    <n v="0"/>
    <n v="0"/>
    <n v="20"/>
    <n v="0"/>
    <n v="0"/>
    <n v="30"/>
    <n v="0"/>
    <n v="0"/>
    <n v="10"/>
    <n v="0"/>
    <n v="0"/>
    <n v="40.5"/>
    <n v="0"/>
    <n v="0"/>
    <n v="17.5"/>
    <n v="0"/>
    <n v="0"/>
    <n v="203"/>
    <n v="0"/>
    <n v="0"/>
    <s v="AJMER"/>
    <s v="AJMER"/>
    <s v="RJ-AJMER"/>
    <d v="2020-10-22T00:00:00"/>
  </r>
  <r>
    <s v="813676119029"/>
    <x v="71"/>
    <s v="SHUBHAM HARDWARES"/>
    <n v="119029"/>
    <s v="LALLAMAL KANHYALAL &amp; SONS"/>
    <n v="0"/>
    <n v="0"/>
    <n v="0"/>
    <n v="0"/>
    <n v="0"/>
    <n v="0"/>
    <n v="0"/>
    <n v="0"/>
    <n v="0"/>
    <n v="11.5"/>
    <n v="0"/>
    <n v="0"/>
    <n v="0"/>
    <n v="0"/>
    <n v="0"/>
    <n v="0"/>
    <n v="0"/>
    <n v="0"/>
    <n v="0"/>
    <n v="0"/>
    <n v="0"/>
    <n v="0"/>
    <n v="0"/>
    <n v="0"/>
    <n v="11.5"/>
    <n v="0"/>
    <n v="0"/>
    <s v="AJMER"/>
    <s v="AJMER"/>
    <s v="RJ-AJMER"/>
    <d v="2020-11-27T00:00:00"/>
  </r>
  <r>
    <s v="813788202713"/>
    <x v="72"/>
    <s v="NEHA TRIPATHI"/>
    <n v="202713"/>
    <s v="DADHICH STONE SUPPLIERS"/>
    <n v="134"/>
    <n v="15"/>
    <n v="0"/>
    <n v="52.5"/>
    <n v="45"/>
    <n v="0"/>
    <n v="42.5"/>
    <n v="15"/>
    <n v="0"/>
    <n v="22.5"/>
    <n v="13.5"/>
    <n v="0"/>
    <n v="20"/>
    <n v="2.5"/>
    <n v="1"/>
    <n v="15"/>
    <n v="3"/>
    <n v="0"/>
    <n v="16"/>
    <n v="2"/>
    <n v="3"/>
    <n v="20"/>
    <n v="5"/>
    <n v="0"/>
    <n v="322.5"/>
    <n v="96"/>
    <n v="4"/>
    <s v="AJMER"/>
    <s v="AJMER"/>
    <s v="RJ-AJMER"/>
    <d v="2020-12-09T00:00:00"/>
  </r>
  <r>
    <s v="813815170614"/>
    <x v="73"/>
    <s v="NITU CHOUDHARY"/>
    <n v="170614"/>
    <s v="HARIKARAN CHAUDHARY"/>
    <n v="52.5"/>
    <n v="0"/>
    <n v="0"/>
    <n v="15"/>
    <n v="0"/>
    <n v="0"/>
    <n v="70"/>
    <n v="0"/>
    <n v="0"/>
    <n v="60"/>
    <n v="0"/>
    <n v="0"/>
    <n v="40"/>
    <n v="0"/>
    <n v="0"/>
    <n v="23.25"/>
    <n v="0"/>
    <n v="0"/>
    <n v="40"/>
    <n v="0"/>
    <n v="0"/>
    <n v="41.5"/>
    <n v="3.5"/>
    <n v="0"/>
    <n v="342.25"/>
    <n v="0"/>
    <n v="0"/>
    <s v="AJMER"/>
    <s v="AJMER"/>
    <s v="RJ-AJMER"/>
    <d v="2020-12-11T00:00:00"/>
  </r>
  <r>
    <s v="814040119208"/>
    <x v="74"/>
    <s v="KUMAWAT TRADERS"/>
    <n v="119208"/>
    <s v="SURAJMAL TANSUKH RAI"/>
    <n v="0"/>
    <n v="0"/>
    <n v="0"/>
    <n v="0"/>
    <n v="0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s v="AJMER"/>
    <s v="AJMER"/>
    <s v="RJ-AJMER"/>
    <d v="2020-12-31T00:00:00"/>
  </r>
  <r>
    <s v="814055171662"/>
    <x v="75"/>
    <s v="DILIP KUMAR LALWANI"/>
    <n v="171662"/>
    <s v="CHHABRA STONES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0"/>
    <n v="0"/>
    <n v="0"/>
    <n v="0"/>
    <n v="0"/>
    <n v="0"/>
    <n v="7.5"/>
    <n v="0"/>
    <n v="0"/>
    <s v="AJMER"/>
    <s v="AJMER"/>
    <s v="RJ-AJMER"/>
    <d v="2020-12-31T00:00:00"/>
  </r>
  <r>
    <s v="814259119208"/>
    <x v="76"/>
    <s v="RAJENDRA GUSAIWAL"/>
    <n v="119208"/>
    <s v="SURAJMAL TANSUKH RAI"/>
    <n v="0"/>
    <n v="0"/>
    <n v="0"/>
    <n v="44"/>
    <n v="0"/>
    <n v="0"/>
    <n v="44"/>
    <n v="0"/>
    <n v="0"/>
    <n v="0"/>
    <n v="0"/>
    <n v="0"/>
    <n v="0"/>
    <n v="0"/>
    <n v="0"/>
    <n v="0"/>
    <n v="0"/>
    <n v="0"/>
    <n v="0"/>
    <n v="0"/>
    <n v="0"/>
    <n v="45"/>
    <n v="0"/>
    <n v="0"/>
    <n v="133"/>
    <n v="0"/>
    <n v="0"/>
    <s v="AJMER"/>
    <s v="AJMER"/>
    <s v="RJ-AJMER"/>
    <d v="2021-01-25T00:00:00"/>
  </r>
  <r>
    <s v="814639144750"/>
    <x v="77"/>
    <s v="VIKRAM ACHARYA"/>
    <n v="144750"/>
    <s v="ACHARYA TRADERS"/>
    <n v="20"/>
    <n v="0"/>
    <n v="0"/>
    <n v="30"/>
    <n v="0"/>
    <n v="0"/>
    <n v="10"/>
    <n v="0"/>
    <n v="0"/>
    <n v="0"/>
    <n v="0"/>
    <n v="0"/>
    <n v="0"/>
    <n v="0"/>
    <n v="0"/>
    <n v="10"/>
    <n v="0"/>
    <n v="0"/>
    <n v="11"/>
    <n v="0"/>
    <n v="0"/>
    <n v="0"/>
    <n v="0"/>
    <n v="0"/>
    <n v="81"/>
    <n v="0"/>
    <n v="0"/>
    <s v="AJMER"/>
    <s v="AJMER"/>
    <s v="RJ-AJMER"/>
    <d v="2021-02-26T00:00:00"/>
  </r>
  <r>
    <s v="814668171662"/>
    <x v="78"/>
    <s v="PRAKASH BHAGTANI"/>
    <n v="171662"/>
    <s v="CHHABRA STON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1-03-02T00:00:00"/>
  </r>
  <r>
    <s v="814668176870"/>
    <x v="78"/>
    <s v="PRAKASH BHAGTANI"/>
    <n v="176870"/>
    <s v="KHANDELWAL CEMENT AGENCY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AJMER"/>
    <s v="AJMER"/>
    <s v="RJ-AJMER"/>
    <d v="2021-03-02T00:00:00"/>
  </r>
  <r>
    <s v="814705208074"/>
    <x v="79"/>
    <s v="RAGHUVEER CONSTRUCTION COMPANY"/>
    <n v="208074"/>
    <s v="SWASTIK STEEL TRADERS"/>
    <n v="0"/>
    <n v="0"/>
    <n v="0"/>
    <n v="10"/>
    <n v="0"/>
    <n v="0"/>
    <n v="15"/>
    <n v="0"/>
    <n v="0"/>
    <n v="10"/>
    <n v="0"/>
    <n v="0"/>
    <n v="17.5"/>
    <n v="0"/>
    <n v="0"/>
    <n v="30"/>
    <n v="0"/>
    <n v="0"/>
    <n v="17.5"/>
    <n v="0"/>
    <n v="0"/>
    <n v="40"/>
    <n v="0"/>
    <n v="0"/>
    <n v="140"/>
    <n v="0"/>
    <n v="0"/>
    <s v="AJMER"/>
    <s v="AJMER"/>
    <s v="RJ-AJMER"/>
    <d v="2021-03-05T00:00:00"/>
  </r>
  <r>
    <s v="814871119208"/>
    <x v="80"/>
    <s v="TEJU RAM GURJAR"/>
    <n v="119208"/>
    <s v="SURAJMAL TANSUKH RAI"/>
    <n v="0"/>
    <n v="0"/>
    <n v="0"/>
    <n v="0"/>
    <n v="0"/>
    <n v="0"/>
    <n v="0"/>
    <n v="0"/>
    <n v="0"/>
    <n v="0"/>
    <n v="0"/>
    <n v="0"/>
    <n v="52"/>
    <n v="0"/>
    <n v="0"/>
    <n v="0"/>
    <n v="0"/>
    <n v="0"/>
    <n v="0"/>
    <n v="0"/>
    <n v="0"/>
    <n v="50"/>
    <n v="0"/>
    <n v="0"/>
    <n v="102"/>
    <n v="0"/>
    <n v="0"/>
    <s v="AJMER"/>
    <s v="AJMER"/>
    <s v="RJ-AJMER"/>
    <d v="2021-03-31T00:00:00"/>
  </r>
  <r>
    <s v="815022119208"/>
    <x v="81"/>
    <s v="SHRI GIRIRAJ ENTERPRISES"/>
    <n v="119208"/>
    <s v="SURAJMAL TANSUKH RAI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44.5"/>
    <n v="0"/>
    <n v="0"/>
    <n v="0"/>
    <n v="0"/>
    <n v="0"/>
    <n v="64.5"/>
    <n v="0"/>
    <n v="0"/>
    <s v="AJMER"/>
    <s v="AJMER"/>
    <s v="RJ-AJMER"/>
    <d v="2021-05-03T00:00:00"/>
  </r>
  <r>
    <s v="815051208074"/>
    <x v="82"/>
    <s v="ANIL KUMAR TAK"/>
    <n v="208074"/>
    <s v="SWASTIK STEEL TRADERS"/>
    <n v="154"/>
    <n v="11.25"/>
    <n v="0"/>
    <n v="160.75"/>
    <n v="5"/>
    <n v="0"/>
    <n v="180"/>
    <n v="0"/>
    <n v="0"/>
    <n v="95.5"/>
    <n v="0"/>
    <n v="0"/>
    <n v="85.5"/>
    <n v="0"/>
    <n v="28"/>
    <n v="40.15"/>
    <n v="20"/>
    <n v="5.15"/>
    <n v="112.5"/>
    <n v="0"/>
    <n v="2.5"/>
    <n v="190"/>
    <n v="0"/>
    <n v="10"/>
    <n v="1018.4"/>
    <n v="36.25"/>
    <n v="35.65"/>
    <s v="AJMER"/>
    <s v="AJMER"/>
    <s v="RJ-AJMER"/>
    <d v="2021-05-18T00:00:00"/>
  </r>
  <r>
    <s v="815052208074"/>
    <x v="83"/>
    <s v="KARANVEER"/>
    <n v="208074"/>
    <s v="SWASTIK STEEL TRADERS"/>
    <n v="25"/>
    <n v="0"/>
    <n v="0"/>
    <n v="20"/>
    <n v="0"/>
    <n v="0"/>
    <n v="52"/>
    <n v="0"/>
    <n v="0"/>
    <n v="10"/>
    <n v="0"/>
    <n v="0"/>
    <n v="0"/>
    <n v="0"/>
    <n v="0"/>
    <n v="17.5"/>
    <n v="0"/>
    <n v="0"/>
    <n v="0"/>
    <n v="0"/>
    <n v="0"/>
    <n v="35"/>
    <n v="0"/>
    <n v="0"/>
    <n v="159.5"/>
    <n v="0"/>
    <n v="0"/>
    <s v="AJMER"/>
    <s v="AJMER"/>
    <s v="RJ-AJMER"/>
    <d v="2021-05-18T00:00:00"/>
  </r>
  <r>
    <s v="815064208074"/>
    <x v="84"/>
    <s v="U K TRADERS"/>
    <n v="208074"/>
    <s v="SWASTIK STEEL TRADERS"/>
    <n v="15"/>
    <n v="0"/>
    <n v="0"/>
    <n v="0"/>
    <n v="0"/>
    <n v="0"/>
    <n v="14.5"/>
    <n v="0"/>
    <n v="0"/>
    <n v="0"/>
    <n v="0"/>
    <n v="0"/>
    <n v="17.5"/>
    <n v="0"/>
    <n v="0"/>
    <n v="7.5"/>
    <n v="0"/>
    <n v="0"/>
    <n v="0"/>
    <n v="0"/>
    <n v="0"/>
    <n v="0"/>
    <n v="0"/>
    <n v="0"/>
    <n v="54.5"/>
    <n v="0"/>
    <n v="0"/>
    <s v="AJMER"/>
    <s v="AJMER"/>
    <s v="RJ-AJMER"/>
    <d v="2021-05-22T00:00:00"/>
  </r>
  <r>
    <s v="815066208074"/>
    <x v="85"/>
    <s v="GURUJI CEMENT SUPPLIERS"/>
    <n v="208074"/>
    <s v="SWASTIK STEE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1-05-22T00:00:00"/>
  </r>
  <r>
    <s v="815067208074"/>
    <x v="86"/>
    <s v="NEW HIND TRADERS"/>
    <n v="208074"/>
    <s v="SWASTIK STEEL TRADERS"/>
    <n v="0"/>
    <n v="0"/>
    <n v="0"/>
    <n v="0"/>
    <n v="0"/>
    <n v="0"/>
    <n v="0"/>
    <n v="0"/>
    <n v="0"/>
    <n v="20"/>
    <n v="0"/>
    <n v="0"/>
    <n v="0"/>
    <n v="0"/>
    <n v="0"/>
    <n v="20"/>
    <n v="0"/>
    <n v="0"/>
    <n v="37.15"/>
    <n v="0"/>
    <n v="0"/>
    <n v="6"/>
    <n v="0"/>
    <n v="0"/>
    <n v="83.15"/>
    <n v="0"/>
    <n v="0"/>
    <s v="AJMER"/>
    <s v="AJMER"/>
    <s v="RJ-AJMER"/>
    <d v="2021-05-22T00:00:00"/>
  </r>
  <r>
    <s v="815068208074"/>
    <x v="87"/>
    <s v="MOHMMAD ALI GOURI"/>
    <n v="208074"/>
    <s v="SWASTIK STEEL TRADERS"/>
    <n v="30"/>
    <n v="0"/>
    <n v="0"/>
    <n v="20"/>
    <n v="0"/>
    <n v="0"/>
    <n v="0"/>
    <n v="0"/>
    <n v="0"/>
    <n v="0"/>
    <n v="0"/>
    <n v="0"/>
    <n v="0"/>
    <n v="0"/>
    <n v="0"/>
    <n v="22.5"/>
    <n v="0"/>
    <n v="0"/>
    <n v="0"/>
    <n v="0"/>
    <n v="0"/>
    <n v="30"/>
    <n v="0"/>
    <n v="0"/>
    <n v="102.5"/>
    <n v="0"/>
    <n v="0"/>
    <s v="AJMER"/>
    <s v="AJMER"/>
    <s v="RJ-AJMER"/>
    <d v="2021-05-22T00:00:00"/>
  </r>
  <r>
    <s v="815088119208"/>
    <x v="88"/>
    <s v="RANJEET SINGH JAKHAD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1-05-27T00:00:00"/>
  </r>
  <r>
    <s v="815151119208"/>
    <x v="89"/>
    <s v="PRADEEP CHOUDHARY"/>
    <n v="119208"/>
    <s v="SURAJMAL TANSUKH RAI"/>
    <n v="43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35"/>
    <n v="0"/>
    <n v="0"/>
    <n v="88"/>
    <n v="0"/>
    <n v="0"/>
    <s v="AJMER"/>
    <s v="AJMER"/>
    <s v="RJ-AJMER"/>
    <d v="2021-06-12T00:00:00"/>
  </r>
  <r>
    <s v="815601171662"/>
    <x v="90"/>
    <s v="MADHURAM"/>
    <n v="171662"/>
    <s v="CHHABRA STONES"/>
    <n v="25"/>
    <n v="0"/>
    <n v="0"/>
    <n v="62"/>
    <n v="0"/>
    <n v="0"/>
    <n v="45"/>
    <n v="0"/>
    <n v="0"/>
    <n v="35"/>
    <n v="0"/>
    <n v="0"/>
    <n v="30"/>
    <n v="0"/>
    <n v="5"/>
    <n v="26.5"/>
    <n v="0"/>
    <n v="0"/>
    <n v="0"/>
    <n v="0"/>
    <n v="0"/>
    <n v="0"/>
    <n v="0"/>
    <n v="0"/>
    <n v="223.5"/>
    <n v="0"/>
    <n v="5"/>
    <s v="AJMER"/>
    <s v="AJMER"/>
    <s v="RJ-AJMER"/>
    <d v="2021-07-22T00:00:00"/>
  </r>
  <r>
    <s v="815621144848"/>
    <x v="91"/>
    <s v="PRATEEK KAKANI"/>
    <n v="144848"/>
    <s v="JAI SHRI TRADING"/>
    <n v="6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0"/>
    <n v="0"/>
    <s v="AJMER"/>
    <s v="AJMER"/>
    <s v="RJ-AJMER"/>
    <d v="2021-07-23T00:00:00"/>
  </r>
  <r>
    <s v="815671171063"/>
    <x v="92"/>
    <s v="BHAWANA TRADERS"/>
    <n v="171063"/>
    <s v="NEHA ENTERPRISES"/>
    <n v="20"/>
    <n v="9"/>
    <n v="0"/>
    <n v="14"/>
    <n v="7.5"/>
    <n v="0"/>
    <n v="0"/>
    <n v="0"/>
    <n v="0"/>
    <n v="0"/>
    <n v="0"/>
    <n v="0"/>
    <n v="10"/>
    <n v="0"/>
    <n v="0"/>
    <n v="5"/>
    <n v="0"/>
    <n v="0"/>
    <n v="11"/>
    <n v="0"/>
    <n v="0"/>
    <n v="9"/>
    <n v="0"/>
    <n v="1"/>
    <n v="69"/>
    <n v="16.5"/>
    <n v="0"/>
    <s v="AJMER"/>
    <s v="AJMER"/>
    <s v="RJ-AJMER"/>
    <d v="2021-07-27T00:00:00"/>
  </r>
  <r>
    <s v="815900171662"/>
    <x v="93"/>
    <s v="RINKU STONE"/>
    <n v="171662"/>
    <s v="CHHABRA STON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1-08-10T00:00:00"/>
  </r>
  <r>
    <s v="815901171662"/>
    <x v="94"/>
    <s v="SANDEEP TANK"/>
    <n v="171662"/>
    <s v="CHHABRA STON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1-08-10T00:00:00"/>
  </r>
  <r>
    <s v="815936208074"/>
    <x v="95"/>
    <s v="DINESH SINGH CHOUHAN"/>
    <n v="208074"/>
    <s v="SWASTIK STEEL TRADERS"/>
    <n v="2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s v="AJMER"/>
    <s v="AJMER"/>
    <s v="RJ-AJMER"/>
    <d v="2021-08-14T00:00:00"/>
  </r>
  <r>
    <s v="816021208074"/>
    <x v="96"/>
    <s v="YARANA CEMENT SUPPLIER"/>
    <n v="208074"/>
    <s v="SWASTIK STEEL TRADERS"/>
    <n v="10"/>
    <n v="0"/>
    <n v="0"/>
    <n v="0"/>
    <n v="0"/>
    <n v="0"/>
    <n v="0"/>
    <n v="0"/>
    <n v="0"/>
    <n v="0"/>
    <n v="0"/>
    <n v="0"/>
    <n v="0"/>
    <n v="0"/>
    <n v="0"/>
    <n v="10"/>
    <n v="0"/>
    <n v="0"/>
    <n v="7.5"/>
    <n v="0"/>
    <n v="0"/>
    <n v="10"/>
    <n v="0"/>
    <n v="0"/>
    <n v="37.5"/>
    <n v="0"/>
    <n v="0"/>
    <s v="AJMER"/>
    <s v="AJMER"/>
    <s v="RJ-AJMER"/>
    <d v="2021-08-20T00:00:00"/>
  </r>
  <r>
    <s v="816022208074"/>
    <x v="97"/>
    <s v="LAXMI NARAYANA"/>
    <n v="208074"/>
    <s v="SWASTIK STEE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1-08-20T00:00:00"/>
  </r>
  <r>
    <s v="816096119208"/>
    <x v="98"/>
    <s v="PRAKASH STEEL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1-08-24T00:00:00"/>
  </r>
  <r>
    <s v="816097171662"/>
    <x v="99"/>
    <s v="VIVEK AGRAWAL"/>
    <n v="171662"/>
    <s v="CHHABRA STONES"/>
    <n v="20"/>
    <n v="0"/>
    <n v="0"/>
    <n v="40"/>
    <n v="0"/>
    <n v="0"/>
    <n v="33"/>
    <n v="0"/>
    <n v="0"/>
    <n v="25"/>
    <n v="0"/>
    <n v="0"/>
    <n v="35"/>
    <n v="0"/>
    <n v="0"/>
    <n v="65"/>
    <n v="0"/>
    <n v="0"/>
    <n v="10"/>
    <n v="0"/>
    <n v="0"/>
    <n v="29.5"/>
    <n v="0"/>
    <n v="0"/>
    <n v="257.5"/>
    <n v="0"/>
    <n v="0"/>
    <s v="AJMER"/>
    <s v="AJMER"/>
    <s v="RJ-AJMER"/>
    <d v="2021-08-24T00:00:00"/>
  </r>
  <r>
    <s v="816098119208"/>
    <x v="100"/>
    <s v="SUNITA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1-08-24T00:00:00"/>
  </r>
  <r>
    <s v="816301205686"/>
    <x v="101"/>
    <s v="KARTIK MOJAIC TILES"/>
    <n v="205686"/>
    <s v="OM PRAKASH RAWAT"/>
    <n v="0"/>
    <n v="0"/>
    <n v="0"/>
    <n v="10"/>
    <n v="0"/>
    <n v="0"/>
    <n v="0"/>
    <n v="0"/>
    <n v="0"/>
    <n v="0"/>
    <n v="0"/>
    <n v="0"/>
    <n v="0"/>
    <n v="0"/>
    <n v="0"/>
    <n v="20.5"/>
    <n v="0"/>
    <n v="0"/>
    <n v="0"/>
    <n v="0"/>
    <n v="0"/>
    <n v="23"/>
    <n v="4"/>
    <n v="0"/>
    <n v="53.5"/>
    <n v="0"/>
    <n v="0"/>
    <s v="AJMER"/>
    <s v="AJMER"/>
    <s v="RJ-AJMER"/>
    <d v="2021-09-09T00:00:00"/>
  </r>
  <r>
    <s v="816469208074"/>
    <x v="102"/>
    <s v="NAKODA HARDWARE AND SANITARY"/>
    <n v="208074"/>
    <s v="SWASTIK STEEL TRADERS"/>
    <n v="20"/>
    <n v="0"/>
    <n v="0"/>
    <n v="10"/>
    <n v="0"/>
    <n v="0"/>
    <n v="0"/>
    <n v="0"/>
    <n v="0"/>
    <n v="0"/>
    <n v="0"/>
    <n v="0"/>
    <n v="10"/>
    <n v="0"/>
    <n v="0"/>
    <n v="17.5"/>
    <n v="0"/>
    <n v="0"/>
    <n v="17.5"/>
    <n v="0"/>
    <n v="5"/>
    <n v="75"/>
    <n v="0"/>
    <n v="0"/>
    <n v="150"/>
    <n v="0"/>
    <n v="5"/>
    <s v="AJMER"/>
    <s v="AJMER"/>
    <s v="RJ-AJMER"/>
    <d v="2021-09-23T00:00:00"/>
  </r>
  <r>
    <s v="816471208074"/>
    <x v="103"/>
    <s v="RAVINDRA SINGH RAWAT"/>
    <n v="208074"/>
    <s v="SWASTIK STEEL TRADERS"/>
    <n v="65"/>
    <n v="0"/>
    <n v="0"/>
    <n v="55"/>
    <n v="0"/>
    <n v="0"/>
    <n v="67.5"/>
    <n v="0"/>
    <n v="0"/>
    <n v="14"/>
    <n v="0"/>
    <n v="0"/>
    <n v="37.5"/>
    <n v="0"/>
    <n v="0"/>
    <n v="54"/>
    <n v="0"/>
    <n v="5"/>
    <n v="88"/>
    <n v="0"/>
    <n v="0"/>
    <n v="62.5"/>
    <n v="0"/>
    <n v="0"/>
    <n v="443.5"/>
    <n v="0"/>
    <n v="5"/>
    <s v="AJMER"/>
    <s v="AJMER"/>
    <s v="RJ-AJMER"/>
    <d v="2021-09-23T00:00:00"/>
  </r>
  <r>
    <s v="816767208074"/>
    <x v="104"/>
    <s v="KHUSHAL DAGDI"/>
    <n v="208074"/>
    <s v="SWASTIK STEEL TRADE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AJMER"/>
    <s v="AJMER"/>
    <s v="RJ-AJMER"/>
    <d v="2021-10-18T00:00:00"/>
  </r>
  <r>
    <s v="816940208074"/>
    <x v="105"/>
    <s v="ANITA"/>
    <n v="208074"/>
    <s v="SWASTIK STEEL TRADERS"/>
    <n v="20"/>
    <n v="0"/>
    <n v="0"/>
    <n v="17.5"/>
    <n v="0"/>
    <n v="0"/>
    <n v="55"/>
    <n v="0"/>
    <n v="0"/>
    <n v="20"/>
    <n v="0"/>
    <n v="0"/>
    <n v="7.5"/>
    <n v="0"/>
    <n v="0"/>
    <n v="15"/>
    <n v="0"/>
    <n v="0"/>
    <n v="7.5"/>
    <n v="0"/>
    <n v="0"/>
    <n v="35"/>
    <n v="0"/>
    <n v="0"/>
    <n v="177.5"/>
    <n v="0"/>
    <n v="0"/>
    <s v="AJMER"/>
    <s v="AJMER"/>
    <s v="RJ-AJMER"/>
    <d v="2021-11-01T00:00:00"/>
  </r>
  <r>
    <s v="817482119029"/>
    <x v="106"/>
    <s v="N K TRADERS"/>
    <n v="119029"/>
    <s v="LALLAMAL KANHYALAL &amp; SONS"/>
    <n v="0"/>
    <n v="0"/>
    <n v="0"/>
    <n v="10"/>
    <n v="0"/>
    <n v="0"/>
    <n v="0"/>
    <n v="0"/>
    <n v="0"/>
    <n v="0"/>
    <n v="0"/>
    <n v="0"/>
    <n v="0"/>
    <n v="0"/>
    <n v="0"/>
    <n v="5"/>
    <n v="0"/>
    <n v="0"/>
    <n v="23"/>
    <n v="0"/>
    <n v="0"/>
    <n v="10"/>
    <n v="0"/>
    <n v="0"/>
    <n v="48"/>
    <n v="0"/>
    <n v="0"/>
    <s v="AJMER"/>
    <s v="AJMER"/>
    <s v="RJ-AJMER"/>
    <d v="2021-12-27T00:00:00"/>
  </r>
  <r>
    <s v="817900119208"/>
    <x v="107"/>
    <s v="SHARMA ENTERPRISES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JMER"/>
    <s v="AJMER"/>
    <s v="RJ-AJMER"/>
    <d v="2022-01-31T00:00:00"/>
  </r>
  <r>
    <s v="818227178768"/>
    <x v="108"/>
    <s v="JAI SINGH"/>
    <n v="178768"/>
    <s v="JAI BAJRANG CEMENT AGENCIES"/>
    <n v="25"/>
    <n v="0"/>
    <n v="0"/>
    <n v="15"/>
    <n v="0"/>
    <n v="0"/>
    <n v="25"/>
    <n v="0"/>
    <n v="0"/>
    <n v="10"/>
    <n v="0"/>
    <n v="0"/>
    <n v="7.5"/>
    <n v="0"/>
    <n v="0"/>
    <n v="0"/>
    <n v="0"/>
    <n v="0"/>
    <n v="0"/>
    <n v="0"/>
    <n v="0"/>
    <n v="0"/>
    <n v="0"/>
    <n v="0"/>
    <n v="82.5"/>
    <n v="0"/>
    <n v="0"/>
    <s v="AJMER"/>
    <s v="AJMER"/>
    <s v="RJ-AJMER"/>
    <d v="2022-02-28T00:00:00"/>
  </r>
  <r>
    <s v="818263208074"/>
    <x v="109"/>
    <s v="BABA RAMDEV BUILDING CONTRACTO"/>
    <n v="208074"/>
    <s v="SWASTIK STEEL TRADERS"/>
    <n v="15"/>
    <n v="10"/>
    <n v="0"/>
    <n v="30"/>
    <n v="0"/>
    <n v="0"/>
    <n v="15"/>
    <n v="0"/>
    <n v="0"/>
    <n v="10"/>
    <n v="0"/>
    <n v="0"/>
    <n v="47.5"/>
    <n v="10"/>
    <n v="10"/>
    <n v="45"/>
    <n v="10"/>
    <n v="10"/>
    <n v="27.5"/>
    <n v="0"/>
    <n v="0"/>
    <n v="0"/>
    <n v="0"/>
    <n v="0"/>
    <n v="190"/>
    <n v="30"/>
    <n v="20"/>
    <s v="AJMER"/>
    <s v="AJMER"/>
    <s v="RJ-AJMER"/>
    <d v="2022-03-03T00:00:00"/>
  </r>
  <r>
    <s v="818808119208"/>
    <x v="110"/>
    <s v="NATHULAL KUMAWAT"/>
    <s v="119208"/>
    <s v="SURAJMAL TANSUKH RAI"/>
    <n v="0"/>
    <n v="0"/>
    <n v="0"/>
    <n v="0"/>
    <n v="0"/>
    <n v="0"/>
    <n v="0"/>
    <n v="0"/>
    <n v="0"/>
    <n v="0"/>
    <n v="0"/>
    <n v="0"/>
    <n v="119"/>
    <n v="0"/>
    <n v="0"/>
    <n v="211"/>
    <n v="0"/>
    <n v="0"/>
    <n v="0"/>
    <n v="0"/>
    <n v="0"/>
    <n v="0"/>
    <n v="0"/>
    <n v="0"/>
    <n v="330"/>
    <n v="0"/>
    <n v="0"/>
    <s v="AJMER"/>
    <s v="AJMER"/>
    <s v="RJ-AJMER"/>
    <d v="2022-04-29T00:00:00"/>
  </r>
  <r>
    <s v="818959119029"/>
    <x v="111"/>
    <s v="ANIL TRADERS"/>
    <n v="119029"/>
    <s v="LALLAMAL KANHYALAL &amp; SONS"/>
    <n v="0"/>
    <n v="0"/>
    <n v="0"/>
    <n v="17"/>
    <n v="0"/>
    <n v="0"/>
    <n v="35"/>
    <n v="0"/>
    <n v="0"/>
    <n v="22.5"/>
    <n v="0"/>
    <n v="0"/>
    <n v="31"/>
    <n v="0"/>
    <n v="0"/>
    <n v="25"/>
    <n v="0"/>
    <n v="0"/>
    <n v="35"/>
    <n v="0"/>
    <n v="0"/>
    <n v="20"/>
    <n v="0"/>
    <n v="0"/>
    <n v="185.5"/>
    <n v="0"/>
    <n v="0"/>
    <s v="AJMER"/>
    <s v="AJMER"/>
    <s v="RJ-AJMER"/>
    <d v="2022-05-16T00:00:00"/>
  </r>
  <r>
    <s v="819394119042"/>
    <x v="112"/>
    <s v="JAI AMBEY CEMENT SUPPLIERS"/>
    <n v="119042"/>
    <s v="SARAS ENTERPRISES"/>
    <n v="0"/>
    <n v="0"/>
    <n v="0"/>
    <n v="0"/>
    <n v="0"/>
    <n v="0"/>
    <n v="9"/>
    <n v="0"/>
    <n v="0"/>
    <n v="7.5"/>
    <n v="0"/>
    <n v="0"/>
    <n v="127.5"/>
    <n v="5"/>
    <n v="17.5"/>
    <n v="100"/>
    <n v="0"/>
    <n v="10"/>
    <n v="160"/>
    <n v="0"/>
    <n v="10"/>
    <n v="160"/>
    <n v="0"/>
    <n v="35"/>
    <n v="564"/>
    <n v="5"/>
    <n v="37.5"/>
    <s v="AJMER"/>
    <s v="AJMER"/>
    <s v="RJ-AJMER"/>
    <d v="2022-06-17T00:00:00"/>
  </r>
  <r>
    <s v="819439119221"/>
    <x v="113"/>
    <s v="KESHAV TRADERS"/>
    <n v="119221"/>
    <s v="AKSHAY TRADERS"/>
    <n v="0"/>
    <n v="0"/>
    <n v="0"/>
    <n v="0"/>
    <n v="0"/>
    <n v="0"/>
    <n v="0"/>
    <n v="0"/>
    <n v="0"/>
    <n v="0"/>
    <n v="0"/>
    <n v="0"/>
    <n v="68"/>
    <n v="0"/>
    <n v="5"/>
    <n v="25"/>
    <n v="0"/>
    <n v="0"/>
    <n v="44.5"/>
    <n v="0"/>
    <n v="4.5"/>
    <n v="22.5"/>
    <n v="0"/>
    <n v="0"/>
    <n v="160"/>
    <n v="0"/>
    <n v="9.5"/>
    <s v="AJMER"/>
    <s v="AJMER"/>
    <s v="RJ-AJMER"/>
    <d v="2022-06-22T00:00:00"/>
  </r>
  <r>
    <s v="819590208074"/>
    <x v="114"/>
    <s v="MOHD HUSSAIN"/>
    <n v="208074"/>
    <s v="SWASTIK STEEL TRADERS"/>
    <n v="0"/>
    <n v="0"/>
    <n v="0"/>
    <n v="0"/>
    <n v="0"/>
    <n v="0"/>
    <n v="0"/>
    <n v="0"/>
    <n v="0"/>
    <n v="10"/>
    <n v="0"/>
    <n v="0"/>
    <n v="17.5"/>
    <n v="0"/>
    <n v="0"/>
    <n v="0"/>
    <n v="0"/>
    <n v="0"/>
    <n v="0"/>
    <n v="0"/>
    <n v="0"/>
    <n v="0"/>
    <n v="0"/>
    <n v="0"/>
    <n v="27.5"/>
    <n v="0"/>
    <n v="0"/>
    <s v="AJMER"/>
    <s v="AJMER"/>
    <s v="RJ-AJMER"/>
    <d v="2022-07-02T00:00:00"/>
  </r>
  <r>
    <s v="819591208074"/>
    <x v="115"/>
    <s v="RAMDEV BUILDERS"/>
    <n v="208074"/>
    <s v="SWASTIK STEEL TRADERS"/>
    <n v="0"/>
    <n v="0"/>
    <n v="0"/>
    <n v="0"/>
    <n v="0"/>
    <n v="0"/>
    <n v="0"/>
    <n v="0"/>
    <n v="0"/>
    <n v="51.3"/>
    <n v="0"/>
    <n v="0"/>
    <n v="27.5"/>
    <n v="0"/>
    <n v="0"/>
    <n v="26.5"/>
    <n v="0"/>
    <n v="0"/>
    <n v="10"/>
    <n v="0"/>
    <n v="0"/>
    <n v="28"/>
    <n v="0"/>
    <n v="0"/>
    <n v="143.30000000000001"/>
    <n v="0"/>
    <n v="0"/>
    <s v="AJMER"/>
    <s v="AJMER"/>
    <s v="RJ-AJMER"/>
    <d v="2022-07-02T00:00:00"/>
  </r>
  <r>
    <s v="820421119208"/>
    <x v="116"/>
    <s v="SUKHDEV GURJAR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231.5"/>
    <n v="0"/>
    <n v="0"/>
    <n v="120"/>
    <n v="0"/>
    <n v="0"/>
    <n v="122"/>
    <n v="0"/>
    <n v="0"/>
    <n v="473.5"/>
    <n v="0"/>
    <n v="0"/>
    <s v="AJMER"/>
    <s v="AJMER"/>
    <s v="RJ-AJMER"/>
    <d v="2022-09-07T00:00:00"/>
  </r>
  <r>
    <s v="809276119208"/>
    <x v="117"/>
    <s v="SHRI SHYAM AGENCIES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AJMER"/>
    <s v="AJMER"/>
    <s v="RJ-AJMER"/>
    <d v="2019-03-16T00:00:00"/>
  </r>
  <r>
    <s v="812623119029"/>
    <x v="118"/>
    <s v="HASNAIN ENTERPRISES"/>
    <n v="119029"/>
    <s v="LALLAMAL KANHYALAL &amp; SONS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AJMER"/>
    <s v="AJMER"/>
    <s v="RJ-AJMER"/>
    <d v="2020-08-24T00:00:00"/>
  </r>
  <r>
    <s v="819442119042"/>
    <x v="119"/>
    <s v="PANKAJ TRADERS"/>
    <n v="119042"/>
    <s v="SARAS ENTERPRISES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AJMER"/>
    <s v="AJMER"/>
    <s v="RJ-AJMER"/>
    <d v="2022-06-22T00:00:00"/>
  </r>
  <r>
    <s v="807777213433"/>
    <x v="22"/>
    <s v="RAJARAM SAMARIYA"/>
    <n v="213433"/>
    <s v="MITHULAL ROOPCHAND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36.25"/>
    <n v="1.25"/>
    <n v="0"/>
    <n v="76.25"/>
    <n v="0"/>
    <n v="0"/>
    <s v="AJMER"/>
    <s v="AJMER"/>
    <s v="RJ-AJMER"/>
    <d v="2019-01-22T00:00:00"/>
  </r>
  <r>
    <s v="806141213433"/>
    <x v="13"/>
    <s v="HARCHAND TRADERS"/>
    <n v="213433"/>
    <s v="MITHULAL ROOPCHAND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15"/>
    <n v="0"/>
    <n v="0"/>
    <n v="50"/>
    <n v="0"/>
    <n v="0"/>
    <s v="AJMER"/>
    <s v="AJMER"/>
    <s v="RJ-AJMER"/>
    <d v="2017-03-09T00:00:00"/>
  </r>
  <r>
    <s v="812136119208"/>
    <x v="120"/>
    <s v="JAI SHRI SHYAM ENTERPRISES"/>
    <n v="119208"/>
    <s v="SURAJMAL TANSUKH RA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"/>
    <n v="0"/>
    <n v="0"/>
    <n v="20"/>
    <n v="0"/>
    <n v="0"/>
    <s v="AJMER"/>
    <s v="AJMER"/>
    <s v="RJ-AJMER"/>
    <d v="2020-07-06T00:00:00"/>
  </r>
  <r>
    <s v="802105209002"/>
    <x v="121"/>
    <s v="GOYAL CONTRACTER &amp; SUPPLIARS"/>
    <n v="209002"/>
    <s v="GUPTA CEMENT AGENCY"/>
    <n v="0"/>
    <n v="0"/>
    <n v="0"/>
    <n v="13"/>
    <n v="0"/>
    <n v="0"/>
    <n v="133.05000000000001"/>
    <n v="0"/>
    <n v="5"/>
    <n v="140.5"/>
    <n v="20"/>
    <n v="0"/>
    <n v="70"/>
    <n v="0"/>
    <n v="0"/>
    <n v="140"/>
    <n v="0"/>
    <n v="0"/>
    <n v="163.19999999999999"/>
    <n v="33"/>
    <n v="3"/>
    <n v="141.5"/>
    <n v="15"/>
    <n v="5"/>
    <n v="801.25"/>
    <n v="53"/>
    <n v="8"/>
    <s v="TONK"/>
    <s v="AJMER"/>
    <s v="RJ-AJMER"/>
    <d v="2013-06-21T00:00:00"/>
  </r>
  <r>
    <s v="802870119034"/>
    <x v="122"/>
    <s v="RAJ AGENCIES"/>
    <n v="119034"/>
    <s v="SOGANI AGENC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NK"/>
    <s v="AJMER"/>
    <s v="RJ-AJMER"/>
    <d v="2013-08-30T00:00:00"/>
  </r>
  <r>
    <s v="803983119034"/>
    <x v="123"/>
    <s v="DEV BUILDING MATERIAL SUPPLIER"/>
    <n v="119034"/>
    <s v="SOGANI AGENCIES"/>
    <n v="20"/>
    <n v="0"/>
    <n v="0"/>
    <n v="41"/>
    <n v="0"/>
    <n v="0"/>
    <n v="35"/>
    <n v="0"/>
    <n v="0"/>
    <n v="17"/>
    <n v="0"/>
    <n v="0"/>
    <n v="0"/>
    <n v="0"/>
    <n v="0"/>
    <n v="10"/>
    <n v="0"/>
    <n v="0"/>
    <n v="0"/>
    <n v="0"/>
    <n v="0"/>
    <n v="0"/>
    <n v="0"/>
    <n v="0"/>
    <n v="123"/>
    <n v="0"/>
    <n v="0"/>
    <s v="TONK"/>
    <s v="AJMER"/>
    <s v="RJ-AJMER"/>
    <d v="2015-05-13T00:00:00"/>
  </r>
  <r>
    <s v="804176141674"/>
    <x v="124"/>
    <s v="ARAWALI CEMENT AGENCY"/>
    <n v="141674"/>
    <s v="ARAVALI BUILDING MATERIAL SUPP"/>
    <n v="30"/>
    <n v="0"/>
    <n v="0"/>
    <n v="82"/>
    <n v="10"/>
    <n v="0"/>
    <n v="100"/>
    <n v="0"/>
    <n v="0"/>
    <n v="91"/>
    <n v="10"/>
    <n v="0"/>
    <n v="35"/>
    <n v="0"/>
    <n v="0"/>
    <n v="122.3"/>
    <n v="18.5"/>
    <n v="0"/>
    <n v="148.25"/>
    <n v="20.25"/>
    <n v="7"/>
    <n v="170.5"/>
    <n v="30"/>
    <n v="0"/>
    <n v="779.05"/>
    <n v="58.75"/>
    <n v="7"/>
    <s v="TONK"/>
    <s v="AJMER"/>
    <s v="RJ-AJMER"/>
    <d v="2015-08-11T00:00:00"/>
  </r>
  <r>
    <s v="804251119034"/>
    <x v="125"/>
    <s v="SHRI GURU KRIPA BUILDING MATER"/>
    <n v="119034"/>
    <s v="SOGANI AGENCIES"/>
    <n v="36"/>
    <n v="0"/>
    <n v="0"/>
    <n v="20"/>
    <n v="0"/>
    <n v="0"/>
    <n v="70"/>
    <n v="0"/>
    <n v="0"/>
    <n v="60"/>
    <n v="0"/>
    <n v="0"/>
    <n v="35"/>
    <n v="0"/>
    <n v="0"/>
    <n v="31"/>
    <n v="0"/>
    <n v="6"/>
    <n v="45"/>
    <n v="0"/>
    <n v="0"/>
    <n v="40"/>
    <n v="0"/>
    <n v="0"/>
    <n v="337"/>
    <n v="0"/>
    <n v="6"/>
    <s v="TONK"/>
    <s v="AJMER"/>
    <s v="RJ-AJMER"/>
    <d v="2015-09-01T00:00:00"/>
  </r>
  <r>
    <s v="805911170115"/>
    <x v="126"/>
    <s v="JAGDAMBA TRADERS"/>
    <n v="170115"/>
    <s v="YADAV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NK"/>
    <s v="AJMER"/>
    <s v="RJ-AJMER"/>
    <d v="2016-12-30T00:00:00"/>
  </r>
  <r>
    <s v="806395170550"/>
    <x v="127"/>
    <s v="SHREE JALDEVI CONSTRUCTION &amp; C"/>
    <n v="170550"/>
    <s v="SHIV TRADERS"/>
    <n v="70"/>
    <n v="0"/>
    <n v="0"/>
    <n v="20"/>
    <n v="0"/>
    <n v="0"/>
    <n v="75"/>
    <n v="0"/>
    <n v="0"/>
    <n v="16.5"/>
    <n v="0"/>
    <n v="0"/>
    <n v="0"/>
    <n v="0"/>
    <n v="0"/>
    <n v="0"/>
    <n v="0"/>
    <n v="0"/>
    <n v="15"/>
    <n v="0"/>
    <n v="0"/>
    <n v="0"/>
    <n v="0"/>
    <n v="0"/>
    <n v="196.5"/>
    <n v="0"/>
    <n v="0"/>
    <s v="TONK"/>
    <s v="AJMER"/>
    <s v="RJ-AJMER"/>
    <d v="2017-05-26T00:00:00"/>
  </r>
  <r>
    <s v="806969119034"/>
    <x v="128"/>
    <s v="LALA RAM BEEJ BHANDAR"/>
    <n v="119034"/>
    <s v="SOGANI AGENC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NK"/>
    <s v="AJMER"/>
    <s v="RJ-AJMER"/>
    <d v="2017-10-12T00:00:00"/>
  </r>
  <r>
    <s v="808348119034"/>
    <x v="129"/>
    <s v="MUSKAN BUILDING MATERIAL SUPPL"/>
    <n v="119034"/>
    <s v="SOGANI AGENCIES"/>
    <n v="22"/>
    <n v="0"/>
    <n v="0"/>
    <n v="15"/>
    <n v="0"/>
    <n v="0"/>
    <n v="30"/>
    <n v="0"/>
    <n v="0"/>
    <n v="25"/>
    <n v="0"/>
    <n v="0"/>
    <n v="0"/>
    <n v="0"/>
    <n v="0"/>
    <n v="0"/>
    <n v="0"/>
    <n v="0"/>
    <n v="25"/>
    <n v="0"/>
    <n v="0"/>
    <n v="15"/>
    <n v="0"/>
    <n v="0"/>
    <n v="132"/>
    <n v="0"/>
    <n v="0"/>
    <s v="TONK"/>
    <s v="AJMER"/>
    <s v="RJ-AJMER"/>
    <d v="2018-05-12T00:00:00"/>
  </r>
  <r>
    <s v="809121141177"/>
    <x v="130"/>
    <s v="HARISH TRADING COMPANY"/>
    <n v="141177"/>
    <s v="MANISH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NK"/>
    <s v="AJMER"/>
    <s v="RJ-AJMER"/>
    <d v="2019-02-13T00:00:00"/>
  </r>
  <r>
    <s v="811184201090"/>
    <x v="131"/>
    <s v="BAJRANG LAL JAT"/>
    <n v="201090"/>
    <s v="SHANKAR LAL CONSTRUCTION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NK"/>
    <s v="AJMER"/>
    <s v="RJ-AJMER"/>
    <d v="2020-01-04T00:00:00"/>
  </r>
  <r>
    <s v="811185119034"/>
    <x v="132"/>
    <s v="SHREE ARIHANT TRADING COMPANY"/>
    <n v="119034"/>
    <s v="SOGANI AGENCIES"/>
    <n v="10"/>
    <n v="0"/>
    <n v="0"/>
    <n v="15"/>
    <n v="0"/>
    <n v="0"/>
    <n v="15"/>
    <n v="0"/>
    <n v="0"/>
    <n v="0"/>
    <n v="0"/>
    <n v="0"/>
    <n v="0"/>
    <n v="0"/>
    <n v="0"/>
    <n v="0"/>
    <n v="0"/>
    <n v="0"/>
    <n v="10"/>
    <n v="0"/>
    <n v="0"/>
    <n v="0"/>
    <n v="0"/>
    <n v="0"/>
    <n v="50"/>
    <n v="0"/>
    <n v="0"/>
    <s v="TONK"/>
    <s v="AJMER"/>
    <s v="RJ-AJMER"/>
    <d v="2020-01-04T00:00:00"/>
  </r>
  <r>
    <s v="811360170013"/>
    <x v="133"/>
    <s v="SHIKHAR CHAND JAIN"/>
    <n v="170013"/>
    <s v="PADAM CHAND AND BROTHERS"/>
    <n v="72.5"/>
    <n v="0"/>
    <n v="0"/>
    <n v="50"/>
    <n v="0"/>
    <n v="0"/>
    <n v="35"/>
    <n v="0"/>
    <n v="0"/>
    <n v="70"/>
    <n v="0"/>
    <n v="35"/>
    <n v="62"/>
    <n v="0"/>
    <n v="10"/>
    <n v="75"/>
    <n v="0"/>
    <n v="0"/>
    <n v="54"/>
    <n v="0"/>
    <n v="35"/>
    <n v="35"/>
    <n v="0"/>
    <n v="0"/>
    <n v="453.5"/>
    <n v="0"/>
    <n v="80"/>
    <s v="TONK"/>
    <s v="AJMER"/>
    <s v="RJ-AJMER"/>
    <d v="2020-01-29T00:00:00"/>
  </r>
  <r>
    <s v="811523201117"/>
    <x v="134"/>
    <s v="PIYUSH ANUJ"/>
    <n v="201117"/>
    <s v="LOKESH ROOFING'S"/>
    <n v="44"/>
    <n v="71"/>
    <n v="0"/>
    <n v="91"/>
    <n v="10"/>
    <n v="0"/>
    <n v="90"/>
    <n v="40"/>
    <n v="0"/>
    <n v="87.25"/>
    <n v="27.25"/>
    <n v="16.5"/>
    <n v="40"/>
    <n v="30"/>
    <n v="0"/>
    <n v="65.95"/>
    <n v="0"/>
    <n v="0"/>
    <n v="98.5"/>
    <n v="8"/>
    <n v="8"/>
    <n v="101.5"/>
    <n v="30"/>
    <n v="5"/>
    <n v="618.20000000000005"/>
    <n v="186.25"/>
    <n v="24.5"/>
    <s v="TONK"/>
    <s v="AJMER"/>
    <s v="RJ-AJMER"/>
    <d v="2020-02-17T00:00:00"/>
  </r>
  <r>
    <s v="811534119034"/>
    <x v="135"/>
    <s v="AJAY KUMAR SHARMA"/>
    <n v="119034"/>
    <s v="SOGANI AGENCIES"/>
    <n v="20"/>
    <n v="2.25"/>
    <n v="0"/>
    <n v="27.25"/>
    <n v="0"/>
    <n v="0"/>
    <n v="18"/>
    <n v="0"/>
    <n v="0"/>
    <n v="22"/>
    <n v="0"/>
    <n v="0"/>
    <n v="0"/>
    <n v="0"/>
    <n v="0"/>
    <n v="0"/>
    <n v="0"/>
    <n v="0"/>
    <n v="25"/>
    <n v="0"/>
    <n v="0"/>
    <n v="0"/>
    <n v="0"/>
    <n v="0"/>
    <n v="112.25"/>
    <n v="2.25"/>
    <n v="0"/>
    <s v="TONK"/>
    <s v="AJMER"/>
    <s v="RJ-AJMER"/>
    <d v="2020-02-18T00:00:00"/>
  </r>
  <r>
    <s v="811582170550"/>
    <x v="136"/>
    <s v="MOHAN LAL"/>
    <n v="170550"/>
    <s v="SHIV TRADERS"/>
    <n v="43.5"/>
    <n v="0"/>
    <n v="0"/>
    <n v="42"/>
    <n v="0"/>
    <n v="0"/>
    <n v="71"/>
    <n v="0"/>
    <n v="0"/>
    <n v="30"/>
    <n v="0"/>
    <n v="5"/>
    <n v="0"/>
    <n v="0"/>
    <n v="0"/>
    <n v="35"/>
    <n v="0"/>
    <n v="0"/>
    <n v="16"/>
    <n v="0"/>
    <n v="0"/>
    <n v="14.95"/>
    <n v="0"/>
    <n v="0"/>
    <n v="252.45"/>
    <n v="0"/>
    <n v="5"/>
    <s v="TONK"/>
    <s v="AJMER"/>
    <s v="RJ-AJMER"/>
    <d v="2020-02-24T00:00:00"/>
  </r>
  <r>
    <s v="811584170013"/>
    <x v="137"/>
    <s v="MANISHA TRADERS"/>
    <n v="170013"/>
    <s v="PADAM CHAND AND BR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NK"/>
    <s v="AJMER"/>
    <s v="RJ-AJMER"/>
    <d v="2020-02-24T00:00:00"/>
  </r>
  <r>
    <s v="811585202288"/>
    <x v="138"/>
    <s v="RAM NIWAS SISODIYA"/>
    <n v="202288"/>
    <s v="DEEPAK TRADING COMPANY"/>
    <n v="0"/>
    <n v="0"/>
    <n v="0"/>
    <n v="3.5"/>
    <n v="0"/>
    <n v="0"/>
    <n v="12.5"/>
    <n v="8"/>
    <n v="0"/>
    <n v="0"/>
    <n v="0"/>
    <n v="0"/>
    <n v="0"/>
    <n v="0"/>
    <n v="0"/>
    <n v="0"/>
    <n v="0"/>
    <n v="0"/>
    <n v="0"/>
    <n v="0"/>
    <n v="0"/>
    <n v="0"/>
    <n v="0"/>
    <n v="0"/>
    <n v="16"/>
    <n v="8"/>
    <n v="0"/>
    <s v="TONK"/>
    <s v="AJMER"/>
    <s v="RJ-AJMER"/>
    <d v="2020-02-24T00:00:00"/>
  </r>
  <r>
    <s v="811628202288"/>
    <x v="139"/>
    <s v="DASHRATH LAL SVAMI"/>
    <n v="202288"/>
    <s v="DEEPAK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NK"/>
    <s v="AJMER"/>
    <s v="RJ-AJMER"/>
    <d v="2020-02-27T00:00:00"/>
  </r>
  <r>
    <s v="811629170013"/>
    <x v="140"/>
    <s v="HARI NARAYAN SHARMA"/>
    <n v="170013"/>
    <s v="PADAM CHAND AND BROTHERS"/>
    <n v="0"/>
    <n v="0"/>
    <n v="0"/>
    <n v="2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s v="TONK"/>
    <s v="AJMER"/>
    <s v="RJ-AJMER"/>
    <d v="2020-02-27T00:00:00"/>
  </r>
  <r>
    <s v="811771170550"/>
    <x v="141"/>
    <s v="SHARMA SANITARY &amp; BUILDING MAT"/>
    <n v="170550"/>
    <s v="SHIV TRADERS"/>
    <n v="55"/>
    <n v="0"/>
    <n v="0"/>
    <n v="27"/>
    <n v="0"/>
    <n v="0"/>
    <n v="63"/>
    <n v="8"/>
    <n v="10"/>
    <n v="32"/>
    <n v="0"/>
    <n v="12"/>
    <n v="18"/>
    <n v="0"/>
    <n v="0"/>
    <n v="43"/>
    <n v="0"/>
    <n v="11.5"/>
    <n v="37"/>
    <n v="0"/>
    <n v="0"/>
    <n v="45"/>
    <n v="0"/>
    <n v="8"/>
    <n v="320"/>
    <n v="8"/>
    <n v="33.5"/>
    <s v="TONK"/>
    <s v="AJMER"/>
    <s v="RJ-AJMER"/>
    <d v="2020-03-20T00:00:00"/>
  </r>
  <r>
    <s v="812472170115"/>
    <x v="142"/>
    <s v="RAJENDER CHOUDHARY"/>
    <n v="170115"/>
    <s v="YADAV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NK"/>
    <s v="AJMER"/>
    <s v="RJ-AJMER"/>
    <d v="2020-08-10T00:00:00"/>
  </r>
  <r>
    <s v="812812202288"/>
    <x v="143"/>
    <s v="JITENDRA SINGH RATHORE"/>
    <n v="202288"/>
    <s v="DEEPAK TRADING COMPANY"/>
    <n v="48"/>
    <n v="0"/>
    <n v="0"/>
    <n v="0"/>
    <n v="0"/>
    <n v="0"/>
    <n v="10"/>
    <n v="0"/>
    <n v="0"/>
    <n v="20"/>
    <n v="4"/>
    <n v="0"/>
    <n v="0"/>
    <n v="0"/>
    <n v="0"/>
    <n v="42"/>
    <n v="0"/>
    <n v="0"/>
    <n v="19.5"/>
    <n v="8.5"/>
    <n v="0"/>
    <n v="9"/>
    <n v="5"/>
    <n v="0"/>
    <n v="148.5"/>
    <n v="12.5"/>
    <n v="0"/>
    <s v="TONK"/>
    <s v="AJMER"/>
    <s v="RJ-AJMER"/>
    <d v="2020-09-07T00:00:00"/>
  </r>
  <r>
    <s v="812859119034"/>
    <x v="144"/>
    <s v="RAMKHILADI GURJAR"/>
    <n v="119034"/>
    <s v="SOGANI AGENCIES"/>
    <n v="0"/>
    <n v="8.75"/>
    <n v="0"/>
    <n v="43.75"/>
    <n v="0"/>
    <n v="0"/>
    <n v="25"/>
    <n v="0"/>
    <n v="0"/>
    <n v="45"/>
    <n v="5.5"/>
    <n v="0"/>
    <n v="25"/>
    <n v="0"/>
    <n v="0"/>
    <n v="0"/>
    <n v="0"/>
    <n v="0"/>
    <n v="17.5"/>
    <n v="0"/>
    <n v="0"/>
    <n v="17.5"/>
    <n v="17.5"/>
    <n v="0"/>
    <n v="173.75"/>
    <n v="14.25"/>
    <n v="0"/>
    <s v="TONK"/>
    <s v="AJMER"/>
    <s v="RJ-AJMER"/>
    <d v="2020-09-09T00:00:00"/>
  </r>
  <r>
    <s v="812866141674"/>
    <x v="145"/>
    <s v="FOJMAL DHABAI"/>
    <n v="141674"/>
    <s v="ARAVALI BUILDING MATERIAL SUPP"/>
    <n v="55"/>
    <n v="5"/>
    <n v="0"/>
    <n v="44"/>
    <n v="0"/>
    <n v="0"/>
    <n v="40"/>
    <n v="0"/>
    <n v="0"/>
    <n v="65"/>
    <n v="3"/>
    <n v="23"/>
    <n v="12"/>
    <n v="0"/>
    <n v="7"/>
    <n v="0"/>
    <n v="0"/>
    <n v="0"/>
    <n v="18"/>
    <n v="0"/>
    <n v="0"/>
    <n v="98.5"/>
    <n v="25.5"/>
    <n v="0"/>
    <n v="332.5"/>
    <n v="8"/>
    <n v="30"/>
    <s v="TONK"/>
    <s v="AJMER"/>
    <s v="RJ-AJMER"/>
    <d v="2020-09-10T00:00:00"/>
  </r>
  <r>
    <s v="812971142353"/>
    <x v="146"/>
    <s v="SUNIL KUMAWAT"/>
    <n v="142353"/>
    <s v="SUNIL BUILDING MATERIAL"/>
    <n v="0"/>
    <n v="0"/>
    <n v="0"/>
    <n v="90"/>
    <n v="0"/>
    <n v="0"/>
    <n v="175"/>
    <n v="20"/>
    <n v="40"/>
    <n v="70"/>
    <n v="0"/>
    <n v="0"/>
    <n v="70"/>
    <n v="0"/>
    <n v="35"/>
    <n v="2"/>
    <n v="0"/>
    <n v="0"/>
    <n v="20"/>
    <n v="10"/>
    <n v="0"/>
    <n v="15"/>
    <n v="0"/>
    <n v="0"/>
    <n v="442"/>
    <n v="30"/>
    <n v="75"/>
    <s v="TONK"/>
    <s v="AJMER"/>
    <s v="RJ-AJMER"/>
    <d v="2020-09-18T00:00:00"/>
  </r>
  <r>
    <s v="813290202288"/>
    <x v="147"/>
    <s v="MEHEBUB KHAN"/>
    <n v="202288"/>
    <s v="DEEPAK TRADING COMPANY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8"/>
    <n v="0"/>
    <n v="0"/>
    <s v="TONK"/>
    <s v="AJMER"/>
    <s v="RJ-AJMER"/>
    <d v="2020-10-15T00:00:00"/>
  </r>
  <r>
    <s v="815597170550"/>
    <x v="148"/>
    <s v="SHIV ENTERPRISES"/>
    <n v="170550"/>
    <s v="SHIV TRADERS"/>
    <n v="148"/>
    <n v="42.5"/>
    <n v="0"/>
    <n v="147.5"/>
    <n v="25"/>
    <n v="0"/>
    <n v="257.5"/>
    <n v="38"/>
    <n v="35"/>
    <n v="86.25"/>
    <n v="16.25"/>
    <n v="57"/>
    <n v="121"/>
    <n v="56"/>
    <n v="28"/>
    <n v="114"/>
    <n v="35"/>
    <n v="8"/>
    <n v="59.5"/>
    <n v="0"/>
    <n v="14.5"/>
    <n v="138"/>
    <n v="20"/>
    <n v="20"/>
    <n v="1071.75"/>
    <n v="212.75"/>
    <n v="142.5"/>
    <s v="TONK"/>
    <s v="AJMER"/>
    <s v="RJ-AJMER"/>
    <d v="2021-07-22T00:00:00"/>
  </r>
  <r>
    <s v="815668170325"/>
    <x v="149"/>
    <s v="NARESH KUMAR KALWAR"/>
    <n v="170325"/>
    <s v="MANOJ TRADERS"/>
    <n v="25"/>
    <n v="0"/>
    <n v="0"/>
    <n v="55"/>
    <n v="0"/>
    <n v="0"/>
    <n v="40"/>
    <n v="0"/>
    <n v="0"/>
    <n v="25"/>
    <n v="0"/>
    <n v="0"/>
    <n v="65"/>
    <n v="0"/>
    <n v="0"/>
    <n v="35"/>
    <n v="0"/>
    <n v="0"/>
    <n v="45"/>
    <n v="0"/>
    <n v="0"/>
    <n v="20"/>
    <n v="0"/>
    <n v="0"/>
    <n v="310"/>
    <n v="0"/>
    <n v="0"/>
    <s v="TONK"/>
    <s v="AJMER"/>
    <s v="RJ-AJMER"/>
    <d v="2021-07-27T00:00:00"/>
  </r>
  <r>
    <s v="816483170115"/>
    <x v="150"/>
    <s v="RAHUL CONSTRUCTION"/>
    <n v="170115"/>
    <s v="YADAV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TONK"/>
    <s v="AJMER"/>
    <s v="RJ-AJMER"/>
    <d v="2021-09-24T00:00:00"/>
  </r>
  <r>
    <s v="816627209563"/>
    <x v="151"/>
    <s v="A B SALES CORPORATION"/>
    <n v="209563"/>
    <s v="GOYAL ENTERPRISES"/>
    <n v="75"/>
    <n v="7"/>
    <n v="0"/>
    <n v="65"/>
    <n v="10"/>
    <n v="0"/>
    <n v="41"/>
    <n v="6"/>
    <n v="4"/>
    <n v="68.5"/>
    <n v="9.75"/>
    <n v="0"/>
    <n v="42"/>
    <n v="0"/>
    <n v="10"/>
    <n v="39.5"/>
    <n v="13.5"/>
    <n v="0"/>
    <n v="36"/>
    <n v="0"/>
    <n v="0"/>
    <n v="50"/>
    <n v="10"/>
    <n v="0"/>
    <n v="417"/>
    <n v="46.25"/>
    <n v="14"/>
    <s v="TONK"/>
    <s v="AJMER"/>
    <s v="RJ-AJMER"/>
    <d v="2021-10-02T00:00:00"/>
  </r>
  <r>
    <s v="818201201117"/>
    <x v="152"/>
    <s v="REKHRAJ CHOUDHARY"/>
    <n v="201117"/>
    <s v="LOKESH ROOFING'S"/>
    <n v="9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14"/>
    <n v="0"/>
    <n v="0"/>
    <s v="TONK"/>
    <s v="AJMER"/>
    <s v="RJ-AJMER"/>
    <d v="2022-02-28T00:00:00"/>
  </r>
  <r>
    <s v="818207207192"/>
    <x v="153"/>
    <s v="SHREEJI TRADING COMPANY"/>
    <n v="207192"/>
    <s v="GOYAL TRADING COMPANY"/>
    <n v="0"/>
    <n v="0"/>
    <n v="0"/>
    <n v="12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s v="TONK"/>
    <s v="AJMER"/>
    <s v="RJ-AJMER"/>
    <d v="2022-02-28T00:00:00"/>
  </r>
  <r>
    <s v="818216170325"/>
    <x v="154"/>
    <s v="MAHIMA BUILDING MATERIALS"/>
    <n v="170325"/>
    <s v="MANOJ TRADERS"/>
    <n v="45"/>
    <n v="0"/>
    <n v="0"/>
    <n v="70"/>
    <n v="0"/>
    <n v="0"/>
    <n v="86"/>
    <n v="10"/>
    <n v="10"/>
    <n v="0"/>
    <n v="0"/>
    <n v="0"/>
    <n v="35"/>
    <n v="0"/>
    <n v="0"/>
    <n v="70"/>
    <n v="0"/>
    <n v="0"/>
    <n v="4.5"/>
    <n v="0"/>
    <n v="0"/>
    <n v="10"/>
    <n v="5.25"/>
    <n v="0"/>
    <n v="320.5"/>
    <n v="10"/>
    <n v="10"/>
    <s v="TONK"/>
    <s v="AJMER"/>
    <s v="RJ-AJMER"/>
    <d v="2022-02-28T00:00:00"/>
  </r>
  <r>
    <s v="818221119034"/>
    <x v="155"/>
    <s v="PREETI JOSHI"/>
    <n v="119034"/>
    <s v="SOGANI AGENCIES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s v="TONK"/>
    <s v="AJMER"/>
    <s v="RJ-AJMER"/>
    <d v="2022-02-28T00:00:00"/>
  </r>
  <r>
    <s v="818221211813"/>
    <x v="155"/>
    <s v="PREETI JOSHI"/>
    <n v="211813"/>
    <s v="BARJATYA BUILDING MATERIAL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35"/>
    <n v="0"/>
    <n v="0"/>
    <n v="55"/>
    <n v="0"/>
    <n v="0"/>
    <s v="TONK"/>
    <s v="AJMER"/>
    <s v="RJ-AJMER"/>
    <d v="2022-02-28T00:00:00"/>
  </r>
  <r>
    <s v="819131119034"/>
    <x v="156"/>
    <s v="SHREE BALAJI ENTERPRISES SIROH"/>
    <n v="119034"/>
    <s v="SOGANI AGENCIES"/>
    <n v="0"/>
    <n v="0"/>
    <n v="0"/>
    <n v="0"/>
    <n v="0"/>
    <n v="0"/>
    <n v="20"/>
    <n v="0"/>
    <n v="0"/>
    <n v="10"/>
    <n v="0"/>
    <n v="0"/>
    <n v="0"/>
    <n v="0"/>
    <n v="0"/>
    <n v="0"/>
    <n v="0"/>
    <n v="0"/>
    <n v="0"/>
    <n v="0"/>
    <n v="0"/>
    <n v="10"/>
    <n v="0"/>
    <n v="0"/>
    <n v="40"/>
    <n v="0"/>
    <n v="0"/>
    <s v="TONK"/>
    <s v="AJMER"/>
    <s v="RJ-AJMER"/>
    <d v="2022-05-31T00:00:00"/>
  </r>
  <r>
    <s v="819178209563"/>
    <x v="157"/>
    <s v="VARDHAMAN CEMENT SALES"/>
    <n v="209563"/>
    <s v="GOYAL ENTERPRISES"/>
    <n v="0"/>
    <n v="0"/>
    <n v="0"/>
    <n v="0"/>
    <n v="0"/>
    <n v="0"/>
    <n v="86.7"/>
    <n v="0"/>
    <n v="0"/>
    <n v="81"/>
    <n v="5"/>
    <n v="0"/>
    <n v="17.5"/>
    <n v="10"/>
    <n v="0"/>
    <n v="61.35"/>
    <n v="5.35"/>
    <n v="0"/>
    <n v="50"/>
    <n v="0"/>
    <n v="8"/>
    <n v="97.3"/>
    <n v="7"/>
    <n v="10"/>
    <n v="393.84999999999997"/>
    <n v="20.350000000000001"/>
    <n v="8"/>
    <s v="TONK"/>
    <s v="AJMER"/>
    <s v="RJ-AJMER"/>
    <d v="2022-06-03T00:00:00"/>
  </r>
  <r>
    <s v="811585201117"/>
    <x v="138"/>
    <s v="RAM NIWAS SISODIYA"/>
    <n v="201117"/>
    <s v="LOKESH ROOFING'S"/>
    <n v="0"/>
    <n v="0"/>
    <n v="0"/>
    <n v="0"/>
    <n v="0"/>
    <n v="0"/>
    <n v="0"/>
    <n v="0"/>
    <n v="0"/>
    <n v="0"/>
    <n v="0"/>
    <n v="0"/>
    <n v="0"/>
    <n v="0"/>
    <n v="0"/>
    <n v="30"/>
    <n v="10"/>
    <n v="0"/>
    <n v="10"/>
    <n v="10"/>
    <n v="0"/>
    <n v="0"/>
    <n v="0"/>
    <n v="0"/>
    <n v="40"/>
    <n v="20"/>
    <n v="0"/>
    <s v="TONK"/>
    <s v="AJMER"/>
    <s v="RJ-AJMER"/>
    <d v="2020-02-24T00:00:00"/>
  </r>
  <r>
    <s v="820599213202"/>
    <x v="158"/>
    <s v="SHREE BALAJI TRADERS"/>
    <n v="213202"/>
    <s v="MAHAVEER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2"/>
    <n v="0"/>
    <n v="26"/>
    <n v="47"/>
    <n v="0"/>
    <n v="0"/>
    <s v="TONK"/>
    <s v="AJMER"/>
    <s v="RJ-AJMER"/>
    <d v="2022-09-19T00:00:00"/>
  </r>
  <r>
    <s v="807305173865"/>
    <x v="159"/>
    <s v="SUMAN CEMENT AGENCY"/>
    <n v="173865"/>
    <s v="BHARDWAJ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AN"/>
    <s v="KOTA"/>
    <s v="RJ-AJMER"/>
    <d v="2018-12-06T00:00:00"/>
  </r>
  <r>
    <s v="811093176844"/>
    <x v="160"/>
    <s v="YOGENDRA GOYAL"/>
    <n v="176844"/>
    <s v="MITTAL BUILDING MATERIAL"/>
    <n v="20"/>
    <n v="0"/>
    <n v="0"/>
    <n v="27"/>
    <n v="0"/>
    <n v="0"/>
    <n v="69"/>
    <n v="0"/>
    <n v="0"/>
    <n v="48"/>
    <n v="0"/>
    <n v="0"/>
    <n v="20"/>
    <n v="0"/>
    <n v="0"/>
    <n v="20"/>
    <n v="0"/>
    <n v="10"/>
    <n v="10"/>
    <n v="0"/>
    <n v="0"/>
    <n v="100"/>
    <n v="0"/>
    <n v="20"/>
    <n v="314"/>
    <n v="0"/>
    <n v="10"/>
    <s v="BARAN"/>
    <s v="KOTA"/>
    <s v="RJ-AJMER"/>
    <d v="2019-12-27T00:00:00"/>
  </r>
  <r>
    <s v="811165176844"/>
    <x v="161"/>
    <s v="ROHIT KUMAR MITTAL"/>
    <n v="176844"/>
    <s v="MITTAL BUILDING MATERIAL"/>
    <n v="70"/>
    <n v="0"/>
    <n v="0"/>
    <n v="47"/>
    <n v="0"/>
    <n v="0"/>
    <n v="55"/>
    <n v="0"/>
    <n v="0"/>
    <n v="25"/>
    <n v="0"/>
    <n v="0"/>
    <n v="14"/>
    <n v="0"/>
    <n v="0"/>
    <n v="20"/>
    <n v="0"/>
    <n v="10"/>
    <n v="10"/>
    <n v="0"/>
    <n v="0"/>
    <n v="30"/>
    <n v="0"/>
    <n v="0"/>
    <n v="271"/>
    <n v="0"/>
    <n v="10"/>
    <s v="BARAN"/>
    <s v="KOTA"/>
    <s v="RJ-AJMER"/>
    <d v="2020-01-03T00:00:00"/>
  </r>
  <r>
    <s v="811681177425"/>
    <x v="162"/>
    <s v="DHAKER CEMENT AGENCY"/>
    <n v="177425"/>
    <s v="KRISHNA FERTILIZERS"/>
    <n v="20"/>
    <n v="0"/>
    <n v="0"/>
    <n v="50"/>
    <n v="0"/>
    <n v="0"/>
    <n v="70"/>
    <n v="0"/>
    <n v="0"/>
    <n v="45"/>
    <n v="0"/>
    <n v="20"/>
    <n v="0"/>
    <n v="0"/>
    <n v="0"/>
    <n v="50"/>
    <n v="0"/>
    <n v="10"/>
    <n v="30"/>
    <n v="0"/>
    <n v="0"/>
    <n v="55"/>
    <n v="0"/>
    <n v="0"/>
    <n v="320"/>
    <n v="0"/>
    <n v="30"/>
    <s v="BARAN"/>
    <s v="KOTA"/>
    <s v="RJ-AJMER"/>
    <d v="2020-03-05T00:00:00"/>
  </r>
  <r>
    <s v="811897173611"/>
    <x v="163"/>
    <s v="SHREE DHAKAD BUILDING MATERIAL"/>
    <n v="173611"/>
    <s v="AMBIKA TRADERS"/>
    <n v="0"/>
    <n v="0"/>
    <n v="0"/>
    <n v="3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s v="BARAN"/>
    <s v="KOTA"/>
    <s v="RJ-AJMER"/>
    <d v="2020-06-10T00:00:00"/>
  </r>
  <r>
    <s v="812617173298"/>
    <x v="164"/>
    <s v="SHREE GIRRAJ JI TRADERS"/>
    <n v="173298"/>
    <s v="RAKHI AGRO SALES"/>
    <n v="82.9"/>
    <n v="0"/>
    <n v="0"/>
    <n v="16"/>
    <n v="0.9"/>
    <n v="0"/>
    <n v="60"/>
    <n v="0"/>
    <n v="0"/>
    <n v="59.65"/>
    <n v="0"/>
    <n v="15"/>
    <n v="16"/>
    <n v="0"/>
    <n v="0"/>
    <n v="20"/>
    <n v="0"/>
    <n v="0"/>
    <n v="50"/>
    <n v="0"/>
    <n v="0"/>
    <n v="14.5"/>
    <n v="0"/>
    <n v="0"/>
    <n v="319.05"/>
    <n v="0.9"/>
    <n v="15"/>
    <s v="BARAN"/>
    <s v="KOTA"/>
    <s v="RJ-AJMER"/>
    <d v="2020-08-22T00:00:00"/>
  </r>
  <r>
    <s v="812723179163"/>
    <x v="165"/>
    <s v="MAHAVEER MEHTA"/>
    <n v="179163"/>
    <s v="NAGAR CEMANT AGENCY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s v="BARAN"/>
    <s v="KOTA"/>
    <s v="RJ-AJMER"/>
    <d v="2020-08-31T00:00:00"/>
  </r>
  <r>
    <s v="812723179387"/>
    <x v="165"/>
    <s v="MAHAVEER MEHTA"/>
    <n v="179387"/>
    <s v="AMIT KUMAR &amp; COMPANY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s v="BARAN"/>
    <s v="KOTA"/>
    <s v="RJ-AJMER"/>
    <d v="2020-08-31T00:00:00"/>
  </r>
  <r>
    <s v="812723202980"/>
    <x v="165"/>
    <s v="MAHAVEER MEHTA"/>
    <n v="202980"/>
    <s v="KAPI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AN"/>
    <s v="KOTA"/>
    <s v="RJ-AJMER"/>
    <d v="2020-08-31T00:00:00"/>
  </r>
  <r>
    <s v="812723207895"/>
    <x v="165"/>
    <s v="MAHAVEER MEHTA"/>
    <n v="207895"/>
    <s v="NISHANT ASSOCIATES"/>
    <n v="0"/>
    <n v="0"/>
    <n v="0"/>
    <n v="0"/>
    <n v="0"/>
    <n v="0"/>
    <n v="5"/>
    <n v="0"/>
    <n v="0"/>
    <n v="0"/>
    <n v="0"/>
    <n v="0"/>
    <n v="15"/>
    <n v="0"/>
    <n v="0"/>
    <n v="0"/>
    <n v="0"/>
    <n v="0"/>
    <n v="0"/>
    <n v="0"/>
    <n v="0"/>
    <n v="0"/>
    <n v="0"/>
    <n v="0"/>
    <n v="20"/>
    <n v="0"/>
    <n v="0"/>
    <s v="BARAN"/>
    <s v="KOTA"/>
    <s v="RJ-AJMER"/>
    <d v="2020-08-31T00:00:00"/>
  </r>
  <r>
    <s v="813099173865"/>
    <x v="166"/>
    <s v="MAHADEV CEMENT AGENCY"/>
    <n v="173865"/>
    <s v="BHARDWAJ TRADERS"/>
    <n v="15"/>
    <n v="0"/>
    <n v="0"/>
    <n v="0"/>
    <n v="0"/>
    <n v="0"/>
    <n v="15"/>
    <n v="0"/>
    <n v="0"/>
    <n v="42.5"/>
    <n v="0"/>
    <n v="2.5"/>
    <n v="8"/>
    <n v="0"/>
    <n v="0"/>
    <n v="17.3"/>
    <n v="0"/>
    <n v="0"/>
    <n v="11.5"/>
    <n v="0"/>
    <n v="0"/>
    <n v="34.5"/>
    <n v="0"/>
    <n v="0"/>
    <n v="143.80000000000001"/>
    <n v="0"/>
    <n v="2.5"/>
    <s v="BARAN"/>
    <s v="KOTA"/>
    <s v="RJ-AJMER"/>
    <d v="2020-09-28T00:00:00"/>
  </r>
  <r>
    <s v="813101173865"/>
    <x v="167"/>
    <s v="KRISHNA VATAR"/>
    <n v="173865"/>
    <s v="BHARDWAJ TRADERS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3"/>
    <n v="0"/>
    <n v="0"/>
    <s v="BARAN"/>
    <s v="KOTA"/>
    <s v="RJ-AJMER"/>
    <d v="2020-09-28T00:00:00"/>
  </r>
  <r>
    <s v="813118173865"/>
    <x v="168"/>
    <s v="SHUBH DEEP KRISHI MANDIR"/>
    <n v="173865"/>
    <s v="BHARDWAJ TRADERS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5"/>
    <n v="0"/>
    <n v="0"/>
    <s v="BARAN"/>
    <s v="KOTA"/>
    <s v="RJ-AJMER"/>
    <d v="2020-09-29T00:00:00"/>
  </r>
  <r>
    <s v="814507173611"/>
    <x v="169"/>
    <s v="RAJARAM KUMAWAT"/>
    <n v="173611"/>
    <s v="AMBIK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AN"/>
    <s v="KOTA"/>
    <s v="RJ-AJMER"/>
    <d v="2021-02-17T00:00:00"/>
  </r>
  <r>
    <s v="814539201654"/>
    <x v="170"/>
    <s v="ARIHANT TRADERS"/>
    <n v="201654"/>
    <s v="GARG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AN"/>
    <s v="KOTA"/>
    <s v="RJ-AJMER"/>
    <d v="2021-02-19T00:00:00"/>
  </r>
  <r>
    <s v="814693173298"/>
    <x v="171"/>
    <s v="DOLI NAGAR ENTERPRISES"/>
    <n v="173298"/>
    <s v="RAKHI AGRO SALES"/>
    <n v="13"/>
    <n v="0"/>
    <n v="0"/>
    <n v="0"/>
    <n v="3"/>
    <n v="0"/>
    <n v="0"/>
    <n v="0"/>
    <n v="0"/>
    <n v="0"/>
    <n v="0"/>
    <n v="0"/>
    <n v="0"/>
    <n v="0"/>
    <n v="0"/>
    <n v="5"/>
    <n v="0"/>
    <n v="0"/>
    <n v="10"/>
    <n v="0"/>
    <n v="0"/>
    <n v="20"/>
    <n v="0"/>
    <n v="0"/>
    <n v="48"/>
    <n v="3"/>
    <n v="0"/>
    <s v="BARAN"/>
    <s v="KOTA"/>
    <s v="RJ-AJMER"/>
    <d v="2021-03-04T00:00:00"/>
  </r>
  <r>
    <s v="814978207895"/>
    <x v="172"/>
    <s v="SHRI RAM KRISHI SEVA KENDRA"/>
    <n v="207895"/>
    <s v="NISHANT ASSOCIAT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AN"/>
    <s v="KOTA"/>
    <s v="RJ-AJMER"/>
    <d v="2021-04-21T00:00:00"/>
  </r>
  <r>
    <s v="814992207895"/>
    <x v="173"/>
    <s v="KANHIYA LAL"/>
    <n v="207895"/>
    <s v="NISHANT ASSOCIATES"/>
    <n v="92"/>
    <n v="0"/>
    <n v="0"/>
    <n v="65.5"/>
    <n v="0"/>
    <n v="0"/>
    <n v="96"/>
    <n v="6"/>
    <n v="0"/>
    <n v="25"/>
    <n v="0"/>
    <n v="0"/>
    <n v="8.5"/>
    <n v="0"/>
    <n v="0"/>
    <n v="35"/>
    <n v="0"/>
    <n v="0"/>
    <n v="82.25"/>
    <n v="0"/>
    <n v="0"/>
    <n v="68"/>
    <n v="0"/>
    <n v="0"/>
    <n v="472.25"/>
    <n v="6"/>
    <n v="0"/>
    <s v="BARAN"/>
    <s v="KOTA"/>
    <s v="RJ-AJMER"/>
    <d v="2021-04-24T00:00:00"/>
  </r>
  <r>
    <s v="815027207895"/>
    <x v="174"/>
    <s v="JAGDISH PRASAD MEWARA"/>
    <n v="207895"/>
    <s v="NISHANT ASSOCIATES"/>
    <n v="126.5"/>
    <n v="0"/>
    <n v="0"/>
    <n v="113"/>
    <n v="0"/>
    <n v="0"/>
    <n v="164.5"/>
    <n v="0"/>
    <n v="41"/>
    <n v="97.75"/>
    <n v="0"/>
    <n v="54.75"/>
    <n v="146"/>
    <n v="0"/>
    <n v="10"/>
    <n v="162.5"/>
    <n v="0"/>
    <n v="0"/>
    <n v="0"/>
    <n v="0"/>
    <n v="0"/>
    <n v="132.75"/>
    <n v="0"/>
    <n v="12.5"/>
    <n v="943"/>
    <n v="0"/>
    <n v="105.75"/>
    <s v="BARAN"/>
    <s v="KOTA"/>
    <s v="RJ-AJMER"/>
    <d v="2021-05-05T00:00:00"/>
  </r>
  <r>
    <s v="815314173298"/>
    <x v="175"/>
    <s v="GIRIRAJ PRASAD NAGAR"/>
    <n v="173298"/>
    <s v="RAKHI AGRO 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s v="BARAN"/>
    <s v="KOTA"/>
    <s v="RJ-AJMER"/>
    <d v="2021-06-29T00:00:00"/>
  </r>
  <r>
    <s v="815438208284"/>
    <x v="176"/>
    <s v="RAMDEV GOCHAR"/>
    <n v="208284"/>
    <s v="SHREE AMA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AN"/>
    <s v="KOTA"/>
    <s v="RJ-AJMER"/>
    <d v="2021-07-08T00:00:00"/>
  </r>
  <r>
    <s v="815503202980"/>
    <x v="177"/>
    <s v="JAY NARAYAN NAGAR"/>
    <n v="202980"/>
    <s v="KAPI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AN"/>
    <s v="KOTA"/>
    <s v="RJ-AJMER"/>
    <d v="2021-07-13T00:00:00"/>
  </r>
  <r>
    <s v="815635173865"/>
    <x v="178"/>
    <s v="MAHENDRA KUMAR"/>
    <n v="173865"/>
    <s v="BHARDWAJ TRADERS"/>
    <n v="10"/>
    <n v="0"/>
    <n v="0"/>
    <n v="65"/>
    <n v="0"/>
    <n v="0"/>
    <n v="50"/>
    <n v="0"/>
    <n v="0"/>
    <n v="25"/>
    <n v="0"/>
    <n v="15"/>
    <n v="10"/>
    <n v="0"/>
    <n v="0"/>
    <n v="15"/>
    <n v="0"/>
    <n v="0"/>
    <n v="38.5"/>
    <n v="0"/>
    <n v="0"/>
    <n v="50"/>
    <n v="0"/>
    <n v="0"/>
    <n v="263.5"/>
    <n v="0"/>
    <n v="15"/>
    <s v="BARAN"/>
    <s v="KOTA"/>
    <s v="RJ-AJMER"/>
    <d v="2021-07-24T00:00:00"/>
  </r>
  <r>
    <s v="815819173298"/>
    <x v="179"/>
    <s v="HEMANT"/>
    <n v="173298"/>
    <s v="RAKHI AGRO SALES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ARAN"/>
    <s v="KOTA"/>
    <s v="RJ-AJMER"/>
    <d v="2021-08-03T00:00:00"/>
  </r>
  <r>
    <s v="815822202980"/>
    <x v="180"/>
    <s v="BAJRANG TILES &amp; SANITARY"/>
    <n v="202980"/>
    <s v="KAPIL TRADERS"/>
    <n v="75"/>
    <n v="0"/>
    <n v="0"/>
    <n v="89"/>
    <n v="0"/>
    <n v="0"/>
    <n v="115"/>
    <n v="0"/>
    <n v="0"/>
    <n v="30"/>
    <n v="0"/>
    <n v="0"/>
    <n v="25"/>
    <n v="0"/>
    <n v="0"/>
    <n v="79"/>
    <n v="0"/>
    <n v="0"/>
    <n v="20"/>
    <n v="0"/>
    <n v="0"/>
    <n v="75"/>
    <n v="0"/>
    <n v="15"/>
    <n v="508"/>
    <n v="0"/>
    <n v="0"/>
    <s v="BARAN"/>
    <s v="KOTA"/>
    <s v="RJ-AJMER"/>
    <d v="2021-08-03T00:00:00"/>
  </r>
  <r>
    <s v="815905201654"/>
    <x v="181"/>
    <s v="RAM SHWROOP GOSWAMI"/>
    <n v="201654"/>
    <s v="GARG TRADERS"/>
    <n v="35"/>
    <n v="35"/>
    <n v="0"/>
    <n v="85"/>
    <n v="0"/>
    <n v="0"/>
    <n v="60"/>
    <n v="15"/>
    <n v="0"/>
    <n v="10"/>
    <n v="0"/>
    <n v="10"/>
    <n v="20"/>
    <n v="0"/>
    <n v="0"/>
    <n v="0"/>
    <n v="0"/>
    <n v="0"/>
    <n v="35"/>
    <n v="0"/>
    <n v="0"/>
    <n v="0"/>
    <n v="0"/>
    <n v="0"/>
    <n v="245"/>
    <n v="50"/>
    <n v="10"/>
    <s v="BARAN"/>
    <s v="KOTA"/>
    <s v="RJ-AJMER"/>
    <d v="2021-08-11T00:00:00"/>
  </r>
  <r>
    <s v="816920201654"/>
    <x v="182"/>
    <s v="ASHISH KUMAR SHARMA"/>
    <n v="201654"/>
    <s v="GARG TRADERS"/>
    <n v="0"/>
    <n v="0"/>
    <n v="0"/>
    <n v="20"/>
    <n v="0"/>
    <n v="0"/>
    <n v="15"/>
    <n v="0"/>
    <n v="0"/>
    <n v="0"/>
    <n v="0"/>
    <n v="0"/>
    <n v="6"/>
    <n v="0"/>
    <n v="0"/>
    <n v="0"/>
    <n v="0"/>
    <n v="0"/>
    <n v="0"/>
    <n v="0"/>
    <n v="0"/>
    <n v="0"/>
    <n v="0"/>
    <n v="0"/>
    <n v="41"/>
    <n v="0"/>
    <n v="0"/>
    <s v="BARAN"/>
    <s v="KOTA"/>
    <s v="RJ-AJMER"/>
    <d v="2021-10-30T00:00:00"/>
  </r>
  <r>
    <s v="816991209954"/>
    <x v="183"/>
    <s v="LAKSHMI NARAYAN"/>
    <n v="209954"/>
    <s v="D.S.CONTRUCTION"/>
    <n v="33"/>
    <n v="0"/>
    <n v="0"/>
    <n v="0"/>
    <n v="0"/>
    <n v="0"/>
    <n v="10"/>
    <n v="0"/>
    <n v="0"/>
    <n v="10"/>
    <n v="0"/>
    <n v="0"/>
    <n v="0"/>
    <n v="0"/>
    <n v="0"/>
    <n v="0"/>
    <n v="0"/>
    <n v="0"/>
    <n v="5"/>
    <n v="0"/>
    <n v="0"/>
    <n v="0"/>
    <n v="0"/>
    <n v="0"/>
    <n v="58"/>
    <n v="0"/>
    <n v="0"/>
    <s v="BARAN"/>
    <s v="KOTA"/>
    <s v="RJ-AJMER"/>
    <d v="2021-11-11T00:00:00"/>
  </r>
  <r>
    <s v="818217173865"/>
    <x v="184"/>
    <s v="SHRI RAM BUILDING MATERIAL"/>
    <n v="173865"/>
    <s v="BHARDWAJ TRADERS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6"/>
    <n v="0"/>
    <n v="0"/>
    <n v="0"/>
    <n v="0"/>
    <n v="0"/>
    <n v="46"/>
    <n v="0"/>
    <n v="0"/>
    <s v="BARAN"/>
    <s v="KOTA"/>
    <s v="RJ-AJMER"/>
    <d v="2022-02-28T00:00:00"/>
  </r>
  <r>
    <s v="818294207895"/>
    <x v="185"/>
    <s v="JIYANSH CEMENT AGENCY"/>
    <n v="207895"/>
    <s v="NISHANT ASSOCIATES"/>
    <n v="35"/>
    <n v="0"/>
    <n v="0"/>
    <n v="0"/>
    <n v="0"/>
    <n v="0"/>
    <n v="22"/>
    <n v="0"/>
    <n v="0"/>
    <n v="8"/>
    <n v="0"/>
    <n v="3.25"/>
    <n v="15"/>
    <n v="0"/>
    <n v="0"/>
    <n v="0"/>
    <n v="0"/>
    <n v="0"/>
    <n v="0"/>
    <n v="0"/>
    <n v="0"/>
    <n v="0"/>
    <n v="0"/>
    <n v="0"/>
    <n v="80"/>
    <n v="0"/>
    <n v="3.25"/>
    <s v="BARAN"/>
    <s v="KOTA"/>
    <s v="RJ-AJMER"/>
    <d v="2022-03-07T00:00:00"/>
  </r>
  <r>
    <s v="818328209954"/>
    <x v="186"/>
    <s v="NAVDEEP CEMENT AGENCY"/>
    <n v="209954"/>
    <s v="D.S.CONTRUCTION"/>
    <n v="147"/>
    <n v="10"/>
    <n v="0"/>
    <n v="30"/>
    <n v="0"/>
    <n v="0"/>
    <n v="44"/>
    <n v="3.5"/>
    <n v="0"/>
    <n v="76.5"/>
    <n v="9.5"/>
    <n v="0"/>
    <n v="0"/>
    <n v="0"/>
    <n v="0"/>
    <n v="0"/>
    <n v="0"/>
    <n v="0"/>
    <n v="55"/>
    <n v="0"/>
    <n v="0"/>
    <n v="30"/>
    <n v="0"/>
    <n v="0"/>
    <n v="382.5"/>
    <n v="23"/>
    <n v="0"/>
    <s v="BARAN"/>
    <s v="KOTA"/>
    <s v="RJ-AJMER"/>
    <d v="2022-03-09T00:00:00"/>
  </r>
  <r>
    <s v="818329173865"/>
    <x v="187"/>
    <s v="SHREE KRISHNAM TRADERS"/>
    <n v="173865"/>
    <s v="BHARDWAJ TRADERS"/>
    <n v="15"/>
    <n v="0"/>
    <n v="0"/>
    <n v="0"/>
    <n v="0"/>
    <n v="0"/>
    <n v="19"/>
    <n v="0"/>
    <n v="0"/>
    <n v="10"/>
    <n v="0"/>
    <n v="0"/>
    <n v="0"/>
    <n v="0"/>
    <n v="0"/>
    <n v="25"/>
    <n v="0"/>
    <n v="5.25"/>
    <n v="12.05"/>
    <n v="0"/>
    <n v="0"/>
    <n v="25"/>
    <n v="0"/>
    <n v="0"/>
    <n v="106.05"/>
    <n v="0"/>
    <n v="5.25"/>
    <s v="BARAN"/>
    <s v="KOTA"/>
    <s v="RJ-AJMER"/>
    <d v="2022-03-09T00:00:00"/>
  </r>
  <r>
    <s v="818730209957"/>
    <x v="188"/>
    <s v="CHEEMA ENTERPRISES"/>
    <n v="209957"/>
    <s v="PURSHOTTAM NAGAR CONTRACTOR"/>
    <n v="0"/>
    <n v="0"/>
    <n v="0"/>
    <n v="35"/>
    <n v="0"/>
    <n v="0"/>
    <n v="20"/>
    <n v="0"/>
    <n v="0"/>
    <n v="0"/>
    <n v="0"/>
    <n v="0"/>
    <n v="5"/>
    <n v="0"/>
    <n v="0"/>
    <n v="10"/>
    <n v="0"/>
    <n v="0"/>
    <n v="10"/>
    <n v="0"/>
    <n v="0"/>
    <n v="0"/>
    <n v="0"/>
    <n v="0"/>
    <n v="80"/>
    <n v="0"/>
    <n v="0"/>
    <s v="BARAN"/>
    <s v="KOTA"/>
    <s v="RJ-AJMER"/>
    <d v="2022-04-23T00:00:00"/>
  </r>
  <r>
    <s v="818815211072"/>
    <x v="189"/>
    <s v="SHREE RADHE KRISHNA HARDWARE"/>
    <n v="211072"/>
    <s v="A.D.S TRADERS"/>
    <n v="0"/>
    <n v="0"/>
    <n v="0"/>
    <n v="15"/>
    <n v="0"/>
    <n v="0"/>
    <n v="35"/>
    <n v="0"/>
    <n v="0"/>
    <n v="35"/>
    <n v="0"/>
    <n v="0"/>
    <n v="0"/>
    <n v="0"/>
    <n v="0"/>
    <n v="17.5"/>
    <n v="0"/>
    <n v="0"/>
    <n v="0"/>
    <n v="0"/>
    <n v="0"/>
    <n v="0"/>
    <n v="0"/>
    <n v="0"/>
    <n v="102.5"/>
    <n v="0"/>
    <n v="0"/>
    <s v="BARAN"/>
    <s v="KOTA"/>
    <s v="RJ-AJMER"/>
    <d v="2022-04-30T00:00:00"/>
  </r>
  <r>
    <s v="818861173865"/>
    <x v="190"/>
    <s v="SHRI RAM BUILDING MATERIAL"/>
    <n v="173865"/>
    <s v="BHARDWAJ TRADERS"/>
    <n v="0"/>
    <n v="0"/>
    <n v="0"/>
    <n v="0"/>
    <n v="0"/>
    <n v="0"/>
    <n v="10"/>
    <n v="0"/>
    <n v="0"/>
    <n v="2.5"/>
    <n v="0"/>
    <n v="2.5"/>
    <n v="0"/>
    <n v="0"/>
    <n v="0"/>
    <n v="25"/>
    <n v="0"/>
    <n v="0"/>
    <n v="0"/>
    <n v="0"/>
    <n v="0"/>
    <n v="20"/>
    <n v="0"/>
    <n v="0"/>
    <n v="57.5"/>
    <n v="0"/>
    <n v="2.5"/>
    <s v="BARAN"/>
    <s v="KOTA"/>
    <s v="RJ-AJMER"/>
    <d v="2022-05-06T00:00:00"/>
  </r>
  <r>
    <s v="818861201654"/>
    <x v="190"/>
    <s v="SHRI RAM BUILDING MATERIAL"/>
    <n v="201654"/>
    <s v="GARG TRADERS"/>
    <n v="0"/>
    <n v="0"/>
    <n v="0"/>
    <n v="35"/>
    <n v="0"/>
    <n v="0"/>
    <n v="50"/>
    <n v="20"/>
    <n v="10"/>
    <n v="30"/>
    <n v="0"/>
    <n v="0"/>
    <n v="28"/>
    <n v="0"/>
    <n v="27"/>
    <n v="32.5"/>
    <n v="0"/>
    <n v="0"/>
    <n v="25"/>
    <n v="0"/>
    <n v="0"/>
    <n v="35"/>
    <n v="0"/>
    <n v="0"/>
    <n v="235.5"/>
    <n v="20"/>
    <n v="37"/>
    <s v="BARAN"/>
    <s v="KOTA"/>
    <s v="RJ-AJMER"/>
    <d v="2022-05-06T00:00:00"/>
  </r>
  <r>
    <s v="819449207895"/>
    <x v="191"/>
    <s v="SHREE KRISHNA TRADERS"/>
    <n v="207895"/>
    <s v="NISHANT ASSOCIATES"/>
    <n v="0"/>
    <n v="0"/>
    <n v="0"/>
    <n v="0"/>
    <n v="0"/>
    <n v="0"/>
    <n v="14.5"/>
    <n v="0"/>
    <n v="5"/>
    <n v="7.5"/>
    <n v="0"/>
    <n v="7.5"/>
    <n v="20"/>
    <n v="0"/>
    <n v="0"/>
    <n v="20"/>
    <n v="0"/>
    <n v="10"/>
    <n v="0"/>
    <n v="0"/>
    <n v="0"/>
    <n v="0"/>
    <n v="0"/>
    <n v="0"/>
    <n v="62"/>
    <n v="0"/>
    <n v="22.5"/>
    <s v="BARAN"/>
    <s v="KOTA"/>
    <s v="RJ-AJMER"/>
    <d v="2022-06-23T00:00:00"/>
  </r>
  <r>
    <s v="820198213424"/>
    <x v="192"/>
    <s v="ARUN CONSTRUCTION &amp; MATERIAL S"/>
    <n v="213424"/>
    <s v="VISHWAKARMA TRADERS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35"/>
    <n v="0"/>
    <n v="0"/>
    <n v="0"/>
    <n v="0"/>
    <n v="0"/>
    <n v="55"/>
    <n v="0"/>
    <n v="0"/>
    <s v="BARAN"/>
    <s v="KOTA"/>
    <s v="RJ-AJMER"/>
    <d v="2022-08-22T00:00:00"/>
  </r>
  <r>
    <s v="804365143148"/>
    <x v="193"/>
    <s v="NAVEEN CEMENT AGENCY"/>
    <n v="143148"/>
    <s v="R.N. YADAV ARA MACHINE"/>
    <n v="10"/>
    <n v="0"/>
    <n v="0"/>
    <n v="14"/>
    <n v="0"/>
    <n v="0"/>
    <n v="72.5"/>
    <n v="0"/>
    <n v="0"/>
    <n v="5"/>
    <n v="0"/>
    <n v="0"/>
    <n v="0"/>
    <n v="0"/>
    <n v="0"/>
    <n v="17.5"/>
    <n v="0"/>
    <n v="0"/>
    <n v="0"/>
    <n v="0"/>
    <n v="0"/>
    <n v="0"/>
    <n v="0"/>
    <n v="0"/>
    <n v="119"/>
    <n v="0"/>
    <n v="0"/>
    <s v="BUNDI"/>
    <s v="KOTA"/>
    <s v="RJ-AJMER"/>
    <d v="2015-10-26T00:00:00"/>
  </r>
  <r>
    <s v="804746143114"/>
    <x v="194"/>
    <s v="RANG LAL CONTRACTOR"/>
    <n v="143114"/>
    <s v="RAJESH TRADING COMPANY"/>
    <n v="0"/>
    <n v="0"/>
    <n v="0"/>
    <n v="0"/>
    <n v="0"/>
    <n v="0"/>
    <n v="5"/>
    <n v="0"/>
    <n v="5"/>
    <n v="10"/>
    <n v="0"/>
    <n v="0"/>
    <n v="30"/>
    <n v="0"/>
    <n v="0"/>
    <n v="9.0500000000000007"/>
    <n v="0"/>
    <n v="9.0500000000000007"/>
    <n v="30"/>
    <n v="0"/>
    <n v="0"/>
    <n v="62"/>
    <n v="0"/>
    <n v="12"/>
    <n v="146.05000000000001"/>
    <n v="0"/>
    <n v="14.05"/>
    <s v="BUNDI"/>
    <s v="KOTA"/>
    <s v="RJ-AJMER"/>
    <d v="2016-01-27T00:00:00"/>
  </r>
  <r>
    <s v="804888143113"/>
    <x v="195"/>
    <s v="DEV TRADERS"/>
    <n v="143113"/>
    <s v="SHREE RADHE GOPAL TRDERS"/>
    <n v="35"/>
    <n v="0"/>
    <n v="0"/>
    <n v="140"/>
    <n v="0"/>
    <n v="0"/>
    <n v="142"/>
    <n v="0"/>
    <n v="0"/>
    <n v="147"/>
    <n v="15"/>
    <n v="0"/>
    <n v="75"/>
    <n v="0"/>
    <n v="0"/>
    <n v="110.5"/>
    <n v="0"/>
    <n v="2.5"/>
    <n v="75"/>
    <n v="1"/>
    <n v="0"/>
    <n v="185"/>
    <n v="0"/>
    <n v="0"/>
    <n v="909.5"/>
    <n v="16"/>
    <n v="2.5"/>
    <s v="BUNDI"/>
    <s v="KOTA"/>
    <s v="RJ-AJMER"/>
    <d v="2016-03-04T00:00:00"/>
  </r>
  <r>
    <s v="804992143114"/>
    <x v="196"/>
    <s v="SHRI GANPATI CONSTRUCTION &amp; BU"/>
    <n v="143114"/>
    <s v="RAJESH TRADING COMPANY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n v="20"/>
    <n v="0"/>
    <n v="0"/>
    <s v="BUNDI"/>
    <s v="KOTA"/>
    <s v="RJ-AJMER"/>
    <d v="2016-04-29T00:00:00"/>
  </r>
  <r>
    <s v="805810143148"/>
    <x v="197"/>
    <s v="JAI HANUMAN CEMENT AGENCY"/>
    <n v="143148"/>
    <s v="R.N. YADAV ARA MACHINE"/>
    <n v="0"/>
    <n v="0"/>
    <n v="0"/>
    <n v="10"/>
    <n v="0"/>
    <n v="0"/>
    <n v="32.5"/>
    <n v="0"/>
    <n v="0"/>
    <n v="30"/>
    <n v="0"/>
    <n v="0"/>
    <n v="0"/>
    <n v="0"/>
    <n v="0"/>
    <n v="40"/>
    <n v="10"/>
    <n v="0"/>
    <n v="39.5"/>
    <n v="0"/>
    <n v="20"/>
    <n v="0"/>
    <n v="0"/>
    <n v="0"/>
    <n v="152"/>
    <n v="10"/>
    <n v="20"/>
    <s v="BUNDI"/>
    <s v="KOTA"/>
    <s v="RJ-AJMER"/>
    <d v="2016-11-30T00:00:00"/>
  </r>
  <r>
    <s v="805848143148"/>
    <x v="198"/>
    <s v="HARI OM CEMENT AGENCY"/>
    <n v="143148"/>
    <s v="R.N. YADAV ARA MACHINE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0"/>
    <n v="0"/>
    <n v="0"/>
    <n v="0"/>
    <n v="0"/>
    <n v="0"/>
    <n v="7.5"/>
    <n v="0"/>
    <n v="0"/>
    <s v="BUNDI"/>
    <s v="KOTA"/>
    <s v="RJ-AJMER"/>
    <d v="2016-12-08T00:00:00"/>
  </r>
  <r>
    <s v="807490143114"/>
    <x v="199"/>
    <s v="MAA AASHAPALA CONSTRUCTION COM"/>
    <n v="143114"/>
    <s v="RAJESH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UNDI"/>
    <s v="KOTA"/>
    <s v="RJ-AJMER"/>
    <d v="2019-01-02T00:00:00"/>
  </r>
  <r>
    <s v="807706143148"/>
    <x v="200"/>
    <s v="VISHNU CEMENT AGENCY AND CONTR"/>
    <n v="143148"/>
    <s v="R.N. YADAV ARA MACHINE"/>
    <n v="77"/>
    <n v="0"/>
    <n v="0"/>
    <n v="52"/>
    <n v="0"/>
    <n v="0"/>
    <n v="32.5"/>
    <n v="0"/>
    <n v="0"/>
    <n v="32.549999999999997"/>
    <n v="6.55"/>
    <n v="0"/>
    <n v="0"/>
    <n v="0"/>
    <n v="0"/>
    <n v="62"/>
    <n v="10"/>
    <n v="0"/>
    <n v="66.8"/>
    <n v="15.8"/>
    <n v="20"/>
    <n v="0"/>
    <n v="0"/>
    <n v="0"/>
    <n v="322.85000000000002"/>
    <n v="32.35"/>
    <n v="20"/>
    <s v="BUNDI"/>
    <s v="KOTA"/>
    <s v="RJ-AJMER"/>
    <d v="2018-10-18T00:00:00"/>
  </r>
  <r>
    <s v="807707207977"/>
    <x v="201"/>
    <s v="SHUBHAM CEMENT AGENCY"/>
    <n v="207977"/>
    <s v="YASH TRADERS"/>
    <n v="0"/>
    <n v="0"/>
    <n v="0"/>
    <n v="0"/>
    <n v="0"/>
    <n v="0"/>
    <n v="22.5"/>
    <n v="0"/>
    <n v="0"/>
    <n v="0"/>
    <n v="0"/>
    <n v="0"/>
    <n v="20"/>
    <n v="0"/>
    <n v="0"/>
    <n v="10"/>
    <n v="0"/>
    <n v="0"/>
    <n v="0"/>
    <n v="0"/>
    <n v="0"/>
    <n v="0"/>
    <n v="0"/>
    <n v="0"/>
    <n v="52.5"/>
    <n v="0"/>
    <n v="0"/>
    <s v="BUNDI"/>
    <s v="KOTA"/>
    <s v="RJ-AJMER"/>
    <d v="2018-10-18T00:00:00"/>
  </r>
  <r>
    <s v="807707143114"/>
    <x v="201"/>
    <s v="SHUBHAM CEMENT AGENCY"/>
    <n v="143114"/>
    <s v="RAJESH TRADING COMPANY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BUNDI"/>
    <s v="KOTA"/>
    <s v="RJ-AJMER"/>
    <d v="2018-10-18T00:00:00"/>
  </r>
  <r>
    <s v="807812143113"/>
    <x v="202"/>
    <s v="SUWALKA CEMENT AGENCY"/>
    <n v="143113"/>
    <s v="SHREE RADHE GOPAL TRDERS"/>
    <n v="0"/>
    <n v="0"/>
    <n v="0"/>
    <n v="0"/>
    <n v="0"/>
    <n v="0"/>
    <n v="0"/>
    <n v="0"/>
    <n v="0"/>
    <n v="10"/>
    <n v="0"/>
    <n v="0"/>
    <n v="15"/>
    <n v="0"/>
    <n v="0"/>
    <n v="0"/>
    <n v="0"/>
    <n v="0"/>
    <n v="20"/>
    <n v="0"/>
    <n v="0"/>
    <n v="20"/>
    <n v="0"/>
    <n v="0"/>
    <n v="65"/>
    <n v="0"/>
    <n v="0"/>
    <s v="BUNDI"/>
    <s v="KOTA"/>
    <s v="RJ-AJMER"/>
    <d v="2019-01-28T00:00:00"/>
  </r>
  <r>
    <s v="808732143114"/>
    <x v="203"/>
    <s v="MAA BHAGWATI CONSTRUCTION"/>
    <n v="143114"/>
    <s v="RAJESH TRADING COMPANY"/>
    <n v="210"/>
    <n v="14.5"/>
    <n v="0"/>
    <n v="184.5"/>
    <n v="0"/>
    <n v="0"/>
    <n v="232.75"/>
    <n v="24.5"/>
    <n v="30"/>
    <n v="79"/>
    <n v="0"/>
    <n v="35"/>
    <n v="125"/>
    <n v="0"/>
    <n v="55"/>
    <n v="99.25"/>
    <n v="0"/>
    <n v="25"/>
    <n v="120"/>
    <n v="0"/>
    <n v="45"/>
    <n v="204"/>
    <n v="0"/>
    <n v="69"/>
    <n v="1254.5"/>
    <n v="39"/>
    <n v="190"/>
    <s v="BUNDI"/>
    <s v="KOTA"/>
    <s v="RJ-AJMER"/>
    <d v="2018-08-03T00:00:00"/>
  </r>
  <r>
    <s v="810084172193"/>
    <x v="204"/>
    <s v="BALAJI TRADERS"/>
    <n v="172193"/>
    <s v="VARDHMAN CEMENT AGENCY"/>
    <n v="0"/>
    <n v="0"/>
    <n v="0"/>
    <n v="0"/>
    <n v="0"/>
    <n v="0"/>
    <n v="20"/>
    <n v="0"/>
    <n v="0"/>
    <n v="10"/>
    <n v="0"/>
    <n v="0"/>
    <n v="0"/>
    <n v="0"/>
    <n v="0"/>
    <n v="0"/>
    <n v="0"/>
    <n v="0"/>
    <n v="0"/>
    <n v="0"/>
    <n v="0"/>
    <n v="0"/>
    <n v="0"/>
    <n v="0"/>
    <n v="30"/>
    <n v="0"/>
    <n v="0"/>
    <s v="BUNDI"/>
    <s v="KOTA"/>
    <s v="RJ-AJMER"/>
    <d v="2019-07-29T00:00:00"/>
  </r>
  <r>
    <s v="811088143114"/>
    <x v="205"/>
    <s v="DEVENDRA KUMAR JAIN"/>
    <n v="143114"/>
    <s v="RAJESH TRADING COMPANY"/>
    <n v="34"/>
    <n v="10"/>
    <n v="0"/>
    <n v="67"/>
    <n v="27"/>
    <n v="0"/>
    <n v="97"/>
    <n v="0"/>
    <n v="15"/>
    <n v="65"/>
    <n v="0"/>
    <n v="14"/>
    <n v="76"/>
    <n v="0"/>
    <n v="0"/>
    <n v="27.5"/>
    <n v="0"/>
    <n v="17.5"/>
    <n v="62"/>
    <n v="1.5"/>
    <n v="30.5"/>
    <n v="75"/>
    <n v="0"/>
    <n v="10"/>
    <n v="503.5"/>
    <n v="38.5"/>
    <n v="77"/>
    <s v="BUNDI"/>
    <s v="KOTA"/>
    <s v="RJ-AJMER"/>
    <d v="2019-12-27T00:00:00"/>
  </r>
  <r>
    <s v="811134173749"/>
    <x v="206"/>
    <s v="ANKUR ENTERPRISES"/>
    <n v="173749"/>
    <s v="NIDH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0"/>
    <n v="0"/>
    <n v="0"/>
    <n v="10"/>
    <n v="0"/>
    <n v="10"/>
    <s v="BUNDI"/>
    <s v="KOTA"/>
    <s v="RJ-AJMER"/>
    <d v="2019-12-30T00:00:00"/>
  </r>
  <r>
    <s v="811134174166"/>
    <x v="206"/>
    <s v="ANKUR ENTERPRISES"/>
    <n v="174166"/>
    <s v="NAMOKAR STONE TRADERS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10"/>
    <n v="0"/>
    <n v="0"/>
    <s v="BUNDI"/>
    <s v="KOTA"/>
    <s v="RJ-AJMER"/>
    <d v="2019-12-30T00:00:00"/>
  </r>
  <r>
    <s v="811191207977"/>
    <x v="207"/>
    <s v="MONU KUMAR TELI"/>
    <n v="207977"/>
    <s v="YASH TRADERS"/>
    <n v="20"/>
    <n v="7.5"/>
    <n v="0"/>
    <n v="23.5"/>
    <n v="0"/>
    <n v="0"/>
    <n v="19"/>
    <n v="0"/>
    <n v="0"/>
    <n v="10"/>
    <n v="0"/>
    <n v="0"/>
    <n v="10"/>
    <n v="0"/>
    <n v="0"/>
    <n v="20"/>
    <n v="0"/>
    <n v="4"/>
    <n v="68.5"/>
    <n v="0"/>
    <n v="13"/>
    <n v="30"/>
    <n v="0"/>
    <n v="0"/>
    <n v="201"/>
    <n v="7.5"/>
    <n v="17"/>
    <s v="BUNDI"/>
    <s v="KOTA"/>
    <s v="RJ-AJMER"/>
    <d v="2020-01-04T00:00:00"/>
  </r>
  <r>
    <s v="811403207977"/>
    <x v="208"/>
    <s v="AHASAN HUSSAIN CONTRACTOR"/>
    <n v="207977"/>
    <s v="YASH TRADERS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UNDI"/>
    <s v="KOTA"/>
    <s v="RJ-AJMER"/>
    <d v="2020-02-04T00:00:00"/>
  </r>
  <r>
    <s v="811481179891"/>
    <x v="209"/>
    <s v="M R NIYAJEE TRADERS"/>
    <n v="179891"/>
    <s v="DOSTI CONSTRUC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UNDI"/>
    <s v="KOTA"/>
    <s v="RJ-AJMER"/>
    <d v="2020-02-12T00:00:00"/>
  </r>
  <r>
    <s v="811588202204"/>
    <x v="210"/>
    <s v="SATYA NARAYAN NAMA"/>
    <n v="202204"/>
    <s v="NEERAJ &amp; BROTHERS"/>
    <n v="35"/>
    <n v="0"/>
    <n v="0"/>
    <n v="62"/>
    <n v="0"/>
    <n v="0"/>
    <n v="30"/>
    <n v="0"/>
    <n v="0"/>
    <n v="57"/>
    <n v="0"/>
    <n v="5"/>
    <n v="6"/>
    <n v="0"/>
    <n v="2.75"/>
    <n v="34"/>
    <n v="0"/>
    <n v="8.75"/>
    <n v="30"/>
    <n v="0"/>
    <n v="0.5"/>
    <n v="45"/>
    <n v="0"/>
    <n v="0"/>
    <n v="299"/>
    <n v="0"/>
    <n v="17"/>
    <s v="BUNDI"/>
    <s v="KOTA"/>
    <s v="RJ-AJMER"/>
    <d v="2020-02-24T00:00:00"/>
  </r>
  <r>
    <s v="811891143114"/>
    <x v="211"/>
    <s v="SHRI DEV CONTRACTOR"/>
    <n v="143114"/>
    <s v="RAJESH TRADING COMPANY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12"/>
    <n v="0"/>
    <n v="0"/>
    <s v="BUNDI"/>
    <s v="KOTA"/>
    <s v="RJ-AJMER"/>
    <d v="2020-06-10T00:00:00"/>
  </r>
  <r>
    <s v="812005202427"/>
    <x v="212"/>
    <s v="LALURAM GURJAR"/>
    <n v="202427"/>
    <s v="JAIN KHAD BHANDAR"/>
    <n v="35"/>
    <n v="15.5"/>
    <n v="0"/>
    <n v="35"/>
    <n v="0"/>
    <n v="0"/>
    <n v="96.5"/>
    <n v="0"/>
    <n v="11.5"/>
    <n v="55"/>
    <n v="0"/>
    <n v="0"/>
    <n v="19"/>
    <n v="0"/>
    <n v="5"/>
    <n v="54"/>
    <n v="0"/>
    <n v="7"/>
    <n v="63.5"/>
    <n v="3.5"/>
    <n v="10"/>
    <n v="15"/>
    <n v="0"/>
    <n v="5"/>
    <n v="373"/>
    <n v="19"/>
    <n v="33.5"/>
    <s v="BUNDI"/>
    <s v="KOTA"/>
    <s v="RJ-AJMER"/>
    <d v="2020-06-25T00:00:00"/>
  </r>
  <r>
    <s v="812059172193"/>
    <x v="213"/>
    <s v="HANUMAN PRASAD MEENA"/>
    <n v="172193"/>
    <s v="VARDHMAN CEMENT AGENCY"/>
    <n v="0"/>
    <n v="5"/>
    <n v="0"/>
    <n v="55"/>
    <n v="0"/>
    <n v="0"/>
    <n v="56.5"/>
    <n v="0"/>
    <n v="0"/>
    <n v="65"/>
    <n v="0"/>
    <n v="10"/>
    <n v="0"/>
    <n v="0"/>
    <n v="0"/>
    <n v="20"/>
    <n v="0"/>
    <n v="0"/>
    <n v="20"/>
    <n v="0"/>
    <n v="0"/>
    <n v="0"/>
    <n v="0"/>
    <n v="0"/>
    <n v="216.5"/>
    <n v="5"/>
    <n v="10"/>
    <s v="BUNDI"/>
    <s v="KOTA"/>
    <s v="RJ-AJMER"/>
    <d v="2020-06-29T00:00:00"/>
  </r>
  <r>
    <s v="812572202428"/>
    <x v="214"/>
    <s v="DESHRAJ KUMAWAT"/>
    <n v="202428"/>
    <s v="JAIN HARDWARE AND BUILDING MA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UNDI"/>
    <s v="KOTA"/>
    <s v="RJ-AJMER"/>
    <d v="2020-08-19T00:00:00"/>
  </r>
  <r>
    <s v="812572210538"/>
    <x v="214"/>
    <s v="DESHRAJ KUMAWAT"/>
    <n v="210538"/>
    <s v="JAI MATA DI CONSTRUCTION COMPA"/>
    <n v="0"/>
    <n v="0"/>
    <n v="0"/>
    <n v="0"/>
    <n v="0"/>
    <n v="0"/>
    <n v="55"/>
    <n v="0"/>
    <n v="0"/>
    <n v="29"/>
    <n v="0"/>
    <n v="3"/>
    <n v="40"/>
    <n v="0"/>
    <n v="0"/>
    <n v="55"/>
    <n v="0"/>
    <n v="4.75"/>
    <n v="66"/>
    <n v="18"/>
    <n v="0"/>
    <n v="30.5"/>
    <n v="0"/>
    <n v="20.5"/>
    <n v="275.5"/>
    <n v="18"/>
    <n v="7.75"/>
    <s v="BUNDI"/>
    <s v="KOTA"/>
    <s v="RJ-AJMER"/>
    <d v="2020-08-19T00:00:00"/>
  </r>
  <r>
    <s v="812616202428"/>
    <x v="215"/>
    <s v="JAI MATA DI ENTERPRISES &amp; CEME"/>
    <n v="202428"/>
    <s v="JAIN HARDWARE AND BUILDING MA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UNDI"/>
    <s v="KOTA"/>
    <s v="RJ-AJMER"/>
    <d v="2020-08-22T00:00:00"/>
  </r>
  <r>
    <s v="813022143113"/>
    <x v="216"/>
    <s v="SHREE DEV TRADERS"/>
    <n v="143113"/>
    <s v="SHREE RADHE GOPAL TR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UNDI"/>
    <s v="KOTA"/>
    <s v="RJ-AJMER"/>
    <d v="2020-09-23T00:00:00"/>
  </r>
  <r>
    <s v="813023172193"/>
    <x v="217"/>
    <s v="OMA SHANKAR MEENA"/>
    <n v="172193"/>
    <s v="VARDHMAN CEMENT AGENCY"/>
    <n v="0"/>
    <n v="0"/>
    <n v="0"/>
    <n v="0"/>
    <n v="0"/>
    <n v="0"/>
    <n v="15"/>
    <n v="0"/>
    <n v="10"/>
    <n v="0"/>
    <n v="0"/>
    <n v="0"/>
    <n v="0"/>
    <n v="0"/>
    <n v="0"/>
    <n v="10"/>
    <n v="0"/>
    <n v="0"/>
    <n v="0"/>
    <n v="0"/>
    <n v="0"/>
    <n v="0"/>
    <n v="0"/>
    <n v="0"/>
    <n v="25"/>
    <n v="0"/>
    <n v="10"/>
    <s v="BUNDI"/>
    <s v="KOTA"/>
    <s v="RJ-AJMER"/>
    <d v="2020-09-23T00:00:00"/>
  </r>
  <r>
    <s v="813376207977"/>
    <x v="218"/>
    <s v="SANJAY JAIN"/>
    <n v="207977"/>
    <s v="YASH TRADERS"/>
    <n v="32.5"/>
    <n v="55"/>
    <n v="0"/>
    <n v="104"/>
    <n v="0"/>
    <n v="0"/>
    <n v="178.25"/>
    <n v="11.5"/>
    <n v="45.25"/>
    <n v="30"/>
    <n v="0"/>
    <n v="0"/>
    <n v="80"/>
    <n v="0"/>
    <n v="10"/>
    <n v="113"/>
    <n v="0"/>
    <n v="32"/>
    <n v="134"/>
    <n v="5"/>
    <n v="37"/>
    <n v="115.45"/>
    <n v="0"/>
    <n v="3.45"/>
    <n v="787.2"/>
    <n v="71.5"/>
    <n v="124.25"/>
    <s v="BUNDI"/>
    <s v="KOTA"/>
    <s v="RJ-AJMER"/>
    <d v="2020-10-24T00:00:00"/>
  </r>
  <r>
    <s v="813438207977"/>
    <x v="219"/>
    <s v="JAY JAGDAMBA KRISHI SEWA KENDR"/>
    <n v="207977"/>
    <s v="YASH TRADERS"/>
    <n v="7.5"/>
    <n v="10"/>
    <n v="0"/>
    <n v="50"/>
    <n v="7.5"/>
    <n v="0"/>
    <n v="20"/>
    <n v="0"/>
    <n v="0"/>
    <n v="19.95"/>
    <n v="0"/>
    <n v="10"/>
    <n v="10"/>
    <n v="0"/>
    <n v="0"/>
    <n v="35"/>
    <n v="0"/>
    <n v="0"/>
    <n v="20"/>
    <n v="0"/>
    <n v="0"/>
    <n v="10"/>
    <n v="0"/>
    <n v="0"/>
    <n v="172.45"/>
    <n v="17.5"/>
    <n v="10"/>
    <s v="BUNDI"/>
    <s v="KOTA"/>
    <s v="RJ-AJMER"/>
    <d v="2020-10-29T00:00:00"/>
  </r>
  <r>
    <s v="814031207977"/>
    <x v="220"/>
    <s v="SHREE GURUKRIPA CEMENT AGENCY"/>
    <n v="207977"/>
    <s v="YAS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UNDI"/>
    <s v="KOTA"/>
    <s v="RJ-AJMER"/>
    <d v="2020-12-31T00:00:00"/>
  </r>
  <r>
    <s v="814138202204"/>
    <x v="221"/>
    <s v="MOTISH CEMENT AGENCY"/>
    <n v="202204"/>
    <s v="NEERAJ &amp; BROTHER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BUNDI"/>
    <s v="KOTA"/>
    <s v="RJ-AJMER"/>
    <d v="2021-01-13T00:00:00"/>
  </r>
  <r>
    <s v="814298173749"/>
    <x v="222"/>
    <s v="LEKHRAJ JAIN"/>
    <n v="173749"/>
    <s v="NIDHI ENTERPRISES"/>
    <n v="42"/>
    <n v="15"/>
    <n v="0"/>
    <n v="68"/>
    <n v="0"/>
    <n v="0"/>
    <n v="70"/>
    <n v="0"/>
    <n v="0"/>
    <n v="50"/>
    <n v="0"/>
    <n v="0"/>
    <n v="0"/>
    <n v="0"/>
    <n v="0"/>
    <n v="53.5"/>
    <n v="0"/>
    <n v="10"/>
    <n v="35"/>
    <n v="0"/>
    <n v="0"/>
    <n v="65"/>
    <n v="5"/>
    <n v="10"/>
    <n v="383.5"/>
    <n v="15"/>
    <n v="10"/>
    <s v="BUNDI"/>
    <s v="KOTA"/>
    <s v="RJ-AJMER"/>
    <d v="2021-01-29T00:00:00"/>
  </r>
  <r>
    <s v="814436173749"/>
    <x v="223"/>
    <s v="DEV CEMENT AGENCY"/>
    <n v="173749"/>
    <s v="NIDHI ENTERPRISES"/>
    <n v="0"/>
    <n v="0"/>
    <n v="0"/>
    <n v="0"/>
    <n v="0"/>
    <n v="0"/>
    <n v="10"/>
    <n v="0"/>
    <n v="0"/>
    <n v="0"/>
    <n v="0"/>
    <n v="0"/>
    <n v="10"/>
    <n v="0"/>
    <n v="0"/>
    <n v="33.5"/>
    <n v="1.5"/>
    <n v="0"/>
    <n v="10"/>
    <n v="0"/>
    <n v="0"/>
    <n v="25"/>
    <n v="0"/>
    <n v="10"/>
    <n v="88.5"/>
    <n v="1.5"/>
    <n v="0"/>
    <s v="BUNDI"/>
    <s v="KOTA"/>
    <s v="RJ-AJMER"/>
    <d v="2021-02-10T00:00:00"/>
  </r>
  <r>
    <s v="814483207977"/>
    <x v="224"/>
    <s v="NAGAR ENTERPRISES"/>
    <n v="207977"/>
    <s v="YASH TRADERS"/>
    <n v="0"/>
    <n v="0"/>
    <n v="0"/>
    <n v="0"/>
    <n v="0"/>
    <n v="0"/>
    <n v="20"/>
    <n v="0"/>
    <n v="0"/>
    <n v="10"/>
    <n v="0"/>
    <n v="0"/>
    <n v="0"/>
    <n v="0"/>
    <n v="0"/>
    <n v="5"/>
    <n v="0"/>
    <n v="0"/>
    <n v="0"/>
    <n v="0"/>
    <n v="0"/>
    <n v="0"/>
    <n v="0"/>
    <n v="0"/>
    <n v="35"/>
    <n v="0"/>
    <n v="0"/>
    <s v="BUNDI"/>
    <s v="KOTA"/>
    <s v="RJ-AJMER"/>
    <d v="2021-02-15T00:00:00"/>
  </r>
  <r>
    <s v="814522207977"/>
    <x v="225"/>
    <s v="BALAJI CEMENT AGENCY"/>
    <n v="207977"/>
    <s v="YASH TRADERS"/>
    <n v="0"/>
    <n v="0"/>
    <n v="0"/>
    <n v="20"/>
    <n v="0"/>
    <n v="0"/>
    <n v="10"/>
    <n v="0"/>
    <n v="0"/>
    <n v="10"/>
    <n v="0"/>
    <n v="0"/>
    <n v="0"/>
    <n v="0"/>
    <n v="0"/>
    <n v="10"/>
    <n v="0"/>
    <n v="0"/>
    <n v="0"/>
    <n v="0"/>
    <n v="0"/>
    <n v="0"/>
    <n v="0"/>
    <n v="0"/>
    <n v="50"/>
    <n v="0"/>
    <n v="0"/>
    <s v="BUNDI"/>
    <s v="KOTA"/>
    <s v="RJ-AJMER"/>
    <d v="2021-02-18T00:00:00"/>
  </r>
  <r>
    <s v="814625207977"/>
    <x v="226"/>
    <s v="SHRI RAM FERTILIZER"/>
    <n v="207977"/>
    <s v="YASH TRADERS"/>
    <n v="10"/>
    <n v="0"/>
    <n v="0"/>
    <n v="11"/>
    <n v="0"/>
    <n v="0"/>
    <n v="20"/>
    <n v="0"/>
    <n v="0"/>
    <n v="10"/>
    <n v="0"/>
    <n v="0"/>
    <n v="0"/>
    <n v="0"/>
    <n v="0"/>
    <n v="0"/>
    <n v="0"/>
    <n v="0"/>
    <n v="0"/>
    <n v="0"/>
    <n v="0"/>
    <n v="0"/>
    <n v="0"/>
    <n v="0"/>
    <n v="51"/>
    <n v="0"/>
    <n v="0"/>
    <s v="BUNDI"/>
    <s v="KOTA"/>
    <s v="RJ-AJMER"/>
    <d v="2021-02-25T00:00:00"/>
  </r>
  <r>
    <s v="815274207977"/>
    <x v="227"/>
    <s v="NEHA TRADERS"/>
    <n v="207977"/>
    <s v="YASH TRADERS"/>
    <n v="45"/>
    <n v="0"/>
    <n v="0"/>
    <n v="0"/>
    <n v="0"/>
    <n v="0"/>
    <n v="40"/>
    <n v="0"/>
    <n v="5"/>
    <n v="40.5"/>
    <n v="6.55"/>
    <n v="0"/>
    <n v="15"/>
    <n v="0"/>
    <n v="8"/>
    <n v="82.35"/>
    <n v="0"/>
    <n v="40.5"/>
    <n v="65"/>
    <n v="0"/>
    <n v="20"/>
    <n v="20"/>
    <n v="0"/>
    <n v="0"/>
    <n v="307.85000000000002"/>
    <n v="6.55"/>
    <n v="73.5"/>
    <s v="BUNDI"/>
    <s v="KOTA"/>
    <s v="RJ-AJMER"/>
    <d v="2021-06-26T00:00:00"/>
  </r>
  <r>
    <s v="815275143114"/>
    <x v="228"/>
    <s v="MEHTA TRADERS"/>
    <n v="143114"/>
    <s v="RAJESH TRADING COMPANY"/>
    <n v="0"/>
    <n v="0"/>
    <n v="0"/>
    <n v="10"/>
    <n v="0"/>
    <n v="0"/>
    <n v="0"/>
    <n v="0"/>
    <n v="0"/>
    <n v="11"/>
    <n v="0"/>
    <n v="0"/>
    <n v="13"/>
    <n v="0"/>
    <n v="3"/>
    <n v="0"/>
    <n v="0"/>
    <n v="0"/>
    <n v="0"/>
    <n v="0"/>
    <n v="0"/>
    <n v="45"/>
    <n v="0"/>
    <n v="0"/>
    <n v="79"/>
    <n v="0"/>
    <n v="3"/>
    <s v="BUNDI"/>
    <s v="KOTA"/>
    <s v="RJ-AJMER"/>
    <d v="2021-06-26T00:00:00"/>
  </r>
  <r>
    <s v="815306179891"/>
    <x v="229"/>
    <s v="ARIF HUSSAIN"/>
    <n v="179891"/>
    <s v="DOSTI CONSTRUCTION"/>
    <n v="87"/>
    <n v="5"/>
    <n v="0"/>
    <n v="132"/>
    <n v="0"/>
    <n v="0"/>
    <n v="97"/>
    <n v="0"/>
    <n v="10"/>
    <n v="0"/>
    <n v="0"/>
    <n v="0"/>
    <n v="0"/>
    <n v="0"/>
    <n v="0"/>
    <n v="46"/>
    <n v="0"/>
    <n v="7.5"/>
    <n v="66"/>
    <n v="0"/>
    <n v="10"/>
    <n v="86"/>
    <n v="0"/>
    <n v="10"/>
    <n v="514"/>
    <n v="5"/>
    <n v="27.5"/>
    <s v="BUNDI"/>
    <s v="KOTA"/>
    <s v="RJ-AJMER"/>
    <d v="2021-06-28T00:00:00"/>
  </r>
  <r>
    <s v="815466143114"/>
    <x v="230"/>
    <s v="DEV NARAYAN KRISHI SEWA KENDRA"/>
    <n v="143114"/>
    <s v="RAJESH TRADING COMPANY"/>
    <n v="0"/>
    <n v="0"/>
    <n v="0"/>
    <n v="0"/>
    <n v="0"/>
    <n v="0"/>
    <n v="32.5"/>
    <n v="0"/>
    <n v="13.5"/>
    <n v="10"/>
    <n v="0"/>
    <n v="0"/>
    <n v="10"/>
    <n v="0"/>
    <n v="0"/>
    <n v="15.25"/>
    <n v="0"/>
    <n v="5.25"/>
    <n v="10"/>
    <n v="0"/>
    <n v="10"/>
    <n v="0"/>
    <n v="0"/>
    <n v="0"/>
    <n v="77.75"/>
    <n v="0"/>
    <n v="28.75"/>
    <s v="BUNDI"/>
    <s v="KOTA"/>
    <s v="RJ-AJMER"/>
    <d v="2021-07-12T00:00:00"/>
  </r>
  <r>
    <s v="815466202428"/>
    <x v="230"/>
    <s v="DEV NARAYAN KRISHI SEWA KENDRA"/>
    <n v="202428"/>
    <s v="JAIN HARDWARE AND BUILDING MA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UNDI"/>
    <s v="KOTA"/>
    <s v="RJ-AJMER"/>
    <d v="2021-07-12T00:00:00"/>
  </r>
  <r>
    <s v="815609207977"/>
    <x v="231"/>
    <s v="PARMESWAR KUMAR BAHEDIYA"/>
    <n v="207977"/>
    <s v="YASH TRADERS"/>
    <n v="17"/>
    <n v="0"/>
    <n v="0"/>
    <n v="30"/>
    <n v="0"/>
    <n v="0"/>
    <n v="30"/>
    <n v="0"/>
    <n v="2.5"/>
    <n v="10"/>
    <n v="0"/>
    <n v="10"/>
    <n v="20"/>
    <n v="0"/>
    <n v="10"/>
    <n v="50"/>
    <n v="0"/>
    <n v="0"/>
    <n v="30"/>
    <n v="0"/>
    <n v="0"/>
    <n v="40"/>
    <n v="0"/>
    <n v="10"/>
    <n v="227"/>
    <n v="0"/>
    <n v="22.5"/>
    <s v="BUNDI"/>
    <s v="KOTA"/>
    <s v="RJ-AJMER"/>
    <d v="2021-07-23T00:00:00"/>
  </r>
  <r>
    <s v="815834143148"/>
    <x v="232"/>
    <s v="JAI AMBAY SAINI"/>
    <n v="143148"/>
    <s v="R.N. YADAV ARA MACHINE"/>
    <n v="0"/>
    <n v="0"/>
    <n v="0"/>
    <n v="10"/>
    <n v="0"/>
    <n v="0"/>
    <n v="65.5"/>
    <n v="10"/>
    <n v="0"/>
    <n v="35"/>
    <n v="10"/>
    <n v="0"/>
    <n v="0"/>
    <n v="0"/>
    <n v="0"/>
    <n v="35"/>
    <n v="0"/>
    <n v="0"/>
    <n v="35"/>
    <n v="12.5"/>
    <n v="0"/>
    <n v="0"/>
    <n v="0"/>
    <n v="0"/>
    <n v="180.5"/>
    <n v="32.5"/>
    <n v="0"/>
    <s v="BUNDI"/>
    <s v="KOTA"/>
    <s v="RJ-AJMER"/>
    <d v="2021-08-04T00:00:00"/>
  </r>
  <r>
    <s v="816239207977"/>
    <x v="233"/>
    <s v="HARSHITA ENTERPRISES"/>
    <n v="207977"/>
    <s v="YASH TRADERS"/>
    <n v="10"/>
    <n v="0"/>
    <n v="0"/>
    <n v="20"/>
    <n v="0"/>
    <n v="0"/>
    <n v="50"/>
    <n v="0"/>
    <n v="0"/>
    <n v="10"/>
    <n v="0"/>
    <n v="0"/>
    <n v="20"/>
    <n v="0"/>
    <n v="0"/>
    <n v="0"/>
    <n v="0"/>
    <n v="0"/>
    <n v="10"/>
    <n v="0"/>
    <n v="0"/>
    <n v="0"/>
    <n v="0"/>
    <n v="0"/>
    <n v="120"/>
    <n v="0"/>
    <n v="0"/>
    <s v="BUNDI"/>
    <s v="KOTA"/>
    <s v="RJ-AJMER"/>
    <d v="2021-09-01T00:00:00"/>
  </r>
  <r>
    <s v="816576143114"/>
    <x v="234"/>
    <s v="MAHAVEER TRADERS"/>
    <n v="143114"/>
    <s v="RAJESH TRADING COMPANY"/>
    <n v="0"/>
    <n v="0"/>
    <n v="0"/>
    <n v="0"/>
    <n v="0"/>
    <n v="0"/>
    <n v="11.05"/>
    <n v="0"/>
    <n v="0"/>
    <n v="0"/>
    <n v="0"/>
    <n v="0"/>
    <n v="0"/>
    <n v="0"/>
    <n v="0"/>
    <n v="0"/>
    <n v="0"/>
    <n v="0"/>
    <n v="0"/>
    <n v="0"/>
    <n v="0"/>
    <n v="0"/>
    <n v="0"/>
    <n v="0"/>
    <n v="11.05"/>
    <n v="0"/>
    <n v="0"/>
    <s v="BUNDI"/>
    <s v="KOTA"/>
    <s v="RJ-AJMER"/>
    <d v="2021-09-29T00:00:00"/>
  </r>
  <r>
    <s v="817193207977"/>
    <x v="235"/>
    <s v="DESH SEWAK CEMENT AGENCY"/>
    <n v="207977"/>
    <s v="YASH TRADERS"/>
    <n v="0"/>
    <n v="0"/>
    <n v="0"/>
    <n v="10"/>
    <n v="0"/>
    <n v="0"/>
    <n v="10"/>
    <n v="0"/>
    <n v="0"/>
    <n v="0"/>
    <n v="0"/>
    <n v="0"/>
    <n v="20"/>
    <n v="0"/>
    <n v="0"/>
    <n v="0"/>
    <n v="0"/>
    <n v="0"/>
    <n v="0"/>
    <n v="0"/>
    <n v="0"/>
    <n v="0"/>
    <n v="0"/>
    <n v="0"/>
    <n v="40"/>
    <n v="0"/>
    <n v="0"/>
    <s v="BUNDI"/>
    <s v="KOTA"/>
    <s v="RJ-AJMER"/>
    <d v="2021-12-02T00:00:00"/>
  </r>
  <r>
    <s v="817298207977"/>
    <x v="236"/>
    <s v="SANWARIYA ENTERPRISES"/>
    <n v="207977"/>
    <s v="YASH TRADERS"/>
    <n v="0"/>
    <n v="0"/>
    <n v="0"/>
    <n v="40"/>
    <n v="0"/>
    <n v="0"/>
    <n v="28.6"/>
    <n v="0"/>
    <n v="18.600000000000001"/>
    <n v="10"/>
    <n v="0"/>
    <n v="0"/>
    <n v="10"/>
    <n v="0"/>
    <n v="3"/>
    <n v="50"/>
    <n v="0"/>
    <n v="20"/>
    <n v="10"/>
    <n v="0"/>
    <n v="0"/>
    <n v="22"/>
    <n v="0"/>
    <n v="0"/>
    <n v="170.6"/>
    <n v="0"/>
    <n v="41.6"/>
    <s v="BUNDI"/>
    <s v="KOTA"/>
    <s v="RJ-AJMER"/>
    <d v="2021-12-14T00:00:00"/>
  </r>
  <r>
    <s v="817585202204"/>
    <x v="237"/>
    <s v="RAHUL CEMENT AGENCY"/>
    <n v="202204"/>
    <s v="NEERAJ &amp; BROTHERS"/>
    <n v="10"/>
    <n v="0"/>
    <n v="0"/>
    <n v="27"/>
    <n v="0"/>
    <n v="0"/>
    <n v="30"/>
    <n v="0"/>
    <n v="0"/>
    <n v="30"/>
    <n v="0"/>
    <n v="17.5"/>
    <n v="0"/>
    <n v="0"/>
    <n v="0"/>
    <n v="10"/>
    <n v="0"/>
    <n v="0"/>
    <n v="15"/>
    <n v="0"/>
    <n v="0"/>
    <n v="35"/>
    <n v="0"/>
    <n v="3.8"/>
    <n v="157"/>
    <n v="0"/>
    <n v="17.5"/>
    <s v="BUNDI"/>
    <s v="KOTA"/>
    <s v="RJ-AJMER"/>
    <d v="2022-01-03T00:00:00"/>
  </r>
  <r>
    <s v="818255210538"/>
    <x v="238"/>
    <s v="HEERA LAL GURJAR"/>
    <n v="210538"/>
    <s v="JAI MATA DI CONSTRUCTION COMPA"/>
    <n v="0"/>
    <n v="0"/>
    <n v="0"/>
    <n v="1.65"/>
    <n v="0"/>
    <n v="0"/>
    <n v="0"/>
    <n v="0"/>
    <n v="0"/>
    <n v="20"/>
    <n v="0"/>
    <n v="3.5"/>
    <n v="10"/>
    <n v="0"/>
    <n v="0"/>
    <n v="35"/>
    <n v="0"/>
    <n v="2.25"/>
    <n v="10"/>
    <n v="0"/>
    <n v="10"/>
    <n v="21.5"/>
    <n v="0"/>
    <n v="5.5"/>
    <n v="98.15"/>
    <n v="0"/>
    <n v="15.75"/>
    <s v="BUNDI"/>
    <s v="KOTA"/>
    <s v="RJ-AJMER"/>
    <d v="2022-03-03T00:00:00"/>
  </r>
  <r>
    <s v="818259179891"/>
    <x v="239"/>
    <s v="SIYARAM GOCHAR"/>
    <n v="179891"/>
    <s v="DOSTI CONSTRUCTION"/>
    <n v="55"/>
    <n v="10"/>
    <n v="0"/>
    <n v="85"/>
    <n v="0"/>
    <n v="0"/>
    <n v="107"/>
    <n v="5"/>
    <n v="15"/>
    <n v="0"/>
    <n v="0"/>
    <n v="0"/>
    <n v="0"/>
    <n v="0"/>
    <n v="0"/>
    <n v="24"/>
    <n v="0"/>
    <n v="0"/>
    <n v="65"/>
    <n v="0"/>
    <n v="0"/>
    <n v="68"/>
    <n v="0"/>
    <n v="0"/>
    <n v="404"/>
    <n v="15"/>
    <n v="15"/>
    <s v="BUNDI"/>
    <s v="KOTA"/>
    <s v="RJ-AJMER"/>
    <d v="2022-03-03T00:00:00"/>
  </r>
  <r>
    <s v="818261143114"/>
    <x v="240"/>
    <s v="JAI BAJRANG BALI TRADERS"/>
    <n v="143114"/>
    <s v="RAJESH TRADING COMPANY"/>
    <n v="0"/>
    <n v="0"/>
    <n v="0"/>
    <n v="25"/>
    <n v="0"/>
    <n v="0"/>
    <n v="20"/>
    <n v="0"/>
    <n v="10"/>
    <n v="0"/>
    <n v="0"/>
    <n v="0"/>
    <n v="10"/>
    <n v="0"/>
    <n v="5"/>
    <n v="0"/>
    <n v="0"/>
    <n v="0"/>
    <n v="0"/>
    <n v="0"/>
    <n v="0"/>
    <n v="15"/>
    <n v="0"/>
    <n v="0"/>
    <n v="70"/>
    <n v="0"/>
    <n v="15"/>
    <s v="BUNDI"/>
    <s v="KOTA"/>
    <s v="RJ-AJMER"/>
    <d v="2022-03-03T00:00:00"/>
  </r>
  <r>
    <s v="818412202428"/>
    <x v="241"/>
    <s v="RAM PRASAD MEENA"/>
    <n v="202428"/>
    <s v="JAIN HARDWARE AND BUILDING MAT"/>
    <n v="35"/>
    <n v="0"/>
    <n v="0"/>
    <n v="59"/>
    <n v="0"/>
    <n v="0"/>
    <n v="37"/>
    <n v="0"/>
    <n v="6.5"/>
    <n v="96.4"/>
    <n v="3.4"/>
    <n v="26.4"/>
    <n v="70"/>
    <n v="0"/>
    <n v="1.25"/>
    <n v="25"/>
    <n v="0"/>
    <n v="0"/>
    <n v="0.65"/>
    <n v="0.65"/>
    <n v="0"/>
    <n v="27.95"/>
    <n v="4.75"/>
    <n v="3.75"/>
    <n v="350.99999999999994"/>
    <n v="4.05"/>
    <n v="34.15"/>
    <s v="BUNDI"/>
    <s v="KOTA"/>
    <s v="RJ-AJMER"/>
    <d v="2022-03-21T00:00:00"/>
  </r>
  <r>
    <s v="818415207977"/>
    <x v="242"/>
    <s v="PARASHAR ENTERPRISES"/>
    <n v="207977"/>
    <s v="YASH TRADERS"/>
    <n v="0"/>
    <n v="0"/>
    <n v="0"/>
    <n v="1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30"/>
    <n v="0"/>
    <n v="0"/>
    <s v="BUNDI"/>
    <s v="KOTA"/>
    <s v="RJ-AJMER"/>
    <d v="2022-03-21T00:00:00"/>
  </r>
  <r>
    <s v="818417143114"/>
    <x v="243"/>
    <s v="DEV RANI TRADERS"/>
    <n v="143114"/>
    <s v="RAJESH TRADING COMPANY"/>
    <n v="0"/>
    <n v="0"/>
    <n v="0"/>
    <n v="10"/>
    <n v="0"/>
    <n v="0"/>
    <n v="10"/>
    <n v="0"/>
    <n v="0"/>
    <n v="0"/>
    <n v="0"/>
    <n v="0"/>
    <n v="20"/>
    <n v="0"/>
    <n v="0"/>
    <n v="10"/>
    <n v="0"/>
    <n v="0"/>
    <n v="20"/>
    <n v="0"/>
    <n v="0"/>
    <n v="0"/>
    <n v="0"/>
    <n v="0"/>
    <n v="70"/>
    <n v="0"/>
    <n v="0"/>
    <s v="BUNDI"/>
    <s v="KOTA"/>
    <s v="RJ-AJMER"/>
    <d v="2022-03-21T00:00:00"/>
  </r>
  <r>
    <s v="818599143114"/>
    <x v="244"/>
    <s v="BHOLA SHANKAR"/>
    <n v="143114"/>
    <s v="RAJESH TRADING COMPANY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BUNDI"/>
    <s v="KOTA"/>
    <s v="RJ-AJMER"/>
    <d v="2022-04-08T00:00:00"/>
  </r>
  <r>
    <s v="814436143113"/>
    <x v="223"/>
    <s v="DEV CEMENT AGENCY"/>
    <n v="143113"/>
    <s v="SHREE RADHE GOPAL TRDE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BUNDI"/>
    <s v="KOTA"/>
    <s v="RJ-AJMER"/>
    <d v="2021-02-10T00:00:00"/>
  </r>
  <r>
    <s v="820780207977"/>
    <x v="245"/>
    <s v="RADHIKA CEMENT AGENCY"/>
    <n v="207977"/>
    <s v="YAS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10"/>
    <n v="0"/>
    <n v="0"/>
    <n v="40"/>
    <n v="0"/>
    <n v="0"/>
    <s v="BUNDI"/>
    <s v="KOTA"/>
    <s v="RJ-AJMER"/>
    <d v="2022-09-28T00:00:00"/>
  </r>
  <r>
    <s v="812746202427"/>
    <x v="246"/>
    <s v="MUKESH KUMAR JAIN"/>
    <n v="202427"/>
    <s v="JAIN KHAD BHAND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5"/>
    <n v="0"/>
    <n v="0"/>
    <n v="0"/>
    <n v="15"/>
    <n v="0"/>
    <n v="5"/>
    <s v="BUNDI"/>
    <s v="KOTA"/>
    <s v="RJ-AJMER"/>
    <d v="2020-09-01T00:00:00"/>
  </r>
  <r>
    <s v="821085207977"/>
    <x v="247"/>
    <s v="JUGRAJ ENTERPRISES"/>
    <n v="207977"/>
    <s v="YAS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0"/>
    <n v="0"/>
    <n v="0"/>
    <n v="45"/>
    <n v="0"/>
    <n v="0"/>
    <s v="BUNDI"/>
    <s v="KOTA"/>
    <s v="RJ-AJMER"/>
    <d v="2022-10-29T00:00:00"/>
  </r>
  <r>
    <s v="821115207977"/>
    <x v="248"/>
    <s v="SHREE SALASAR TRADING COMPANY"/>
    <n v="207977"/>
    <s v="YAS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0"/>
    <n v="0"/>
    <n v="10"/>
    <n v="65"/>
    <n v="0"/>
    <n v="0"/>
    <s v="BUNDI"/>
    <s v="KOTA"/>
    <s v="RJ-AJMER"/>
    <d v="2022-10-31T00:00:00"/>
  </r>
  <r>
    <s v="806359179908"/>
    <x v="249"/>
    <s v="CHANDRA SHREE ENTERPRISES"/>
    <n v="179908"/>
    <s v="SANWLA ENTERPRISES"/>
    <n v="1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JHALAWAR"/>
    <s v="KOTA"/>
    <s v="RJ-AJMER"/>
    <d v="2017-05-13T00:00:00"/>
  </r>
  <r>
    <s v="806360173865"/>
    <x v="250"/>
    <s v="KAPIL TRADERS"/>
    <n v="173865"/>
    <s v="BHARDWAJ TRADERS"/>
    <n v="50"/>
    <n v="0"/>
    <n v="0"/>
    <n v="27"/>
    <n v="0"/>
    <n v="0"/>
    <n v="45"/>
    <n v="0"/>
    <n v="0"/>
    <n v="25"/>
    <n v="0"/>
    <n v="0"/>
    <n v="20"/>
    <n v="0"/>
    <n v="0"/>
    <n v="20"/>
    <n v="0"/>
    <n v="0"/>
    <n v="10"/>
    <n v="0"/>
    <n v="0"/>
    <n v="23"/>
    <n v="0"/>
    <n v="0"/>
    <n v="220"/>
    <n v="0"/>
    <n v="0"/>
    <s v="JHALAWAR"/>
    <s v="KOTA"/>
    <s v="RJ-AJMER"/>
    <d v="2017-05-13T00:00:00"/>
  </r>
  <r>
    <s v="807439179908"/>
    <x v="251"/>
    <s v="MANSURI TRADERS"/>
    <n v="179908"/>
    <s v="SANWLA ENTERPRISES"/>
    <n v="0"/>
    <n v="0"/>
    <n v="0"/>
    <n v="25"/>
    <n v="0"/>
    <n v="0"/>
    <n v="0"/>
    <n v="0"/>
    <n v="0"/>
    <n v="3"/>
    <n v="0"/>
    <n v="0"/>
    <n v="0"/>
    <n v="0"/>
    <n v="0"/>
    <n v="15"/>
    <n v="0"/>
    <n v="0"/>
    <n v="20"/>
    <n v="0"/>
    <n v="0"/>
    <n v="10"/>
    <n v="0"/>
    <n v="0"/>
    <n v="73"/>
    <n v="0"/>
    <n v="0"/>
    <s v="JHALAWAR"/>
    <s v="KOTA"/>
    <s v="RJ-AJMER"/>
    <d v="2018-12-27T00:00:00"/>
  </r>
  <r>
    <s v="809004175662"/>
    <x v="252"/>
    <s v="GOUR CEMENT AGENCY"/>
    <n v="175662"/>
    <s v="VINAYAK CONSTRUCTION COMPANY"/>
    <n v="35"/>
    <n v="0"/>
    <n v="0"/>
    <n v="35"/>
    <n v="0"/>
    <n v="0"/>
    <n v="105"/>
    <n v="0"/>
    <n v="0"/>
    <n v="70"/>
    <n v="0"/>
    <n v="0"/>
    <n v="50"/>
    <n v="0"/>
    <n v="0"/>
    <n v="35"/>
    <n v="0"/>
    <n v="0"/>
    <n v="20"/>
    <n v="0"/>
    <n v="0"/>
    <n v="35"/>
    <n v="0"/>
    <n v="0"/>
    <n v="385"/>
    <n v="0"/>
    <n v="0"/>
    <s v="JHALAWAR"/>
    <s v="KOTA"/>
    <s v="RJ-AJMER"/>
    <d v="2018-09-18T00:00:00"/>
  </r>
  <r>
    <s v="811546179908"/>
    <x v="253"/>
    <s v="LUCKY BUILDING MATERIAL"/>
    <n v="179908"/>
    <s v="SANWLA ENTERPRISES"/>
    <n v="80"/>
    <n v="0"/>
    <n v="0"/>
    <n v="90"/>
    <n v="0"/>
    <n v="0"/>
    <n v="226"/>
    <n v="20"/>
    <n v="30"/>
    <n v="165"/>
    <n v="0"/>
    <n v="0"/>
    <n v="70"/>
    <n v="0"/>
    <n v="0"/>
    <n v="0"/>
    <n v="0"/>
    <n v="0"/>
    <n v="0"/>
    <n v="0"/>
    <n v="0"/>
    <n v="0"/>
    <n v="0"/>
    <n v="0"/>
    <n v="631"/>
    <n v="20"/>
    <n v="30"/>
    <s v="JHALAWAR"/>
    <s v="KOTA"/>
    <s v="RJ-AJMER"/>
    <d v="2020-02-20T00:00:00"/>
  </r>
  <r>
    <s v="811547179908"/>
    <x v="254"/>
    <s v="ADITYA ENTERPRISES"/>
    <n v="179908"/>
    <s v="SANWLA ENTERPRISES"/>
    <n v="17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15"/>
    <n v="0"/>
    <n v="0"/>
    <n v="52"/>
    <n v="0"/>
    <n v="0"/>
    <s v="JHALAWAR"/>
    <s v="KOTA"/>
    <s v="RJ-AJMER"/>
    <d v="2020-02-20T00:00:00"/>
  </r>
  <r>
    <s v="811549178150"/>
    <x v="255"/>
    <s v="NISHA ENTERPRISES"/>
    <n v="178150"/>
    <s v="FALODI KIRANA STORE"/>
    <n v="36"/>
    <n v="0"/>
    <n v="0"/>
    <n v="15"/>
    <n v="0"/>
    <n v="0"/>
    <n v="45"/>
    <n v="0"/>
    <n v="0"/>
    <n v="27"/>
    <n v="0"/>
    <n v="0"/>
    <n v="30"/>
    <n v="0"/>
    <n v="0"/>
    <n v="40"/>
    <n v="0"/>
    <n v="0"/>
    <n v="30"/>
    <n v="0"/>
    <n v="15"/>
    <n v="10"/>
    <n v="0"/>
    <n v="0"/>
    <n v="233"/>
    <n v="0"/>
    <n v="15"/>
    <s v="JHALAWAR"/>
    <s v="KOTA"/>
    <s v="RJ-AJMER"/>
    <d v="2020-02-20T00:00:00"/>
  </r>
  <r>
    <s v="811892178150"/>
    <x v="256"/>
    <s v="FALODI KIRANA STORE"/>
    <n v="178150"/>
    <s v="FALODI KIRANA STORE"/>
    <n v="30"/>
    <n v="0"/>
    <n v="0"/>
    <n v="35"/>
    <n v="0"/>
    <n v="0"/>
    <n v="50"/>
    <n v="0"/>
    <n v="20"/>
    <n v="35"/>
    <n v="0"/>
    <n v="0"/>
    <n v="15"/>
    <n v="0"/>
    <n v="0"/>
    <n v="30"/>
    <n v="0"/>
    <n v="0"/>
    <n v="25"/>
    <n v="0"/>
    <n v="10"/>
    <n v="25"/>
    <n v="0"/>
    <n v="15"/>
    <n v="245"/>
    <n v="0"/>
    <n v="30"/>
    <s v="JHALAWAR"/>
    <s v="KOTA"/>
    <s v="RJ-AJMER"/>
    <d v="2020-06-10T00:00:00"/>
  </r>
  <r>
    <s v="812060179908"/>
    <x v="257"/>
    <s v="PATIDAR BROTHERS"/>
    <n v="179908"/>
    <s v="SANWLA ENTERPRISES"/>
    <n v="33"/>
    <n v="0"/>
    <n v="0"/>
    <n v="15"/>
    <n v="0"/>
    <n v="0"/>
    <n v="20"/>
    <n v="0"/>
    <n v="0"/>
    <n v="10"/>
    <n v="0"/>
    <n v="0"/>
    <n v="20"/>
    <n v="0"/>
    <n v="0"/>
    <n v="45"/>
    <n v="0"/>
    <n v="0"/>
    <n v="0"/>
    <n v="0"/>
    <n v="0"/>
    <n v="10"/>
    <n v="0"/>
    <n v="0"/>
    <n v="153"/>
    <n v="0"/>
    <n v="0"/>
    <s v="JHALAWAR"/>
    <s v="KOTA"/>
    <s v="RJ-AJMER"/>
    <d v="2020-06-29T00:00:00"/>
  </r>
  <r>
    <s v="812065179908"/>
    <x v="258"/>
    <s v="SISODIYA CONSTRUCTION AND SUPP"/>
    <n v="179908"/>
    <s v="SANWLA ENTERPRISE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JHALAWAR"/>
    <s v="KOTA"/>
    <s v="RJ-AJMER"/>
    <d v="2020-06-29T00:00:00"/>
  </r>
  <r>
    <s v="812409202225"/>
    <x v="259"/>
    <s v="RATHORE CEMENT AGENCY"/>
    <n v="202225"/>
    <s v="ASTOLIA INDUSTRIES"/>
    <n v="64.5"/>
    <n v="0"/>
    <n v="0"/>
    <n v="55"/>
    <n v="0"/>
    <n v="0"/>
    <n v="91"/>
    <n v="0"/>
    <n v="0"/>
    <n v="40"/>
    <n v="0"/>
    <n v="0"/>
    <n v="55"/>
    <n v="0"/>
    <n v="0"/>
    <n v="25"/>
    <n v="0"/>
    <n v="0"/>
    <n v="15"/>
    <n v="0"/>
    <n v="0"/>
    <n v="10"/>
    <n v="0"/>
    <n v="0"/>
    <n v="355.5"/>
    <n v="0"/>
    <n v="0"/>
    <s v="JHALAWAR"/>
    <s v="KOTA"/>
    <s v="RJ-AJMER"/>
    <d v="2020-07-30T00:00:00"/>
  </r>
  <r>
    <s v="812571173750"/>
    <x v="260"/>
    <s v="DURGA TRADERS"/>
    <n v="173750"/>
    <s v="SISODIYA TRADE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5"/>
    <n v="0"/>
    <n v="0"/>
    <n v="15"/>
    <n v="0"/>
    <n v="0"/>
    <s v="JHALAWAR"/>
    <s v="KOTA"/>
    <s v="RJ-AJMER"/>
    <d v="2020-08-19T00:00:00"/>
  </r>
  <r>
    <s v="812615177069"/>
    <x v="261"/>
    <s v="LODHA BUILDING MATERIAL SUPPLI"/>
    <n v="177069"/>
    <s v="LOVEVANSHI ENTERPRISES"/>
    <n v="81"/>
    <n v="10"/>
    <n v="0"/>
    <n v="55"/>
    <n v="25"/>
    <n v="0"/>
    <n v="141"/>
    <n v="28"/>
    <n v="0"/>
    <n v="80"/>
    <n v="35"/>
    <n v="0"/>
    <n v="50"/>
    <n v="0"/>
    <n v="0"/>
    <n v="78"/>
    <n v="15"/>
    <n v="0"/>
    <n v="15"/>
    <n v="15"/>
    <n v="0"/>
    <n v="35"/>
    <n v="10"/>
    <n v="0"/>
    <n v="535"/>
    <n v="128"/>
    <n v="0"/>
    <s v="JHALAWAR"/>
    <s v="KOTA"/>
    <s v="RJ-AJMER"/>
    <d v="2020-08-22T00:00:00"/>
  </r>
  <r>
    <s v="812778179907"/>
    <x v="262"/>
    <s v="SHREE SAI SUPPLIERS"/>
    <n v="179907"/>
    <s v="SWETA STONE"/>
    <n v="15"/>
    <n v="0"/>
    <n v="0"/>
    <n v="3"/>
    <n v="15"/>
    <n v="0"/>
    <n v="10"/>
    <n v="10"/>
    <n v="0"/>
    <n v="11"/>
    <n v="0"/>
    <n v="0"/>
    <n v="0"/>
    <n v="0"/>
    <n v="0"/>
    <n v="0"/>
    <n v="0"/>
    <n v="0"/>
    <n v="0"/>
    <n v="0"/>
    <n v="0"/>
    <n v="20"/>
    <n v="0"/>
    <n v="0"/>
    <n v="59"/>
    <n v="25"/>
    <n v="0"/>
    <s v="JHALAWAR"/>
    <s v="KOTA"/>
    <s v="RJ-AJMER"/>
    <d v="2020-09-04T00:00:00"/>
  </r>
  <r>
    <s v="812780202225"/>
    <x v="263"/>
    <s v="SHREE KRISHANA BUILDING MATERI"/>
    <n v="202225"/>
    <s v="ASTOLIA INDUSTR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0-09-04T00:00:00"/>
  </r>
  <r>
    <s v="813048179908"/>
    <x v="264"/>
    <s v="BHAGWAN CONSTRUCTION"/>
    <n v="179908"/>
    <s v="SANWLA ENTERPRISES"/>
    <n v="0"/>
    <n v="0"/>
    <n v="0"/>
    <n v="0"/>
    <n v="0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s v="JHALAWAR"/>
    <s v="KOTA"/>
    <s v="RJ-AJMER"/>
    <d v="2020-09-24T00:00:00"/>
  </r>
  <r>
    <s v="813053177069"/>
    <x v="265"/>
    <s v="TANWAR CEMENT AGENCY"/>
    <n v="177069"/>
    <s v="LOVEVANSHI ENTERPRISES"/>
    <n v="35"/>
    <n v="0"/>
    <n v="0"/>
    <n v="0"/>
    <n v="0"/>
    <n v="0"/>
    <n v="25"/>
    <n v="0"/>
    <n v="0"/>
    <n v="20"/>
    <n v="0"/>
    <n v="0"/>
    <n v="25"/>
    <n v="0"/>
    <n v="0"/>
    <n v="25"/>
    <n v="0"/>
    <n v="0"/>
    <n v="0"/>
    <n v="0"/>
    <n v="0"/>
    <n v="0"/>
    <n v="0"/>
    <n v="0"/>
    <n v="130"/>
    <n v="0"/>
    <n v="0"/>
    <s v="JHALAWAR"/>
    <s v="KOTA"/>
    <s v="RJ-AJMER"/>
    <d v="2020-09-24T00:00:00"/>
  </r>
  <r>
    <s v="813150202225"/>
    <x v="266"/>
    <s v="JAI DURGA TRADERS"/>
    <n v="202225"/>
    <s v="ASTOLIA INDUSTR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0-09-30T00:00:00"/>
  </r>
  <r>
    <s v="813377204869"/>
    <x v="267"/>
    <s v="BALAJI ELECTRICALS AND HARDWAR"/>
    <n v="204869"/>
    <s v="SISODIY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0-10-24T00:00:00"/>
  </r>
  <r>
    <s v="813632179908"/>
    <x v="268"/>
    <s v="BALAJI ENTERPRISES"/>
    <n v="179908"/>
    <s v="SANWLA ENTERPRISES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n v="0"/>
    <n v="0"/>
    <n v="0"/>
    <n v="0"/>
    <n v="0"/>
    <n v="0"/>
    <n v="20"/>
    <n v="0"/>
    <n v="0"/>
    <s v="JHALAWAR"/>
    <s v="KOTA"/>
    <s v="RJ-AJMER"/>
    <d v="2020-11-25T00:00:00"/>
  </r>
  <r>
    <s v="813632204869"/>
    <x v="268"/>
    <s v="BALAJI ENTERPRISES"/>
    <n v="204869"/>
    <s v="SISODIYA TRADERS"/>
    <n v="1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"/>
    <n v="0"/>
    <n v="0"/>
    <s v="JHALAWAR"/>
    <s v="KOTA"/>
    <s v="RJ-AJMER"/>
    <d v="2020-11-25T00:00:00"/>
  </r>
  <r>
    <s v="813633179908"/>
    <x v="269"/>
    <s v="SISODIYA TRADING COMPANY"/>
    <n v="179908"/>
    <s v="SANWLA ENTERPRISES"/>
    <n v="0"/>
    <n v="0"/>
    <n v="0"/>
    <n v="0"/>
    <n v="0"/>
    <n v="0"/>
    <n v="10"/>
    <n v="0"/>
    <n v="0"/>
    <n v="0"/>
    <n v="0"/>
    <n v="0"/>
    <n v="0"/>
    <n v="0"/>
    <n v="0"/>
    <n v="15"/>
    <n v="0"/>
    <n v="0"/>
    <n v="0"/>
    <n v="0"/>
    <n v="0"/>
    <n v="0"/>
    <n v="0"/>
    <n v="0"/>
    <n v="25"/>
    <n v="0"/>
    <n v="0"/>
    <s v="JHALAWAR"/>
    <s v="KOTA"/>
    <s v="RJ-AJMER"/>
    <d v="2020-11-25T00:00:00"/>
  </r>
  <r>
    <s v="813633204869"/>
    <x v="269"/>
    <s v="SISODIYA TRADING COMPANY"/>
    <n v="204869"/>
    <s v="SISODIYA TRADERS"/>
    <n v="172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"/>
    <n v="25"/>
    <n v="0"/>
    <s v="JHALAWAR"/>
    <s v="KOTA"/>
    <s v="RJ-AJMER"/>
    <d v="2020-11-25T00:00:00"/>
  </r>
  <r>
    <s v="813635202225"/>
    <x v="270"/>
    <s v="M R SHARMA BUILDING MATERIAL S"/>
    <n v="202225"/>
    <s v="ASTOLIA INDUSTRIES"/>
    <n v="35"/>
    <n v="0"/>
    <n v="0"/>
    <n v="45"/>
    <n v="0"/>
    <n v="0"/>
    <n v="65"/>
    <n v="0"/>
    <n v="10"/>
    <n v="45"/>
    <n v="0"/>
    <n v="25"/>
    <n v="55"/>
    <n v="20"/>
    <n v="0"/>
    <n v="45"/>
    <n v="0"/>
    <n v="0"/>
    <n v="15"/>
    <n v="15"/>
    <n v="0"/>
    <n v="45"/>
    <n v="0"/>
    <n v="0"/>
    <n v="350"/>
    <n v="35"/>
    <n v="35"/>
    <s v="JHALAWAR"/>
    <s v="KOTA"/>
    <s v="RJ-AJMER"/>
    <d v="2020-11-25T00:00:00"/>
  </r>
  <r>
    <s v="813638179908"/>
    <x v="271"/>
    <s v="SHREE ENTERPRISES"/>
    <n v="179908"/>
    <s v="SANWLA ENTERPRISES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n v="0"/>
    <n v="0"/>
    <n v="0"/>
    <n v="0"/>
    <n v="0"/>
    <n v="0"/>
    <n v="20"/>
    <n v="0"/>
    <n v="0"/>
    <s v="JHALAWAR"/>
    <s v="KOTA"/>
    <s v="RJ-AJMER"/>
    <d v="2020-11-25T00:00:00"/>
  </r>
  <r>
    <s v="813638204869"/>
    <x v="271"/>
    <s v="SHREE ENTERPRISES"/>
    <n v="204869"/>
    <s v="SISODIYA TRADERS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n v="0"/>
    <n v="0"/>
    <s v="JHALAWAR"/>
    <s v="KOTA"/>
    <s v="RJ-AJMER"/>
    <d v="2020-11-25T00:00:00"/>
  </r>
  <r>
    <s v="814308204243"/>
    <x v="272"/>
    <s v="LUCKY RET STACK"/>
    <n v="204243"/>
    <s v="SHRI SHIVA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1-01-29T00:00:00"/>
  </r>
  <r>
    <s v="814381170958"/>
    <x v="273"/>
    <s v="DHAKAD CONSTRUCTION"/>
    <n v="170958"/>
    <s v="JAI SHRI CONSTRUC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1-02-03T00:00:00"/>
  </r>
  <r>
    <s v="814470178150"/>
    <x v="274"/>
    <s v="FALODI CONSTRUCTION"/>
    <n v="178150"/>
    <s v="FALODI KIRANA STORE"/>
    <n v="80"/>
    <n v="0"/>
    <n v="0"/>
    <n v="65"/>
    <n v="0"/>
    <n v="0"/>
    <n v="90"/>
    <n v="0"/>
    <n v="0"/>
    <n v="58"/>
    <n v="0"/>
    <n v="0"/>
    <n v="55"/>
    <n v="0"/>
    <n v="0"/>
    <n v="55"/>
    <n v="0"/>
    <n v="0"/>
    <n v="35"/>
    <n v="0"/>
    <n v="0"/>
    <n v="64"/>
    <n v="0"/>
    <n v="0"/>
    <n v="502"/>
    <n v="0"/>
    <n v="0"/>
    <s v="JHALAWAR"/>
    <s v="KOTA"/>
    <s v="RJ-AJMER"/>
    <d v="2021-02-12T00:00:00"/>
  </r>
  <r>
    <s v="814481170958"/>
    <x v="275"/>
    <s v="DHAKAD KRISHI SEVA KENDRA"/>
    <n v="170958"/>
    <s v="JAI SHRI CONSTRUC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1-02-15T00:00:00"/>
  </r>
  <r>
    <s v="814484202225"/>
    <x v="276"/>
    <s v="GOLANIA TRADERS"/>
    <n v="202225"/>
    <s v="ASTOLIA INDUSTRIES"/>
    <n v="40"/>
    <n v="0"/>
    <n v="0"/>
    <n v="15"/>
    <n v="10"/>
    <n v="0"/>
    <n v="60"/>
    <n v="0"/>
    <n v="10"/>
    <n v="10"/>
    <n v="0"/>
    <n v="10"/>
    <n v="15"/>
    <n v="0"/>
    <n v="0"/>
    <n v="30"/>
    <n v="0"/>
    <n v="0"/>
    <n v="15"/>
    <n v="0"/>
    <n v="0"/>
    <n v="35"/>
    <n v="0"/>
    <n v="0"/>
    <n v="220"/>
    <n v="10"/>
    <n v="20"/>
    <s v="JHALAWAR"/>
    <s v="KOTA"/>
    <s v="RJ-AJMER"/>
    <d v="2021-02-15T00:00:00"/>
  </r>
  <r>
    <s v="814504170958"/>
    <x v="277"/>
    <s v="MAHAKAL ENTERPRISES"/>
    <n v="170958"/>
    <s v="JAI SHRI CONSTRUC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1-02-16T00:00:00"/>
  </r>
  <r>
    <s v="815273207809"/>
    <x v="278"/>
    <s v="SIDDHY VINAYAK IRRIGATION SHOP"/>
    <n v="207809"/>
    <s v="SHIV MAHIMA TRADERS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n v="15"/>
    <n v="0"/>
    <n v="0"/>
    <n v="0"/>
    <n v="0"/>
    <n v="0"/>
    <n v="35"/>
    <n v="0"/>
    <n v="0"/>
    <s v="JHALAWAR"/>
    <s v="KOTA"/>
    <s v="RJ-AJMER"/>
    <d v="2021-06-26T00:00:00"/>
  </r>
  <r>
    <s v="815636202225"/>
    <x v="279"/>
    <s v="RAJLAXMI TRADERS"/>
    <n v="202225"/>
    <s v="ASTOLIA INDUSTRIES"/>
    <n v="15"/>
    <n v="0"/>
    <n v="0"/>
    <n v="10"/>
    <n v="0"/>
    <n v="0"/>
    <n v="25"/>
    <n v="0"/>
    <n v="0"/>
    <n v="0"/>
    <n v="0"/>
    <n v="0"/>
    <n v="10"/>
    <n v="0"/>
    <n v="0"/>
    <n v="25"/>
    <n v="0"/>
    <n v="15"/>
    <n v="0"/>
    <n v="0"/>
    <n v="0"/>
    <n v="10"/>
    <n v="0"/>
    <n v="0"/>
    <n v="95"/>
    <n v="0"/>
    <n v="15"/>
    <s v="JHALAWAR"/>
    <s v="KOTA"/>
    <s v="RJ-AJMER"/>
    <d v="2021-07-24T00:00:00"/>
  </r>
  <r>
    <s v="815830170958"/>
    <x v="280"/>
    <s v="JAI MATA DI MATERIAL SUPPLIERS"/>
    <n v="170958"/>
    <s v="JAI SHRI CONSTRUCTION"/>
    <n v="70"/>
    <n v="35"/>
    <n v="0"/>
    <n v="85"/>
    <n v="0"/>
    <n v="0"/>
    <n v="95"/>
    <n v="15"/>
    <n v="0"/>
    <n v="60"/>
    <n v="0"/>
    <n v="0"/>
    <n v="25"/>
    <n v="0"/>
    <n v="0"/>
    <n v="70"/>
    <n v="0"/>
    <n v="0"/>
    <n v="15"/>
    <n v="0"/>
    <n v="0"/>
    <n v="60"/>
    <n v="0"/>
    <n v="0"/>
    <n v="480"/>
    <n v="50"/>
    <n v="0"/>
    <s v="JHALAWAR"/>
    <s v="KOTA"/>
    <s v="RJ-AJMER"/>
    <d v="2021-08-03T00:00:00"/>
  </r>
  <r>
    <s v="815831207290"/>
    <x v="281"/>
    <s v="DASAYA KRISHI SEVA KENDRA"/>
    <n v="207290"/>
    <s v="RAGESHWARI SUPPLIERS AND CONST"/>
    <n v="30"/>
    <n v="0"/>
    <n v="0"/>
    <n v="0"/>
    <n v="0"/>
    <n v="0"/>
    <n v="20"/>
    <n v="0"/>
    <n v="0"/>
    <n v="10"/>
    <n v="0"/>
    <n v="0"/>
    <n v="28.75"/>
    <n v="10"/>
    <n v="0"/>
    <n v="10"/>
    <n v="0"/>
    <n v="0"/>
    <n v="15"/>
    <n v="0"/>
    <n v="0"/>
    <n v="0"/>
    <n v="0"/>
    <n v="0"/>
    <n v="113.75"/>
    <n v="10"/>
    <n v="0"/>
    <s v="JHALAWAR"/>
    <s v="KOTA"/>
    <s v="RJ-AJMER"/>
    <d v="2021-08-03T00:00:00"/>
  </r>
  <r>
    <s v="815961177069"/>
    <x v="282"/>
    <s v="JAIN TRADERS"/>
    <n v="177069"/>
    <s v="LOVEVANSHI ENTERPRISES"/>
    <n v="0"/>
    <n v="0"/>
    <n v="0"/>
    <n v="25"/>
    <n v="0"/>
    <n v="0"/>
    <n v="35"/>
    <n v="0"/>
    <n v="0"/>
    <n v="36"/>
    <n v="0"/>
    <n v="0"/>
    <n v="35"/>
    <n v="0"/>
    <n v="0"/>
    <n v="10"/>
    <n v="0"/>
    <n v="0"/>
    <n v="15"/>
    <n v="0"/>
    <n v="0"/>
    <n v="0"/>
    <n v="0"/>
    <n v="0"/>
    <n v="156"/>
    <n v="0"/>
    <n v="0"/>
    <s v="JHALAWAR"/>
    <s v="KOTA"/>
    <s v="RJ-AJMER"/>
    <d v="2021-08-17T00:00:00"/>
  </r>
  <r>
    <s v="816013202225"/>
    <x v="283"/>
    <s v="KHUSHBU TRADERS"/>
    <n v="202225"/>
    <s v="ASTOLIA INDUSTRIE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HALAWAR"/>
    <s v="KOTA"/>
    <s v="RJ-AJMER"/>
    <d v="2021-08-20T00:00:00"/>
  </r>
  <r>
    <s v="816114204243"/>
    <x v="284"/>
    <s v="MAHADEV KISHAN SEVA KENDRA"/>
    <n v="204243"/>
    <s v="SHRI SHIVA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1-08-25T00:00:00"/>
  </r>
  <r>
    <s v="816551202225"/>
    <x v="285"/>
    <s v="DEV SHREE ENTERPRISES"/>
    <n v="202225"/>
    <s v="ASTOLIA INDUSTR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1-09-28T00:00:00"/>
  </r>
  <r>
    <s v="816651209990"/>
    <x v="286"/>
    <s v="HANUMAN TRADERS"/>
    <n v="209990"/>
    <s v="DHAKAD KRISHI SEVA KENDRA,"/>
    <n v="30"/>
    <n v="0"/>
    <n v="0"/>
    <n v="0"/>
    <n v="0"/>
    <n v="0"/>
    <n v="35"/>
    <n v="0"/>
    <n v="0"/>
    <n v="20"/>
    <n v="0"/>
    <n v="0"/>
    <n v="0"/>
    <n v="0"/>
    <n v="0"/>
    <n v="0"/>
    <n v="0"/>
    <n v="0"/>
    <n v="0"/>
    <n v="0"/>
    <n v="0"/>
    <n v="0"/>
    <n v="0"/>
    <n v="0"/>
    <n v="85"/>
    <n v="0"/>
    <n v="0"/>
    <s v="JHALAWAR"/>
    <s v="KOTA"/>
    <s v="RJ-AJMER"/>
    <d v="2021-10-06T00:00:00"/>
  </r>
  <r>
    <s v="816917179907"/>
    <x v="287"/>
    <s v="JODHANA CEMENT SUPPLIERS"/>
    <n v="179907"/>
    <s v="SWETA STO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HALAWAR"/>
    <s v="KOTA"/>
    <s v="RJ-AJMER"/>
    <d v="2021-10-30T00:00:00"/>
  </r>
  <r>
    <s v="817235170958"/>
    <x v="288"/>
    <s v="SHIV DEV TRADERS"/>
    <n v="170958"/>
    <s v="JAI SHRI CONSTRUCTION"/>
    <n v="0"/>
    <n v="0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s v="JHALAWAR"/>
    <s v="KOTA"/>
    <s v="RJ-AJMER"/>
    <d v="2021-12-08T00:00:00"/>
  </r>
  <r>
    <s v="817667204869"/>
    <x v="289"/>
    <s v="PRATAP DHARMA KANTA"/>
    <n v="204869"/>
    <s v="SISODIYA TRADERS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JHALAWAR"/>
    <s v="KOTA"/>
    <s v="RJ-AJMER"/>
    <d v="2022-01-12T00:00:00"/>
  </r>
  <r>
    <s v="817870207809"/>
    <x v="290"/>
    <s v="SHREE BALAJI TRADERS"/>
    <n v="207809"/>
    <s v="SHIV MAHIMA TRADERS"/>
    <n v="60"/>
    <n v="0"/>
    <n v="0"/>
    <n v="70"/>
    <n v="0"/>
    <n v="0"/>
    <n v="220"/>
    <n v="25"/>
    <n v="0"/>
    <n v="100"/>
    <n v="0"/>
    <n v="15"/>
    <n v="135"/>
    <n v="0"/>
    <n v="0"/>
    <n v="185"/>
    <n v="45"/>
    <n v="30"/>
    <n v="100"/>
    <n v="25"/>
    <n v="0"/>
    <n v="130"/>
    <n v="20"/>
    <n v="15"/>
    <n v="1000"/>
    <n v="95"/>
    <n v="45"/>
    <s v="JHALAWAR"/>
    <s v="KOTA"/>
    <s v="RJ-AJMER"/>
    <d v="2022-01-28T00:00:00"/>
  </r>
  <r>
    <s v="817887177742"/>
    <x v="291"/>
    <s v="MAHADEV CEMENT AGENCY"/>
    <n v="177742"/>
    <s v="PATEL MOTORS"/>
    <n v="0"/>
    <n v="0"/>
    <n v="0"/>
    <n v="15"/>
    <n v="0"/>
    <n v="0"/>
    <n v="20"/>
    <n v="0"/>
    <n v="0"/>
    <n v="0"/>
    <n v="0"/>
    <n v="0"/>
    <n v="10"/>
    <n v="0"/>
    <n v="0"/>
    <n v="10"/>
    <n v="0"/>
    <n v="0"/>
    <n v="0"/>
    <n v="0"/>
    <n v="0"/>
    <n v="0"/>
    <n v="0"/>
    <n v="0"/>
    <n v="55"/>
    <n v="0"/>
    <n v="0"/>
    <s v="JHALAWAR"/>
    <s v="KOTA"/>
    <s v="RJ-AJMER"/>
    <d v="2022-01-29T00:00:00"/>
  </r>
  <r>
    <s v="818136177742"/>
    <x v="292"/>
    <s v="JAI BHAWANI TRADERS"/>
    <n v="177742"/>
    <s v="PATEL MOTORS"/>
    <n v="15"/>
    <n v="0"/>
    <n v="0"/>
    <n v="15"/>
    <n v="0"/>
    <n v="0"/>
    <n v="25"/>
    <n v="0"/>
    <n v="0"/>
    <n v="14.5"/>
    <n v="0"/>
    <n v="0"/>
    <n v="0"/>
    <n v="0"/>
    <n v="0"/>
    <n v="0"/>
    <n v="0"/>
    <n v="0"/>
    <n v="0"/>
    <n v="0"/>
    <n v="0"/>
    <n v="0"/>
    <n v="0"/>
    <n v="0"/>
    <n v="69.5"/>
    <n v="0"/>
    <n v="0"/>
    <s v="JHALAWAR"/>
    <s v="KOTA"/>
    <s v="RJ-AJMER"/>
    <d v="2022-02-24T00:00:00"/>
  </r>
  <r>
    <s v="818140209990"/>
    <x v="293"/>
    <s v="SANWLIYA AND BROTHERS BUILDING"/>
    <n v="209990"/>
    <s v="DHAKAD KRISHI SEVA KENDRA,"/>
    <n v="85"/>
    <n v="0"/>
    <n v="0"/>
    <n v="20"/>
    <n v="0"/>
    <n v="0"/>
    <n v="15"/>
    <n v="0"/>
    <n v="0"/>
    <n v="15"/>
    <n v="0"/>
    <n v="0"/>
    <n v="12.5"/>
    <n v="0"/>
    <n v="0"/>
    <n v="15"/>
    <n v="0"/>
    <n v="0"/>
    <n v="0"/>
    <n v="0"/>
    <n v="0"/>
    <n v="0"/>
    <n v="0"/>
    <n v="0"/>
    <n v="162.5"/>
    <n v="0"/>
    <n v="0"/>
    <s v="JHALAWAR"/>
    <s v="KOTA"/>
    <s v="RJ-AJMER"/>
    <d v="2022-02-24T00:00:00"/>
  </r>
  <r>
    <s v="818375207290"/>
    <x v="294"/>
    <s v="LOVEVANSHI CEMENT SUPPLIERS"/>
    <n v="207290"/>
    <s v="RAGESHWARI SUPPLIERS AND CONST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HALAWAR"/>
    <s v="KOTA"/>
    <s v="RJ-AJMER"/>
    <d v="2022-03-14T00:00:00"/>
  </r>
  <r>
    <s v="818376207809"/>
    <x v="295"/>
    <s v="VAISHNAV TRADERS"/>
    <n v="207809"/>
    <s v="SHIV MAHIMA TRADERS"/>
    <n v="25"/>
    <n v="0"/>
    <n v="0"/>
    <n v="15"/>
    <n v="0"/>
    <n v="0"/>
    <n v="10"/>
    <n v="0"/>
    <n v="0"/>
    <n v="15"/>
    <n v="0"/>
    <n v="0"/>
    <n v="10"/>
    <n v="0"/>
    <n v="0"/>
    <n v="0"/>
    <n v="0"/>
    <n v="0"/>
    <n v="0"/>
    <n v="0"/>
    <n v="0"/>
    <n v="0"/>
    <n v="0"/>
    <n v="0"/>
    <n v="75"/>
    <n v="0"/>
    <n v="0"/>
    <s v="JHALAWAR"/>
    <s v="KOTA"/>
    <s v="RJ-AJMER"/>
    <d v="2022-03-15T00:00:00"/>
  </r>
  <r>
    <s v="818846209990"/>
    <x v="296"/>
    <s v="JAI MATA DI POLL SUPPLIERS"/>
    <n v="209990"/>
    <s v="DHAKAD KRISHI SEVA KENDRA,"/>
    <n v="0"/>
    <n v="0"/>
    <n v="0"/>
    <n v="15"/>
    <n v="0"/>
    <n v="0"/>
    <n v="75"/>
    <n v="0"/>
    <n v="0"/>
    <n v="10"/>
    <n v="0"/>
    <n v="0"/>
    <n v="10"/>
    <n v="0"/>
    <n v="0"/>
    <n v="25"/>
    <n v="0"/>
    <n v="0"/>
    <n v="45"/>
    <n v="0"/>
    <n v="0"/>
    <n v="20"/>
    <n v="0"/>
    <n v="0"/>
    <n v="200"/>
    <n v="0"/>
    <n v="0"/>
    <s v="JHALAWAR"/>
    <s v="KOTA"/>
    <s v="RJ-AJMER"/>
    <d v="2022-05-04T00:00:00"/>
  </r>
  <r>
    <s v="819624179908"/>
    <x v="297"/>
    <s v="PRINCE ELECTRONICS"/>
    <n v="179908"/>
    <s v="SANWLA ENTERPRISES"/>
    <n v="0"/>
    <n v="0"/>
    <n v="0"/>
    <n v="0"/>
    <n v="0"/>
    <n v="0"/>
    <n v="0"/>
    <n v="0"/>
    <n v="0"/>
    <n v="35"/>
    <n v="0"/>
    <n v="0"/>
    <n v="65"/>
    <n v="0"/>
    <n v="0"/>
    <n v="115"/>
    <n v="0"/>
    <n v="0"/>
    <n v="20"/>
    <n v="0"/>
    <n v="0"/>
    <n v="185"/>
    <n v="0"/>
    <n v="0"/>
    <n v="420"/>
    <n v="0"/>
    <n v="0"/>
    <s v="JHALAWAR"/>
    <s v="KOTA"/>
    <s v="RJ-AJMER"/>
    <d v="2022-07-06T00:00:00"/>
  </r>
  <r>
    <s v="819629141698"/>
    <x v="298"/>
    <s v="AMIT AGENCIES"/>
    <n v="141698"/>
    <s v="AMBIKA TRADERS"/>
    <n v="0"/>
    <n v="0"/>
    <n v="0"/>
    <n v="0"/>
    <n v="0"/>
    <n v="0"/>
    <n v="0"/>
    <n v="0"/>
    <n v="0"/>
    <n v="40"/>
    <n v="0"/>
    <n v="0"/>
    <n v="0"/>
    <n v="0"/>
    <n v="0"/>
    <n v="15"/>
    <n v="0"/>
    <n v="0"/>
    <n v="19"/>
    <n v="0"/>
    <n v="0"/>
    <n v="0"/>
    <n v="0"/>
    <n v="0"/>
    <n v="74"/>
    <n v="0"/>
    <n v="0"/>
    <s v="JHALAWAR"/>
    <s v="KOTA"/>
    <s v="RJ-AJMER"/>
    <d v="2022-07-06T00:00:00"/>
  </r>
  <r>
    <s v="817667202225"/>
    <x v="289"/>
    <s v="PRATAP DHARMA KANTA"/>
    <n v="202225"/>
    <s v="ASTOLIA INDUSTRIE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15"/>
    <n v="0"/>
    <n v="0"/>
    <s v="JHALAWAR"/>
    <s v="KOTA"/>
    <s v="RJ-AJMER"/>
    <d v="2022-01-12T00:00:00"/>
  </r>
  <r>
    <s v="820781203399"/>
    <x v="299"/>
    <s v="ARVIND TRADERS"/>
    <n v="203399"/>
    <s v="VIJAY BUILDING MATERIAL SUPPL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10"/>
    <n v="0"/>
    <n v="10"/>
    <n v="45"/>
    <n v="0"/>
    <n v="0"/>
    <s v="JHALAWAR"/>
    <s v="KOTA"/>
    <s v="RJ-AJMER"/>
    <d v="2022-09-28T00:00:00"/>
  </r>
  <r>
    <s v="820865177069"/>
    <x v="300"/>
    <s v="LAKSHITA BUILDING MATERIAL SUP"/>
    <n v="177069"/>
    <s v="LOVEVANSH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10"/>
    <n v="0"/>
    <n v="25"/>
    <n v="0"/>
    <n v="0"/>
    <s v="JHALAWAR"/>
    <s v="KOTA"/>
    <s v="RJ-AJMER"/>
    <d v="2022-10-04T00:00:00"/>
  </r>
  <r>
    <s v="814308212999"/>
    <x v="272"/>
    <s v="LUCKY RET STACK"/>
    <n v="212999"/>
    <s v="ASLAM KHAN CONTRACTO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25"/>
    <n v="0"/>
    <n v="0"/>
    <s v="JHALAWAR"/>
    <s v="KOTA"/>
    <s v="RJ-AJMER"/>
    <d v="2021-01-29T00:00:00"/>
  </r>
  <r>
    <s v="820047174166"/>
    <x v="301"/>
    <s v="SHIV SHAKTI TRADERS"/>
    <n v="174166"/>
    <s v="NAMOKAR STONE TRADE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0"/>
    <n v="5"/>
    <n v="10"/>
    <n v="0"/>
    <n v="0"/>
    <n v="30"/>
    <n v="0"/>
    <n v="5"/>
    <s v="KOTA"/>
    <s v="KOTA"/>
    <s v="RJ-AJMER"/>
    <d v="2022-08-04T00:00:00"/>
  </r>
  <r>
    <s v="806999171578"/>
    <x v="302"/>
    <s v="BABA TRADING COMPANY"/>
    <n v="171578"/>
    <s v="KOTA BUILDMAT"/>
    <n v="33"/>
    <n v="5"/>
    <n v="0"/>
    <n v="15"/>
    <n v="0"/>
    <n v="0"/>
    <n v="36"/>
    <n v="0"/>
    <n v="0"/>
    <n v="7.5"/>
    <n v="2.5"/>
    <n v="0"/>
    <n v="2.5"/>
    <n v="0"/>
    <n v="0"/>
    <n v="40"/>
    <n v="0"/>
    <n v="0"/>
    <n v="40"/>
    <n v="10"/>
    <n v="10"/>
    <n v="22.5"/>
    <n v="0"/>
    <n v="0"/>
    <n v="196.5"/>
    <n v="17.5"/>
    <n v="10"/>
    <s v="KOTA"/>
    <s v="KOTA"/>
    <s v="RJ-AJMER"/>
    <d v="2017-10-21T00:00:00"/>
  </r>
  <r>
    <s v="807438174166"/>
    <x v="303"/>
    <s v="JAIN HIND TRADERS"/>
    <n v="174166"/>
    <s v="NAMOKAR STONE TRADERS"/>
    <n v="93"/>
    <n v="0"/>
    <n v="0"/>
    <n v="70.5"/>
    <n v="6"/>
    <n v="0"/>
    <n v="119"/>
    <n v="10"/>
    <n v="5"/>
    <n v="84"/>
    <n v="7.75"/>
    <n v="6.25"/>
    <n v="57.6"/>
    <n v="6"/>
    <n v="0"/>
    <n v="64"/>
    <n v="2.75"/>
    <n v="10"/>
    <n v="90"/>
    <n v="0"/>
    <n v="0"/>
    <n v="90"/>
    <n v="0"/>
    <n v="10"/>
    <n v="668.1"/>
    <n v="32.5"/>
    <n v="21.25"/>
    <s v="KOTA"/>
    <s v="KOTA"/>
    <s v="RJ-AJMER"/>
    <d v="2018-12-27T00:00:00"/>
  </r>
  <r>
    <s v="807570171578"/>
    <x v="304"/>
    <s v="HARI ENTERPRISES"/>
    <n v="171578"/>
    <s v="KOTA BUILDMAT"/>
    <n v="25"/>
    <n v="0"/>
    <n v="0"/>
    <n v="30"/>
    <n v="5"/>
    <n v="0"/>
    <n v="45"/>
    <n v="9"/>
    <n v="0"/>
    <n v="10"/>
    <n v="0"/>
    <n v="0"/>
    <n v="15"/>
    <n v="0"/>
    <n v="0"/>
    <n v="10"/>
    <n v="0"/>
    <n v="0"/>
    <n v="20"/>
    <n v="0"/>
    <n v="0"/>
    <n v="13.25"/>
    <n v="0"/>
    <n v="0"/>
    <n v="168.25"/>
    <n v="14"/>
    <n v="0"/>
    <s v="KOTA"/>
    <s v="KOTA"/>
    <s v="RJ-AJMER"/>
    <d v="2017-11-23T00:00:00"/>
  </r>
  <r>
    <s v="807811174166"/>
    <x v="305"/>
    <s v="SHRI GANESH STONE TRADERS"/>
    <n v="174166"/>
    <s v="NAMOKAR STONE TRADERS"/>
    <n v="333.40000000000003"/>
    <n v="25"/>
    <n v="0"/>
    <n v="155"/>
    <n v="31.35"/>
    <n v="0"/>
    <n v="145"/>
    <n v="40"/>
    <n v="0"/>
    <n v="20"/>
    <n v="0"/>
    <n v="10"/>
    <n v="115"/>
    <n v="0"/>
    <n v="30"/>
    <n v="17.5"/>
    <n v="7.5"/>
    <n v="0"/>
    <n v="232"/>
    <n v="0"/>
    <n v="0"/>
    <n v="330.25"/>
    <n v="7.5"/>
    <n v="2.75"/>
    <n v="1348.15"/>
    <n v="103.85"/>
    <n v="40"/>
    <s v="KOTA"/>
    <s v="KOTA"/>
    <s v="RJ-AJMER"/>
    <d v="2019-01-28T00:00:00"/>
  </r>
  <r>
    <s v="807975171578"/>
    <x v="306"/>
    <s v="DEEP SHREE BUILDING MATERIAL"/>
    <n v="171578"/>
    <s v="KOTA BUILDMA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18-02-06T00:00:00"/>
  </r>
  <r>
    <s v="807986171887"/>
    <x v="307"/>
    <s v="RATHORE CEMENT AGENCY"/>
    <n v="171887"/>
    <s v="CHOHAN CEMENT AGENCY"/>
    <n v="0"/>
    <n v="0"/>
    <n v="0"/>
    <n v="15"/>
    <n v="0"/>
    <n v="0"/>
    <n v="60"/>
    <n v="0"/>
    <n v="0"/>
    <n v="30"/>
    <n v="0"/>
    <n v="0"/>
    <n v="11"/>
    <n v="0"/>
    <n v="5"/>
    <n v="2"/>
    <n v="0"/>
    <n v="0"/>
    <n v="37"/>
    <n v="0"/>
    <n v="0"/>
    <n v="10"/>
    <n v="0"/>
    <n v="0"/>
    <n v="165"/>
    <n v="0"/>
    <n v="5"/>
    <s v="KOTA"/>
    <s v="KOTA"/>
    <s v="RJ-AJMER"/>
    <d v="2018-02-09T00:00:00"/>
  </r>
  <r>
    <s v="807987171578"/>
    <x v="308"/>
    <s v="DHAKAD KRISHI SEVA KENDRA"/>
    <n v="171578"/>
    <s v="KOTA BUILDMAT"/>
    <n v="65"/>
    <n v="0"/>
    <n v="0"/>
    <n v="35"/>
    <n v="0"/>
    <n v="0"/>
    <n v="97.5"/>
    <n v="3.5"/>
    <n v="5"/>
    <n v="50"/>
    <n v="0"/>
    <n v="0"/>
    <n v="15"/>
    <n v="0"/>
    <n v="0"/>
    <n v="75"/>
    <n v="0"/>
    <n v="0"/>
    <n v="40"/>
    <n v="0"/>
    <n v="0"/>
    <n v="95"/>
    <n v="0"/>
    <n v="0"/>
    <n v="472.5"/>
    <n v="3.5"/>
    <n v="5"/>
    <s v="KOTA"/>
    <s v="KOTA"/>
    <s v="RJ-AJMER"/>
    <d v="2018-02-09T00:00:00"/>
  </r>
  <r>
    <s v="808433174166"/>
    <x v="309"/>
    <s v="GANPATI ENTERPRISES"/>
    <n v="174166"/>
    <s v="NAMOKAR STONE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18-05-26T00:00:00"/>
  </r>
  <r>
    <s v="809016171887"/>
    <x v="310"/>
    <s v="BALAJI TRADERS"/>
    <n v="171887"/>
    <s v="CHOHAN CEMENT AGENCY"/>
    <n v="0"/>
    <n v="5"/>
    <n v="0"/>
    <n v="40"/>
    <n v="0"/>
    <n v="0"/>
    <n v="75"/>
    <n v="0"/>
    <n v="0"/>
    <n v="15"/>
    <n v="0"/>
    <n v="0"/>
    <n v="10"/>
    <n v="0"/>
    <n v="0"/>
    <n v="15"/>
    <n v="0"/>
    <n v="0"/>
    <n v="15"/>
    <n v="0"/>
    <n v="0"/>
    <n v="0"/>
    <n v="0"/>
    <n v="0"/>
    <n v="170"/>
    <n v="5"/>
    <n v="0"/>
    <s v="KOTA"/>
    <s v="KOTA"/>
    <s v="RJ-AJMER"/>
    <d v="2018-09-21T00:00:00"/>
  </r>
  <r>
    <s v="809179175856"/>
    <x v="311"/>
    <s v="KRISHNA ENTERPRISES"/>
    <n v="175856"/>
    <s v="SUMAN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19-02-23T00:00:00"/>
  </r>
  <r>
    <s v="809295171578"/>
    <x v="312"/>
    <s v="EXCELLENT  BUILDING MATERIAL S"/>
    <n v="171578"/>
    <s v="KOTA BUILDMAT"/>
    <n v="166.65"/>
    <n v="49"/>
    <n v="0"/>
    <n v="151"/>
    <n v="20.75"/>
    <n v="0"/>
    <n v="168"/>
    <n v="25"/>
    <n v="5"/>
    <n v="140.5"/>
    <n v="5"/>
    <n v="13"/>
    <n v="96"/>
    <n v="23"/>
    <n v="0"/>
    <n v="206.6"/>
    <n v="10"/>
    <n v="29.6"/>
    <n v="103.95"/>
    <n v="16.75"/>
    <n v="20.2"/>
    <n v="184.4"/>
    <n v="12.9"/>
    <n v="6.25"/>
    <n v="1217.1000000000001"/>
    <n v="149.5"/>
    <n v="67.8"/>
    <s v="KOTA"/>
    <s v="KOTA"/>
    <s v="RJ-AJMER"/>
    <d v="2019-03-20T00:00:00"/>
  </r>
  <r>
    <s v="809295174166"/>
    <x v="312"/>
    <s v="EXCELLENT  BUILDING MATERIAL S"/>
    <n v="174166"/>
    <s v="NAMOKAR STONE TRADER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KOTA"/>
    <s v="KOTA"/>
    <s v="RJ-AJMER"/>
    <d v="2019-03-20T00:00:00"/>
  </r>
  <r>
    <s v="809656171578"/>
    <x v="313"/>
    <s v="SAI TONU ENTERPRISES"/>
    <n v="171578"/>
    <s v="KOTA BUILDMA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19-05-31T00:00:00"/>
  </r>
  <r>
    <s v="810084207977"/>
    <x v="204"/>
    <s v="BALAJI TRADERS"/>
    <n v="207977"/>
    <s v="YASH TRADERS"/>
    <n v="0"/>
    <n v="0"/>
    <n v="0"/>
    <n v="0"/>
    <n v="0"/>
    <n v="0"/>
    <n v="0"/>
    <n v="0"/>
    <n v="0"/>
    <n v="0"/>
    <n v="0"/>
    <n v="0"/>
    <n v="9.6"/>
    <n v="0"/>
    <n v="0"/>
    <n v="0"/>
    <n v="0"/>
    <n v="0"/>
    <n v="0"/>
    <n v="0"/>
    <n v="0"/>
    <n v="0"/>
    <n v="0"/>
    <n v="0"/>
    <n v="9.6"/>
    <n v="0"/>
    <n v="0"/>
    <s v="KOTA"/>
    <s v="KOTA"/>
    <s v="RJ-AJMER"/>
    <d v="2019-07-29T00:00:00"/>
  </r>
  <r>
    <s v="810434174166"/>
    <x v="314"/>
    <s v="SHIVRAJ SINGH SOLANKI CONTRACT"/>
    <n v="174166"/>
    <s v="NAMOKAR STONE TRADERS"/>
    <n v="59"/>
    <n v="2.5"/>
    <n v="0"/>
    <n v="100.5"/>
    <n v="0"/>
    <n v="0"/>
    <n v="65"/>
    <n v="0"/>
    <n v="0"/>
    <n v="30"/>
    <n v="0"/>
    <n v="0"/>
    <n v="40.200000000000003"/>
    <n v="0"/>
    <n v="0"/>
    <n v="35.299999999999997"/>
    <n v="0"/>
    <n v="0"/>
    <n v="40"/>
    <n v="0"/>
    <n v="0"/>
    <n v="21.15"/>
    <n v="0"/>
    <n v="8.5"/>
    <n v="391.15"/>
    <n v="2.5"/>
    <n v="0"/>
    <s v="KOTA"/>
    <s v="KOTA"/>
    <s v="RJ-AJMER"/>
    <d v="2019-09-03T00:00:00"/>
  </r>
  <r>
    <s v="811118141905"/>
    <x v="315"/>
    <s v="PRIYANKA BUILDING CONTRACTOR"/>
    <n v="141905"/>
    <s v="BS ENTERPRISES"/>
    <n v="0"/>
    <n v="0"/>
    <n v="0"/>
    <n v="1"/>
    <n v="0"/>
    <n v="0"/>
    <n v="11.5"/>
    <n v="0"/>
    <n v="0"/>
    <n v="22"/>
    <n v="10"/>
    <n v="0"/>
    <n v="7"/>
    <n v="0"/>
    <n v="0"/>
    <n v="0"/>
    <n v="0"/>
    <n v="0"/>
    <n v="12"/>
    <n v="0"/>
    <n v="0"/>
    <n v="3.5"/>
    <n v="0"/>
    <n v="0"/>
    <n v="57"/>
    <n v="10"/>
    <n v="0"/>
    <s v="KOTA"/>
    <s v="KOTA"/>
    <s v="RJ-AJMER"/>
    <d v="2019-12-28T00:00:00"/>
  </r>
  <r>
    <s v="811136174166"/>
    <x v="316"/>
    <s v="KASHAN ENTERPRISES"/>
    <n v="174166"/>
    <s v="NAMOKAR STONE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19-12-30T00:00:00"/>
  </r>
  <r>
    <s v="811182174316"/>
    <x v="317"/>
    <s v="SHREE DHARNEDHAR JI BUILDING M"/>
    <n v="174316"/>
    <s v="DHAKAD BUILDING MATERIALS SUPP"/>
    <n v="32.5"/>
    <n v="0"/>
    <n v="0"/>
    <n v="10"/>
    <n v="0"/>
    <n v="0"/>
    <n v="45"/>
    <n v="0"/>
    <n v="0"/>
    <n v="20"/>
    <n v="0"/>
    <n v="0"/>
    <n v="0"/>
    <n v="0"/>
    <n v="0"/>
    <n v="20"/>
    <n v="0"/>
    <n v="0"/>
    <n v="10"/>
    <n v="0"/>
    <n v="0"/>
    <n v="35"/>
    <n v="0"/>
    <n v="0"/>
    <n v="172.5"/>
    <n v="0"/>
    <n v="0"/>
    <s v="KOTA"/>
    <s v="KOTA"/>
    <s v="RJ-AJMER"/>
    <d v="2020-01-04T00:00:00"/>
  </r>
  <r>
    <s v="811192174166"/>
    <x v="318"/>
    <s v="MONIKA TRADERS"/>
    <n v="174166"/>
    <s v="NAMOKAR STONE TRADERS"/>
    <n v="75"/>
    <n v="3.25"/>
    <n v="0"/>
    <n v="65"/>
    <n v="0"/>
    <n v="0"/>
    <n v="97"/>
    <n v="0"/>
    <n v="0"/>
    <n v="66"/>
    <n v="2"/>
    <n v="0"/>
    <n v="20"/>
    <n v="0"/>
    <n v="0"/>
    <n v="20"/>
    <n v="0"/>
    <n v="0"/>
    <n v="25"/>
    <n v="0"/>
    <n v="0"/>
    <n v="5"/>
    <n v="0"/>
    <n v="0"/>
    <n v="373"/>
    <n v="5.25"/>
    <n v="0"/>
    <s v="KOTA"/>
    <s v="KOTA"/>
    <s v="RJ-AJMER"/>
    <d v="2020-01-04T00:00:00"/>
  </r>
  <r>
    <s v="811423141905"/>
    <x v="319"/>
    <s v="NEW SHARMA BUILDING MATERIAL"/>
    <n v="141905"/>
    <s v="BS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0-02-05T00:00:00"/>
  </r>
  <r>
    <s v="811423174166"/>
    <x v="319"/>
    <s v="NEW SHARMA BUILDING MATERIAL"/>
    <n v="174166"/>
    <s v="NAMOKAR STONE TRADERS"/>
    <n v="0"/>
    <n v="0"/>
    <n v="0"/>
    <n v="0"/>
    <n v="0"/>
    <n v="0"/>
    <n v="0"/>
    <n v="0"/>
    <n v="0"/>
    <n v="20"/>
    <n v="0"/>
    <n v="0"/>
    <n v="0"/>
    <n v="0"/>
    <n v="0"/>
    <n v="20"/>
    <n v="0"/>
    <n v="0"/>
    <n v="0"/>
    <n v="0"/>
    <n v="0"/>
    <n v="0"/>
    <n v="0"/>
    <n v="0"/>
    <n v="40"/>
    <n v="0"/>
    <n v="0"/>
    <s v="KOTA"/>
    <s v="KOTA"/>
    <s v="RJ-AJMER"/>
    <d v="2020-02-05T00:00:00"/>
  </r>
  <r>
    <s v="811891207977"/>
    <x v="211"/>
    <s v="SHRI DEV CONTRACTOR"/>
    <n v="207977"/>
    <s v="YASH TRADERS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KOTA"/>
    <s v="KOTA"/>
    <s v="RJ-AJMER"/>
    <d v="2020-06-10T00:00:00"/>
  </r>
  <r>
    <s v="811896205840"/>
    <x v="320"/>
    <s v="MEHATA KHAD BHANDAR"/>
    <n v="205840"/>
    <s v="KUCHHAL STEEL MARKETING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s v="KOTA"/>
    <s v="KOTA"/>
    <s v="RJ-AJMER"/>
    <d v="2020-06-10T00:00:00"/>
  </r>
  <r>
    <s v="812195141905"/>
    <x v="321"/>
    <s v="SHARMA CEMENT AGENCY"/>
    <n v="141905"/>
    <s v="BS ENTERPRISES"/>
    <n v="0"/>
    <n v="0"/>
    <n v="0"/>
    <n v="13"/>
    <n v="0"/>
    <n v="0"/>
    <n v="26.5"/>
    <n v="5"/>
    <n v="3"/>
    <n v="5"/>
    <n v="0"/>
    <n v="0"/>
    <n v="0"/>
    <n v="0"/>
    <n v="0"/>
    <n v="10"/>
    <n v="0"/>
    <n v="0"/>
    <n v="0"/>
    <n v="0"/>
    <n v="0"/>
    <n v="4.5"/>
    <n v="0"/>
    <n v="0"/>
    <n v="59"/>
    <n v="5"/>
    <n v="3"/>
    <s v="KOTA"/>
    <s v="KOTA"/>
    <s v="RJ-AJMER"/>
    <d v="2020-07-11T00:00:00"/>
  </r>
  <r>
    <s v="812282174166"/>
    <x v="322"/>
    <s v="ANKUR TRADERS"/>
    <n v="174166"/>
    <s v="NAMOKAR STONE TRADERS"/>
    <n v="95"/>
    <n v="20"/>
    <n v="0"/>
    <n v="115.05"/>
    <n v="10"/>
    <n v="0"/>
    <n v="189.55"/>
    <n v="8"/>
    <n v="0"/>
    <n v="161.94999999999999"/>
    <n v="4.7"/>
    <n v="17.75"/>
    <n v="141.80000000000001"/>
    <n v="0"/>
    <n v="0"/>
    <n v="183.95"/>
    <n v="14.95"/>
    <n v="18"/>
    <n v="131.44999999999999"/>
    <n v="2"/>
    <n v="5.75"/>
    <n v="102.44999999999999"/>
    <n v="13.549999999999999"/>
    <n v="0"/>
    <n v="1121.2"/>
    <n v="59.650000000000006"/>
    <n v="41.5"/>
    <s v="KOTA"/>
    <s v="KOTA"/>
    <s v="RJ-AJMER"/>
    <d v="2020-07-18T00:00:00"/>
  </r>
  <r>
    <s v="812395174166"/>
    <x v="323"/>
    <s v="P B GROVER AND SONS"/>
    <n v="174166"/>
    <s v="NAMOKAR STONE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0-07-29T00:00:00"/>
  </r>
  <r>
    <s v="812483174166"/>
    <x v="324"/>
    <s v="SHREE PANCHMUKHI TRADERS"/>
    <n v="174166"/>
    <s v="NAMOKAR STONE TRADERS"/>
    <n v="25"/>
    <n v="0"/>
    <n v="0"/>
    <n v="10"/>
    <n v="0"/>
    <n v="0"/>
    <n v="10"/>
    <n v="0"/>
    <n v="0"/>
    <n v="4"/>
    <n v="0"/>
    <n v="1"/>
    <n v="10"/>
    <n v="0"/>
    <n v="0"/>
    <n v="10"/>
    <n v="0"/>
    <n v="0"/>
    <n v="10"/>
    <n v="0"/>
    <n v="0"/>
    <n v="0"/>
    <n v="0"/>
    <n v="0"/>
    <n v="79"/>
    <n v="0"/>
    <n v="1"/>
    <s v="KOTA"/>
    <s v="KOTA"/>
    <s v="RJ-AJMER"/>
    <d v="2020-08-11T00:00:00"/>
  </r>
  <r>
    <s v="812570208638"/>
    <x v="325"/>
    <s v="HADA ENTERPRISES"/>
    <n v="208638"/>
    <s v="SHRI GANESH CEMENT &amp; STEE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0-08-19T00:00:00"/>
  </r>
  <r>
    <s v="812627174316"/>
    <x v="326"/>
    <s v="NAGAR CEMENT AGENCY"/>
    <n v="174316"/>
    <s v="DHAKAD BUILDING MATERIALS SUPP"/>
    <n v="0"/>
    <n v="0"/>
    <n v="0"/>
    <n v="1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s v="KOTA"/>
    <s v="KOTA"/>
    <s v="RJ-AJMER"/>
    <d v="2020-08-24T00:00:00"/>
  </r>
  <r>
    <s v="812880175856"/>
    <x v="327"/>
    <s v="AJAY BUILDING MATERIAL"/>
    <n v="175856"/>
    <s v="SUMAN AGENCY"/>
    <n v="0"/>
    <n v="0"/>
    <n v="0"/>
    <n v="32.5"/>
    <n v="0"/>
    <n v="0"/>
    <n v="45"/>
    <n v="0"/>
    <n v="15"/>
    <n v="0"/>
    <n v="0"/>
    <n v="0"/>
    <n v="0"/>
    <n v="0"/>
    <n v="0"/>
    <n v="20"/>
    <n v="0"/>
    <n v="0"/>
    <n v="0"/>
    <n v="0"/>
    <n v="0"/>
    <n v="15"/>
    <n v="0"/>
    <n v="0"/>
    <n v="112.5"/>
    <n v="0"/>
    <n v="15"/>
    <s v="KOTA"/>
    <s v="KOTA"/>
    <s v="RJ-AJMER"/>
    <d v="2020-09-10T00:00:00"/>
  </r>
  <r>
    <s v="812884205620"/>
    <x v="328"/>
    <s v="MAHAKAL ASSOCIATES"/>
    <n v="205620"/>
    <s v="NISHANT JAISW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0-09-11T00:00:00"/>
  </r>
  <r>
    <s v="813009175856"/>
    <x v="329"/>
    <s v="MEENA CEMENT AGENCY"/>
    <n v="175856"/>
    <s v="SUMAN AGENCY"/>
    <n v="37.5"/>
    <n v="0"/>
    <n v="0"/>
    <n v="37.5"/>
    <n v="0"/>
    <n v="0"/>
    <n v="50"/>
    <n v="0"/>
    <n v="7.5"/>
    <n v="0"/>
    <n v="0"/>
    <n v="0"/>
    <n v="0"/>
    <n v="0"/>
    <n v="0"/>
    <n v="10"/>
    <n v="0"/>
    <n v="0"/>
    <n v="10"/>
    <n v="0"/>
    <n v="0"/>
    <n v="0"/>
    <n v="0"/>
    <n v="0"/>
    <n v="145"/>
    <n v="0"/>
    <n v="7.5"/>
    <s v="KOTA"/>
    <s v="KOTA"/>
    <s v="RJ-AJMER"/>
    <d v="2020-09-22T00:00:00"/>
  </r>
  <r>
    <s v="813056141905"/>
    <x v="330"/>
    <s v="KRISHNA BUILDING MATERIAL SUPP"/>
    <n v="141905"/>
    <s v="BS ENTERPRISES"/>
    <n v="30"/>
    <n v="0"/>
    <n v="0"/>
    <n v="10"/>
    <n v="5"/>
    <n v="0"/>
    <n v="43"/>
    <n v="20"/>
    <n v="0"/>
    <n v="38"/>
    <n v="5"/>
    <n v="5"/>
    <n v="10"/>
    <n v="0"/>
    <n v="0"/>
    <n v="30"/>
    <n v="0"/>
    <n v="0"/>
    <n v="12"/>
    <n v="0"/>
    <n v="0"/>
    <n v="10"/>
    <n v="0"/>
    <n v="0"/>
    <n v="183"/>
    <n v="30"/>
    <n v="5"/>
    <s v="KOTA"/>
    <s v="KOTA"/>
    <s v="RJ-AJMER"/>
    <d v="2020-09-24T00:00:00"/>
  </r>
  <r>
    <s v="813167171578"/>
    <x v="331"/>
    <s v="KRISHNA TRADERS"/>
    <n v="171578"/>
    <s v="KOTA BUILDMAT"/>
    <n v="20"/>
    <n v="0"/>
    <n v="0"/>
    <n v="45"/>
    <n v="0"/>
    <n v="0"/>
    <n v="42.75"/>
    <n v="0"/>
    <n v="0"/>
    <n v="50"/>
    <n v="0"/>
    <n v="0"/>
    <n v="13"/>
    <n v="0"/>
    <n v="0"/>
    <n v="16"/>
    <n v="11"/>
    <n v="0"/>
    <n v="25"/>
    <n v="0"/>
    <n v="0"/>
    <n v="10"/>
    <n v="0"/>
    <n v="0"/>
    <n v="221.75"/>
    <n v="11"/>
    <n v="0"/>
    <s v="KOTA"/>
    <s v="KOTA"/>
    <s v="RJ-AJMER"/>
    <d v="2020-10-03T00:00:00"/>
  </r>
  <r>
    <s v="813215171578"/>
    <x v="332"/>
    <s v="SHREE SHYAM ENTERPRISES"/>
    <n v="171578"/>
    <s v="KOTA BUILDMAT"/>
    <n v="79"/>
    <n v="10"/>
    <n v="0"/>
    <n v="55"/>
    <n v="11"/>
    <n v="0"/>
    <n v="108"/>
    <n v="17"/>
    <n v="0"/>
    <n v="47"/>
    <n v="10"/>
    <n v="0"/>
    <n v="45"/>
    <n v="0"/>
    <n v="0"/>
    <n v="69.45"/>
    <n v="0"/>
    <n v="0"/>
    <n v="40"/>
    <n v="0"/>
    <n v="0"/>
    <n v="84.300000000000011"/>
    <n v="4.3499999999999996"/>
    <n v="0"/>
    <n v="527.75"/>
    <n v="48"/>
    <n v="0"/>
    <s v="KOTA"/>
    <s v="KOTA"/>
    <s v="RJ-AJMER"/>
    <d v="2020-10-08T00:00:00"/>
  </r>
  <r>
    <s v="813215174166"/>
    <x v="332"/>
    <s v="SHREE SHYAM ENTERPRISES"/>
    <n v="174166"/>
    <s v="NAMOKAR STONE TRADERS"/>
    <n v="0"/>
    <n v="0"/>
    <n v="0"/>
    <n v="0"/>
    <n v="0"/>
    <n v="0"/>
    <n v="10"/>
    <n v="0"/>
    <n v="0"/>
    <n v="0"/>
    <n v="0"/>
    <n v="0"/>
    <n v="5"/>
    <n v="0"/>
    <n v="0"/>
    <n v="0"/>
    <n v="0"/>
    <n v="0"/>
    <n v="0"/>
    <n v="0"/>
    <n v="0"/>
    <n v="0"/>
    <n v="0"/>
    <n v="0"/>
    <n v="15"/>
    <n v="0"/>
    <n v="0"/>
    <s v="KOTA"/>
    <s v="KOTA"/>
    <s v="RJ-AJMER"/>
    <d v="2020-10-08T00:00:00"/>
  </r>
  <r>
    <s v="813413171578"/>
    <x v="333"/>
    <s v="M B TRADERS"/>
    <n v="171578"/>
    <s v="KOTA BUILDMAT"/>
    <n v="20"/>
    <n v="0"/>
    <n v="0"/>
    <n v="2.5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4.5"/>
    <n v="0"/>
    <n v="0"/>
    <s v="KOTA"/>
    <s v="KOTA"/>
    <s v="RJ-AJMER"/>
    <d v="2020-10-28T00:00:00"/>
  </r>
  <r>
    <s v="813734205620"/>
    <x v="334"/>
    <s v="KISHOR SINGH JHALA"/>
    <n v="205620"/>
    <s v="NISHANT JAISW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0-12-02T00:00:00"/>
  </r>
  <r>
    <s v="813802171578"/>
    <x v="335"/>
    <s v="SHREE KRISHNA TRADERS"/>
    <n v="171578"/>
    <s v="KOTA BUILDMAT"/>
    <n v="15"/>
    <n v="0"/>
    <n v="0"/>
    <n v="2.5"/>
    <n v="0"/>
    <n v="0"/>
    <n v="5"/>
    <n v="0"/>
    <n v="0"/>
    <n v="12"/>
    <n v="0"/>
    <n v="12"/>
    <n v="20"/>
    <n v="0"/>
    <n v="0"/>
    <n v="25"/>
    <n v="0"/>
    <n v="0"/>
    <n v="22.5"/>
    <n v="2.5"/>
    <n v="0"/>
    <n v="31"/>
    <n v="0"/>
    <n v="0"/>
    <n v="133"/>
    <n v="2.5"/>
    <n v="12"/>
    <s v="KOTA"/>
    <s v="KOTA"/>
    <s v="RJ-AJMER"/>
    <d v="2020-12-11T00:00:00"/>
  </r>
  <r>
    <s v="814117205840"/>
    <x v="336"/>
    <s v="JAI AMBEY STEEL"/>
    <n v="205840"/>
    <s v="KUCHHAL STEEL MARKETING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s v="KOTA"/>
    <s v="KOTA"/>
    <s v="RJ-AJMER"/>
    <d v="2021-01-09T00:00:00"/>
  </r>
  <r>
    <s v="814151205840"/>
    <x v="337"/>
    <s v="KUCHHAL TRADING CORPORATION"/>
    <n v="205840"/>
    <s v="KUCHHAL STEEL MARKETING"/>
    <n v="0"/>
    <n v="0"/>
    <n v="0"/>
    <n v="20"/>
    <n v="0"/>
    <n v="0"/>
    <n v="8"/>
    <n v="5"/>
    <n v="0"/>
    <n v="3"/>
    <n v="0"/>
    <n v="0"/>
    <n v="0"/>
    <n v="0"/>
    <n v="0"/>
    <n v="0"/>
    <n v="0"/>
    <n v="0"/>
    <n v="0"/>
    <n v="0"/>
    <n v="0"/>
    <n v="0"/>
    <n v="0"/>
    <n v="0"/>
    <n v="31"/>
    <n v="5"/>
    <n v="0"/>
    <s v="KOTA"/>
    <s v="KOTA"/>
    <s v="RJ-AJMER"/>
    <d v="2021-01-15T00:00:00"/>
  </r>
  <r>
    <s v="814236174166"/>
    <x v="338"/>
    <s v="RANO BUILDING MATERIAL"/>
    <n v="174166"/>
    <s v="NAMOKAR STONE TRADERS"/>
    <n v="115"/>
    <n v="0"/>
    <n v="0"/>
    <n v="175.65"/>
    <n v="14"/>
    <n v="0"/>
    <n v="145"/>
    <n v="10"/>
    <n v="0"/>
    <n v="164.25"/>
    <n v="25"/>
    <n v="1.5"/>
    <n v="102.5"/>
    <n v="0"/>
    <n v="0"/>
    <n v="136.94999999999999"/>
    <n v="10"/>
    <n v="1.95"/>
    <n v="90"/>
    <n v="0"/>
    <n v="0"/>
    <n v="131.94999999999999"/>
    <n v="1.55"/>
    <n v="21.4"/>
    <n v="1061.3"/>
    <n v="59"/>
    <n v="3.45"/>
    <s v="KOTA"/>
    <s v="KOTA"/>
    <s v="RJ-AJMER"/>
    <d v="2021-01-22T00:00:00"/>
  </r>
  <r>
    <s v="814425174166"/>
    <x v="339"/>
    <s v="ROHIT TRADERS"/>
    <n v="174166"/>
    <s v="NAMOKAR STONE TRADERS"/>
    <n v="74.5"/>
    <n v="35"/>
    <n v="0"/>
    <n v="121.5"/>
    <n v="0"/>
    <n v="0"/>
    <n v="75"/>
    <n v="21"/>
    <n v="10"/>
    <n v="41"/>
    <n v="1"/>
    <n v="10"/>
    <n v="30"/>
    <n v="6"/>
    <n v="4"/>
    <n v="35"/>
    <n v="0"/>
    <n v="10"/>
    <n v="0"/>
    <n v="0"/>
    <n v="0"/>
    <n v="25"/>
    <n v="10"/>
    <n v="0"/>
    <n v="402"/>
    <n v="63"/>
    <n v="34"/>
    <s v="KOTA"/>
    <s v="KOTA"/>
    <s v="RJ-AJMER"/>
    <d v="2021-02-09T00:00:00"/>
  </r>
  <r>
    <s v="814498174166"/>
    <x v="340"/>
    <s v="MODERN STEEL AND CEMENT AGENCY"/>
    <n v="174166"/>
    <s v="NAMOKAR STONE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1-02-16T00:00:00"/>
  </r>
  <r>
    <s v="814594174166"/>
    <x v="341"/>
    <s v="AAYUSH ENTERPRISES"/>
    <n v="174166"/>
    <s v="NAMOKAR STONE TRADERS"/>
    <n v="30"/>
    <n v="0"/>
    <n v="0"/>
    <n v="25"/>
    <n v="0"/>
    <n v="0"/>
    <n v="25"/>
    <n v="0"/>
    <n v="0"/>
    <n v="37"/>
    <n v="0"/>
    <n v="0"/>
    <n v="22"/>
    <n v="0"/>
    <n v="0"/>
    <n v="28.5"/>
    <n v="0"/>
    <n v="11"/>
    <n v="42"/>
    <n v="5.75"/>
    <n v="5"/>
    <n v="37.5"/>
    <n v="9.5"/>
    <n v="0"/>
    <n v="247"/>
    <n v="5.75"/>
    <n v="16"/>
    <s v="KOTA"/>
    <s v="KOTA"/>
    <s v="RJ-AJMER"/>
    <d v="2021-02-24T00:00:00"/>
  </r>
  <r>
    <s v="814595171887"/>
    <x v="342"/>
    <s v="NAGAR KIRANA STORE"/>
    <n v="171887"/>
    <s v="CHOHAN CEMENT AGENCY"/>
    <n v="12"/>
    <n v="5"/>
    <n v="0"/>
    <n v="30"/>
    <n v="0"/>
    <n v="0"/>
    <n v="35"/>
    <n v="0"/>
    <n v="0"/>
    <n v="15"/>
    <n v="0"/>
    <n v="0"/>
    <n v="5"/>
    <n v="0"/>
    <n v="5"/>
    <n v="35"/>
    <n v="0"/>
    <n v="0"/>
    <n v="10"/>
    <n v="0"/>
    <n v="0"/>
    <n v="0"/>
    <n v="0"/>
    <n v="0"/>
    <n v="142"/>
    <n v="5"/>
    <n v="5"/>
    <s v="KOTA"/>
    <s v="KOTA"/>
    <s v="RJ-AJMER"/>
    <d v="2021-02-24T00:00:00"/>
  </r>
  <r>
    <s v="814708174166"/>
    <x v="343"/>
    <s v="SHIV SHAKTI TRADERS"/>
    <n v="174166"/>
    <s v="NAMOKAR STONE TRADERS"/>
    <n v="10"/>
    <n v="0"/>
    <n v="0"/>
    <n v="30"/>
    <n v="0"/>
    <n v="0"/>
    <n v="20"/>
    <n v="0"/>
    <n v="4"/>
    <n v="5"/>
    <n v="0"/>
    <n v="0"/>
    <n v="10"/>
    <n v="0"/>
    <n v="0"/>
    <n v="21"/>
    <n v="0"/>
    <n v="0"/>
    <n v="20"/>
    <n v="0"/>
    <n v="0"/>
    <n v="5"/>
    <n v="0"/>
    <n v="0"/>
    <n v="121"/>
    <n v="0"/>
    <n v="4"/>
    <s v="KOTA"/>
    <s v="KOTA"/>
    <s v="RJ-AJMER"/>
    <d v="2021-03-06T00:00:00"/>
  </r>
  <r>
    <s v="814767171578"/>
    <x v="344"/>
    <s v="DHAKAD CONSTRUCTION AND MATERI"/>
    <n v="171578"/>
    <s v="KOTA BUILDMAT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KOTA"/>
    <s v="KOTA"/>
    <s v="RJ-AJMER"/>
    <d v="2021-03-16T00:00:00"/>
  </r>
  <r>
    <s v="814767174166"/>
    <x v="344"/>
    <s v="DHAKAD CONSTRUCTION AND MATERI"/>
    <n v="174166"/>
    <s v="NAMOKAR STONE TRADERS"/>
    <n v="79.2"/>
    <n v="20"/>
    <n v="0"/>
    <n v="125"/>
    <n v="4"/>
    <n v="0"/>
    <n v="58"/>
    <n v="10"/>
    <n v="4"/>
    <n v="45"/>
    <n v="0"/>
    <n v="0"/>
    <n v="20"/>
    <n v="0"/>
    <n v="0"/>
    <n v="20"/>
    <n v="0"/>
    <n v="0"/>
    <n v="20"/>
    <n v="0"/>
    <n v="0"/>
    <n v="20"/>
    <n v="0"/>
    <n v="0"/>
    <n v="387.2"/>
    <n v="34"/>
    <n v="4"/>
    <s v="KOTA"/>
    <s v="KOTA"/>
    <s v="RJ-AJMER"/>
    <d v="2021-03-16T00:00:00"/>
  </r>
  <r>
    <s v="814768171578"/>
    <x v="345"/>
    <s v="HETAKSHI BUILDMAT BUILDING MAT"/>
    <n v="171578"/>
    <s v="KOTA BUILDMAT"/>
    <n v="29.8"/>
    <n v="5"/>
    <n v="0"/>
    <n v="15"/>
    <n v="0"/>
    <n v="0"/>
    <n v="14.5"/>
    <n v="2.5"/>
    <n v="0"/>
    <n v="20.5"/>
    <n v="4"/>
    <n v="4"/>
    <n v="10"/>
    <n v="0"/>
    <n v="0"/>
    <n v="17.5"/>
    <n v="0"/>
    <n v="0"/>
    <n v="50"/>
    <n v="0"/>
    <n v="0"/>
    <n v="83"/>
    <n v="0"/>
    <n v="0"/>
    <n v="240.3"/>
    <n v="11.5"/>
    <n v="4"/>
    <s v="KOTA"/>
    <s v="KOTA"/>
    <s v="RJ-AJMER"/>
    <d v="2021-03-16T00:00:00"/>
  </r>
  <r>
    <s v="814909141905"/>
    <x v="346"/>
    <s v="JAI MATA DI BUILDING MATERIAL"/>
    <n v="141905"/>
    <s v="BS ENTERPRISES"/>
    <n v="13"/>
    <n v="0"/>
    <n v="0"/>
    <n v="8"/>
    <n v="0"/>
    <n v="0"/>
    <n v="10"/>
    <n v="0"/>
    <n v="0"/>
    <n v="15"/>
    <n v="0"/>
    <n v="0"/>
    <n v="10"/>
    <n v="0"/>
    <n v="0"/>
    <n v="20"/>
    <n v="6"/>
    <n v="0"/>
    <n v="12"/>
    <n v="4"/>
    <n v="0"/>
    <n v="23"/>
    <n v="3"/>
    <n v="0"/>
    <n v="111"/>
    <n v="10"/>
    <n v="0"/>
    <s v="KOTA"/>
    <s v="KOTA"/>
    <s v="RJ-AJMER"/>
    <d v="2021-04-06T00:00:00"/>
  </r>
  <r>
    <s v="814909176363"/>
    <x v="346"/>
    <s v="JAI MATA DI BUILDING MATERIAL"/>
    <n v="176363"/>
    <s v="SANWALIY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1-04-06T00:00:00"/>
  </r>
  <r>
    <s v="815084171578"/>
    <x v="347"/>
    <s v="SHRI SAANWALIYA JI CERAMICS"/>
    <n v="171578"/>
    <s v="KOTA BUILDMAT"/>
    <n v="84.65"/>
    <n v="20.45"/>
    <n v="0"/>
    <n v="73.900000000000006"/>
    <n v="27.15"/>
    <n v="0"/>
    <n v="171.75"/>
    <n v="7"/>
    <n v="0"/>
    <n v="84"/>
    <n v="44"/>
    <n v="0"/>
    <n v="59.5"/>
    <n v="26.5"/>
    <n v="14.1"/>
    <n v="178.70000000000002"/>
    <n v="48.9"/>
    <n v="37.799999999999997"/>
    <n v="140.05000000000001"/>
    <n v="25.15"/>
    <n v="37.700000000000003"/>
    <n v="112.85"/>
    <n v="14.75"/>
    <n v="2.75"/>
    <n v="905.4"/>
    <n v="199.15"/>
    <n v="89.6"/>
    <s v="KOTA"/>
    <s v="KOTA"/>
    <s v="RJ-AJMER"/>
    <d v="2021-05-26T00:00:00"/>
  </r>
  <r>
    <s v="815111171578"/>
    <x v="348"/>
    <s v="BALAJI BUILDING MATERIAL SUPPL"/>
    <n v="171578"/>
    <s v="KOTA BUILDMAT"/>
    <n v="71.5"/>
    <n v="0"/>
    <n v="0"/>
    <n v="45"/>
    <n v="19.5"/>
    <n v="0"/>
    <n v="65"/>
    <n v="0"/>
    <n v="5"/>
    <n v="33.65"/>
    <n v="0"/>
    <n v="7.85"/>
    <n v="70.3"/>
    <n v="0"/>
    <n v="0"/>
    <n v="29.5"/>
    <n v="0"/>
    <n v="0"/>
    <n v="56.5"/>
    <n v="0"/>
    <n v="0"/>
    <n v="62.5"/>
    <n v="0"/>
    <n v="0"/>
    <n v="433.95"/>
    <n v="19.5"/>
    <n v="12.85"/>
    <s v="KOTA"/>
    <s v="KOTA"/>
    <s v="RJ-AJMER"/>
    <d v="2021-06-02T00:00:00"/>
  </r>
  <r>
    <s v="815307208638"/>
    <x v="349"/>
    <s v="KASHYAP ENTERPRISES"/>
    <n v="208638"/>
    <s v="SHRI GANESH CEMENT &amp; STEELS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8.3"/>
    <n v="0"/>
    <n v="0"/>
    <n v="0"/>
    <n v="0"/>
    <n v="0"/>
    <n v="20.3"/>
    <n v="0"/>
    <n v="0"/>
    <s v="KOTA"/>
    <s v="KOTA"/>
    <s v="RJ-AJMER"/>
    <d v="2021-06-28T00:00:00"/>
  </r>
  <r>
    <s v="815342208638"/>
    <x v="350"/>
    <s v="LUCKY CEMENT AND STEELS"/>
    <n v="208638"/>
    <s v="SHRI GANESH CEMENT &amp; STEELS"/>
    <n v="88.75"/>
    <n v="10"/>
    <n v="0"/>
    <n v="113"/>
    <n v="0"/>
    <n v="0"/>
    <n v="83"/>
    <n v="0"/>
    <n v="5"/>
    <n v="72.5"/>
    <n v="0"/>
    <n v="0"/>
    <n v="12.5"/>
    <n v="0"/>
    <n v="0"/>
    <n v="60"/>
    <n v="0"/>
    <n v="25"/>
    <n v="38"/>
    <n v="0"/>
    <n v="0"/>
    <n v="30"/>
    <n v="0"/>
    <n v="0"/>
    <n v="497.75"/>
    <n v="10"/>
    <n v="30"/>
    <s v="KOTA"/>
    <s v="KOTA"/>
    <s v="RJ-AJMER"/>
    <d v="2021-06-29T00:00:00"/>
  </r>
  <r>
    <s v="815356207945"/>
    <x v="351"/>
    <s v="SUFI BUILDING MATERIAL"/>
    <n v="207945"/>
    <s v="SUF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1-06-30T00:00:00"/>
  </r>
  <r>
    <s v="815490174384"/>
    <x v="352"/>
    <s v="ISHIKA BUILDING MATERIAL SUPPL"/>
    <n v="174384"/>
    <s v="PANCHWATI GRANITES &amp; TI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1-07-12T00:00:00"/>
  </r>
  <r>
    <s v="815575171887"/>
    <x v="353"/>
    <s v="SAT KABIR BUILDING MATERIAL AN"/>
    <n v="171887"/>
    <s v="CHOHAN CEMENT AGENCY"/>
    <n v="0"/>
    <n v="0"/>
    <n v="0"/>
    <n v="40"/>
    <n v="0"/>
    <n v="0"/>
    <n v="32"/>
    <n v="0"/>
    <n v="12"/>
    <n v="10"/>
    <n v="0"/>
    <n v="0"/>
    <n v="5"/>
    <n v="0"/>
    <n v="5"/>
    <n v="0"/>
    <n v="0"/>
    <n v="0"/>
    <n v="0"/>
    <n v="0"/>
    <n v="0"/>
    <n v="0"/>
    <n v="0"/>
    <n v="0"/>
    <n v="87"/>
    <n v="0"/>
    <n v="17"/>
    <s v="KOTA"/>
    <s v="KOTA"/>
    <s v="RJ-AJMER"/>
    <d v="2021-07-21T00:00:00"/>
  </r>
  <r>
    <s v="815630174166"/>
    <x v="354"/>
    <s v="SHIV TRADERS"/>
    <n v="174166"/>
    <s v="NAMOKAR STONE TRADERS"/>
    <n v="5"/>
    <n v="0"/>
    <n v="0"/>
    <n v="5"/>
    <n v="0"/>
    <n v="0"/>
    <n v="12"/>
    <n v="0"/>
    <n v="0"/>
    <n v="18"/>
    <n v="0"/>
    <n v="3"/>
    <n v="10"/>
    <n v="0"/>
    <n v="0"/>
    <n v="0"/>
    <n v="0"/>
    <n v="0"/>
    <n v="0"/>
    <n v="0"/>
    <n v="0"/>
    <n v="0"/>
    <n v="0"/>
    <n v="0"/>
    <n v="50"/>
    <n v="0"/>
    <n v="3"/>
    <s v="KOTA"/>
    <s v="KOTA"/>
    <s v="RJ-AJMER"/>
    <d v="2021-07-24T00:00:00"/>
  </r>
  <r>
    <s v="815715207945"/>
    <x v="355"/>
    <s v="UVESH ENTERPRISES"/>
    <n v="207945"/>
    <s v="SUF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OTA"/>
    <s v="KOTA"/>
    <s v="RJ-AJMER"/>
    <d v="2021-07-28T00:00:00"/>
  </r>
  <r>
    <s v="815773171578"/>
    <x v="356"/>
    <s v="AJAY TRADERS"/>
    <n v="171578"/>
    <s v="KOTA BUILDMAT"/>
    <n v="10"/>
    <n v="0"/>
    <n v="0"/>
    <n v="5"/>
    <n v="0"/>
    <n v="0"/>
    <n v="20"/>
    <n v="0"/>
    <n v="0"/>
    <n v="15"/>
    <n v="0"/>
    <n v="0"/>
    <n v="10"/>
    <n v="0"/>
    <n v="0"/>
    <n v="5"/>
    <n v="0"/>
    <n v="0"/>
    <n v="25"/>
    <n v="0"/>
    <n v="0"/>
    <n v="10"/>
    <n v="0"/>
    <n v="0"/>
    <n v="100"/>
    <n v="0"/>
    <n v="0"/>
    <s v="KOTA"/>
    <s v="KOTA"/>
    <s v="RJ-AJMER"/>
    <d v="2021-07-30T00:00:00"/>
  </r>
  <r>
    <s v="815777171578"/>
    <x v="357"/>
    <s v="GURUKRIPA UDYOG"/>
    <n v="171578"/>
    <s v="KOTA BUILDMAT"/>
    <n v="10"/>
    <n v="0"/>
    <n v="0"/>
    <n v="7"/>
    <n v="0"/>
    <n v="0"/>
    <n v="2"/>
    <n v="0"/>
    <n v="0"/>
    <n v="2.5"/>
    <n v="0"/>
    <n v="0"/>
    <n v="1"/>
    <n v="0"/>
    <n v="0"/>
    <n v="0"/>
    <n v="0"/>
    <n v="0"/>
    <n v="0"/>
    <n v="0"/>
    <n v="0"/>
    <n v="0"/>
    <n v="0"/>
    <n v="0"/>
    <n v="22.5"/>
    <n v="0"/>
    <n v="0"/>
    <s v="KOTA"/>
    <s v="KOTA"/>
    <s v="RJ-AJMER"/>
    <d v="2021-07-30T00:00:00"/>
  </r>
  <r>
    <s v="815850174166"/>
    <x v="358"/>
    <s v="BALAJI ASSOCIATES"/>
    <n v="174166"/>
    <s v="NAMOKAR STONE TRADERS"/>
    <n v="65"/>
    <n v="0"/>
    <n v="0"/>
    <n v="35"/>
    <n v="0"/>
    <n v="0"/>
    <n v="55"/>
    <n v="0"/>
    <n v="0"/>
    <n v="80"/>
    <n v="0"/>
    <n v="0"/>
    <n v="55"/>
    <n v="10"/>
    <n v="0"/>
    <n v="51"/>
    <n v="0"/>
    <n v="0"/>
    <n v="30"/>
    <n v="0"/>
    <n v="0"/>
    <n v="65"/>
    <n v="5"/>
    <n v="0"/>
    <n v="436"/>
    <n v="10"/>
    <n v="0"/>
    <s v="KOTA"/>
    <s v="KOTA"/>
    <s v="RJ-AJMER"/>
    <d v="2021-08-06T00:00:00"/>
  </r>
  <r>
    <s v="816047205840"/>
    <x v="359"/>
    <s v="GUDDU IRON ENTERPRISES"/>
    <n v="205840"/>
    <s v="KUCHHAL STEEL MARKETING"/>
    <n v="5"/>
    <n v="0"/>
    <n v="0"/>
    <n v="45"/>
    <n v="0"/>
    <n v="0"/>
    <n v="40"/>
    <n v="0"/>
    <n v="10"/>
    <n v="23"/>
    <n v="0"/>
    <n v="5"/>
    <n v="10"/>
    <n v="5"/>
    <n v="0"/>
    <n v="0"/>
    <n v="0"/>
    <n v="0"/>
    <n v="0"/>
    <n v="0"/>
    <n v="0"/>
    <n v="0"/>
    <n v="0"/>
    <n v="0"/>
    <n v="123"/>
    <n v="5"/>
    <n v="15"/>
    <s v="KOTA"/>
    <s v="KOTA"/>
    <s v="RJ-AJMER"/>
    <d v="2021-08-21T00:00:00"/>
  </r>
  <r>
    <s v="816047171887"/>
    <x v="359"/>
    <s v="GUDDU IRON ENTERPRISES"/>
    <n v="171887"/>
    <s v="CHOHAN CEMENT AGENCY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15"/>
    <n v="0"/>
    <n v="0"/>
    <s v="KOTA"/>
    <s v="KOTA"/>
    <s v="RJ-AJMER"/>
    <d v="2021-08-21T00:00:00"/>
  </r>
  <r>
    <s v="816154171578"/>
    <x v="360"/>
    <s v="SHREE KANHA BUILDING MATERIAL"/>
    <n v="171578"/>
    <s v="KOTA BUILDMAT"/>
    <n v="20"/>
    <n v="0"/>
    <n v="0"/>
    <n v="2.5"/>
    <n v="0"/>
    <n v="0"/>
    <n v="6"/>
    <n v="0"/>
    <n v="0"/>
    <n v="1.85"/>
    <n v="0"/>
    <n v="0"/>
    <n v="2.5"/>
    <n v="0"/>
    <n v="0"/>
    <n v="0"/>
    <n v="0"/>
    <n v="0"/>
    <n v="43.35"/>
    <n v="0"/>
    <n v="0"/>
    <n v="20"/>
    <n v="0"/>
    <n v="10"/>
    <n v="96.2"/>
    <n v="0"/>
    <n v="0"/>
    <s v="KOTA"/>
    <s v="KOTA"/>
    <s v="RJ-AJMER"/>
    <d v="2021-08-27T00:00:00"/>
  </r>
  <r>
    <s v="816156174316"/>
    <x v="361"/>
    <s v="YUHAN KRISHI SEWA KENDRA"/>
    <n v="174316"/>
    <s v="DHAKAD BUILDING MATERIALS SUPP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KOTA"/>
    <s v="KOTA"/>
    <s v="RJ-AJMER"/>
    <d v="2021-08-27T00:00:00"/>
  </r>
  <r>
    <s v="816157174166"/>
    <x v="362"/>
    <s v="NEW MARYAM CONSTRUCTION"/>
    <n v="174166"/>
    <s v="NAMOKAR STONE TRADERS"/>
    <n v="38.5"/>
    <n v="0"/>
    <n v="0"/>
    <n v="40"/>
    <n v="0"/>
    <n v="0"/>
    <n v="20"/>
    <n v="0"/>
    <n v="0"/>
    <n v="26"/>
    <n v="0"/>
    <n v="0"/>
    <n v="0"/>
    <n v="0"/>
    <n v="0"/>
    <n v="10"/>
    <n v="0"/>
    <n v="1"/>
    <n v="6"/>
    <n v="6"/>
    <n v="0"/>
    <n v="17.5"/>
    <n v="0"/>
    <n v="0"/>
    <n v="158"/>
    <n v="6"/>
    <n v="1"/>
    <s v="KOTA"/>
    <s v="KOTA"/>
    <s v="RJ-AJMER"/>
    <d v="2021-08-28T00:00:00"/>
  </r>
  <r>
    <s v="816210171578"/>
    <x v="363"/>
    <s v="SHREE BALAJI BUILDING MATERIAL"/>
    <n v="171578"/>
    <s v="KOTA BUILDMAT"/>
    <n v="0"/>
    <n v="0"/>
    <n v="0"/>
    <n v="9"/>
    <n v="0"/>
    <n v="0"/>
    <n v="5"/>
    <n v="0"/>
    <n v="0"/>
    <n v="5"/>
    <n v="0"/>
    <n v="5"/>
    <n v="10"/>
    <n v="0"/>
    <n v="0"/>
    <n v="12.5"/>
    <n v="0"/>
    <n v="7.5"/>
    <n v="15"/>
    <n v="0"/>
    <n v="0"/>
    <n v="5"/>
    <n v="0"/>
    <n v="0"/>
    <n v="61.5"/>
    <n v="0"/>
    <n v="12.5"/>
    <s v="KOTA"/>
    <s v="KOTA"/>
    <s v="RJ-AJMER"/>
    <d v="2021-08-31T00:00:00"/>
  </r>
  <r>
    <s v="816353174166"/>
    <x v="364"/>
    <s v="SHREE DEV BUILDING MATERIAL SU"/>
    <n v="174166"/>
    <s v="NAMOKAR STONE TRADERS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KOTA"/>
    <s v="KOTA"/>
    <s v="RJ-AJMER"/>
    <d v="2021-09-16T00:00:00"/>
  </r>
  <r>
    <s v="816436171578"/>
    <x v="365"/>
    <s v="ARVIND TRADERS"/>
    <n v="171578"/>
    <s v="KOTA BUILDMAT"/>
    <n v="10"/>
    <n v="0"/>
    <n v="0"/>
    <n v="2.5"/>
    <n v="0"/>
    <n v="0"/>
    <n v="2"/>
    <n v="0"/>
    <n v="0"/>
    <n v="7.5"/>
    <n v="0"/>
    <n v="5"/>
    <n v="5"/>
    <n v="0"/>
    <n v="0"/>
    <n v="0"/>
    <n v="0"/>
    <n v="0"/>
    <n v="3.25"/>
    <n v="0"/>
    <n v="0"/>
    <n v="7.5"/>
    <n v="0"/>
    <n v="0"/>
    <n v="37.75"/>
    <n v="0"/>
    <n v="5"/>
    <s v="KOTA"/>
    <s v="KOTA"/>
    <s v="RJ-AJMER"/>
    <d v="2021-09-22T00:00:00"/>
  </r>
  <r>
    <s v="816595141905"/>
    <x v="366"/>
    <s v="KRISHNA BUILDING MATERIAL"/>
    <n v="141905"/>
    <s v="BS ENTERPRISES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0"/>
    <s v="KOTA"/>
    <s v="KOTA"/>
    <s v="RJ-AJMER"/>
    <d v="2021-09-30T00:00:00"/>
  </r>
  <r>
    <s v="816595175856"/>
    <x v="366"/>
    <s v="KRISHNA BUILDING MATERIAL"/>
    <n v="175856"/>
    <s v="SUMAN AGENCY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KOTA"/>
    <s v="KOTA"/>
    <s v="RJ-AJMER"/>
    <d v="2021-09-30T00:00:00"/>
  </r>
  <r>
    <s v="816601208638"/>
    <x v="367"/>
    <s v="DIVISHA ENTERPRISES"/>
    <n v="208638"/>
    <s v="SHRI GANESH CEMENT &amp; STEELS"/>
    <n v="0"/>
    <n v="0"/>
    <n v="0"/>
    <n v="3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s v="KOTA"/>
    <s v="KOTA"/>
    <s v="RJ-AJMER"/>
    <d v="2021-09-30T00:00:00"/>
  </r>
  <r>
    <s v="816606174166"/>
    <x v="368"/>
    <s v="VISHNU DUTT GAUTAM ENTERPRISES"/>
    <n v="174166"/>
    <s v="NAMOKAR STONE TRADERS"/>
    <n v="0"/>
    <n v="0"/>
    <n v="0"/>
    <n v="1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0"/>
    <n v="30"/>
    <n v="0"/>
    <n v="0"/>
    <s v="KOTA"/>
    <s v="KOTA"/>
    <s v="RJ-AJMER"/>
    <d v="2021-09-30T00:00:00"/>
  </r>
  <r>
    <s v="816652171578"/>
    <x v="369"/>
    <s v="DEV CEMENT AGENCY"/>
    <n v="171578"/>
    <s v="KOTA BUILDMAT"/>
    <n v="0"/>
    <n v="0"/>
    <n v="0"/>
    <n v="10"/>
    <n v="0"/>
    <n v="0"/>
    <n v="30"/>
    <n v="0"/>
    <n v="0"/>
    <n v="20"/>
    <n v="0"/>
    <n v="10"/>
    <n v="5"/>
    <n v="0"/>
    <n v="0"/>
    <n v="0"/>
    <n v="0"/>
    <n v="0"/>
    <n v="11"/>
    <n v="3"/>
    <n v="0"/>
    <n v="10"/>
    <n v="0"/>
    <n v="0"/>
    <n v="86"/>
    <n v="3"/>
    <n v="10"/>
    <s v="KOTA"/>
    <s v="KOTA"/>
    <s v="RJ-AJMER"/>
    <d v="2021-10-06T00:00:00"/>
  </r>
  <r>
    <s v="816652174166"/>
    <x v="369"/>
    <s v="DEV CEMENT AGENCY"/>
    <n v="174166"/>
    <s v="NAMOKAR STONE TRADERS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KOTA"/>
    <s v="KOTA"/>
    <s v="RJ-AJMER"/>
    <d v="2021-10-06T00:00:00"/>
  </r>
  <r>
    <s v="816946208638"/>
    <x v="370"/>
    <s v="KULDEEP ENTERPRISES"/>
    <n v="208638"/>
    <s v="SHRI GANESH CEMENT &amp; STEELS"/>
    <n v="15"/>
    <n v="0"/>
    <n v="0"/>
    <n v="5"/>
    <n v="0"/>
    <n v="0"/>
    <n v="44"/>
    <n v="0"/>
    <n v="0"/>
    <n v="53"/>
    <n v="0"/>
    <n v="0"/>
    <n v="15"/>
    <n v="0"/>
    <n v="0"/>
    <n v="15"/>
    <n v="0"/>
    <n v="5"/>
    <n v="32.5"/>
    <n v="0"/>
    <n v="0"/>
    <n v="10"/>
    <n v="0"/>
    <n v="0"/>
    <n v="189.5"/>
    <n v="0"/>
    <n v="5"/>
    <s v="KOTA"/>
    <s v="KOTA"/>
    <s v="RJ-AJMER"/>
    <d v="2021-11-02T00:00:00"/>
  </r>
  <r>
    <s v="816948208638"/>
    <x v="371"/>
    <s v="HADA TRADERS"/>
    <n v="208638"/>
    <s v="SHRI GANESH CEMENT &amp; STEELS"/>
    <n v="20"/>
    <n v="0"/>
    <n v="0"/>
    <n v="8"/>
    <n v="20"/>
    <n v="0"/>
    <n v="31.5"/>
    <n v="0"/>
    <n v="0"/>
    <n v="12.5"/>
    <n v="0"/>
    <n v="0"/>
    <n v="7.5"/>
    <n v="0"/>
    <n v="0"/>
    <n v="15"/>
    <n v="0"/>
    <n v="0"/>
    <n v="14.5"/>
    <n v="0"/>
    <n v="0"/>
    <n v="15"/>
    <n v="0"/>
    <n v="0"/>
    <n v="124"/>
    <n v="20"/>
    <n v="0"/>
    <s v="KOTA"/>
    <s v="KOTA"/>
    <s v="RJ-AJMER"/>
    <d v="2021-11-02T00:00:00"/>
  </r>
  <r>
    <s v="816949204320"/>
    <x v="372"/>
    <s v="PARETA BUILDING MATERIAL"/>
    <n v="204320"/>
    <s v="KESHAV KANHA TRADERS"/>
    <n v="20"/>
    <n v="0"/>
    <n v="0"/>
    <n v="0"/>
    <n v="0"/>
    <n v="0"/>
    <n v="35"/>
    <n v="5"/>
    <n v="5"/>
    <n v="25"/>
    <n v="3.5"/>
    <n v="10"/>
    <n v="5"/>
    <n v="0"/>
    <n v="5"/>
    <n v="10"/>
    <n v="0"/>
    <n v="0"/>
    <n v="15"/>
    <n v="0"/>
    <n v="0"/>
    <n v="10"/>
    <n v="0"/>
    <n v="0"/>
    <n v="120"/>
    <n v="8.5"/>
    <n v="20"/>
    <s v="KOTA"/>
    <s v="KOTA"/>
    <s v="RJ-AJMER"/>
    <d v="2021-11-02T00:00:00"/>
  </r>
  <r>
    <s v="817094171578"/>
    <x v="373"/>
    <s v="MANAS ENTERPRISES"/>
    <n v="171578"/>
    <s v="KOTA BUILDMAT"/>
    <n v="40"/>
    <n v="0"/>
    <n v="0"/>
    <n v="10"/>
    <n v="0"/>
    <n v="0"/>
    <n v="16.649999999999999"/>
    <n v="5"/>
    <n v="0"/>
    <n v="2"/>
    <n v="0"/>
    <n v="2"/>
    <n v="2.5"/>
    <n v="0"/>
    <n v="0"/>
    <n v="0"/>
    <n v="0"/>
    <n v="0"/>
    <n v="0"/>
    <n v="0"/>
    <n v="0"/>
    <n v="0"/>
    <n v="0"/>
    <n v="0"/>
    <n v="71.150000000000006"/>
    <n v="5"/>
    <n v="2"/>
    <s v="KOTA"/>
    <s v="KOTA"/>
    <s v="RJ-AJMER"/>
    <d v="2021-11-24T00:00:00"/>
  </r>
  <r>
    <s v="817238171578"/>
    <x v="374"/>
    <s v="KAKA TRADERS"/>
    <n v="171578"/>
    <s v="KOTA BUILDMAT"/>
    <n v="30"/>
    <n v="0"/>
    <n v="0"/>
    <n v="22.4"/>
    <n v="0"/>
    <n v="0"/>
    <n v="86.5"/>
    <n v="5"/>
    <n v="0"/>
    <n v="47.5"/>
    <n v="12.5"/>
    <n v="0"/>
    <n v="70"/>
    <n v="0"/>
    <n v="25"/>
    <n v="118"/>
    <n v="20"/>
    <n v="4"/>
    <n v="105"/>
    <n v="6"/>
    <n v="18.5"/>
    <n v="138.5"/>
    <n v="8"/>
    <n v="5.5"/>
    <n v="617.9"/>
    <n v="43.5"/>
    <n v="47.5"/>
    <s v="KOTA"/>
    <s v="KOTA"/>
    <s v="RJ-AJMER"/>
    <d v="2021-12-08T00:00:00"/>
  </r>
  <r>
    <s v="817239171578"/>
    <x v="375"/>
    <s v="KUSHAL BUILDING MATERIAL SUPPL"/>
    <n v="171578"/>
    <s v="KOTA BUILDMAT"/>
    <n v="10"/>
    <n v="5"/>
    <n v="0"/>
    <n v="20"/>
    <n v="0"/>
    <n v="0"/>
    <n v="10.5"/>
    <n v="0"/>
    <n v="0"/>
    <n v="5"/>
    <n v="0"/>
    <n v="0"/>
    <n v="10"/>
    <n v="0"/>
    <n v="0"/>
    <n v="0"/>
    <n v="0"/>
    <n v="0"/>
    <n v="0"/>
    <n v="0"/>
    <n v="0"/>
    <n v="0"/>
    <n v="0"/>
    <n v="0"/>
    <n v="55.5"/>
    <n v="5"/>
    <n v="0"/>
    <s v="KOTA"/>
    <s v="KOTA"/>
    <s v="RJ-AJMER"/>
    <d v="2021-12-08T00:00:00"/>
  </r>
  <r>
    <s v="817384204622"/>
    <x v="376"/>
    <s v="SHUBH LABH TRADERS"/>
    <n v="204622"/>
    <s v="VINAYAK TRADERS"/>
    <n v="0"/>
    <n v="5"/>
    <n v="0"/>
    <n v="62"/>
    <n v="0"/>
    <n v="0"/>
    <n v="31"/>
    <n v="0"/>
    <n v="0"/>
    <n v="10"/>
    <n v="5"/>
    <n v="0"/>
    <n v="10"/>
    <n v="0"/>
    <n v="0"/>
    <n v="0"/>
    <n v="0"/>
    <n v="0"/>
    <n v="15"/>
    <n v="0"/>
    <n v="0"/>
    <n v="47.5"/>
    <n v="0"/>
    <n v="0"/>
    <n v="175.5"/>
    <n v="10"/>
    <n v="0"/>
    <s v="KOTA"/>
    <s v="KOTA"/>
    <s v="RJ-AJMER"/>
    <d v="2021-12-20T00:00:00"/>
  </r>
  <r>
    <s v="817542171578"/>
    <x v="377"/>
    <s v="ROSHAN TRADERS"/>
    <n v="171578"/>
    <s v="KOTA BUILDMAT"/>
    <n v="32"/>
    <n v="0"/>
    <n v="0"/>
    <n v="15"/>
    <n v="0"/>
    <n v="0"/>
    <n v="3.3"/>
    <n v="0"/>
    <n v="0"/>
    <n v="25"/>
    <n v="0"/>
    <n v="0"/>
    <n v="0"/>
    <n v="0"/>
    <n v="0"/>
    <n v="23.1"/>
    <n v="0"/>
    <n v="6"/>
    <n v="11.5"/>
    <n v="5.5"/>
    <n v="0"/>
    <n v="5"/>
    <n v="0"/>
    <n v="0"/>
    <n v="114.9"/>
    <n v="5.5"/>
    <n v="6"/>
    <s v="KOTA"/>
    <s v="KOTA"/>
    <s v="RJ-AJMER"/>
    <d v="2021-12-30T00:00:00"/>
  </r>
  <r>
    <s v="817646175856"/>
    <x v="378"/>
    <s v="HUSSAIN TRADERS"/>
    <n v="175856"/>
    <s v="SUMAN AGENCY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KOTA"/>
    <s v="KOTA"/>
    <s v="RJ-AJMER"/>
    <d v="2022-01-11T00:00:00"/>
  </r>
  <r>
    <s v="817668174166"/>
    <x v="379"/>
    <s v="MAA DURGA TRADERS"/>
    <n v="174166"/>
    <s v="NAMOKAR STONE TRADERS"/>
    <n v="10"/>
    <n v="0"/>
    <n v="0"/>
    <n v="2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35"/>
    <n v="0"/>
    <n v="0"/>
    <s v="KOTA"/>
    <s v="KOTA"/>
    <s v="RJ-AJMER"/>
    <d v="2022-01-12T00:00:00"/>
  </r>
  <r>
    <s v="817746210163"/>
    <x v="380"/>
    <s v="GURUKRIPA SAHEB TRADERS"/>
    <n v="210163"/>
    <s v="KHANDELWAL DISTRIBUTORS"/>
    <n v="1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s v="KOTA"/>
    <s v="KOTA"/>
    <s v="RJ-AJMER"/>
    <d v="2022-01-19T00:00:00"/>
  </r>
  <r>
    <s v="817746141905"/>
    <x v="380"/>
    <s v="GURUKRIPA SAHEB TRADERS"/>
    <n v="141905"/>
    <s v="BS ENTERPRISES"/>
    <n v="0"/>
    <n v="0"/>
    <n v="0"/>
    <n v="0"/>
    <n v="0"/>
    <n v="0"/>
    <n v="0"/>
    <n v="0"/>
    <n v="0"/>
    <n v="9"/>
    <n v="0"/>
    <n v="0"/>
    <n v="10"/>
    <n v="0"/>
    <n v="0"/>
    <n v="0"/>
    <n v="0"/>
    <n v="0"/>
    <n v="0"/>
    <n v="0"/>
    <n v="0"/>
    <n v="20"/>
    <n v="0"/>
    <n v="0"/>
    <n v="39"/>
    <n v="0"/>
    <n v="0"/>
    <s v="KOTA"/>
    <s v="KOTA"/>
    <s v="RJ-AJMER"/>
    <d v="2022-01-19T00:00:00"/>
  </r>
  <r>
    <s v="817833171578"/>
    <x v="381"/>
    <s v="JAI MATA DI ENTERPRISES"/>
    <n v="171578"/>
    <s v="KOTA BUILDMAT"/>
    <n v="29.75"/>
    <n v="0"/>
    <n v="0"/>
    <n v="5"/>
    <n v="0"/>
    <n v="0"/>
    <n v="2"/>
    <n v="0"/>
    <n v="0"/>
    <n v="0"/>
    <n v="0"/>
    <n v="0"/>
    <n v="0"/>
    <n v="0"/>
    <n v="0"/>
    <n v="0"/>
    <n v="0"/>
    <n v="0"/>
    <n v="20"/>
    <n v="0"/>
    <n v="0"/>
    <n v="0"/>
    <n v="0"/>
    <n v="0"/>
    <n v="56.75"/>
    <n v="0"/>
    <n v="0"/>
    <s v="KOTA"/>
    <s v="KOTA"/>
    <s v="RJ-AJMER"/>
    <d v="2022-01-25T00:00:00"/>
  </r>
  <r>
    <s v="817958208638"/>
    <x v="382"/>
    <s v="SHRI BANKE BIHARI ENTERPRISES"/>
    <n v="208638"/>
    <s v="SHRI GANESH CEMENT &amp; STEELS"/>
    <n v="0"/>
    <n v="0"/>
    <n v="0"/>
    <n v="2"/>
    <n v="0"/>
    <n v="0"/>
    <n v="10"/>
    <n v="0"/>
    <n v="0"/>
    <n v="5"/>
    <n v="0"/>
    <n v="0"/>
    <n v="7.5"/>
    <n v="0"/>
    <n v="0"/>
    <n v="0"/>
    <n v="0"/>
    <n v="0"/>
    <n v="26"/>
    <n v="0"/>
    <n v="0"/>
    <n v="10"/>
    <n v="0"/>
    <n v="0"/>
    <n v="60.5"/>
    <n v="0"/>
    <n v="0"/>
    <s v="KOTA"/>
    <s v="KOTA"/>
    <s v="RJ-AJMER"/>
    <d v="2022-02-03T00:00:00"/>
  </r>
  <r>
    <s v="817989204622"/>
    <x v="383"/>
    <s v="INDIAN BUILDING MATERIAL SUPPL"/>
    <n v="204622"/>
    <s v="VINAYAK TRADERS"/>
    <n v="0"/>
    <n v="3.5"/>
    <n v="0"/>
    <n v="15.5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20.5"/>
    <n v="3.5"/>
    <n v="5"/>
    <s v="KOTA"/>
    <s v="KOTA"/>
    <s v="RJ-AJMER"/>
    <d v="2022-02-08T00:00:00"/>
  </r>
  <r>
    <s v="818193171578"/>
    <x v="384"/>
    <s v="JAIDEV BUILDING MATERIAL"/>
    <n v="171578"/>
    <s v="KOTA BUILDMAT"/>
    <n v="30"/>
    <n v="26.05"/>
    <n v="0"/>
    <n v="75.900000000000006"/>
    <n v="0"/>
    <n v="0"/>
    <n v="26"/>
    <n v="5"/>
    <n v="10"/>
    <n v="25"/>
    <n v="0"/>
    <n v="0"/>
    <n v="36"/>
    <n v="0"/>
    <n v="0"/>
    <n v="40"/>
    <n v="0"/>
    <n v="0"/>
    <n v="30"/>
    <n v="0"/>
    <n v="0"/>
    <n v="40"/>
    <n v="0"/>
    <n v="0"/>
    <n v="302.89999999999998"/>
    <n v="31.05"/>
    <n v="10"/>
    <s v="KOTA"/>
    <s v="KOTA"/>
    <s v="RJ-AJMER"/>
    <d v="2022-02-26T00:00:00"/>
  </r>
  <r>
    <s v="818410174166"/>
    <x v="385"/>
    <s v="DEV CEMENT AGENCY"/>
    <n v="174166"/>
    <s v="NAMOKAR STONE TRADERS"/>
    <n v="0"/>
    <n v="0"/>
    <n v="0"/>
    <n v="20"/>
    <n v="0"/>
    <n v="0"/>
    <n v="5"/>
    <n v="0"/>
    <n v="0"/>
    <n v="27"/>
    <n v="0"/>
    <n v="0"/>
    <n v="10"/>
    <n v="0"/>
    <n v="0"/>
    <n v="0"/>
    <n v="0"/>
    <n v="0"/>
    <n v="0"/>
    <n v="0"/>
    <n v="0"/>
    <n v="0"/>
    <n v="0"/>
    <n v="0"/>
    <n v="62"/>
    <n v="0"/>
    <n v="0"/>
    <s v="KOTA"/>
    <s v="KOTA"/>
    <s v="RJ-AJMER"/>
    <d v="2022-03-21T00:00:00"/>
  </r>
  <r>
    <s v="818411175856"/>
    <x v="386"/>
    <s v="PIKU CEMENT AGENCY"/>
    <n v="175856"/>
    <s v="SUMAN AGENCY"/>
    <n v="0"/>
    <n v="0"/>
    <n v="0"/>
    <n v="20"/>
    <n v="0"/>
    <n v="0"/>
    <n v="20"/>
    <n v="0"/>
    <n v="10"/>
    <n v="0"/>
    <n v="0"/>
    <n v="0"/>
    <n v="0"/>
    <n v="0"/>
    <n v="0"/>
    <n v="0"/>
    <n v="0"/>
    <n v="0"/>
    <n v="0"/>
    <n v="0"/>
    <n v="0"/>
    <n v="0"/>
    <n v="0"/>
    <n v="0"/>
    <n v="40"/>
    <n v="0"/>
    <n v="10"/>
    <s v="KOTA"/>
    <s v="KOTA"/>
    <s v="RJ-AJMER"/>
    <d v="2022-03-21T00:00:00"/>
  </r>
  <r>
    <s v="818468141905"/>
    <x v="387"/>
    <s v="RONAK CEMENT AGENCY"/>
    <n v="141905"/>
    <s v="BS ENTERPRISES"/>
    <n v="10"/>
    <n v="5"/>
    <n v="0"/>
    <n v="11"/>
    <n v="0"/>
    <n v="0"/>
    <n v="10"/>
    <n v="5"/>
    <n v="0"/>
    <n v="3"/>
    <n v="0"/>
    <n v="0"/>
    <n v="10"/>
    <n v="0"/>
    <n v="0"/>
    <n v="20"/>
    <n v="0"/>
    <n v="0"/>
    <n v="0"/>
    <n v="0"/>
    <n v="0"/>
    <n v="10"/>
    <n v="0"/>
    <n v="0"/>
    <n v="74"/>
    <n v="10"/>
    <n v="0"/>
    <s v="KOTA"/>
    <s v="KOTA"/>
    <s v="RJ-AJMER"/>
    <d v="2022-03-25T00:00:00"/>
  </r>
  <r>
    <s v="818487171578"/>
    <x v="388"/>
    <s v="MANAVI SUPPLAIR"/>
    <n v="171578"/>
    <s v="KOTA BUILDMAT"/>
    <n v="51"/>
    <n v="0"/>
    <n v="0"/>
    <n v="100.05"/>
    <n v="0"/>
    <n v="0"/>
    <n v="60"/>
    <n v="5"/>
    <n v="0"/>
    <n v="30"/>
    <n v="10"/>
    <n v="0"/>
    <n v="65"/>
    <n v="20"/>
    <n v="0"/>
    <n v="45"/>
    <n v="0"/>
    <n v="0"/>
    <n v="30"/>
    <n v="0"/>
    <n v="0"/>
    <n v="47.75"/>
    <n v="1.5"/>
    <n v="6.25"/>
    <n v="428.8"/>
    <n v="35"/>
    <n v="0"/>
    <s v="KOTA"/>
    <s v="KOTA"/>
    <s v="RJ-AJMER"/>
    <d v="2022-03-26T00:00:00"/>
  </r>
  <r>
    <s v="818589171578"/>
    <x v="389"/>
    <s v="VIKAS ENTERPRISES"/>
    <n v="171578"/>
    <s v="KOTA BUILDMAT"/>
    <n v="15"/>
    <n v="0"/>
    <n v="0"/>
    <n v="2.5"/>
    <n v="0"/>
    <n v="0"/>
    <n v="2"/>
    <n v="0"/>
    <n v="0"/>
    <n v="0"/>
    <n v="0"/>
    <n v="0"/>
    <n v="2.5"/>
    <n v="0"/>
    <n v="0"/>
    <n v="10"/>
    <n v="0"/>
    <n v="0"/>
    <n v="0"/>
    <n v="0"/>
    <n v="0"/>
    <n v="0"/>
    <n v="0"/>
    <n v="0"/>
    <n v="32"/>
    <n v="0"/>
    <n v="0"/>
    <s v="KOTA"/>
    <s v="KOTA"/>
    <s v="RJ-AJMER"/>
    <d v="2022-04-06T00:00:00"/>
  </r>
  <r>
    <s v="818847171578"/>
    <x v="390"/>
    <s v="LAKSHYA ENTERPRISES"/>
    <n v="171578"/>
    <s v="KOTA BUILDMAT"/>
    <n v="0"/>
    <n v="0"/>
    <n v="0"/>
    <n v="10.5"/>
    <n v="0"/>
    <n v="0"/>
    <n v="81"/>
    <n v="7.5"/>
    <n v="0"/>
    <n v="40"/>
    <n v="10"/>
    <n v="0"/>
    <n v="50"/>
    <n v="0"/>
    <n v="0"/>
    <n v="74.8"/>
    <n v="0"/>
    <n v="0"/>
    <n v="78"/>
    <n v="0"/>
    <n v="10"/>
    <n v="65"/>
    <n v="0"/>
    <n v="10"/>
    <n v="399.3"/>
    <n v="17.5"/>
    <n v="10"/>
    <s v="KOTA"/>
    <s v="KOTA"/>
    <s v="RJ-AJMER"/>
    <d v="2022-05-04T00:00:00"/>
  </r>
  <r>
    <s v="818849210066"/>
    <x v="391"/>
    <s v="JAI MAHAKAL TRANSPORT"/>
    <n v="210066"/>
    <s v="S.S.S. ENTERPRISES"/>
    <n v="0"/>
    <n v="40.75"/>
    <n v="0"/>
    <n v="105.75"/>
    <n v="0"/>
    <n v="0"/>
    <n v="144"/>
    <n v="0"/>
    <n v="20"/>
    <n v="38.5"/>
    <n v="0"/>
    <n v="0"/>
    <n v="34"/>
    <n v="9"/>
    <n v="0"/>
    <n v="57"/>
    <n v="17.5"/>
    <n v="5"/>
    <n v="46"/>
    <n v="0"/>
    <n v="0"/>
    <n v="65.5"/>
    <n v="3.5"/>
    <n v="0"/>
    <n v="490.75"/>
    <n v="67.25"/>
    <n v="25"/>
    <s v="KOTA"/>
    <s v="KOTA"/>
    <s v="RJ-AJMER"/>
    <d v="2022-05-04T00:00:00"/>
  </r>
  <r>
    <s v="819047174166"/>
    <x v="392"/>
    <s v="SHREE DHAKAD TRADERS"/>
    <n v="174166"/>
    <s v="NAMOKAR STONE TRADERS"/>
    <n v="0"/>
    <n v="0"/>
    <n v="0"/>
    <n v="17.5"/>
    <n v="0"/>
    <n v="0"/>
    <n v="14"/>
    <n v="14"/>
    <n v="0"/>
    <n v="15"/>
    <n v="5"/>
    <n v="0"/>
    <n v="1.9"/>
    <n v="0"/>
    <n v="0"/>
    <n v="0"/>
    <n v="0"/>
    <n v="0"/>
    <n v="0"/>
    <n v="0"/>
    <n v="0"/>
    <n v="0"/>
    <n v="0"/>
    <n v="0"/>
    <n v="48.4"/>
    <n v="19"/>
    <n v="0"/>
    <s v="KOTA"/>
    <s v="KOTA"/>
    <s v="RJ-AJMER"/>
    <d v="2022-05-25T00:00:00"/>
  </r>
  <r>
    <s v="819448174166"/>
    <x v="393"/>
    <s v="SHREE GORAJI ENTERPRISES"/>
    <n v="174166"/>
    <s v="NAMOKAR STONE TRADERS"/>
    <n v="0"/>
    <n v="0"/>
    <n v="0"/>
    <n v="0"/>
    <n v="0"/>
    <n v="0"/>
    <n v="30"/>
    <n v="0"/>
    <n v="0"/>
    <n v="5"/>
    <n v="5"/>
    <n v="0"/>
    <n v="30"/>
    <n v="0"/>
    <n v="0"/>
    <n v="25"/>
    <n v="0"/>
    <n v="0"/>
    <n v="2"/>
    <n v="2"/>
    <n v="0"/>
    <n v="20"/>
    <n v="0"/>
    <n v="0"/>
    <n v="112"/>
    <n v="7"/>
    <n v="0"/>
    <s v="KOTA"/>
    <s v="KOTA"/>
    <s v="RJ-AJMER"/>
    <d v="2022-06-22T00:00:00"/>
  </r>
  <r>
    <s v="819532174166"/>
    <x v="394"/>
    <s v="YOGIRAJ TRADERS"/>
    <n v="174166"/>
    <s v="NAMOKAR STONE TRADERS"/>
    <n v="0"/>
    <n v="0"/>
    <n v="0"/>
    <n v="0"/>
    <n v="0"/>
    <n v="0"/>
    <n v="0"/>
    <n v="0"/>
    <n v="0"/>
    <n v="20"/>
    <n v="0"/>
    <n v="0"/>
    <n v="1.1499999999999999"/>
    <n v="0"/>
    <n v="1.1499999999999999"/>
    <n v="20"/>
    <n v="0"/>
    <n v="0"/>
    <n v="7"/>
    <n v="2"/>
    <n v="5"/>
    <n v="20.5"/>
    <n v="0"/>
    <n v="0"/>
    <n v="68.650000000000006"/>
    <n v="2"/>
    <n v="6.15"/>
    <s v="KOTA"/>
    <s v="KOTA"/>
    <s v="RJ-AJMER"/>
    <d v="2022-06-27T00:00:00"/>
  </r>
  <r>
    <s v="820073174166"/>
    <x v="395"/>
    <s v="SHIVAY TRADERS"/>
    <n v="174166"/>
    <s v="NAMOKAR STONE TRADERS"/>
    <n v="0"/>
    <n v="0"/>
    <n v="0"/>
    <n v="0"/>
    <n v="0"/>
    <n v="0"/>
    <n v="0"/>
    <n v="0"/>
    <n v="0"/>
    <n v="0"/>
    <n v="0"/>
    <n v="0"/>
    <n v="10"/>
    <n v="0"/>
    <n v="0"/>
    <n v="10"/>
    <n v="0"/>
    <n v="2.5"/>
    <n v="0"/>
    <n v="0"/>
    <n v="0"/>
    <n v="0"/>
    <n v="0"/>
    <n v="0"/>
    <n v="20"/>
    <n v="0"/>
    <n v="2.5"/>
    <s v="KOTA"/>
    <s v="KOTA"/>
    <s v="RJ-AJMER"/>
    <d v="2022-08-06T00:00:00"/>
  </r>
  <r>
    <s v="820135171578"/>
    <x v="396"/>
    <s v="BHAWANA ENTERPRISES"/>
    <n v="171578"/>
    <s v="KOTA BUILDMAT"/>
    <n v="0"/>
    <n v="0"/>
    <n v="0"/>
    <n v="0"/>
    <n v="0"/>
    <n v="0"/>
    <n v="0"/>
    <n v="0"/>
    <n v="0"/>
    <n v="0"/>
    <n v="0"/>
    <n v="0"/>
    <n v="16"/>
    <n v="0"/>
    <n v="0"/>
    <n v="10"/>
    <n v="0"/>
    <n v="0"/>
    <n v="5"/>
    <n v="0"/>
    <n v="0"/>
    <n v="2.5"/>
    <n v="0"/>
    <n v="0"/>
    <n v="33.5"/>
    <n v="0"/>
    <n v="0"/>
    <s v="KOTA"/>
    <s v="KOTA"/>
    <s v="RJ-AJMER"/>
    <d v="2022-08-16T00:00:00"/>
  </r>
  <r>
    <s v="820136174166"/>
    <x v="397"/>
    <s v="AJMERA TRADING COMPANY"/>
    <s v="174166"/>
    <s v="NAMOKAR STONE TRADERS"/>
    <n v="0"/>
    <n v="0"/>
    <n v="0"/>
    <n v="0"/>
    <n v="0"/>
    <n v="0"/>
    <n v="0"/>
    <n v="0"/>
    <n v="0"/>
    <n v="0"/>
    <n v="0"/>
    <n v="0"/>
    <n v="4.5"/>
    <n v="4.5"/>
    <n v="0"/>
    <n v="71"/>
    <n v="0"/>
    <n v="0"/>
    <n v="20"/>
    <n v="0"/>
    <n v="0"/>
    <n v="52.55"/>
    <n v="3.75"/>
    <n v="0"/>
    <n v="148.05000000000001"/>
    <n v="4.5"/>
    <n v="0"/>
    <s v="KOTA"/>
    <s v="KOTA"/>
    <s v="RJ-AJMER"/>
    <d v="2022-08-16T00:00:00"/>
  </r>
  <r>
    <s v="820222177742"/>
    <x v="398"/>
    <s v="SHARMA CEMENT SUPPLIER"/>
    <n v="177742"/>
    <s v="PATEL MOTORS"/>
    <n v="0"/>
    <n v="0"/>
    <n v="0"/>
    <n v="0"/>
    <n v="0"/>
    <n v="0"/>
    <n v="0"/>
    <n v="0"/>
    <n v="0"/>
    <n v="0"/>
    <n v="0"/>
    <n v="0"/>
    <n v="25"/>
    <n v="0"/>
    <n v="0"/>
    <n v="0"/>
    <n v="0"/>
    <n v="0"/>
    <n v="15"/>
    <n v="0"/>
    <n v="0"/>
    <n v="0"/>
    <n v="0"/>
    <n v="0"/>
    <n v="40"/>
    <n v="0"/>
    <n v="0"/>
    <s v="KOTA"/>
    <s v="KOTA"/>
    <s v="RJ-AJMER"/>
    <d v="2022-08-23T00:00:00"/>
  </r>
  <r>
    <s v="820402174166"/>
    <x v="399"/>
    <s v="LUCKY STEEL"/>
    <n v="174166"/>
    <s v="NAMOKAR STONE TRADERS"/>
    <n v="0"/>
    <n v="0"/>
    <n v="0"/>
    <n v="0"/>
    <n v="0"/>
    <n v="0"/>
    <n v="0"/>
    <n v="0"/>
    <n v="0"/>
    <n v="0"/>
    <n v="0"/>
    <n v="0"/>
    <n v="0"/>
    <n v="0"/>
    <n v="0"/>
    <n v="71"/>
    <n v="0"/>
    <n v="0"/>
    <n v="10"/>
    <n v="0"/>
    <n v="0"/>
    <n v="0"/>
    <n v="0"/>
    <n v="0"/>
    <n v="81"/>
    <n v="0"/>
    <n v="0"/>
    <s v="KOTA"/>
    <s v="KOTA"/>
    <s v="RJ-AJMER"/>
    <d v="2022-09-06T00:00:00"/>
  </r>
  <r>
    <s v="820199213343"/>
    <x v="400"/>
    <s v="MAHESH KUMAR GUPTA"/>
    <n v="213343"/>
    <s v="SHREE VALLABH TRADING COMPANY"/>
    <n v="0"/>
    <n v="0"/>
    <n v="0"/>
    <n v="0"/>
    <n v="0"/>
    <n v="0"/>
    <n v="0"/>
    <n v="0"/>
    <n v="0"/>
    <n v="0"/>
    <n v="0"/>
    <n v="0"/>
    <n v="0"/>
    <n v="0"/>
    <n v="0"/>
    <n v="49"/>
    <n v="0"/>
    <n v="0"/>
    <n v="0"/>
    <n v="0"/>
    <n v="0"/>
    <n v="0"/>
    <n v="0"/>
    <n v="0"/>
    <n v="49"/>
    <n v="0"/>
    <n v="0"/>
    <s v="KOTA"/>
    <s v="KOTA"/>
    <s v="RJ-AJMER"/>
    <d v="2022-08-22T00:00:00"/>
  </r>
  <r>
    <s v="820575174166"/>
    <x v="401"/>
    <s v="ADIL TRADERS"/>
    <n v="174166"/>
    <s v="NAMOKAR STONE TRADERS"/>
    <n v="0"/>
    <n v="0"/>
    <n v="0"/>
    <n v="0"/>
    <n v="0"/>
    <n v="0"/>
    <n v="0"/>
    <n v="0"/>
    <n v="0"/>
    <n v="0"/>
    <n v="0"/>
    <n v="0"/>
    <n v="0"/>
    <n v="0"/>
    <n v="0"/>
    <n v="147"/>
    <n v="0"/>
    <n v="22"/>
    <n v="150"/>
    <n v="0"/>
    <n v="10"/>
    <n v="256"/>
    <n v="35"/>
    <n v="42"/>
    <n v="553"/>
    <n v="0"/>
    <n v="32"/>
    <s v="KOTA"/>
    <s v="KOTA"/>
    <s v="RJ-AJMER"/>
    <d v="2022-09-17T00:00:00"/>
  </r>
  <r>
    <s v="820641174166"/>
    <x v="402"/>
    <s v="NEW MANDAWAT BUILDING MATERIAL"/>
    <n v="174166"/>
    <s v="NAMOKAR STONE TRADERS"/>
    <n v="0"/>
    <n v="0"/>
    <n v="0"/>
    <n v="0"/>
    <n v="0"/>
    <n v="0"/>
    <n v="0"/>
    <n v="0"/>
    <n v="0"/>
    <n v="0"/>
    <n v="0"/>
    <n v="0"/>
    <n v="0"/>
    <n v="0"/>
    <n v="0"/>
    <n v="88.65"/>
    <n v="0"/>
    <n v="0"/>
    <n v="110"/>
    <n v="0"/>
    <n v="0"/>
    <n v="84.7"/>
    <n v="3.45"/>
    <n v="1.25"/>
    <n v="283.35000000000002"/>
    <n v="0"/>
    <n v="0"/>
    <s v="KOTA"/>
    <s v="KOTA"/>
    <s v="RJ-AJMER"/>
    <d v="2022-09-20T00:00:00"/>
  </r>
  <r>
    <s v="820736171578"/>
    <x v="403"/>
    <s v="GANPATI STONE SUPPLIERS"/>
    <n v="171578"/>
    <s v="KOTA BUILDMAT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23.4"/>
    <n v="0"/>
    <n v="0"/>
    <n v="30"/>
    <n v="0"/>
    <n v="0"/>
    <n v="78.400000000000006"/>
    <n v="0"/>
    <n v="0"/>
    <s v="KOTA"/>
    <s v="KOTA"/>
    <s v="RJ-AJMER"/>
    <d v="2022-09-26T00:00:00"/>
  </r>
  <r>
    <s v="820778171578"/>
    <x v="404"/>
    <s v="J B TRADERS"/>
    <n v="171578"/>
    <s v="KOTA BUILDMA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"/>
    <n v="0"/>
    <n v="0"/>
    <n v="106.9"/>
    <n v="7.5"/>
    <n v="3.4"/>
    <n v="174.9"/>
    <n v="0"/>
    <n v="0"/>
    <s v="KOTA"/>
    <s v="KOTA"/>
    <s v="RJ-AJMER"/>
    <d v="2022-09-28T00:00:00"/>
  </r>
  <r>
    <s v="820776171578"/>
    <x v="405"/>
    <s v="JAI MAA JOGANIYA BUILDING MATE"/>
    <n v="171578"/>
    <s v="KOTA BUILDMA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.65"/>
    <n v="0"/>
    <n v="12.65"/>
    <n v="51"/>
    <n v="0"/>
    <n v="0"/>
    <n v="113.65"/>
    <n v="0"/>
    <n v="12.65"/>
    <s v="KOTA"/>
    <s v="KOTA"/>
    <s v="RJ-AJMER"/>
    <d v="2022-09-28T00:00:00"/>
  </r>
  <r>
    <s v="820814174166"/>
    <x v="406"/>
    <s v="SHRI DWARKADHEESH TRADERS"/>
    <n v="174166"/>
    <s v="NAMOKAR STONE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5"/>
    <n v="0"/>
    <n v="0"/>
    <n v="65"/>
    <n v="0"/>
    <n v="0"/>
    <s v="KOTA"/>
    <s v="KOTA"/>
    <s v="RJ-AJMER"/>
    <d v="2022-09-30T00:00:00"/>
  </r>
  <r>
    <s v="820782213343"/>
    <x v="407"/>
    <s v="AADHYA TRADING COMPANY"/>
    <n v="213343"/>
    <s v="SHREE VALLABH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0"/>
    <n v="5"/>
    <n v="97.75"/>
    <n v="0"/>
    <n v="0"/>
    <n v="167.75"/>
    <n v="0"/>
    <n v="5"/>
    <s v="KOTA"/>
    <s v="KOTA"/>
    <s v="RJ-AJMER"/>
    <d v="2022-09-28T00:00:00"/>
  </r>
  <r>
    <s v="821006175856"/>
    <x v="408"/>
    <s v="VANSHIKA TRADING COMPANY"/>
    <n v="175856"/>
    <s v="SUMAN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5"/>
    <n v="35"/>
    <n v="0"/>
    <n v="5"/>
    <n v="56"/>
    <n v="0"/>
    <n v="5"/>
    <s v="KOTA"/>
    <s v="KOTA"/>
    <s v="RJ-AJMER"/>
    <d v="2022-10-19T00:00:00"/>
  </r>
  <r>
    <s v="820642171578"/>
    <x v="409"/>
    <s v="MEWATI TRADERS"/>
    <n v="171578"/>
    <s v="KOTA BUILDMA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20"/>
    <n v="0"/>
    <n v="0"/>
    <n v="30"/>
    <n v="0"/>
    <n v="0"/>
    <s v="KOTA"/>
    <s v="KOTA"/>
    <s v="RJ-AJMER"/>
    <d v="2022-09-20T00:00:00"/>
  </r>
  <r>
    <s v="821160210066"/>
    <x v="410"/>
    <s v="R R ENTERPRISES"/>
    <n v="210066"/>
    <s v="S.S.S.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8.5"/>
    <n v="3.5"/>
    <n v="0"/>
    <n v="43.5"/>
    <n v="0"/>
    <n v="0"/>
    <s v="KOTA"/>
    <s v="KOTA"/>
    <s v="RJ-AJMER"/>
    <d v="2022-11-07T00:00:00"/>
  </r>
  <r>
    <s v="815777141905"/>
    <x v="357"/>
    <s v="GURUKRIPA UDYOG"/>
    <n v="141905"/>
    <s v="BS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1"/>
    <n v="0"/>
    <n v="0"/>
    <n v="26"/>
    <n v="0"/>
    <n v="0"/>
    <s v="KOTA"/>
    <s v="KOTA"/>
    <s v="RJ-AJMER"/>
    <d v="2021-07-30T00:00:00"/>
  </r>
  <r>
    <s v="816047213343"/>
    <x v="359"/>
    <s v="GUDDU IRON ENTERPRISES"/>
    <n v="213343"/>
    <s v="SHREE VALLABH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5"/>
    <n v="0"/>
    <n v="0"/>
    <n v="70"/>
    <n v="0"/>
    <n v="0"/>
    <s v="KOTA"/>
    <s v="KOTA"/>
    <s v="RJ-AJMER"/>
    <d v="2021-08-21T00:00:00"/>
  </r>
  <r>
    <s v="821200208638"/>
    <x v="411"/>
    <s v="SHRI VINAYAK ASSOCIATES"/>
    <n v="208638"/>
    <s v="SHRI GANESH CEMENT &amp; STEE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KOTA"/>
    <s v="KOTA"/>
    <s v="RJ-AJMER"/>
    <d v="2022-11-11T00:00:00"/>
  </r>
  <r>
    <s v="821294213343"/>
    <x v="412"/>
    <s v="SHAH KIRANA STORE"/>
    <n v="213343"/>
    <s v="SHREE VALLABH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0"/>
    <n v="0"/>
    <n v="0"/>
    <n v="45"/>
    <n v="0"/>
    <n v="0"/>
    <s v="KOTA"/>
    <s v="KOTA"/>
    <s v="RJ-AJMER"/>
    <d v="2022-11-19T00:00:00"/>
  </r>
  <r>
    <s v="805468170197"/>
    <x v="413"/>
    <s v="KEDAR LAL RAMKISHAN LAL"/>
    <n v="170197"/>
    <s v="ARVIND BUILDING MATERIAL"/>
    <n v="0"/>
    <n v="0"/>
    <n v="0"/>
    <n v="0"/>
    <n v="0"/>
    <n v="0"/>
    <n v="50"/>
    <n v="0"/>
    <n v="0"/>
    <n v="0"/>
    <n v="0"/>
    <n v="0"/>
    <n v="0"/>
    <n v="0"/>
    <n v="0"/>
    <n v="41"/>
    <n v="0"/>
    <n v="0"/>
    <n v="0"/>
    <n v="0"/>
    <n v="0"/>
    <n v="0"/>
    <n v="0"/>
    <n v="0"/>
    <n v="91"/>
    <n v="0"/>
    <n v="0"/>
    <s v="KARAULI"/>
    <s v="SAWAI MADHOPUR"/>
    <s v="RJ-AJMER"/>
    <d v="2016-09-01T00:00:00"/>
  </r>
  <r>
    <s v="805995170892"/>
    <x v="414"/>
    <s v="HARMAN SINGH AND SONS"/>
    <n v="170892"/>
    <s v="GOURAV AGAENCY"/>
    <n v="0"/>
    <n v="0"/>
    <n v="0"/>
    <n v="52"/>
    <n v="0"/>
    <n v="0"/>
    <n v="20"/>
    <n v="0"/>
    <n v="0"/>
    <n v="21.95"/>
    <n v="16.95"/>
    <n v="0"/>
    <n v="0"/>
    <n v="0"/>
    <n v="0"/>
    <n v="0"/>
    <n v="0"/>
    <n v="0"/>
    <n v="0"/>
    <n v="0"/>
    <n v="0"/>
    <n v="0"/>
    <n v="0"/>
    <n v="0"/>
    <n v="93.95"/>
    <n v="16.95"/>
    <n v="0"/>
    <s v="KARAULI"/>
    <s v="SAWAI MADHOPUR"/>
    <s v="RJ-AJMER"/>
    <d v="2017-01-30T00:00:00"/>
  </r>
  <r>
    <s v="806024170892"/>
    <x v="415"/>
    <s v="MOOL CHAND GURJAR"/>
    <n v="170892"/>
    <s v="GOURAV AGAENCY"/>
    <n v="62"/>
    <n v="0"/>
    <n v="0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52"/>
    <n v="0"/>
    <s v="KARAULI"/>
    <s v="SAWAI MADHOPUR"/>
    <s v="RJ-AJMER"/>
    <d v="2017-02-07T00:00:00"/>
  </r>
  <r>
    <s v="807164208183"/>
    <x v="416"/>
    <s v="RAJENDRA SINGH DAGUR"/>
    <n v="208183"/>
    <s v="AAGRAWAL TRADING COMPANY"/>
    <n v="14.5"/>
    <n v="0"/>
    <n v="0"/>
    <n v="0"/>
    <n v="0"/>
    <n v="0"/>
    <n v="20"/>
    <n v="0"/>
    <n v="0"/>
    <n v="20"/>
    <n v="0"/>
    <n v="0"/>
    <n v="9"/>
    <n v="0"/>
    <n v="0"/>
    <n v="45"/>
    <n v="0"/>
    <n v="0"/>
    <n v="12.3"/>
    <n v="12.3"/>
    <n v="0"/>
    <n v="39.5"/>
    <n v="9.5"/>
    <n v="0"/>
    <n v="160.30000000000001"/>
    <n v="12.3"/>
    <n v="0"/>
    <s v="KARAULI"/>
    <s v="SAWAI MADHOPUR"/>
    <s v="RJ-AJMER"/>
    <d v="2018-11-13T00:00:00"/>
  </r>
  <r>
    <s v="808713170197"/>
    <x v="417"/>
    <s v="JAGDAMBA CEMENT AGENCY"/>
    <n v="170197"/>
    <s v="ARVIND BUILDING MATERIAL"/>
    <n v="10"/>
    <n v="0"/>
    <n v="0"/>
    <n v="0"/>
    <n v="0"/>
    <n v="0"/>
    <n v="35"/>
    <n v="0"/>
    <n v="0"/>
    <n v="0"/>
    <n v="0"/>
    <n v="0"/>
    <n v="0"/>
    <n v="0"/>
    <n v="0"/>
    <n v="4"/>
    <n v="0"/>
    <n v="0"/>
    <n v="0"/>
    <n v="0"/>
    <n v="0"/>
    <n v="0"/>
    <n v="0"/>
    <n v="0"/>
    <n v="49"/>
    <n v="0"/>
    <n v="0"/>
    <s v="KARAULI"/>
    <s v="SAWAI MADHOPUR"/>
    <s v="RJ-AJMER"/>
    <d v="2018-07-27T00:00:00"/>
  </r>
  <r>
    <s v="808979149996"/>
    <x v="418"/>
    <s v="GOVERDHAN ENTERPRISES"/>
    <n v="149996"/>
    <s v="GOKLENDRA BUILDING MATERIAL"/>
    <n v="4.5"/>
    <n v="0"/>
    <n v="0"/>
    <n v="35"/>
    <n v="0"/>
    <n v="0"/>
    <n v="55"/>
    <n v="0"/>
    <n v="0"/>
    <n v="15.55"/>
    <n v="0"/>
    <n v="0"/>
    <n v="10"/>
    <n v="0"/>
    <n v="0"/>
    <n v="15"/>
    <n v="0"/>
    <n v="15"/>
    <n v="0"/>
    <n v="0"/>
    <n v="0"/>
    <n v="0"/>
    <n v="0"/>
    <n v="0"/>
    <n v="135.05000000000001"/>
    <n v="0"/>
    <n v="15"/>
    <s v="KARAULI"/>
    <s v="SAWAI MADHOPUR"/>
    <s v="RJ-AJMER"/>
    <d v="2018-09-12T00:00:00"/>
  </r>
  <r>
    <s v="809120208183"/>
    <x v="419"/>
    <s v="JAY BAJRANG BALI BUILDING MATE"/>
    <n v="208183"/>
    <s v="AAGRAWAL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ULI"/>
    <s v="SAWAI MADHOPUR"/>
    <s v="RJ-AJMER"/>
    <d v="2019-02-13T00:00:00"/>
  </r>
  <r>
    <s v="809439208183"/>
    <x v="420"/>
    <s v="SHRI VISHWAKARMA BUILDING MATE"/>
    <n v="208183"/>
    <s v="AAGRAWAL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ULI"/>
    <s v="SAWAI MADHOPUR"/>
    <s v="RJ-AJMER"/>
    <d v="2019-04-24T00:00:00"/>
  </r>
  <r>
    <s v="809736208183"/>
    <x v="421"/>
    <s v="MA KAILADEVI KHAD BEEJ BHANDAR"/>
    <n v="208183"/>
    <s v="AAGRAWAL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ULI"/>
    <s v="SAWAI MADHOPUR"/>
    <s v="RJ-AJMER"/>
    <d v="2019-06-15T00:00:00"/>
  </r>
  <r>
    <s v="810122211137"/>
    <x v="422"/>
    <s v="OM LAKSHY TRADING COMPANY"/>
    <n v="211137"/>
    <s v="BALAJI AGENCY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KARAULI"/>
    <s v="SAWAI MADHOPUR"/>
    <s v="RJ-AJMER"/>
    <d v="2019-08-01T00:00:00"/>
  </r>
  <r>
    <s v="810756208329"/>
    <x v="423"/>
    <s v="SANTOSH BUILDING MATERIAL"/>
    <n v="208329"/>
    <s v="MAHALAXM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ULI"/>
    <s v="SAWAI MADHOPUR"/>
    <s v="RJ-AJMER"/>
    <d v="2019-11-08T00:00:00"/>
  </r>
  <r>
    <s v="811694170197"/>
    <x v="424"/>
    <s v="JAI HANUMAN ENTERPRISES"/>
    <n v="170197"/>
    <s v="ARVIND BUILDING MATERIAL"/>
    <n v="216"/>
    <n v="0"/>
    <n v="0"/>
    <n v="118.5"/>
    <n v="0"/>
    <n v="0"/>
    <n v="419"/>
    <n v="0"/>
    <n v="83"/>
    <n v="191"/>
    <n v="20"/>
    <n v="10"/>
    <n v="252.5"/>
    <n v="42"/>
    <n v="0"/>
    <n v="185.5"/>
    <n v="80.5"/>
    <n v="0"/>
    <n v="50"/>
    <n v="20"/>
    <n v="0"/>
    <n v="314.5"/>
    <n v="77"/>
    <n v="0"/>
    <n v="1747"/>
    <n v="162.5"/>
    <n v="93"/>
    <s v="KARAULI"/>
    <s v="SAWAI MADHOPUR"/>
    <s v="RJ-AJMER"/>
    <d v="2020-03-06T00:00:00"/>
  </r>
  <r>
    <s v="812336178109"/>
    <x v="425"/>
    <s v="SHIV TRADING COMPANY"/>
    <n v="178109"/>
    <s v="KRISHI SEWA KENDRA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KARAULI"/>
    <s v="SAWAI MADHOPUR"/>
    <s v="RJ-AJMER"/>
    <d v="2020-07-23T00:00:00"/>
  </r>
  <r>
    <s v="812352211137"/>
    <x v="426"/>
    <s v="KESHAV BUILDING MATERIAL"/>
    <n v="211137"/>
    <s v="BALAJI AGENCY"/>
    <n v="0"/>
    <n v="0"/>
    <n v="0"/>
    <n v="0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s v="KARAULI"/>
    <s v="SAWAI MADHOPUR"/>
    <s v="RJ-AJMER"/>
    <d v="2020-07-25T00:00:00"/>
  </r>
  <r>
    <s v="812426178109"/>
    <x v="427"/>
    <s v="DEV TRADING COMPANY"/>
    <n v="178109"/>
    <s v="KRISHI SEWA KENDRA"/>
    <n v="211.5"/>
    <n v="0"/>
    <n v="0"/>
    <n v="0"/>
    <n v="42"/>
    <n v="0"/>
    <n v="0"/>
    <n v="0"/>
    <n v="0"/>
    <n v="0"/>
    <n v="0"/>
    <n v="0"/>
    <n v="0"/>
    <n v="0"/>
    <n v="0"/>
    <n v="40"/>
    <n v="7"/>
    <n v="0"/>
    <n v="20"/>
    <n v="0"/>
    <n v="0"/>
    <n v="45"/>
    <n v="6"/>
    <n v="0"/>
    <n v="316.5"/>
    <n v="49"/>
    <n v="0"/>
    <s v="KARAULI"/>
    <s v="SAWAI MADHOPUR"/>
    <s v="RJ-AJMER"/>
    <d v="2020-07-31T00:00:00"/>
  </r>
  <r>
    <s v="812854178109"/>
    <x v="428"/>
    <s v="GHATVASAN BUILDING MATERIAL"/>
    <n v="178109"/>
    <s v="KRISHI SEWA KENDR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30"/>
    <n v="0"/>
    <n v="0"/>
    <s v="KARAULI"/>
    <s v="SAWAI MADHOPUR"/>
    <s v="RJ-AJMER"/>
    <d v="2020-09-09T00:00:00"/>
  </r>
  <r>
    <s v="813094208874"/>
    <x v="429"/>
    <s v="SHRI MOHAN CONSTRUCTION COMPAN"/>
    <n v="208874"/>
    <s v="SINGHAL SAINATARY &amp; HARDWARE"/>
    <n v="0"/>
    <n v="0"/>
    <n v="0"/>
    <n v="30"/>
    <n v="0"/>
    <n v="0"/>
    <n v="30"/>
    <n v="0"/>
    <n v="0"/>
    <n v="40"/>
    <n v="0"/>
    <n v="0"/>
    <n v="0"/>
    <n v="0"/>
    <n v="0"/>
    <n v="10"/>
    <n v="0"/>
    <n v="0"/>
    <n v="59"/>
    <n v="0"/>
    <n v="0"/>
    <n v="37"/>
    <n v="0"/>
    <n v="0"/>
    <n v="206"/>
    <n v="0"/>
    <n v="0"/>
    <s v="KARAULI"/>
    <s v="SAWAI MADHOPUR"/>
    <s v="RJ-AJMER"/>
    <d v="2020-09-28T00:00:00"/>
  </r>
  <r>
    <s v="813122205183"/>
    <x v="430"/>
    <s v="YADHUVANSHI BUILDING MATERIAL"/>
    <n v="205183"/>
    <s v="SANWARIA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ULI"/>
    <s v="SAWAI MADHOPUR"/>
    <s v="RJ-AJMER"/>
    <d v="2020-09-29T00:00:00"/>
  </r>
  <r>
    <s v="813122211137"/>
    <x v="430"/>
    <s v="YADHUVANSHI BUILDING MATERIAL"/>
    <n v="211137"/>
    <s v="BALAJI AGENCY"/>
    <n v="6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0"/>
    <n v="0"/>
    <s v="KARAULI"/>
    <s v="SAWAI MADHOPUR"/>
    <s v="RJ-AJMER"/>
    <d v="2020-09-29T00:00:00"/>
  </r>
  <r>
    <s v="814593207907"/>
    <x v="431"/>
    <s v="BHOLU SINGH CEMENT SUPPLIERS"/>
    <n v="207907"/>
    <s v="NARSINGH KHAAD BEEJ BHANDAR"/>
    <n v="62"/>
    <n v="0"/>
    <n v="0"/>
    <n v="45"/>
    <n v="10"/>
    <n v="0"/>
    <n v="32"/>
    <n v="0"/>
    <n v="0"/>
    <n v="25"/>
    <n v="20"/>
    <n v="0"/>
    <n v="10"/>
    <n v="0"/>
    <n v="0"/>
    <n v="0"/>
    <n v="0"/>
    <n v="0"/>
    <n v="0"/>
    <n v="0"/>
    <n v="0"/>
    <n v="20"/>
    <n v="0"/>
    <n v="0"/>
    <n v="194"/>
    <n v="30"/>
    <n v="0"/>
    <s v="KARAULI"/>
    <s v="SAWAI MADHOPUR"/>
    <s v="RJ-AJMER"/>
    <d v="2021-02-24T00:00:00"/>
  </r>
  <r>
    <s v="814827205183"/>
    <x v="432"/>
    <s v="JAI CHAMUNDA MAA BUILDING MATE"/>
    <n v="205183"/>
    <s v="SANWARIA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ULI"/>
    <s v="SAWAI MADHOPUR"/>
    <s v="RJ-AJMER"/>
    <d v="2021-03-23T00:00:00"/>
  </r>
  <r>
    <s v="815982178109"/>
    <x v="433"/>
    <s v="KRISHNA CEMENT AGENCY"/>
    <n v="178109"/>
    <s v="KRISHI SEWA KENDRA"/>
    <n v="57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60"/>
    <n v="0"/>
    <n v="0"/>
    <n v="137"/>
    <n v="0"/>
    <n v="0"/>
    <s v="KARAULI"/>
    <s v="SAWAI MADHOPUR"/>
    <s v="RJ-AJMER"/>
    <d v="2021-08-18T00:00:00"/>
  </r>
  <r>
    <s v="816240208874"/>
    <x v="434"/>
    <s v="PAWAN BUILDING MATERIAL"/>
    <n v="208874"/>
    <s v="SINGHAL SAINATARY &amp; HARDWARE"/>
    <n v="104"/>
    <n v="10"/>
    <n v="0"/>
    <n v="67"/>
    <n v="0"/>
    <n v="0"/>
    <n v="122"/>
    <n v="0"/>
    <n v="47"/>
    <n v="109"/>
    <n v="10"/>
    <n v="0"/>
    <n v="15"/>
    <n v="0"/>
    <n v="0"/>
    <n v="92"/>
    <n v="10"/>
    <n v="0"/>
    <n v="0"/>
    <n v="0"/>
    <n v="0"/>
    <n v="93.5"/>
    <n v="0"/>
    <n v="0"/>
    <n v="602.5"/>
    <n v="30"/>
    <n v="47"/>
    <s v="KARAULI"/>
    <s v="SAWAI MADHOPUR"/>
    <s v="RJ-AJMER"/>
    <d v="2021-09-01T00:00:00"/>
  </r>
  <r>
    <s v="816241208183"/>
    <x v="435"/>
    <s v="AASTHA KRASHI KENDRA"/>
    <n v="208183"/>
    <s v="AAGRAWAL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ULI"/>
    <s v="SAWAI MADHOPUR"/>
    <s v="RJ-AJMER"/>
    <d v="2021-09-01T00:00:00"/>
  </r>
  <r>
    <s v="816241211137"/>
    <x v="435"/>
    <s v="AASTHA KRASHI KENDRA"/>
    <n v="211137"/>
    <s v="BALAJI AGENCY"/>
    <n v="0"/>
    <n v="0"/>
    <n v="0"/>
    <n v="0"/>
    <n v="0"/>
    <n v="0"/>
    <n v="35"/>
    <n v="0"/>
    <n v="0"/>
    <n v="50"/>
    <n v="0"/>
    <n v="0"/>
    <n v="52"/>
    <n v="0"/>
    <n v="0"/>
    <n v="77.5"/>
    <n v="0"/>
    <n v="0"/>
    <n v="0"/>
    <n v="0"/>
    <n v="0"/>
    <n v="25"/>
    <n v="0"/>
    <n v="0"/>
    <n v="239.5"/>
    <n v="0"/>
    <n v="0"/>
    <s v="KARAULI"/>
    <s v="SAWAI MADHOPUR"/>
    <s v="RJ-AJMER"/>
    <d v="2021-09-01T00:00:00"/>
  </r>
  <r>
    <s v="816315208183"/>
    <x v="436"/>
    <s v="ADARSH BUILDING MATERIAL"/>
    <n v="208183"/>
    <s v="AAGRAWAL TRADING COMPANY"/>
    <n v="15"/>
    <n v="0"/>
    <n v="0"/>
    <n v="35"/>
    <n v="0"/>
    <n v="0"/>
    <n v="10"/>
    <n v="0"/>
    <n v="0"/>
    <n v="0"/>
    <n v="0"/>
    <n v="0"/>
    <n v="0"/>
    <n v="0"/>
    <n v="0"/>
    <n v="46.5"/>
    <n v="0"/>
    <n v="6.5"/>
    <n v="20"/>
    <n v="0"/>
    <n v="0"/>
    <n v="30"/>
    <n v="0"/>
    <n v="0"/>
    <n v="156.5"/>
    <n v="0"/>
    <n v="6.5"/>
    <s v="KARAULI"/>
    <s v="SAWAI MADHOPUR"/>
    <s v="RJ-AJMER"/>
    <d v="2021-09-11T00:00:00"/>
  </r>
  <r>
    <s v="816424178109"/>
    <x v="437"/>
    <s v="ROHIT CEMENT AGENCY"/>
    <n v="178109"/>
    <s v="KRISHI SEWA KENDR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ULI"/>
    <s v="SAWAI MADHOPUR"/>
    <s v="RJ-AJMER"/>
    <d v="2021-09-21T00:00:00"/>
  </r>
  <r>
    <s v="816425208183"/>
    <x v="438"/>
    <s v="SAGAR BUILDING MATERIAL"/>
    <n v="208183"/>
    <s v="AAGRAWAL TRADING COMPANY"/>
    <n v="45"/>
    <n v="0"/>
    <n v="0"/>
    <n v="100.5"/>
    <n v="10"/>
    <n v="0"/>
    <n v="25"/>
    <n v="0"/>
    <n v="0"/>
    <n v="43.35"/>
    <n v="15"/>
    <n v="0"/>
    <n v="94"/>
    <n v="0"/>
    <n v="0"/>
    <n v="42"/>
    <n v="42"/>
    <n v="0"/>
    <n v="22"/>
    <n v="22"/>
    <n v="0"/>
    <n v="45"/>
    <n v="0"/>
    <n v="0"/>
    <n v="416.85"/>
    <n v="89"/>
    <n v="0"/>
    <s v="KARAULI"/>
    <s v="SAWAI MADHOPUR"/>
    <s v="RJ-AJMER"/>
    <d v="2021-09-21T00:00:00"/>
  </r>
  <r>
    <s v="816496170197"/>
    <x v="439"/>
    <s v="MAA KAILADEVI BUILDING MATERIA"/>
    <n v="170197"/>
    <s v="ARVIND BUILDING MATERIAL"/>
    <n v="83"/>
    <n v="0"/>
    <n v="0"/>
    <n v="42"/>
    <n v="0"/>
    <n v="0"/>
    <n v="74"/>
    <n v="0"/>
    <n v="0"/>
    <n v="94"/>
    <n v="10"/>
    <n v="0"/>
    <n v="84"/>
    <n v="0"/>
    <n v="0"/>
    <n v="35"/>
    <n v="0"/>
    <n v="0"/>
    <n v="0"/>
    <n v="0"/>
    <n v="0"/>
    <n v="111"/>
    <n v="0"/>
    <n v="0"/>
    <n v="523"/>
    <n v="10"/>
    <n v="0"/>
    <s v="KARAULI"/>
    <s v="SAWAI MADHOPUR"/>
    <s v="RJ-AJMER"/>
    <d v="2021-09-25T00:00:00"/>
  </r>
  <r>
    <s v="816625171506"/>
    <x v="440"/>
    <s v="SATYANAM CEMENT AGENCY"/>
    <n v="171506"/>
    <s v="DEVU KHAD BEEJ BHANDAR AND CEM"/>
    <n v="0"/>
    <n v="0"/>
    <n v="0"/>
    <n v="35"/>
    <n v="0"/>
    <n v="0"/>
    <n v="0"/>
    <n v="0"/>
    <n v="0"/>
    <n v="45"/>
    <n v="0"/>
    <n v="10"/>
    <n v="0"/>
    <n v="0"/>
    <n v="0"/>
    <n v="0"/>
    <n v="0"/>
    <n v="0"/>
    <n v="0"/>
    <n v="0"/>
    <n v="0"/>
    <n v="0"/>
    <n v="0"/>
    <n v="0"/>
    <n v="80"/>
    <n v="0"/>
    <n v="10"/>
    <s v="KARAULI"/>
    <s v="SAWAI MADHOPUR"/>
    <s v="RJ-AJMER"/>
    <d v="2021-10-02T00:00:00"/>
  </r>
  <r>
    <s v="816932207907"/>
    <x v="441"/>
    <s v="GHUSINGHA BUILDING MATERIAL"/>
    <n v="207907"/>
    <s v="NARSINGH KHAAD BEEJ BHANDAR"/>
    <n v="52"/>
    <n v="0"/>
    <n v="0"/>
    <n v="50"/>
    <n v="1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127"/>
    <n v="10"/>
    <n v="0"/>
    <s v="KARAULI"/>
    <s v="SAWAI MADHOPUR"/>
    <s v="RJ-AJMER"/>
    <d v="2021-10-30T00:00:00"/>
  </r>
  <r>
    <s v="816984208183"/>
    <x v="442"/>
    <s v="KANHA BUILDING MATERIAL"/>
    <n v="208183"/>
    <s v="AAGRAWAL TRADING COMPANY"/>
    <n v="40"/>
    <n v="0"/>
    <n v="0"/>
    <n v="0"/>
    <n v="0"/>
    <n v="0"/>
    <n v="89"/>
    <n v="7"/>
    <n v="0"/>
    <n v="42.9"/>
    <n v="20"/>
    <n v="0"/>
    <n v="0"/>
    <n v="0"/>
    <n v="0"/>
    <n v="10"/>
    <n v="0"/>
    <n v="0"/>
    <n v="0"/>
    <n v="0"/>
    <n v="0"/>
    <n v="7"/>
    <n v="0"/>
    <n v="0"/>
    <n v="188.9"/>
    <n v="27"/>
    <n v="0"/>
    <s v="KARAULI"/>
    <s v="SAWAI MADHOPUR"/>
    <s v="RJ-AJMER"/>
    <d v="2021-11-10T00:00:00"/>
  </r>
  <r>
    <s v="817064208183"/>
    <x v="443"/>
    <s v="LAXMI CEMENT AGENCY"/>
    <n v="208183"/>
    <s v="AAGRAWAL TRADING COMPANY"/>
    <n v="25"/>
    <n v="0"/>
    <n v="0"/>
    <n v="0"/>
    <n v="10"/>
    <n v="0"/>
    <n v="39.799999999999997"/>
    <n v="0"/>
    <n v="13"/>
    <n v="18"/>
    <n v="0"/>
    <n v="0"/>
    <n v="20"/>
    <n v="0"/>
    <n v="0"/>
    <n v="10"/>
    <n v="0"/>
    <n v="0"/>
    <n v="10.45"/>
    <n v="0"/>
    <n v="0"/>
    <n v="0"/>
    <n v="0"/>
    <n v="0"/>
    <n v="123.25"/>
    <n v="10"/>
    <n v="13"/>
    <s v="KARAULI"/>
    <s v="SAWAI MADHOPUR"/>
    <s v="RJ-AJMER"/>
    <d v="2021-11-20T00:00:00"/>
  </r>
  <r>
    <s v="817093208183"/>
    <x v="444"/>
    <s v="MAA KAILADEVI BUILDING MATERIA"/>
    <n v="208183"/>
    <s v="AAGRAWAL TRADING COMPANY"/>
    <n v="115"/>
    <n v="6.35"/>
    <n v="0"/>
    <n v="49.35"/>
    <n v="20"/>
    <n v="0"/>
    <n v="57.050000000000004"/>
    <n v="0"/>
    <n v="12"/>
    <n v="140.5"/>
    <n v="56.5"/>
    <n v="0"/>
    <n v="66.150000000000006"/>
    <n v="0"/>
    <n v="0"/>
    <n v="84.25"/>
    <n v="0"/>
    <n v="0"/>
    <n v="32"/>
    <n v="0"/>
    <n v="0"/>
    <n v="103"/>
    <n v="6"/>
    <n v="0"/>
    <n v="647.29999999999995"/>
    <n v="82.85"/>
    <n v="12"/>
    <s v="KARAULI"/>
    <s v="SAWAI MADHOPUR"/>
    <s v="RJ-AJMER"/>
    <d v="2021-11-24T00:00:00"/>
  </r>
  <r>
    <s v="817587208183"/>
    <x v="445"/>
    <s v="GOMATI BUILDING MATERIAL"/>
    <n v="208183"/>
    <s v="AAGRAWAL TRADING COMPANY"/>
    <n v="20"/>
    <n v="0"/>
    <n v="0"/>
    <n v="35"/>
    <n v="0"/>
    <n v="0"/>
    <n v="30"/>
    <n v="0"/>
    <n v="0"/>
    <n v="55"/>
    <n v="0"/>
    <n v="0"/>
    <n v="20"/>
    <n v="0"/>
    <n v="0"/>
    <n v="10"/>
    <n v="0"/>
    <n v="0"/>
    <n v="35.5"/>
    <n v="0"/>
    <n v="8.5"/>
    <n v="20"/>
    <n v="0"/>
    <n v="0"/>
    <n v="225.5"/>
    <n v="0"/>
    <n v="8.5"/>
    <s v="KARAULI"/>
    <s v="SAWAI MADHOPUR"/>
    <s v="RJ-AJMER"/>
    <d v="2022-01-03T00:00:00"/>
  </r>
  <r>
    <s v="817665208874"/>
    <x v="446"/>
    <s v="SRIRAM INTERLOCKING BRICKS"/>
    <n v="208874"/>
    <s v="SINGHAL SAINATARY &amp; HARDWARE"/>
    <n v="64.5"/>
    <n v="0"/>
    <n v="0"/>
    <n v="5"/>
    <n v="0"/>
    <n v="0"/>
    <n v="39.5"/>
    <n v="0"/>
    <n v="0"/>
    <n v="20"/>
    <n v="0"/>
    <n v="0"/>
    <n v="0"/>
    <n v="0"/>
    <n v="0"/>
    <n v="0"/>
    <n v="0"/>
    <n v="0"/>
    <n v="50"/>
    <n v="5"/>
    <n v="5"/>
    <n v="15"/>
    <n v="0"/>
    <n v="0"/>
    <n v="194"/>
    <n v="5"/>
    <n v="5"/>
    <s v="KARAULI"/>
    <s v="SAWAI MADHOPUR"/>
    <s v="RJ-AJMER"/>
    <d v="2022-01-12T00:00:00"/>
  </r>
  <r>
    <s v="817666170197"/>
    <x v="447"/>
    <s v="DEEPESH BUILDING MATERIAL"/>
    <n v="170197"/>
    <s v="ARVIND BUILDING MATERIAL"/>
    <n v="76"/>
    <n v="0"/>
    <n v="0"/>
    <n v="77"/>
    <n v="0"/>
    <n v="0"/>
    <n v="90"/>
    <n v="0"/>
    <n v="0"/>
    <n v="84"/>
    <n v="0"/>
    <n v="0"/>
    <n v="90"/>
    <n v="0"/>
    <n v="0"/>
    <n v="119"/>
    <n v="42"/>
    <n v="0"/>
    <n v="0"/>
    <n v="0"/>
    <n v="0"/>
    <n v="77"/>
    <n v="0"/>
    <n v="0"/>
    <n v="613"/>
    <n v="42"/>
    <n v="0"/>
    <s v="KARAULI"/>
    <s v="SAWAI MADHOPUR"/>
    <s v="RJ-AJMER"/>
    <d v="2022-01-12T00:00:00"/>
  </r>
  <r>
    <s v="817791208183"/>
    <x v="448"/>
    <s v="GHANSHYAM AGRO AGENCY"/>
    <n v="208183"/>
    <s v="AAGRAWAL TRADING COMPANY"/>
    <n v="2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5"/>
    <n v="0"/>
    <n v="0"/>
    <s v="KARAULI"/>
    <s v="SAWAI MADHOPUR"/>
    <s v="RJ-AJMER"/>
    <d v="2022-01-24T00:00:00"/>
  </r>
  <r>
    <s v="817976211137"/>
    <x v="449"/>
    <s v="SANWARIYA TRADING COMPANY"/>
    <n v="211137"/>
    <s v="BALAJI AGENCY"/>
    <n v="190.85"/>
    <n v="97"/>
    <n v="0"/>
    <n v="291"/>
    <n v="56.85"/>
    <n v="0"/>
    <n v="211"/>
    <n v="0"/>
    <n v="60"/>
    <n v="10"/>
    <n v="0"/>
    <n v="10"/>
    <n v="116.9"/>
    <n v="73.900000000000006"/>
    <n v="20"/>
    <n v="134.85"/>
    <n v="15.85"/>
    <n v="0"/>
    <n v="17.5"/>
    <n v="0"/>
    <n v="0"/>
    <n v="226"/>
    <n v="90"/>
    <n v="11"/>
    <n v="1198.0999999999999"/>
    <n v="243.6"/>
    <n v="90"/>
    <s v="KARAULI"/>
    <s v="SAWAI MADHOPUR"/>
    <s v="RJ-AJMER"/>
    <d v="2022-02-04T00:00:00"/>
  </r>
  <r>
    <s v="818306208183"/>
    <x v="450"/>
    <s v="ROYAL BUILDING MATERIAL"/>
    <n v="208183"/>
    <s v="AAGRAWAL TRADING COMPANY"/>
    <n v="133.85"/>
    <n v="10"/>
    <n v="0"/>
    <n v="65"/>
    <n v="50.1"/>
    <n v="0"/>
    <n v="141"/>
    <n v="0"/>
    <n v="0"/>
    <n v="110"/>
    <n v="30"/>
    <n v="0"/>
    <n v="40"/>
    <n v="0"/>
    <n v="0"/>
    <n v="67.5"/>
    <n v="20"/>
    <n v="0"/>
    <n v="69"/>
    <n v="20"/>
    <n v="0"/>
    <n v="67"/>
    <n v="0"/>
    <n v="0"/>
    <n v="693.35"/>
    <n v="130.1"/>
    <n v="0"/>
    <s v="KARAULI"/>
    <s v="SAWAI MADHOPUR"/>
    <s v="RJ-AJMER"/>
    <d v="2022-03-07T00:00:00"/>
  </r>
  <r>
    <s v="818485211137"/>
    <x v="451"/>
    <s v="MOHIT TRADERS"/>
    <n v="211137"/>
    <s v="BALAJI AGENCY"/>
    <n v="30"/>
    <n v="0"/>
    <n v="0"/>
    <n v="0"/>
    <n v="0"/>
    <n v="0"/>
    <n v="33"/>
    <n v="0"/>
    <n v="0"/>
    <n v="0"/>
    <n v="0"/>
    <n v="0"/>
    <n v="92"/>
    <n v="0"/>
    <n v="0"/>
    <n v="20.399999999999999"/>
    <n v="0"/>
    <n v="0"/>
    <n v="0"/>
    <n v="0"/>
    <n v="0"/>
    <n v="0"/>
    <n v="0"/>
    <n v="0"/>
    <n v="175.4"/>
    <n v="0"/>
    <n v="0"/>
    <s v="KARAULI"/>
    <s v="SAWAI MADHOPUR"/>
    <s v="RJ-AJMER"/>
    <d v="2022-03-26T00:00:00"/>
  </r>
  <r>
    <s v="818499149996"/>
    <x v="452"/>
    <s v="MANGAL BUILDING MATERIAL"/>
    <n v="149996"/>
    <s v="GOKLENDRA BUILDING MATERIAL"/>
    <n v="0"/>
    <n v="0"/>
    <n v="0"/>
    <n v="0"/>
    <n v="0"/>
    <n v="0"/>
    <n v="16.5"/>
    <n v="0"/>
    <n v="0"/>
    <n v="25.5"/>
    <n v="5.5"/>
    <n v="0"/>
    <n v="10"/>
    <n v="0"/>
    <n v="0"/>
    <n v="10"/>
    <n v="0"/>
    <n v="0"/>
    <n v="20"/>
    <n v="0"/>
    <n v="0"/>
    <n v="0"/>
    <n v="0"/>
    <n v="0"/>
    <n v="82"/>
    <n v="5.5"/>
    <n v="0"/>
    <s v="KARAULI"/>
    <s v="SAWAI MADHOPUR"/>
    <s v="RJ-AJMER"/>
    <d v="2022-03-28T00:00:00"/>
  </r>
  <r>
    <s v="818499818499"/>
    <x v="452"/>
    <s v="MANGAL BUILDING MATERIAL"/>
    <n v="818499"/>
    <s v="MANG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KARAULI"/>
    <s v="SAWAI MADHOPUR"/>
    <s v="RJ-AJMER"/>
    <d v="2022-03-28T00:00:00"/>
  </r>
  <r>
    <s v="818522211137"/>
    <x v="453"/>
    <s v="DEVI SINGH PRAJAPAT CEMENT AGE"/>
    <n v="211137"/>
    <s v="BALAJI AGENCY"/>
    <n v="88"/>
    <n v="0"/>
    <n v="0"/>
    <n v="0"/>
    <n v="0"/>
    <n v="0"/>
    <n v="106"/>
    <n v="0"/>
    <n v="0"/>
    <n v="15"/>
    <n v="5"/>
    <n v="0"/>
    <n v="0"/>
    <n v="0"/>
    <n v="0"/>
    <n v="0"/>
    <n v="0"/>
    <n v="0"/>
    <n v="0"/>
    <n v="0"/>
    <n v="0"/>
    <n v="21"/>
    <n v="0"/>
    <n v="0"/>
    <n v="230"/>
    <n v="5"/>
    <n v="0"/>
    <s v="KARAULI"/>
    <s v="SAWAI MADHOPUR"/>
    <s v="RJ-AJMER"/>
    <d v="2022-03-29T00:00:00"/>
  </r>
  <r>
    <s v="818555149996"/>
    <x v="454"/>
    <s v="TANISHQ BUILDING MATERIAL"/>
    <n v="149996"/>
    <s v="GOKLENDRA BUILDING MATERIAL"/>
    <n v="97"/>
    <n v="7.5"/>
    <n v="0"/>
    <n v="94.5"/>
    <n v="15"/>
    <n v="0"/>
    <n v="112"/>
    <n v="0"/>
    <n v="35"/>
    <n v="124.5"/>
    <n v="14.5"/>
    <n v="0"/>
    <n v="125.5"/>
    <n v="5.5"/>
    <n v="15"/>
    <n v="100"/>
    <n v="90"/>
    <n v="0"/>
    <n v="85"/>
    <n v="0"/>
    <n v="0"/>
    <n v="95"/>
    <n v="55"/>
    <n v="0"/>
    <n v="833.5"/>
    <n v="132.5"/>
    <n v="50"/>
    <s v="KARAULI"/>
    <s v="SAWAI MADHOPUR"/>
    <s v="RJ-AJMER"/>
    <d v="2022-03-31T00:00:00"/>
  </r>
  <r>
    <s v="818710208183"/>
    <x v="455"/>
    <s v="SHARMA ENTERPRISES"/>
    <n v="208183"/>
    <s v="AAGRAWAL TRADING COMPANY"/>
    <n v="13.75"/>
    <n v="0"/>
    <n v="0"/>
    <n v="17"/>
    <n v="13.75"/>
    <n v="0"/>
    <n v="10"/>
    <n v="0"/>
    <n v="0"/>
    <n v="22"/>
    <n v="0"/>
    <n v="0"/>
    <n v="0"/>
    <n v="0"/>
    <n v="0"/>
    <n v="0"/>
    <n v="0"/>
    <n v="0"/>
    <n v="0"/>
    <n v="0"/>
    <n v="0"/>
    <n v="0"/>
    <n v="0"/>
    <n v="0"/>
    <n v="62.75"/>
    <n v="13.75"/>
    <n v="0"/>
    <s v="KARAULI"/>
    <s v="SAWAI MADHOPUR"/>
    <s v="RJ-AJMER"/>
    <d v="2022-04-21T00:00:00"/>
  </r>
  <r>
    <s v="818749211137"/>
    <x v="456"/>
    <s v="BHARDWAJ CEMENT AGENCY"/>
    <n v="211137"/>
    <s v="BALAJI AGENCY"/>
    <n v="42"/>
    <n v="0"/>
    <n v="0"/>
    <n v="0"/>
    <n v="0"/>
    <n v="0"/>
    <n v="57"/>
    <n v="0"/>
    <n v="0"/>
    <n v="10"/>
    <n v="0"/>
    <n v="0"/>
    <n v="0"/>
    <n v="0"/>
    <n v="0"/>
    <n v="0"/>
    <n v="0"/>
    <n v="0"/>
    <n v="0"/>
    <n v="0"/>
    <n v="0"/>
    <n v="0"/>
    <n v="0"/>
    <n v="0"/>
    <n v="109"/>
    <n v="0"/>
    <n v="0"/>
    <s v="KARAULI"/>
    <s v="SAWAI MADHOPUR"/>
    <s v="RJ-AJMER"/>
    <d v="2022-04-25T00:00:00"/>
  </r>
  <r>
    <s v="818986212833"/>
    <x v="457"/>
    <s v="SHREE RADHEY RADHEY BUILDING M"/>
    <n v="212833"/>
    <s v="MAA CHAMUNDA TRADERS"/>
    <n v="0"/>
    <n v="0"/>
    <n v="0"/>
    <n v="0"/>
    <n v="0"/>
    <n v="0"/>
    <n v="10"/>
    <n v="0"/>
    <n v="0"/>
    <n v="42.5"/>
    <n v="7.5"/>
    <n v="0"/>
    <n v="0"/>
    <n v="0"/>
    <n v="0"/>
    <n v="0"/>
    <n v="0"/>
    <n v="0"/>
    <n v="0"/>
    <n v="0"/>
    <n v="0"/>
    <n v="0"/>
    <n v="0"/>
    <n v="0"/>
    <n v="52.5"/>
    <n v="7.5"/>
    <n v="0"/>
    <s v="KARAULI"/>
    <s v="SAWAI MADHOPUR"/>
    <s v="RJ-AJMER"/>
    <d v="2022-05-19T00:00:00"/>
  </r>
  <r>
    <s v="819183207907"/>
    <x v="458"/>
    <s v="URMILA DEVI"/>
    <n v="207907"/>
    <s v="NARSINGH KHAAD BEEJ BHANDAR"/>
    <n v="0"/>
    <n v="0"/>
    <n v="0"/>
    <n v="0"/>
    <n v="0"/>
    <n v="0"/>
    <n v="82"/>
    <n v="0"/>
    <n v="0"/>
    <n v="137.30000000000001"/>
    <n v="27.8"/>
    <n v="0"/>
    <n v="49.5"/>
    <n v="0"/>
    <n v="0"/>
    <n v="84"/>
    <n v="0"/>
    <n v="0"/>
    <n v="66"/>
    <n v="31"/>
    <n v="0"/>
    <n v="84"/>
    <n v="0"/>
    <n v="0"/>
    <n v="502.8"/>
    <n v="58.8"/>
    <n v="0"/>
    <s v="KARAULI"/>
    <s v="SAWAI MADHOPUR"/>
    <s v="RJ-AJMER"/>
    <d v="2022-06-03T00:00:00"/>
  </r>
  <r>
    <s v="819232211195"/>
    <x v="459"/>
    <s v="NAVAL TENT HOUSE AND DJ SOUND"/>
    <n v="211195"/>
    <s v="GANPATI SALES CORPORATIONTODAB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KARAULI"/>
    <s v="SAWAI MADHOPUR"/>
    <s v="RJ-AJMER"/>
    <d v="2022-06-08T00:00:00"/>
  </r>
  <r>
    <s v="820400213377"/>
    <x v="460"/>
    <s v="GOVERDHAN TRADING COMPANY"/>
    <n v="213377"/>
    <s v="PARTH BUILDING MATERIAL"/>
    <n v="0"/>
    <n v="0"/>
    <n v="0"/>
    <n v="0"/>
    <n v="0"/>
    <n v="0"/>
    <n v="0"/>
    <n v="0"/>
    <n v="0"/>
    <n v="0"/>
    <n v="0"/>
    <n v="0"/>
    <n v="0"/>
    <n v="0"/>
    <n v="0"/>
    <n v="76.5"/>
    <n v="0"/>
    <n v="0"/>
    <n v="62"/>
    <n v="0"/>
    <n v="22"/>
    <n v="82.5"/>
    <n v="0"/>
    <n v="20"/>
    <n v="221"/>
    <n v="0"/>
    <n v="22"/>
    <s v="KARAULI"/>
    <s v="SAWAI MADHOPUR"/>
    <s v="RJ-AJMER"/>
    <d v="2022-09-05T00:00:00"/>
  </r>
  <r>
    <s v="820444208183"/>
    <x v="461"/>
    <s v="PRAYAG BUILDING MATERIAL"/>
    <n v="208183"/>
    <s v="AAGRAWAL TRADING COMPANY"/>
    <n v="0"/>
    <n v="0"/>
    <n v="0"/>
    <n v="0"/>
    <n v="0"/>
    <n v="0"/>
    <n v="0"/>
    <n v="0"/>
    <n v="0"/>
    <n v="0"/>
    <n v="0"/>
    <n v="0"/>
    <n v="0"/>
    <n v="0"/>
    <n v="0"/>
    <n v="34.75"/>
    <n v="0"/>
    <n v="0"/>
    <n v="10"/>
    <n v="0"/>
    <n v="0"/>
    <n v="30"/>
    <n v="30"/>
    <n v="0"/>
    <n v="74.75"/>
    <n v="0"/>
    <n v="0"/>
    <s v="KARAULI"/>
    <s v="SAWAI MADHOPUR"/>
    <s v="RJ-AJMER"/>
    <d v="2022-09-08T00:00:00"/>
  </r>
  <r>
    <s v="820400149996"/>
    <x v="460"/>
    <s v="GOVERDHAN TRADING COMPANY"/>
    <n v="149996"/>
    <s v="GOKLENDRA BUILDING MATERIAL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KARAULI"/>
    <s v="SAWAI MADHOPUR"/>
    <s v="RJ-AJMER"/>
    <d v="2022-09-05T00:00:00"/>
  </r>
  <r>
    <s v="820585149996"/>
    <x v="462"/>
    <s v="SAINI BUILDING MATERIAL"/>
    <n v="149996"/>
    <s v="GOKLENDRA BUILDING MATERIAL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27"/>
    <n v="0"/>
    <n v="0"/>
    <n v="10"/>
    <n v="0"/>
    <n v="0"/>
    <n v="62"/>
    <n v="0"/>
    <n v="0"/>
    <s v="KARAULI"/>
    <s v="SAWAI MADHOPUR"/>
    <s v="RJ-AJMER"/>
    <d v="2022-09-17T00:00:00"/>
  </r>
  <r>
    <s v="808979213377"/>
    <x v="418"/>
    <s v="GOVERDHAN ENTERPRISES"/>
    <n v="213377"/>
    <s v="PARTH BUILDING MATERIAL"/>
    <n v="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13"/>
    <n v="0"/>
    <n v="0"/>
    <s v="KARAULI"/>
    <s v="SAWAI MADHOPUR"/>
    <s v="RJ-AJMER"/>
    <d v="2018-09-12T00:00:00"/>
  </r>
  <r>
    <s v="820640213377"/>
    <x v="463"/>
    <s v="MADHAV BUILDING MATERIAL"/>
    <n v="213377"/>
    <s v="PARTH BUILDING MATERIAL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60.9"/>
    <n v="0"/>
    <n v="23.9"/>
    <n v="140.5"/>
    <n v="0"/>
    <n v="20"/>
    <n v="237.4"/>
    <n v="0"/>
    <n v="23.9"/>
    <s v="KARAULI"/>
    <s v="SAWAI MADHOPUR"/>
    <s v="RJ-AJMER"/>
    <d v="2022-09-20T00:00:00"/>
  </r>
  <r>
    <s v="820784211137"/>
    <x v="464"/>
    <s v="AJEE RAM TRADING COMPANY"/>
    <n v="211137"/>
    <s v="BALAJI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39.5"/>
    <n v="0"/>
    <n v="0"/>
    <n v="74.5"/>
    <n v="0"/>
    <n v="0"/>
    <s v="KARAULI"/>
    <s v="SAWAI MADHOPUR"/>
    <s v="RJ-AJMER"/>
    <d v="2022-09-28T00:00:00"/>
  </r>
  <r>
    <s v="821058149996"/>
    <x v="465"/>
    <s v="DEV BUILDING MATERIAL"/>
    <n v="149996"/>
    <s v="GOKLENDRA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KARAULI"/>
    <s v="SAWAI MADHOPUR"/>
    <s v="RJ-AJMER"/>
    <d v="2022-10-22T00:00:00"/>
  </r>
  <r>
    <s v="819625208329"/>
    <x v="466"/>
    <s v="AMAN CEMENT AGENCY"/>
    <n v="208329"/>
    <s v="MAHALAXM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"/>
    <n v="5"/>
    <n v="0"/>
    <n v="20"/>
    <n v="0"/>
    <n v="0"/>
    <s v="KARAULI"/>
    <s v="SAWAI MADHOPUR"/>
    <s v="RJ-AJMER"/>
    <d v="2022-07-06T00:00:00"/>
  </r>
  <r>
    <s v="820902211137"/>
    <x v="467"/>
    <s v="LAXMI BUILDING MATERIAL"/>
    <n v="211137"/>
    <s v="BALAJI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84.75"/>
    <n v="0"/>
    <n v="3.25"/>
    <n v="99.75"/>
    <n v="0"/>
    <n v="0"/>
    <s v="KARAULI"/>
    <s v="SAWAI MADHOPUR"/>
    <s v="RJ-AJMER"/>
    <d v="2022-10-11T00:00:00"/>
  </r>
  <r>
    <s v="821170170197"/>
    <x v="468"/>
    <s v="SHRI NARSINGH BUILDING MATERIA"/>
    <n v="170197"/>
    <s v="ARVIND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5"/>
    <n v="0"/>
    <n v="0"/>
    <n v="50"/>
    <n v="0"/>
    <n v="0"/>
    <s v="KARAULI"/>
    <s v="SAWAI MADHOPUR"/>
    <s v="RJ-AJMER"/>
    <d v="2022-11-07T00:00:00"/>
  </r>
  <r>
    <s v="816932211195"/>
    <x v="441"/>
    <s v="GHUSINGHA BUILDING MATERIAL"/>
    <n v="211195"/>
    <s v="GANPATI SALES CORPORATIONTODAB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KARAULI"/>
    <s v="SAWAI MADHOPUR"/>
    <s v="RJ-AJMER"/>
    <d v="2021-10-30T00:00:00"/>
  </r>
  <r>
    <s v="802156211138"/>
    <x v="469"/>
    <s v="MANGAL TRADERS"/>
    <n v="211138"/>
    <s v="LAXMIKANT BUILDING MATERIAL"/>
    <n v="42"/>
    <n v="10"/>
    <n v="0"/>
    <n v="72"/>
    <n v="0"/>
    <n v="0"/>
    <n v="64"/>
    <n v="0"/>
    <n v="0"/>
    <n v="0"/>
    <n v="0"/>
    <n v="0"/>
    <n v="53"/>
    <n v="5"/>
    <n v="0"/>
    <n v="37"/>
    <n v="0"/>
    <n v="0"/>
    <n v="35"/>
    <n v="0"/>
    <n v="0"/>
    <n v="42"/>
    <n v="0"/>
    <n v="0"/>
    <n v="345"/>
    <n v="15"/>
    <n v="0"/>
    <s v="SAWAI MADHOPUR"/>
    <s v="SAWAI MADHOPUR"/>
    <s v="RJ-AJMER"/>
    <d v="2013-07-05T00:00:00"/>
  </r>
  <r>
    <s v="802987170146"/>
    <x v="470"/>
    <s v="GAURAV ENTERPRISES"/>
    <n v="170146"/>
    <s v="KASLIWAL KRISHI SEWA KENDRA"/>
    <n v="35"/>
    <n v="0"/>
    <n v="0"/>
    <n v="70"/>
    <n v="0"/>
    <n v="0"/>
    <n v="70"/>
    <n v="0"/>
    <n v="0"/>
    <n v="60"/>
    <n v="0"/>
    <n v="0"/>
    <n v="0"/>
    <n v="0"/>
    <n v="0"/>
    <n v="20"/>
    <n v="0"/>
    <n v="0"/>
    <n v="0"/>
    <n v="0"/>
    <n v="0"/>
    <n v="35"/>
    <n v="0"/>
    <n v="25"/>
    <n v="290"/>
    <n v="0"/>
    <n v="0"/>
    <s v="SAWAI MADHOPUR"/>
    <s v="SAWAI MADHOPUR"/>
    <s v="RJ-AJMER"/>
    <d v="2013-11-13T00:00:00"/>
  </r>
  <r>
    <s v="803017170200"/>
    <x v="471"/>
    <s v="HAZI AND COMPANY"/>
    <n v="170200"/>
    <s v="GARG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3-11-29T00:00:00"/>
  </r>
  <r>
    <s v="803017212091"/>
    <x v="471"/>
    <s v="HAZI AND COMPANY"/>
    <n v="212091"/>
    <s v="GARG TRADING COMPANY"/>
    <n v="70"/>
    <n v="0"/>
    <n v="0"/>
    <n v="70"/>
    <n v="0"/>
    <n v="0"/>
    <n v="123.80000000000001"/>
    <n v="0"/>
    <n v="0"/>
    <n v="77"/>
    <n v="0"/>
    <n v="0"/>
    <n v="52"/>
    <n v="0"/>
    <n v="0"/>
    <n v="99"/>
    <n v="0"/>
    <n v="0"/>
    <n v="41"/>
    <n v="0"/>
    <n v="0"/>
    <n v="30"/>
    <n v="0"/>
    <n v="0"/>
    <n v="562.79999999999995"/>
    <n v="0"/>
    <n v="0"/>
    <s v="SAWAI MADHOPUR"/>
    <s v="SAWAI MADHOPUR"/>
    <s v="RJ-AJMER"/>
    <d v="2013-11-29T00:00:00"/>
  </r>
  <r>
    <s v="803148171226"/>
    <x v="472"/>
    <s v="FARIYAD TRADERS"/>
    <n v="171226"/>
    <s v="SATYA TRADERS"/>
    <n v="176.5"/>
    <n v="0"/>
    <n v="0"/>
    <n v="109"/>
    <n v="0"/>
    <n v="0"/>
    <n v="189.9"/>
    <n v="0"/>
    <n v="0"/>
    <n v="60"/>
    <n v="0"/>
    <n v="0"/>
    <n v="77"/>
    <n v="0"/>
    <n v="35"/>
    <n v="77"/>
    <n v="0"/>
    <n v="0"/>
    <n v="147"/>
    <n v="0"/>
    <n v="35"/>
    <n v="107"/>
    <n v="0"/>
    <n v="0"/>
    <n v="943.4"/>
    <n v="0"/>
    <n v="70"/>
    <s v="SAWAI MADHOPUR"/>
    <s v="SAWAI MADHOPUR"/>
    <s v="RJ-AJMER"/>
    <d v="2014-01-23T00:00:00"/>
  </r>
  <r>
    <s v="803201171226"/>
    <x v="473"/>
    <s v="KALYANI TRADERS"/>
    <n v="171226"/>
    <s v="SATYA TRADERS"/>
    <n v="40"/>
    <n v="0"/>
    <n v="0"/>
    <n v="15"/>
    <n v="0"/>
    <n v="0"/>
    <n v="67"/>
    <n v="0"/>
    <n v="0"/>
    <n v="24"/>
    <n v="0"/>
    <n v="0"/>
    <n v="24"/>
    <n v="0"/>
    <n v="0"/>
    <n v="0"/>
    <n v="0"/>
    <n v="0"/>
    <n v="15"/>
    <n v="0"/>
    <n v="0"/>
    <n v="0"/>
    <n v="0"/>
    <n v="0"/>
    <n v="185"/>
    <n v="0"/>
    <n v="0"/>
    <s v="SAWAI MADHOPUR"/>
    <s v="SAWAI MADHOPUR"/>
    <s v="RJ-AJMER"/>
    <d v="2014-02-24T00:00:00"/>
  </r>
  <r>
    <s v="803251170200"/>
    <x v="474"/>
    <s v="ANSUL TRADING COMPANY"/>
    <n v="170200"/>
    <s v="GARG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4-03-28T00:00:00"/>
  </r>
  <r>
    <s v="803251212091"/>
    <x v="474"/>
    <s v="ANSUL TRADING COMPANY"/>
    <n v="212091"/>
    <s v="GARG TRADING COMPANY"/>
    <n v="30"/>
    <n v="0"/>
    <n v="0"/>
    <n v="15"/>
    <n v="0"/>
    <n v="0"/>
    <n v="0"/>
    <n v="0"/>
    <n v="0"/>
    <n v="0"/>
    <n v="0"/>
    <n v="0"/>
    <n v="25"/>
    <n v="0"/>
    <n v="0"/>
    <n v="20"/>
    <n v="0"/>
    <n v="0"/>
    <n v="0"/>
    <n v="0"/>
    <n v="0"/>
    <n v="0"/>
    <n v="0"/>
    <n v="0"/>
    <n v="90"/>
    <n v="0"/>
    <n v="0"/>
    <s v="SAWAI MADHOPUR"/>
    <s v="SAWAI MADHOPUR"/>
    <s v="RJ-AJMER"/>
    <d v="2014-03-28T00:00:00"/>
  </r>
  <r>
    <s v="803256170204"/>
    <x v="475"/>
    <s v="NEW BAMANWAS KHAD BEEJ BHANDAR"/>
    <n v="170204"/>
    <s v="GOYAL BUILDING MATERIAL"/>
    <n v="146"/>
    <n v="0"/>
    <n v="0"/>
    <n v="249.5"/>
    <n v="0"/>
    <n v="0"/>
    <n v="164"/>
    <n v="0"/>
    <n v="42"/>
    <n v="225"/>
    <n v="0"/>
    <n v="0"/>
    <n v="173.5"/>
    <n v="0"/>
    <n v="0"/>
    <n v="180.5"/>
    <n v="0"/>
    <n v="0"/>
    <n v="497.5"/>
    <n v="0"/>
    <n v="0"/>
    <n v="145.5"/>
    <n v="0"/>
    <n v="0"/>
    <n v="1781.5"/>
    <n v="0"/>
    <n v="42"/>
    <s v="SAWAI MADHOPUR"/>
    <s v="SAWAI MADHOPUR"/>
    <s v="RJ-AJMER"/>
    <d v="2014-03-28T00:00:00"/>
  </r>
  <r>
    <s v="803364170204"/>
    <x v="476"/>
    <s v="JAI HANUMAN TRADERS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4-05-23T00:00:00"/>
  </r>
  <r>
    <s v="805574170204"/>
    <x v="477"/>
    <s v="JAI BHAIRAV NATH BUILDING MATE"/>
    <n v="170204"/>
    <s v="GOYAL BUILDING MATERIAL"/>
    <n v="62"/>
    <n v="0"/>
    <n v="0"/>
    <n v="135"/>
    <n v="0"/>
    <n v="0"/>
    <n v="173"/>
    <n v="0"/>
    <n v="0"/>
    <n v="119.5"/>
    <n v="0"/>
    <n v="0"/>
    <n v="82"/>
    <n v="0"/>
    <n v="0"/>
    <n v="205"/>
    <n v="0"/>
    <n v="42"/>
    <n v="128"/>
    <n v="0"/>
    <n v="20"/>
    <n v="42"/>
    <n v="0"/>
    <n v="0"/>
    <n v="946.5"/>
    <n v="0"/>
    <n v="62"/>
    <s v="SAWAI MADHOPUR"/>
    <s v="SAWAI MADHOPUR"/>
    <s v="RJ-AJMER"/>
    <d v="2016-09-28T00:00:00"/>
  </r>
  <r>
    <s v="806051170204"/>
    <x v="478"/>
    <s v="KHUSHI BUILDING MATERIAL"/>
    <n v="170204"/>
    <s v="GOYAL BUILDING MATERIAL"/>
    <n v="40"/>
    <n v="0"/>
    <n v="0"/>
    <n v="102"/>
    <n v="0"/>
    <n v="0"/>
    <n v="190"/>
    <n v="0"/>
    <n v="0"/>
    <n v="159"/>
    <n v="0"/>
    <n v="0"/>
    <n v="106"/>
    <n v="0"/>
    <n v="0"/>
    <n v="108"/>
    <n v="0"/>
    <n v="0"/>
    <n v="42"/>
    <n v="0"/>
    <n v="0"/>
    <n v="159"/>
    <n v="0"/>
    <n v="0"/>
    <n v="906"/>
    <n v="0"/>
    <n v="0"/>
    <s v="SAWAI MADHOPUR"/>
    <s v="SAWAI MADHOPUR"/>
    <s v="RJ-AJMER"/>
    <d v="2017-02-14T00:00:00"/>
  </r>
  <r>
    <s v="806052170204"/>
    <x v="479"/>
    <s v="AGARWAL BROTHERS"/>
    <n v="170204"/>
    <s v="GOYAL BUILDING MATERIAL"/>
    <n v="40"/>
    <n v="0"/>
    <n v="0"/>
    <n v="20"/>
    <n v="0"/>
    <n v="0"/>
    <n v="35"/>
    <n v="0"/>
    <n v="0"/>
    <n v="42"/>
    <n v="0"/>
    <n v="0"/>
    <n v="21"/>
    <n v="0"/>
    <n v="0"/>
    <n v="22"/>
    <n v="0"/>
    <n v="0"/>
    <n v="20"/>
    <n v="0"/>
    <n v="0"/>
    <n v="40"/>
    <n v="0"/>
    <n v="0"/>
    <n v="240"/>
    <n v="0"/>
    <n v="0"/>
    <s v="SAWAI MADHOPUR"/>
    <s v="SAWAI MADHOPUR"/>
    <s v="RJ-AJMER"/>
    <d v="2017-02-14T00:00:00"/>
  </r>
  <r>
    <s v="806099211138"/>
    <x v="480"/>
    <s v="PRIYA TRADERS"/>
    <n v="211138"/>
    <s v="LAXMIKANT BUILDING MATERIAL"/>
    <n v="20"/>
    <n v="0"/>
    <n v="0"/>
    <n v="84"/>
    <n v="0"/>
    <n v="0"/>
    <n v="42"/>
    <n v="0"/>
    <n v="0"/>
    <n v="70"/>
    <n v="0"/>
    <n v="0"/>
    <n v="22"/>
    <n v="0"/>
    <n v="0"/>
    <n v="40"/>
    <n v="0"/>
    <n v="0"/>
    <n v="38"/>
    <n v="0"/>
    <n v="0"/>
    <n v="42"/>
    <n v="0"/>
    <n v="0"/>
    <n v="358"/>
    <n v="0"/>
    <n v="0"/>
    <s v="SAWAI MADHOPUR"/>
    <s v="SAWAI MADHOPUR"/>
    <s v="RJ-AJMER"/>
    <d v="2017-02-23T00:00:00"/>
  </r>
  <r>
    <s v="806321170204"/>
    <x v="481"/>
    <s v="AARADHAYA INDUSTRIES"/>
    <n v="170204"/>
    <s v="GOYAL BUILDING MATERIAL"/>
    <n v="0"/>
    <n v="0"/>
    <n v="0"/>
    <n v="0"/>
    <n v="0"/>
    <n v="0"/>
    <n v="0"/>
    <n v="0"/>
    <n v="0"/>
    <n v="0"/>
    <n v="0"/>
    <n v="0"/>
    <n v="21.5"/>
    <n v="0"/>
    <n v="21.5"/>
    <n v="0"/>
    <n v="0"/>
    <n v="0"/>
    <n v="0"/>
    <n v="0"/>
    <n v="0"/>
    <n v="0"/>
    <n v="0"/>
    <n v="0"/>
    <n v="21.5"/>
    <n v="0"/>
    <n v="21.5"/>
    <s v="SAWAI MADHOPUR"/>
    <s v="SAWAI MADHOPUR"/>
    <s v="RJ-AJMER"/>
    <d v="2017-05-05T00:00:00"/>
  </r>
  <r>
    <s v="806322170204"/>
    <x v="482"/>
    <s v="INDIAN BUILDING MATERIAL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7-05-05T00:00:00"/>
  </r>
  <r>
    <s v="806323170204"/>
    <x v="483"/>
    <s v="RAJAWAL TRADERS"/>
    <n v="170204"/>
    <s v="GOYAL BUILDING MATERIAL"/>
    <n v="52"/>
    <n v="0"/>
    <n v="0"/>
    <n v="0"/>
    <n v="0"/>
    <n v="0"/>
    <n v="84"/>
    <n v="0"/>
    <n v="0"/>
    <n v="31"/>
    <n v="0"/>
    <n v="0"/>
    <n v="30"/>
    <n v="0"/>
    <n v="0"/>
    <n v="42"/>
    <n v="0"/>
    <n v="0"/>
    <n v="21.5"/>
    <n v="0"/>
    <n v="0"/>
    <n v="0"/>
    <n v="0"/>
    <n v="0"/>
    <n v="260.5"/>
    <n v="0"/>
    <n v="0"/>
    <s v="SAWAI MADHOPUR"/>
    <s v="SAWAI MADHOPUR"/>
    <s v="RJ-AJMER"/>
    <d v="2017-05-05T00:00:00"/>
  </r>
  <r>
    <s v="806327170200"/>
    <x v="484"/>
    <s v="GUPTA ENTERPRISES"/>
    <n v="170200"/>
    <s v="GARG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7-05-05T00:00:00"/>
  </r>
  <r>
    <s v="806327212091"/>
    <x v="484"/>
    <s v="GUPTA ENTERPRISES"/>
    <n v="212091"/>
    <s v="GARG TRADING COMPANY"/>
    <n v="20"/>
    <n v="0"/>
    <n v="0"/>
    <n v="35"/>
    <n v="0"/>
    <n v="0"/>
    <n v="35"/>
    <n v="0"/>
    <n v="0"/>
    <n v="0"/>
    <n v="0"/>
    <n v="0"/>
    <n v="0"/>
    <n v="0"/>
    <n v="0"/>
    <n v="17.5"/>
    <n v="0"/>
    <n v="0"/>
    <n v="0"/>
    <n v="0"/>
    <n v="0"/>
    <n v="0"/>
    <n v="0"/>
    <n v="0"/>
    <n v="107.5"/>
    <n v="0"/>
    <n v="0"/>
    <s v="SAWAI MADHOPUR"/>
    <s v="SAWAI MADHOPUR"/>
    <s v="RJ-AJMER"/>
    <d v="2017-05-05T00:00:00"/>
  </r>
  <r>
    <s v="806346170204"/>
    <x v="485"/>
    <s v="SHYAM BUILDING MATERIAL"/>
    <n v="170204"/>
    <s v="GOYAL BUILDING MATERIAL"/>
    <n v="30"/>
    <n v="0"/>
    <n v="0"/>
    <n v="179"/>
    <n v="0"/>
    <n v="0"/>
    <n v="126"/>
    <n v="0"/>
    <n v="0"/>
    <n v="15"/>
    <n v="0"/>
    <n v="0"/>
    <n v="20"/>
    <n v="0"/>
    <n v="0"/>
    <n v="47.5"/>
    <n v="0"/>
    <n v="0"/>
    <n v="65"/>
    <n v="0"/>
    <n v="22"/>
    <n v="57"/>
    <n v="0"/>
    <n v="0"/>
    <n v="539.5"/>
    <n v="0"/>
    <n v="22"/>
    <s v="SAWAI MADHOPUR"/>
    <s v="SAWAI MADHOPUR"/>
    <s v="RJ-AJMER"/>
    <d v="2017-05-09T00:00:00"/>
  </r>
  <r>
    <s v="806748170204"/>
    <x v="486"/>
    <s v="CHECHI BUILDING MATERIAL"/>
    <n v="170204"/>
    <s v="GOYAL BUILDING MATERIAL"/>
    <n v="92"/>
    <n v="0"/>
    <n v="0"/>
    <n v="93"/>
    <n v="0"/>
    <n v="0"/>
    <n v="42"/>
    <n v="0"/>
    <n v="42"/>
    <n v="144"/>
    <n v="0"/>
    <n v="0"/>
    <n v="112"/>
    <n v="0"/>
    <n v="0"/>
    <n v="73"/>
    <n v="0"/>
    <n v="0"/>
    <n v="42"/>
    <n v="0"/>
    <n v="0"/>
    <n v="62"/>
    <n v="0"/>
    <n v="0"/>
    <n v="660"/>
    <n v="0"/>
    <n v="42"/>
    <s v="SAWAI MADHOPUR"/>
    <s v="SAWAI MADHOPUR"/>
    <s v="RJ-AJMER"/>
    <d v="2018-09-29T00:00:00"/>
  </r>
  <r>
    <s v="806841171226"/>
    <x v="487"/>
    <s v="VISHNU TRADERS"/>
    <n v="171226"/>
    <s v="SATYA TRADERS"/>
    <n v="35"/>
    <n v="0"/>
    <n v="0"/>
    <n v="35"/>
    <n v="0"/>
    <n v="0"/>
    <n v="97"/>
    <n v="0"/>
    <n v="0"/>
    <n v="55"/>
    <n v="0"/>
    <n v="35"/>
    <n v="0"/>
    <n v="0"/>
    <n v="0"/>
    <n v="25"/>
    <n v="0"/>
    <n v="0"/>
    <n v="42"/>
    <n v="0"/>
    <n v="0"/>
    <n v="0"/>
    <n v="0"/>
    <n v="0"/>
    <n v="289"/>
    <n v="0"/>
    <n v="35"/>
    <s v="SAWAI MADHOPUR"/>
    <s v="SAWAI MADHOPUR"/>
    <s v="RJ-AJMER"/>
    <d v="2017-06-30T00:00:00"/>
  </r>
  <r>
    <s v="806968170200"/>
    <x v="488"/>
    <s v="AMISHA TRADING"/>
    <n v="170200"/>
    <s v="GARG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7-10-12T00:00:00"/>
  </r>
  <r>
    <s v="806968212091"/>
    <x v="488"/>
    <s v="AMISHA TRADING"/>
    <n v="212091"/>
    <s v="GARG TRADING COMPANY"/>
    <n v="35"/>
    <n v="0"/>
    <n v="0"/>
    <n v="0"/>
    <n v="0"/>
    <n v="0"/>
    <n v="35"/>
    <n v="0"/>
    <n v="0"/>
    <n v="35"/>
    <n v="0"/>
    <n v="0"/>
    <n v="0"/>
    <n v="0"/>
    <n v="0"/>
    <n v="17.5"/>
    <n v="0"/>
    <n v="0"/>
    <n v="0"/>
    <n v="0"/>
    <n v="0"/>
    <n v="0"/>
    <n v="0"/>
    <n v="0"/>
    <n v="122.5"/>
    <n v="0"/>
    <n v="0"/>
    <s v="SAWAI MADHOPUR"/>
    <s v="SAWAI MADHOPUR"/>
    <s v="RJ-AJMER"/>
    <d v="2017-10-12T00:00:00"/>
  </r>
  <r>
    <s v="807017170204"/>
    <x v="489"/>
    <s v="SHREE DEVNARAYAN BUILDING MATE"/>
    <n v="170204"/>
    <s v="GOYAL BUILDING MATERIAL"/>
    <n v="20"/>
    <n v="0"/>
    <n v="0"/>
    <n v="20"/>
    <n v="0"/>
    <n v="0"/>
    <n v="0"/>
    <n v="0"/>
    <n v="0"/>
    <n v="85"/>
    <n v="0"/>
    <n v="0"/>
    <n v="0"/>
    <n v="0"/>
    <n v="0"/>
    <n v="22"/>
    <n v="0"/>
    <n v="0"/>
    <n v="28"/>
    <n v="6"/>
    <n v="0"/>
    <n v="44"/>
    <n v="0"/>
    <n v="0"/>
    <n v="219"/>
    <n v="6"/>
    <n v="0"/>
    <s v="SAWAI MADHOPUR"/>
    <s v="SAWAI MADHOPUR"/>
    <s v="RJ-AJMER"/>
    <d v="2017-10-28T00:00:00"/>
  </r>
  <r>
    <s v="807988170204"/>
    <x v="490"/>
    <s v="BHOLE BUILDING MATERIAL"/>
    <n v="170204"/>
    <s v="GOYAL BUILDING MATERIAL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SAWAI MADHOPUR"/>
    <s v="SAWAI MADHOPUR"/>
    <s v="RJ-AJMER"/>
    <d v="2018-02-09T00:00:00"/>
  </r>
  <r>
    <s v="808094170204"/>
    <x v="491"/>
    <s v="DEV BUILDING MATERIAL SUPPLIER"/>
    <n v="170204"/>
    <s v="GOYAL BUILDING MATERIAL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SAWAI MADHOPUR"/>
    <s v="SAWAI MADHOPUR"/>
    <s v="RJ-AJMER"/>
    <d v="2018-03-06T00:00:00"/>
  </r>
  <r>
    <s v="808259170204"/>
    <x v="492"/>
    <s v="SHRI KRISHNA TRADERS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8-02-23T00:00:00"/>
  </r>
  <r>
    <s v="808269170363"/>
    <x v="493"/>
    <s v="J P TRADERS"/>
    <n v="170363"/>
    <s v="GOLDE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8-04-27T00:00:00"/>
  </r>
  <r>
    <s v="808789170363"/>
    <x v="494"/>
    <s v="SURESH TRADING COMPANY"/>
    <n v="170363"/>
    <s v="GOLDEN TRADERS"/>
    <n v="0"/>
    <n v="0"/>
    <n v="0"/>
    <n v="112"/>
    <n v="0"/>
    <n v="0"/>
    <n v="70"/>
    <n v="0"/>
    <n v="0"/>
    <n v="42"/>
    <n v="0"/>
    <n v="0"/>
    <n v="55"/>
    <n v="0"/>
    <n v="0"/>
    <n v="0"/>
    <n v="0"/>
    <n v="0"/>
    <n v="102"/>
    <n v="0"/>
    <n v="0"/>
    <n v="0"/>
    <n v="0"/>
    <n v="0"/>
    <n v="381"/>
    <n v="0"/>
    <n v="0"/>
    <s v="SAWAI MADHOPUR"/>
    <s v="SAWAI MADHOPUR"/>
    <s v="RJ-AJMER"/>
    <d v="2018-08-17T00:00:00"/>
  </r>
  <r>
    <s v="808791170149"/>
    <x v="495"/>
    <s v="HEMANT TRADING COMPANY"/>
    <n v="170149"/>
    <s v="ASHOK TRADING  COMPANY"/>
    <n v="45"/>
    <n v="0"/>
    <n v="0"/>
    <n v="90"/>
    <n v="0"/>
    <n v="0"/>
    <n v="22"/>
    <n v="0"/>
    <n v="0"/>
    <n v="90"/>
    <n v="0"/>
    <n v="0"/>
    <n v="20"/>
    <n v="0"/>
    <n v="0"/>
    <n v="48"/>
    <n v="0"/>
    <n v="13"/>
    <n v="77"/>
    <n v="0"/>
    <n v="0"/>
    <n v="56"/>
    <n v="0"/>
    <n v="0"/>
    <n v="448"/>
    <n v="0"/>
    <n v="13"/>
    <s v="SAWAI MADHOPUR"/>
    <s v="SAWAI MADHOPUR"/>
    <s v="RJ-AJMER"/>
    <d v="2018-08-17T00:00:00"/>
  </r>
  <r>
    <s v="809191170132"/>
    <x v="496"/>
    <s v="PARIDWAL TRADERS"/>
    <n v="170132"/>
    <s v="JAI KOSHLESH TRADING COMPANY"/>
    <n v="112"/>
    <n v="0"/>
    <n v="0"/>
    <n v="25"/>
    <n v="0"/>
    <n v="0"/>
    <n v="135"/>
    <n v="0"/>
    <n v="35"/>
    <n v="52"/>
    <n v="0"/>
    <n v="0"/>
    <n v="0"/>
    <n v="0"/>
    <n v="0"/>
    <n v="45"/>
    <n v="0"/>
    <n v="20"/>
    <n v="40"/>
    <n v="20"/>
    <n v="0"/>
    <n v="45"/>
    <n v="0"/>
    <n v="0"/>
    <n v="454"/>
    <n v="20"/>
    <n v="55"/>
    <s v="SAWAI MADHOPUR"/>
    <s v="SAWAI MADHOPUR"/>
    <s v="RJ-AJMER"/>
    <d v="2019-02-25T00:00:00"/>
  </r>
  <r>
    <s v="809580170204"/>
    <x v="497"/>
    <s v="TANU BUILDING MATERIAL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9-05-20T00:00:00"/>
  </r>
  <r>
    <s v="811032170204"/>
    <x v="498"/>
    <s v="ABDUL BUILDING MATERIALS"/>
    <n v="170204"/>
    <s v="GOYAL BUILDING MATERIAL"/>
    <n v="20"/>
    <n v="0"/>
    <n v="0"/>
    <n v="56.5"/>
    <n v="0"/>
    <n v="0"/>
    <n v="55"/>
    <n v="0"/>
    <n v="0"/>
    <n v="74"/>
    <n v="0"/>
    <n v="0"/>
    <n v="77"/>
    <n v="0"/>
    <n v="0"/>
    <n v="65"/>
    <n v="0"/>
    <n v="21"/>
    <n v="22"/>
    <n v="0"/>
    <n v="0"/>
    <n v="63.5"/>
    <n v="0"/>
    <n v="0"/>
    <n v="433"/>
    <n v="0"/>
    <n v="21"/>
    <s v="SAWAI MADHOPUR"/>
    <s v="SAWAI MADHOPUR"/>
    <s v="RJ-AJMER"/>
    <d v="2019-12-21T00:00:00"/>
  </r>
  <r>
    <s v="811107170204"/>
    <x v="499"/>
    <s v="GURU KRIPA BUILDING MATERIAL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19-12-27T00:00:00"/>
  </r>
  <r>
    <s v="811241170146"/>
    <x v="500"/>
    <s v="GOHIL TRADING COMPANY"/>
    <n v="170146"/>
    <s v="KASLIWAL KRISHI SEWA KENDR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0-01-14T00:00:00"/>
  </r>
  <r>
    <s v="811324170204"/>
    <x v="501"/>
    <s v="SAINI BUILDING MATERIAL"/>
    <n v="170204"/>
    <s v="GOYAL BUILDING MATERIAL"/>
    <n v="20"/>
    <n v="0"/>
    <n v="0"/>
    <n v="72.5"/>
    <n v="0"/>
    <n v="0"/>
    <n v="51"/>
    <n v="0"/>
    <n v="0"/>
    <n v="30"/>
    <n v="0"/>
    <n v="10"/>
    <n v="26"/>
    <n v="0"/>
    <n v="0"/>
    <n v="22"/>
    <n v="0"/>
    <n v="0"/>
    <n v="0"/>
    <n v="0"/>
    <n v="0"/>
    <n v="0"/>
    <n v="0"/>
    <n v="0"/>
    <n v="221.5"/>
    <n v="0"/>
    <n v="10"/>
    <s v="SAWAI MADHOPUR"/>
    <s v="SAWAI MADHOPUR"/>
    <s v="RJ-AJMER"/>
    <d v="2020-01-25T00:00:00"/>
  </r>
  <r>
    <s v="811356170146"/>
    <x v="502"/>
    <s v="DINESH TRADERS"/>
    <n v="170146"/>
    <s v="KASLIWAL KRISHI SEWA KENDRA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SAWAI MADHOPUR"/>
    <s v="SAWAI MADHOPUR"/>
    <s v="RJ-AJMER"/>
    <d v="2020-01-29T00:00:00"/>
  </r>
  <r>
    <s v="811357170146"/>
    <x v="503"/>
    <s v="MEENA TRADING COMPANY"/>
    <n v="170146"/>
    <s v="KASLIWAL KRISHI SEWA KENDRA"/>
    <n v="25"/>
    <n v="0"/>
    <n v="0"/>
    <n v="10"/>
    <n v="0"/>
    <n v="0"/>
    <n v="35"/>
    <n v="0"/>
    <n v="0"/>
    <n v="10"/>
    <n v="0"/>
    <n v="0"/>
    <n v="25"/>
    <n v="0"/>
    <n v="0"/>
    <n v="15"/>
    <n v="0"/>
    <n v="0"/>
    <n v="0"/>
    <n v="0"/>
    <n v="0"/>
    <n v="45"/>
    <n v="0"/>
    <n v="10"/>
    <n v="165"/>
    <n v="0"/>
    <n v="0"/>
    <s v="SAWAI MADHOPUR"/>
    <s v="SAWAI MADHOPUR"/>
    <s v="RJ-AJMER"/>
    <d v="2020-01-29T00:00:00"/>
  </r>
  <r>
    <s v="811924170363"/>
    <x v="504"/>
    <s v="KHAN BUILDING MATERIAL"/>
    <n v="170363"/>
    <s v="GOLDEN TRADERS"/>
    <n v="0"/>
    <n v="0"/>
    <n v="0"/>
    <n v="20"/>
    <n v="0"/>
    <n v="0"/>
    <n v="35"/>
    <n v="0"/>
    <n v="0"/>
    <n v="35"/>
    <n v="0"/>
    <n v="0"/>
    <n v="25"/>
    <n v="0"/>
    <n v="0"/>
    <n v="87.5"/>
    <n v="0"/>
    <n v="0"/>
    <n v="86"/>
    <n v="0"/>
    <n v="0"/>
    <n v="10"/>
    <n v="0"/>
    <n v="0"/>
    <n v="298.5"/>
    <n v="0"/>
    <n v="0"/>
    <s v="SAWAI MADHOPUR"/>
    <s v="SAWAI MADHOPUR"/>
    <s v="RJ-AJMER"/>
    <d v="2020-06-13T00:00:00"/>
  </r>
  <r>
    <s v="812066170149"/>
    <x v="505"/>
    <s v="SAINI BUILDING MATERIAL"/>
    <n v="170149"/>
    <s v="ASHOK TRADING  COMPANY"/>
    <n v="35"/>
    <n v="0"/>
    <n v="0"/>
    <n v="35"/>
    <n v="0"/>
    <n v="0"/>
    <n v="0"/>
    <n v="0"/>
    <n v="0"/>
    <n v="72"/>
    <n v="0"/>
    <n v="0"/>
    <n v="15"/>
    <n v="0"/>
    <n v="0"/>
    <n v="35"/>
    <n v="0"/>
    <n v="20"/>
    <n v="55"/>
    <n v="0"/>
    <n v="0"/>
    <n v="49"/>
    <n v="0"/>
    <n v="0"/>
    <n v="296"/>
    <n v="0"/>
    <n v="20"/>
    <s v="SAWAI MADHOPUR"/>
    <s v="SAWAI MADHOPUR"/>
    <s v="RJ-AJMER"/>
    <d v="2020-06-29T00:00:00"/>
  </r>
  <r>
    <s v="812134170146"/>
    <x v="506"/>
    <s v="YOGI TRADERS"/>
    <n v="170146"/>
    <s v="KASLIWAL KRISHI SEWA KENDRA"/>
    <n v="80"/>
    <n v="25"/>
    <n v="0"/>
    <n v="45"/>
    <n v="0"/>
    <n v="0"/>
    <n v="148"/>
    <n v="0"/>
    <n v="41"/>
    <n v="90"/>
    <n v="0"/>
    <n v="90"/>
    <n v="0"/>
    <n v="0"/>
    <n v="0"/>
    <n v="55"/>
    <n v="0"/>
    <n v="0"/>
    <n v="20"/>
    <n v="0"/>
    <n v="0"/>
    <n v="45"/>
    <n v="0"/>
    <n v="0"/>
    <n v="483"/>
    <n v="25"/>
    <n v="131"/>
    <s v="SAWAI MADHOPUR"/>
    <s v="SAWAI MADHOPUR"/>
    <s v="RJ-AJMER"/>
    <d v="2020-07-06T00:00:00"/>
  </r>
  <r>
    <s v="812684170363"/>
    <x v="507"/>
    <s v="KAILASH CEMENT AGENCY"/>
    <n v="170363"/>
    <s v="GOLDE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0-08-28T00:00:00"/>
  </r>
  <r>
    <s v="812687202142"/>
    <x v="508"/>
    <s v="KAILASH KHAD BEEJ BHANDAR"/>
    <n v="202142"/>
    <s v="PRAHALAD KUMAR LABOUR SUPPLIER"/>
    <n v="35"/>
    <n v="0"/>
    <n v="0"/>
    <n v="25"/>
    <n v="0"/>
    <n v="0"/>
    <n v="35"/>
    <n v="0"/>
    <n v="0"/>
    <n v="17"/>
    <n v="0"/>
    <n v="0"/>
    <n v="0"/>
    <n v="0"/>
    <n v="0"/>
    <n v="25"/>
    <n v="0"/>
    <n v="0"/>
    <n v="15"/>
    <n v="0"/>
    <n v="0"/>
    <n v="20"/>
    <n v="0"/>
    <n v="0"/>
    <n v="172"/>
    <n v="0"/>
    <n v="0"/>
    <s v="SAWAI MADHOPUR"/>
    <s v="SAWAI MADHOPUR"/>
    <s v="RJ-AJMER"/>
    <d v="2020-08-28T00:00:00"/>
  </r>
  <r>
    <s v="812738171226"/>
    <x v="509"/>
    <s v="DEV BUILDING MATERIAL"/>
    <n v="171226"/>
    <s v="SATYA TRADERS"/>
    <n v="75"/>
    <n v="0"/>
    <n v="0"/>
    <n v="35"/>
    <n v="0"/>
    <n v="0"/>
    <n v="112"/>
    <n v="17"/>
    <n v="70"/>
    <n v="15"/>
    <n v="0"/>
    <n v="0"/>
    <n v="0"/>
    <n v="0"/>
    <n v="0"/>
    <n v="0"/>
    <n v="0"/>
    <n v="0"/>
    <n v="15"/>
    <n v="0"/>
    <n v="0"/>
    <n v="91"/>
    <n v="0"/>
    <n v="0"/>
    <n v="343"/>
    <n v="17"/>
    <n v="70"/>
    <s v="SAWAI MADHOPUR"/>
    <s v="SAWAI MADHOPUR"/>
    <s v="RJ-AJMER"/>
    <d v="2020-08-31T00:00:00"/>
  </r>
  <r>
    <s v="812755203811"/>
    <x v="510"/>
    <s v="DEV NARAYAN BUILDING MATERIAL"/>
    <n v="203811"/>
    <s v="RAMPRASAD FERTILIZERS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10"/>
    <n v="0"/>
    <n v="0"/>
    <n v="0"/>
    <n v="0"/>
    <n v="0"/>
    <n v="45"/>
    <n v="0"/>
    <n v="0"/>
    <s v="SAWAI MADHOPUR"/>
    <s v="SAWAI MADHOPUR"/>
    <s v="RJ-AJMER"/>
    <d v="2020-09-02T00:00:00"/>
  </r>
  <r>
    <s v="812964170146"/>
    <x v="511"/>
    <s v="MATO SHRI TRADERS"/>
    <n v="170146"/>
    <s v="KASLIWAL KRISHI SEWA KENDRA"/>
    <n v="25"/>
    <n v="0"/>
    <n v="0"/>
    <n v="20"/>
    <n v="0"/>
    <n v="0"/>
    <n v="35"/>
    <n v="0"/>
    <n v="0"/>
    <n v="10"/>
    <n v="0"/>
    <n v="0"/>
    <n v="0"/>
    <n v="0"/>
    <n v="0"/>
    <n v="60"/>
    <n v="0"/>
    <n v="0"/>
    <n v="35"/>
    <n v="0"/>
    <n v="0"/>
    <n v="35"/>
    <n v="0"/>
    <n v="0"/>
    <n v="220"/>
    <n v="0"/>
    <n v="0"/>
    <s v="SAWAI MADHOPUR"/>
    <s v="SAWAI MADHOPUR"/>
    <s v="RJ-AJMER"/>
    <d v="2020-09-18T00:00:00"/>
  </r>
  <r>
    <s v="813054170204"/>
    <x v="512"/>
    <s v="PRINCE TRADING COMPANY"/>
    <n v="170204"/>
    <s v="GOYAL BUILDING MATERIAL"/>
    <n v="0"/>
    <n v="0"/>
    <n v="0"/>
    <n v="20"/>
    <n v="0"/>
    <n v="0"/>
    <n v="0"/>
    <n v="0"/>
    <n v="0"/>
    <n v="20"/>
    <n v="0"/>
    <n v="10"/>
    <n v="0"/>
    <n v="0"/>
    <n v="0"/>
    <n v="0"/>
    <n v="0"/>
    <n v="0"/>
    <n v="0"/>
    <n v="0"/>
    <n v="0"/>
    <n v="0"/>
    <n v="0"/>
    <n v="0"/>
    <n v="40"/>
    <n v="0"/>
    <n v="10"/>
    <s v="SAWAI MADHOPUR"/>
    <s v="SAWAI MADHOPUR"/>
    <s v="RJ-AJMER"/>
    <d v="2020-09-24T00:00:00"/>
  </r>
  <r>
    <s v="813213170363"/>
    <x v="513"/>
    <s v="SONAM ENTERPRISES"/>
    <n v="170363"/>
    <s v="GOLDEN TRADERS"/>
    <n v="15"/>
    <n v="0"/>
    <n v="0"/>
    <n v="67"/>
    <n v="0"/>
    <n v="0"/>
    <n v="77"/>
    <n v="0"/>
    <n v="35"/>
    <n v="42"/>
    <n v="0"/>
    <n v="0"/>
    <n v="112"/>
    <n v="0"/>
    <n v="0"/>
    <n v="106"/>
    <n v="0"/>
    <n v="0"/>
    <n v="138.5"/>
    <n v="0"/>
    <n v="0"/>
    <n v="210"/>
    <n v="0"/>
    <n v="0"/>
    <n v="767.5"/>
    <n v="0"/>
    <n v="35"/>
    <s v="SAWAI MADHOPUR"/>
    <s v="SAWAI MADHOPUR"/>
    <s v="RJ-AJMER"/>
    <d v="2020-10-08T00:00:00"/>
  </r>
  <r>
    <s v="813217171226"/>
    <x v="514"/>
    <s v="BAJRANG BALI BUILDING MATERIAL"/>
    <n v="171226"/>
    <s v="SATYA TRADERS"/>
    <n v="47"/>
    <n v="0"/>
    <n v="0"/>
    <n v="70"/>
    <n v="0"/>
    <n v="0"/>
    <n v="94.9"/>
    <n v="0"/>
    <n v="0"/>
    <n v="52"/>
    <n v="0"/>
    <n v="0"/>
    <n v="0"/>
    <n v="0"/>
    <n v="0"/>
    <n v="27"/>
    <n v="0"/>
    <n v="0"/>
    <n v="25"/>
    <n v="0"/>
    <n v="0"/>
    <n v="54.75"/>
    <n v="0"/>
    <n v="0"/>
    <n v="370.65"/>
    <n v="0"/>
    <n v="0"/>
    <s v="SAWAI MADHOPUR"/>
    <s v="SAWAI MADHOPUR"/>
    <s v="RJ-AJMER"/>
    <d v="2020-10-08T00:00:00"/>
  </r>
  <r>
    <s v="813409170146"/>
    <x v="515"/>
    <s v="VIKAS TRADING COMPANY"/>
    <n v="170146"/>
    <s v="KASLIWAL KRISHI SEWA KENDRA"/>
    <n v="73"/>
    <n v="0"/>
    <n v="0"/>
    <n v="110"/>
    <n v="0"/>
    <n v="0"/>
    <n v="30"/>
    <n v="0"/>
    <n v="0"/>
    <n v="105"/>
    <n v="0"/>
    <n v="10"/>
    <n v="0"/>
    <n v="0"/>
    <n v="0"/>
    <n v="35"/>
    <n v="0"/>
    <n v="0"/>
    <n v="15"/>
    <n v="0"/>
    <n v="0"/>
    <n v="90"/>
    <n v="0"/>
    <n v="0"/>
    <n v="458"/>
    <n v="0"/>
    <n v="10"/>
    <s v="SAWAI MADHOPUR"/>
    <s v="SAWAI MADHOPUR"/>
    <s v="RJ-AJMER"/>
    <d v="2020-10-28T00:00:00"/>
  </r>
  <r>
    <s v="813539170146"/>
    <x v="516"/>
    <s v="NARAYAN TRADERS"/>
    <n v="170146"/>
    <s v="KASLIWAL KRISHI SEWA KENDRA"/>
    <n v="25"/>
    <n v="0"/>
    <n v="0"/>
    <n v="35"/>
    <n v="0"/>
    <n v="0"/>
    <n v="76"/>
    <n v="0"/>
    <n v="41"/>
    <n v="75"/>
    <n v="0"/>
    <n v="15"/>
    <n v="0"/>
    <n v="0"/>
    <n v="0"/>
    <n v="80"/>
    <n v="0"/>
    <n v="0"/>
    <n v="60"/>
    <n v="0"/>
    <n v="0"/>
    <n v="44.5"/>
    <n v="0"/>
    <n v="0"/>
    <n v="395.5"/>
    <n v="0"/>
    <n v="56"/>
    <s v="SAWAI MADHOPUR"/>
    <s v="SAWAI MADHOPUR"/>
    <s v="RJ-AJMER"/>
    <d v="2020-11-11T00:00:00"/>
  </r>
  <r>
    <s v="813541174008"/>
    <x v="517"/>
    <s v="SHREE SHYAM TRADERS"/>
    <n v="174008"/>
    <s v="SHARM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0-11-11T00:00:00"/>
  </r>
  <r>
    <s v="813541170204"/>
    <x v="517"/>
    <s v="SHREE SHYAM TRADERS"/>
    <n v="170204"/>
    <s v="GOYAL BUILDING MATERIAL"/>
    <n v="0"/>
    <n v="0"/>
    <n v="0"/>
    <n v="0"/>
    <n v="0"/>
    <n v="0"/>
    <n v="35"/>
    <n v="0"/>
    <n v="0"/>
    <n v="10"/>
    <n v="0"/>
    <n v="10"/>
    <n v="28"/>
    <n v="0"/>
    <n v="0"/>
    <n v="34.5"/>
    <n v="0"/>
    <n v="0"/>
    <n v="0"/>
    <n v="0"/>
    <n v="0"/>
    <n v="0"/>
    <n v="0"/>
    <n v="0"/>
    <n v="107.5"/>
    <n v="0"/>
    <n v="10"/>
    <s v="SAWAI MADHOPUR"/>
    <s v="SAWAI MADHOPUR"/>
    <s v="RJ-AJMER"/>
    <d v="2020-11-11T00:00:00"/>
  </r>
  <r>
    <s v="813763170149"/>
    <x v="518"/>
    <s v="GURU KRIPA MINESH TRADERS"/>
    <n v="170149"/>
    <s v="ASHOK TRADING  COMPANY"/>
    <n v="25"/>
    <n v="0"/>
    <n v="0"/>
    <n v="35"/>
    <n v="0"/>
    <n v="0"/>
    <n v="20"/>
    <n v="0"/>
    <n v="0"/>
    <n v="30"/>
    <n v="0"/>
    <n v="0"/>
    <n v="0"/>
    <n v="0"/>
    <n v="0"/>
    <n v="15"/>
    <n v="0"/>
    <n v="15"/>
    <n v="0"/>
    <n v="0"/>
    <n v="0"/>
    <n v="47.5"/>
    <n v="0"/>
    <n v="0"/>
    <n v="172.5"/>
    <n v="0"/>
    <n v="15"/>
    <s v="SAWAI MADHOPUR"/>
    <s v="SAWAI MADHOPUR"/>
    <s v="RJ-AJMER"/>
    <d v="2020-12-05T00:00:00"/>
  </r>
  <r>
    <s v="813765170204"/>
    <x v="519"/>
    <s v="GANPATI BUILDING MATERIAL"/>
    <n v="170204"/>
    <s v="GOYAL BUILDING MATERIAL"/>
    <n v="82"/>
    <n v="0"/>
    <n v="0"/>
    <n v="96.5"/>
    <n v="0"/>
    <n v="0"/>
    <n v="171"/>
    <n v="0"/>
    <n v="42"/>
    <n v="99"/>
    <n v="0"/>
    <n v="0"/>
    <n v="159"/>
    <n v="0"/>
    <n v="20"/>
    <n v="164.5"/>
    <n v="0"/>
    <n v="61.5"/>
    <n v="82"/>
    <n v="0"/>
    <n v="0"/>
    <n v="102"/>
    <n v="0"/>
    <n v="0"/>
    <n v="956"/>
    <n v="0"/>
    <n v="123.5"/>
    <s v="SAWAI MADHOPUR"/>
    <s v="SAWAI MADHOPUR"/>
    <s v="RJ-AJMER"/>
    <d v="2020-12-05T00:00:00"/>
  </r>
  <r>
    <s v="813847170204"/>
    <x v="520"/>
    <s v="RAJ RAJESHWARI PAINT HOUSE"/>
    <n v="170204"/>
    <s v="GOYAL BUILDING MATERIAL"/>
    <n v="30"/>
    <n v="0"/>
    <n v="0"/>
    <n v="0"/>
    <n v="0"/>
    <n v="0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0"/>
    <n v="0"/>
    <s v="SAWAI MADHOPUR"/>
    <s v="SAWAI MADHOPUR"/>
    <s v="RJ-AJMER"/>
    <d v="2020-12-15T00:00:00"/>
  </r>
  <r>
    <s v="814094211138"/>
    <x v="521"/>
    <s v="OM TRADERS"/>
    <n v="211138"/>
    <s v="LAXMIKANT BUILDING MATERIAL"/>
    <n v="63.5"/>
    <n v="0"/>
    <n v="0"/>
    <n v="141"/>
    <n v="0"/>
    <n v="0"/>
    <n v="92"/>
    <n v="0"/>
    <n v="0"/>
    <n v="105"/>
    <n v="0"/>
    <n v="0"/>
    <n v="20"/>
    <n v="0"/>
    <n v="0"/>
    <n v="40"/>
    <n v="0"/>
    <n v="0"/>
    <n v="38"/>
    <n v="0"/>
    <n v="0"/>
    <n v="67"/>
    <n v="0"/>
    <n v="0"/>
    <n v="566.5"/>
    <n v="0"/>
    <n v="0"/>
    <s v="SAWAI MADHOPUR"/>
    <s v="SAWAI MADHOPUR"/>
    <s v="RJ-AJMER"/>
    <d v="2021-01-07T00:00:00"/>
  </r>
  <r>
    <s v="814095172702"/>
    <x v="522"/>
    <s v="JYOTI IRONS &amp; BUILDING MATERIA"/>
    <n v="172702"/>
    <s v="GOYAL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01-07T00:00:00"/>
  </r>
  <r>
    <s v="814139172097"/>
    <x v="523"/>
    <s v="SHUBHAM KHAD BEEJ BHANDAR"/>
    <n v="172097"/>
    <s v="BANSAL TRADING COMPANY"/>
    <n v="70"/>
    <n v="0"/>
    <n v="0"/>
    <n v="35"/>
    <n v="0"/>
    <n v="0"/>
    <n v="70"/>
    <n v="0"/>
    <n v="0"/>
    <n v="0"/>
    <n v="0"/>
    <n v="0"/>
    <n v="35"/>
    <n v="0"/>
    <n v="0"/>
    <n v="0"/>
    <n v="0"/>
    <n v="0"/>
    <n v="0"/>
    <n v="0"/>
    <n v="0"/>
    <n v="0"/>
    <n v="0"/>
    <n v="0"/>
    <n v="210"/>
    <n v="0"/>
    <n v="0"/>
    <s v="SAWAI MADHOPUR"/>
    <s v="SAWAI MADHOPUR"/>
    <s v="RJ-AJMER"/>
    <d v="2021-01-13T00:00:00"/>
  </r>
  <r>
    <s v="814388170363"/>
    <x v="524"/>
    <s v="ALFEJ TRADERS"/>
    <n v="170363"/>
    <s v="GOLDEN TRADERS"/>
    <n v="0"/>
    <n v="0"/>
    <n v="0"/>
    <n v="0"/>
    <n v="0"/>
    <n v="0"/>
    <n v="0"/>
    <n v="0"/>
    <n v="0"/>
    <n v="34"/>
    <n v="0"/>
    <n v="0"/>
    <n v="15"/>
    <n v="0"/>
    <n v="0"/>
    <n v="0"/>
    <n v="0"/>
    <n v="0"/>
    <n v="13.5"/>
    <n v="0"/>
    <n v="6.5"/>
    <n v="0"/>
    <n v="0"/>
    <n v="0"/>
    <n v="62.5"/>
    <n v="0"/>
    <n v="6.5"/>
    <s v="SAWAI MADHOPUR"/>
    <s v="SAWAI MADHOPUR"/>
    <s v="RJ-AJMER"/>
    <d v="2021-02-04T00:00:00"/>
  </r>
  <r>
    <s v="814390170132"/>
    <x v="525"/>
    <s v="K D STONE"/>
    <n v="170132"/>
    <s v="JAI KOSHLESH TRADING COMPANY"/>
    <n v="0"/>
    <n v="0"/>
    <n v="0"/>
    <n v="0"/>
    <n v="0"/>
    <n v="0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7"/>
    <n v="0"/>
    <n v="0"/>
    <s v="SAWAI MADHOPUR"/>
    <s v="SAWAI MADHOPUR"/>
    <s v="RJ-AJMER"/>
    <d v="2021-02-04T00:00:00"/>
  </r>
  <r>
    <s v="814431170132"/>
    <x v="526"/>
    <s v="MONU KIRANA STORE"/>
    <n v="170132"/>
    <s v="JAI KOSHLESH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02-09T00:00:00"/>
  </r>
  <r>
    <s v="814441170132"/>
    <x v="527"/>
    <s v="SONAM KHAD BEEJ BHANDAR"/>
    <n v="170132"/>
    <s v="JAI KOSHLESH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02-10T00:00:00"/>
  </r>
  <r>
    <s v="814482170204"/>
    <x v="528"/>
    <s v="BISHANLAL KHAD BEEJ BHANDAR"/>
    <n v="170204"/>
    <s v="GOYAL BUILDING MATERIAL"/>
    <n v="38"/>
    <n v="0"/>
    <n v="0"/>
    <n v="83"/>
    <n v="0"/>
    <n v="0"/>
    <n v="0"/>
    <n v="0"/>
    <n v="0"/>
    <n v="42"/>
    <n v="0"/>
    <n v="0"/>
    <n v="0"/>
    <n v="0"/>
    <n v="0"/>
    <n v="7"/>
    <n v="0"/>
    <n v="0"/>
    <n v="44"/>
    <n v="0"/>
    <n v="0"/>
    <n v="40"/>
    <n v="0"/>
    <n v="0"/>
    <n v="254"/>
    <n v="0"/>
    <n v="0"/>
    <s v="SAWAI MADHOPUR"/>
    <s v="SAWAI MADHOPUR"/>
    <s v="RJ-AJMER"/>
    <d v="2021-02-15T00:00:00"/>
  </r>
  <r>
    <s v="814494205192"/>
    <x v="529"/>
    <s v="KASANA BUILDING MATERIAL"/>
    <n v="205192"/>
    <s v="KRISHN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02-16T00:00:00"/>
  </r>
  <r>
    <s v="814496170146"/>
    <x v="530"/>
    <s v="MINAXI TRADERS"/>
    <n v="170146"/>
    <s v="KASLIWAL KRISHI SEWA KENDRA"/>
    <n v="35"/>
    <n v="0"/>
    <n v="0"/>
    <n v="20"/>
    <n v="0"/>
    <n v="0"/>
    <n v="35"/>
    <n v="0"/>
    <n v="0"/>
    <n v="0"/>
    <n v="0"/>
    <n v="0"/>
    <n v="0"/>
    <n v="0"/>
    <n v="0"/>
    <n v="30"/>
    <n v="0"/>
    <n v="0"/>
    <n v="0"/>
    <n v="0"/>
    <n v="0"/>
    <n v="34.5"/>
    <n v="0"/>
    <n v="7.5"/>
    <n v="154.5"/>
    <n v="0"/>
    <n v="0"/>
    <s v="SAWAI MADHOPUR"/>
    <s v="SAWAI MADHOPUR"/>
    <s v="RJ-AJMER"/>
    <d v="2021-02-16T00:00:00"/>
  </r>
  <r>
    <s v="814497170146"/>
    <x v="531"/>
    <s v="SHRI GANESH BUILDING MATERIAL"/>
    <n v="170146"/>
    <s v="KASLIWAL KRISHI SEWA KENDRA"/>
    <n v="45"/>
    <n v="0"/>
    <n v="0"/>
    <n v="35"/>
    <n v="0"/>
    <n v="0"/>
    <n v="0"/>
    <n v="0"/>
    <n v="0"/>
    <n v="10"/>
    <n v="0"/>
    <n v="0"/>
    <n v="0"/>
    <n v="0"/>
    <n v="0"/>
    <n v="0"/>
    <n v="0"/>
    <n v="0"/>
    <n v="0"/>
    <n v="0"/>
    <n v="0"/>
    <n v="35"/>
    <n v="0"/>
    <n v="0"/>
    <n v="125"/>
    <n v="0"/>
    <n v="0"/>
    <s v="SAWAI MADHOPUR"/>
    <s v="SAWAI MADHOPUR"/>
    <s v="RJ-AJMER"/>
    <d v="2021-02-16T00:00:00"/>
  </r>
  <r>
    <s v="814524170204"/>
    <x v="532"/>
    <s v="NEW AMAN BUILDING MATERIAL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02-18T00:00:00"/>
  </r>
  <r>
    <s v="814670170149"/>
    <x v="533"/>
    <s v="JAI SHRI RADHE RADHE TRADERS"/>
    <n v="170149"/>
    <s v="ASHOK TRADING  COMPANY"/>
    <n v="10"/>
    <n v="0"/>
    <n v="0"/>
    <n v="35"/>
    <n v="0"/>
    <n v="0"/>
    <n v="30"/>
    <n v="0"/>
    <n v="0"/>
    <n v="20"/>
    <n v="0"/>
    <n v="0"/>
    <n v="0"/>
    <n v="0"/>
    <n v="0"/>
    <n v="10"/>
    <n v="0"/>
    <n v="10"/>
    <n v="0"/>
    <n v="0"/>
    <n v="0"/>
    <n v="25"/>
    <n v="0"/>
    <n v="0"/>
    <n v="130"/>
    <n v="0"/>
    <n v="10"/>
    <s v="SAWAI MADHOPUR"/>
    <s v="SAWAI MADHOPUR"/>
    <s v="RJ-AJMER"/>
    <d v="2021-03-02T00:00:00"/>
  </r>
  <r>
    <s v="814723178386"/>
    <x v="534"/>
    <s v="VIKAS CONSTRUCTION"/>
    <n v="178386"/>
    <s v="SANTOSHI BUILDING MATERIAL SUP"/>
    <n v="70"/>
    <n v="0"/>
    <n v="0"/>
    <n v="35"/>
    <n v="0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0"/>
    <n v="0"/>
    <s v="SAWAI MADHOPUR"/>
    <s v="SAWAI MADHOPUR"/>
    <s v="RJ-AJMER"/>
    <d v="2021-03-09T00:00:00"/>
  </r>
  <r>
    <s v="815093170146"/>
    <x v="535"/>
    <s v="MAHAKAL CONSTRUCTION COMPANY"/>
    <n v="170146"/>
    <s v="KASLIWAL KRISHI SEWA KENDRA"/>
    <n v="45"/>
    <n v="0"/>
    <n v="0"/>
    <n v="50"/>
    <n v="0"/>
    <n v="0"/>
    <n v="30"/>
    <n v="0"/>
    <n v="0"/>
    <n v="25"/>
    <n v="0"/>
    <n v="0"/>
    <n v="10"/>
    <n v="0"/>
    <n v="0"/>
    <n v="0"/>
    <n v="0"/>
    <n v="0"/>
    <n v="0"/>
    <n v="0"/>
    <n v="0"/>
    <n v="25"/>
    <n v="0"/>
    <n v="0"/>
    <n v="185"/>
    <n v="0"/>
    <n v="0"/>
    <s v="SAWAI MADHOPUR"/>
    <s v="SAWAI MADHOPUR"/>
    <s v="RJ-AJMER"/>
    <d v="2021-05-28T00:00:00"/>
  </r>
  <r>
    <s v="815123202142"/>
    <x v="536"/>
    <s v="SHRI GANESH TRADERS"/>
    <n v="202142"/>
    <s v="PRAHALAD KUMAR LABOUR SUPPLIER"/>
    <n v="35"/>
    <n v="0"/>
    <n v="0"/>
    <n v="10"/>
    <n v="0"/>
    <n v="0"/>
    <n v="17"/>
    <n v="0"/>
    <n v="0"/>
    <n v="10"/>
    <n v="0"/>
    <n v="10"/>
    <n v="0"/>
    <n v="0"/>
    <n v="0"/>
    <n v="17"/>
    <n v="0"/>
    <n v="0"/>
    <n v="20"/>
    <n v="0"/>
    <n v="0"/>
    <n v="15"/>
    <n v="0"/>
    <n v="0"/>
    <n v="124"/>
    <n v="0"/>
    <n v="10"/>
    <s v="SAWAI MADHOPUR"/>
    <s v="SAWAI MADHOPUR"/>
    <s v="RJ-AJMER"/>
    <d v="2021-06-04T00:00:00"/>
  </r>
  <r>
    <s v="815210170363"/>
    <x v="537"/>
    <s v="AFSAR BUILDING MATERIAL"/>
    <n v="170363"/>
    <s v="GOLDE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06-22T00:00:00"/>
  </r>
  <r>
    <s v="815211170132"/>
    <x v="538"/>
    <s v="NAKSHATRA TRADERS"/>
    <n v="170132"/>
    <s v="JAI KOSHLESH TRADING COMPANY"/>
    <n v="177"/>
    <n v="41"/>
    <n v="0"/>
    <n v="128"/>
    <n v="10"/>
    <n v="0"/>
    <n v="305.5"/>
    <n v="42"/>
    <n v="41"/>
    <n v="90"/>
    <n v="0"/>
    <n v="10"/>
    <n v="33.5"/>
    <n v="33.5"/>
    <n v="0"/>
    <n v="117"/>
    <n v="0"/>
    <n v="0"/>
    <n v="84.5"/>
    <n v="0"/>
    <n v="35"/>
    <n v="164.25"/>
    <n v="0"/>
    <n v="0"/>
    <n v="1099.75"/>
    <n v="126.5"/>
    <n v="86"/>
    <s v="SAWAI MADHOPUR"/>
    <s v="SAWAI MADHOPUR"/>
    <s v="RJ-AJMER"/>
    <d v="2021-06-22T00:00:00"/>
  </r>
  <r>
    <s v="815218171226"/>
    <x v="539"/>
    <s v="HALDHAR KISHAN SEVA KENDRA"/>
    <n v="171226"/>
    <s v="SATYA TRADERS"/>
    <n v="42"/>
    <n v="0"/>
    <n v="0"/>
    <n v="35"/>
    <n v="0"/>
    <n v="0"/>
    <n v="59"/>
    <n v="0"/>
    <n v="0"/>
    <n v="37"/>
    <n v="0"/>
    <n v="0"/>
    <n v="0"/>
    <n v="0"/>
    <n v="0"/>
    <n v="10"/>
    <n v="0"/>
    <n v="0"/>
    <n v="0"/>
    <n v="0"/>
    <n v="0"/>
    <n v="50"/>
    <n v="0"/>
    <n v="0"/>
    <n v="233"/>
    <n v="0"/>
    <n v="0"/>
    <s v="SAWAI MADHOPUR"/>
    <s v="SAWAI MADHOPUR"/>
    <s v="RJ-AJMER"/>
    <d v="2021-06-22T00:00:00"/>
  </r>
  <r>
    <s v="815256170204"/>
    <x v="540"/>
    <s v="KUMHER BUILDING MATERIAL"/>
    <n v="170204"/>
    <s v="GOYAL BUILDING MATERIAL"/>
    <n v="201"/>
    <n v="0"/>
    <n v="0"/>
    <n v="192"/>
    <n v="0"/>
    <n v="0"/>
    <n v="188"/>
    <n v="0"/>
    <n v="0"/>
    <n v="186"/>
    <n v="0"/>
    <n v="0"/>
    <n v="154"/>
    <n v="10"/>
    <n v="20"/>
    <n v="102"/>
    <n v="0"/>
    <n v="0"/>
    <n v="64"/>
    <n v="0"/>
    <n v="22"/>
    <n v="126"/>
    <n v="0"/>
    <n v="0"/>
    <n v="1213"/>
    <n v="10"/>
    <n v="42"/>
    <s v="SAWAI MADHOPUR"/>
    <s v="SAWAI MADHOPUR"/>
    <s v="RJ-AJMER"/>
    <d v="2021-06-25T00:00:00"/>
  </r>
  <r>
    <s v="815420170204"/>
    <x v="541"/>
    <s v="GAYATRI BUILDING MATERIAL"/>
    <n v="170204"/>
    <s v="GOYAL BUILDING MATERIAL"/>
    <n v="30"/>
    <n v="0"/>
    <n v="0"/>
    <n v="20"/>
    <n v="0"/>
    <n v="0"/>
    <n v="32"/>
    <n v="0"/>
    <n v="0"/>
    <n v="0"/>
    <n v="0"/>
    <n v="0"/>
    <n v="62"/>
    <n v="0"/>
    <n v="42"/>
    <n v="52"/>
    <n v="0"/>
    <n v="0"/>
    <n v="20"/>
    <n v="0"/>
    <n v="0"/>
    <n v="20"/>
    <n v="0"/>
    <n v="0"/>
    <n v="236"/>
    <n v="0"/>
    <n v="42"/>
    <s v="SAWAI MADHOPUR"/>
    <s v="SAWAI MADHOPUR"/>
    <s v="RJ-AJMER"/>
    <d v="2021-07-07T00:00:00"/>
  </r>
  <r>
    <s v="815424170204"/>
    <x v="542"/>
    <s v="GURUJI ENTERPRISE"/>
    <n v="170204"/>
    <s v="GOYAL BUILDING MATERIAL"/>
    <n v="13.5"/>
    <n v="0"/>
    <n v="0"/>
    <n v="77"/>
    <n v="0"/>
    <n v="0"/>
    <n v="75"/>
    <n v="0"/>
    <n v="0"/>
    <n v="17"/>
    <n v="0"/>
    <n v="0"/>
    <n v="21"/>
    <n v="0"/>
    <n v="0"/>
    <n v="0"/>
    <n v="0"/>
    <n v="0"/>
    <n v="0"/>
    <n v="0"/>
    <n v="0"/>
    <n v="44"/>
    <n v="0"/>
    <n v="0"/>
    <n v="247.5"/>
    <n v="0"/>
    <n v="0"/>
    <s v="SAWAI MADHOPUR"/>
    <s v="SAWAI MADHOPUR"/>
    <s v="RJ-AJMER"/>
    <d v="2021-07-07T00:00:00"/>
  </r>
  <r>
    <s v="815428170204"/>
    <x v="543"/>
    <s v="RAJA BUILDING MATERIAL"/>
    <n v="170204"/>
    <s v="GOYAL BUILDING MATERIAL"/>
    <n v="20"/>
    <n v="0"/>
    <n v="0"/>
    <n v="35"/>
    <n v="0"/>
    <n v="0"/>
    <n v="87"/>
    <n v="0"/>
    <n v="0"/>
    <n v="15"/>
    <n v="0"/>
    <n v="0"/>
    <n v="41.5"/>
    <n v="0"/>
    <n v="0"/>
    <n v="0"/>
    <n v="0"/>
    <n v="0"/>
    <n v="21.5"/>
    <n v="0"/>
    <n v="0"/>
    <n v="0"/>
    <n v="0"/>
    <n v="0"/>
    <n v="220"/>
    <n v="0"/>
    <n v="0"/>
    <s v="SAWAI MADHOPUR"/>
    <s v="SAWAI MADHOPUR"/>
    <s v="RJ-AJMER"/>
    <d v="2021-07-07T00:00:00"/>
  </r>
  <r>
    <s v="815429170204"/>
    <x v="544"/>
    <s v="AZAD BUILDING MATERIAL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07-07T00:00:00"/>
  </r>
  <r>
    <s v="815430170204"/>
    <x v="545"/>
    <s v="AAKASH TRADING COMPANY"/>
    <n v="170204"/>
    <s v="GOYAL BUILDING MATERIAL"/>
    <n v="94"/>
    <n v="20"/>
    <n v="0"/>
    <n v="272"/>
    <n v="35"/>
    <n v="0"/>
    <n v="192"/>
    <n v="0"/>
    <n v="70"/>
    <n v="344"/>
    <n v="45"/>
    <n v="30"/>
    <n v="208.5"/>
    <n v="4"/>
    <n v="127.5"/>
    <n v="366.5"/>
    <n v="5"/>
    <n v="126.5"/>
    <n v="340"/>
    <n v="35"/>
    <n v="161"/>
    <n v="214.5"/>
    <n v="0"/>
    <n v="11.5"/>
    <n v="2031.5"/>
    <n v="144"/>
    <n v="515"/>
    <s v="SAWAI MADHOPUR"/>
    <s v="SAWAI MADHOPUR"/>
    <s v="RJ-AJMER"/>
    <d v="2021-07-07T00:00:00"/>
  </r>
  <r>
    <s v="815474170204"/>
    <x v="546"/>
    <s v="GGC BUILDING MATERIAL"/>
    <n v="170204"/>
    <s v="GOYAL BUILDING MATERIAL"/>
    <n v="20"/>
    <n v="16"/>
    <n v="0"/>
    <n v="51"/>
    <n v="0"/>
    <n v="0"/>
    <n v="0"/>
    <n v="0"/>
    <n v="0"/>
    <n v="97"/>
    <n v="0"/>
    <n v="0"/>
    <n v="77"/>
    <n v="0"/>
    <n v="0"/>
    <n v="40"/>
    <n v="0"/>
    <n v="0"/>
    <n v="42"/>
    <n v="0"/>
    <n v="0"/>
    <n v="22"/>
    <n v="0"/>
    <n v="0"/>
    <n v="349"/>
    <n v="16"/>
    <n v="0"/>
    <s v="SAWAI MADHOPUR"/>
    <s v="SAWAI MADHOPUR"/>
    <s v="RJ-AJMER"/>
    <d v="2021-07-12T00:00:00"/>
  </r>
  <r>
    <s v="815501170132"/>
    <x v="547"/>
    <s v="BALAJI BUILDING MATERIAL"/>
    <n v="170132"/>
    <s v="JAI KOSHLESH TRADING COMPANY"/>
    <n v="0"/>
    <n v="0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s v="SAWAI MADHOPUR"/>
    <s v="SAWAI MADHOPUR"/>
    <s v="RJ-AJMER"/>
    <d v="2021-07-13T00:00:00"/>
  </r>
  <r>
    <s v="815501170147"/>
    <x v="547"/>
    <s v="BALAJI BUILDING MATERIAL"/>
    <n v="170147"/>
    <s v="DINESH TRADERS"/>
    <n v="0"/>
    <n v="0"/>
    <n v="0"/>
    <n v="35"/>
    <n v="0"/>
    <n v="0"/>
    <n v="95"/>
    <n v="0"/>
    <n v="0"/>
    <n v="0"/>
    <n v="0"/>
    <n v="0"/>
    <n v="0"/>
    <n v="0"/>
    <n v="0"/>
    <n v="30"/>
    <n v="0"/>
    <n v="0"/>
    <n v="0"/>
    <n v="0"/>
    <n v="0"/>
    <n v="25"/>
    <n v="0"/>
    <n v="0"/>
    <n v="185"/>
    <n v="0"/>
    <n v="0"/>
    <s v="SAWAI MADHOPUR"/>
    <s v="SAWAI MADHOPUR"/>
    <s v="RJ-AJMER"/>
    <d v="2021-07-13T00:00:00"/>
  </r>
  <r>
    <s v="815501170202"/>
    <x v="547"/>
    <s v="BALAJI BUILDING MATERIAL"/>
    <n v="170202"/>
    <s v="MUKUT BIHARI GOVIND PRASAD"/>
    <n v="0"/>
    <n v="0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s v="SAWAI MADHOPUR"/>
    <s v="SAWAI MADHOPUR"/>
    <s v="RJ-AJMER"/>
    <d v="2021-07-13T00:00:00"/>
  </r>
  <r>
    <s v="815930172702"/>
    <x v="548"/>
    <s v="KISAN SEWA KENDRA"/>
    <n v="172702"/>
    <s v="GOYAL ENTERPRISES"/>
    <n v="16"/>
    <n v="0"/>
    <n v="0"/>
    <n v="35"/>
    <n v="0"/>
    <n v="0"/>
    <n v="70"/>
    <n v="0"/>
    <n v="0"/>
    <n v="41"/>
    <n v="0"/>
    <n v="0"/>
    <n v="10"/>
    <n v="0"/>
    <n v="0"/>
    <n v="0"/>
    <n v="0"/>
    <n v="0"/>
    <n v="0"/>
    <n v="0"/>
    <n v="0"/>
    <n v="20"/>
    <n v="0"/>
    <n v="0"/>
    <n v="192"/>
    <n v="0"/>
    <n v="0"/>
    <s v="SAWAI MADHOPUR"/>
    <s v="SAWAI MADHOPUR"/>
    <s v="RJ-AJMER"/>
    <d v="2021-08-14T00:00:00"/>
  </r>
  <r>
    <s v="815985170204"/>
    <x v="549"/>
    <s v="GARG BUILDING MATERIAL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08-18T00:00:00"/>
  </r>
  <r>
    <s v="815986170204"/>
    <x v="550"/>
    <s v="VIKRAM TRADING COMPANY"/>
    <n v="170204"/>
    <s v="GOYAL BUILDING MATERIAL"/>
    <n v="20"/>
    <n v="0"/>
    <n v="0"/>
    <n v="30"/>
    <n v="0"/>
    <n v="0"/>
    <n v="42"/>
    <n v="0"/>
    <n v="0"/>
    <n v="52"/>
    <n v="0"/>
    <n v="10"/>
    <n v="20"/>
    <n v="0"/>
    <n v="20"/>
    <n v="0"/>
    <n v="0"/>
    <n v="0"/>
    <n v="0"/>
    <n v="0"/>
    <n v="0"/>
    <n v="20"/>
    <n v="0"/>
    <n v="0"/>
    <n v="184"/>
    <n v="0"/>
    <n v="30"/>
    <s v="SAWAI MADHOPUR"/>
    <s v="SAWAI MADHOPUR"/>
    <s v="RJ-AJMER"/>
    <d v="2021-08-18T00:00:00"/>
  </r>
  <r>
    <s v="816038170204"/>
    <x v="551"/>
    <s v="MADHAV TRADERS"/>
    <n v="170204"/>
    <s v="GOYAL BUILDING MATERIAL"/>
    <n v="70"/>
    <n v="0"/>
    <n v="0"/>
    <n v="42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127"/>
    <n v="0"/>
    <n v="0"/>
    <s v="SAWAI MADHOPUR"/>
    <s v="SAWAI MADHOPUR"/>
    <s v="RJ-AJMER"/>
    <d v="2021-08-20T00:00:00"/>
  </r>
  <r>
    <s v="816574170149"/>
    <x v="552"/>
    <s v="JAI GIRIRAJ DHARAN TRADERS"/>
    <n v="170149"/>
    <s v="ASHOK TRADING  COMPANY"/>
    <n v="25"/>
    <n v="0"/>
    <n v="0"/>
    <n v="15"/>
    <n v="0"/>
    <n v="0"/>
    <n v="30"/>
    <n v="0"/>
    <n v="0"/>
    <n v="5"/>
    <n v="0"/>
    <n v="0"/>
    <n v="0"/>
    <n v="0"/>
    <n v="0"/>
    <n v="0"/>
    <n v="0"/>
    <n v="0"/>
    <n v="0"/>
    <n v="0"/>
    <n v="0"/>
    <n v="39.5"/>
    <n v="0"/>
    <n v="0"/>
    <n v="114.5"/>
    <n v="0"/>
    <n v="0"/>
    <s v="SAWAI MADHOPUR"/>
    <s v="SAWAI MADHOPUR"/>
    <s v="RJ-AJMER"/>
    <d v="2021-09-29T00:00:00"/>
  </r>
  <r>
    <s v="816575201741"/>
    <x v="553"/>
    <s v="RADHA RANI BUILDING MATERIAL"/>
    <n v="201741"/>
    <s v="AGARWAL BUILDING MATERIAL"/>
    <n v="147"/>
    <n v="0"/>
    <n v="0"/>
    <n v="175"/>
    <n v="0"/>
    <n v="0"/>
    <n v="115"/>
    <n v="0"/>
    <n v="0"/>
    <n v="70"/>
    <n v="0"/>
    <n v="0"/>
    <n v="77"/>
    <n v="0"/>
    <n v="0"/>
    <n v="144"/>
    <n v="42"/>
    <n v="50"/>
    <n v="86"/>
    <n v="21"/>
    <n v="0"/>
    <n v="190.5"/>
    <n v="0"/>
    <n v="27"/>
    <n v="1004.5"/>
    <n v="63"/>
    <n v="50"/>
    <s v="SAWAI MADHOPUR"/>
    <s v="SAWAI MADHOPUR"/>
    <s v="RJ-AJMER"/>
    <d v="2021-09-29T00:00:00"/>
  </r>
  <r>
    <s v="816986170204"/>
    <x v="554"/>
    <s v="BAJRANG BALI TRADERS"/>
    <n v="170204"/>
    <s v="GOYAL BUILDING MATERIAL"/>
    <n v="30"/>
    <n v="0"/>
    <n v="0"/>
    <n v="15"/>
    <n v="0"/>
    <n v="0"/>
    <n v="88"/>
    <n v="0"/>
    <n v="0"/>
    <n v="42"/>
    <n v="0"/>
    <n v="0"/>
    <n v="120"/>
    <n v="0"/>
    <n v="0"/>
    <n v="75"/>
    <n v="0"/>
    <n v="0"/>
    <n v="62"/>
    <n v="0"/>
    <n v="0"/>
    <n v="41"/>
    <n v="0"/>
    <n v="0"/>
    <n v="473"/>
    <n v="0"/>
    <n v="0"/>
    <s v="SAWAI MADHOPUR"/>
    <s v="SAWAI MADHOPUR"/>
    <s v="RJ-AJMER"/>
    <d v="2021-11-10T00:00:00"/>
  </r>
  <r>
    <s v="816987170204"/>
    <x v="555"/>
    <s v="J S CONSTRUCTION COMPANY"/>
    <n v="170204"/>
    <s v="GOYAL BUILDING MATERIAL"/>
    <n v="82"/>
    <n v="20"/>
    <n v="0"/>
    <n v="161"/>
    <n v="0"/>
    <n v="0"/>
    <n v="64"/>
    <n v="0"/>
    <n v="0"/>
    <n v="84"/>
    <n v="0"/>
    <n v="0"/>
    <n v="42"/>
    <n v="0"/>
    <n v="0"/>
    <n v="104"/>
    <n v="0"/>
    <n v="0"/>
    <n v="82"/>
    <n v="0"/>
    <n v="20"/>
    <n v="129"/>
    <n v="0"/>
    <n v="0"/>
    <n v="748"/>
    <n v="20"/>
    <n v="20"/>
    <s v="SAWAI MADHOPUR"/>
    <s v="SAWAI MADHOPUR"/>
    <s v="RJ-AJMER"/>
    <d v="2021-11-10T00:00:00"/>
  </r>
  <r>
    <s v="817005170204"/>
    <x v="556"/>
    <s v="SHRI OM TRADING COMPANY"/>
    <n v="170204"/>
    <s v="GOYAL BUILDING MATERIAL"/>
    <n v="10"/>
    <n v="0"/>
    <n v="0"/>
    <n v="15"/>
    <n v="0"/>
    <n v="0"/>
    <n v="42"/>
    <n v="0"/>
    <n v="0"/>
    <n v="20"/>
    <n v="0"/>
    <n v="0"/>
    <n v="20"/>
    <n v="0"/>
    <n v="0"/>
    <n v="42"/>
    <n v="0"/>
    <n v="0"/>
    <n v="0"/>
    <n v="0"/>
    <n v="0"/>
    <n v="0"/>
    <n v="0"/>
    <n v="0"/>
    <n v="149"/>
    <n v="0"/>
    <n v="0"/>
    <s v="SAWAI MADHOPUR"/>
    <s v="SAWAI MADHOPUR"/>
    <s v="RJ-AJMER"/>
    <d v="2021-11-13T00:00:00"/>
  </r>
  <r>
    <s v="817014170204"/>
    <x v="557"/>
    <s v="SIDDHI VINAYAK TRADERS"/>
    <n v="170204"/>
    <s v="GOYAL BUILDING MATERIAL"/>
    <n v="50"/>
    <n v="0"/>
    <n v="0"/>
    <n v="20"/>
    <n v="0"/>
    <n v="0"/>
    <n v="70"/>
    <n v="0"/>
    <n v="0"/>
    <n v="40"/>
    <n v="0"/>
    <n v="0"/>
    <n v="64"/>
    <n v="0"/>
    <n v="0"/>
    <n v="77"/>
    <n v="0"/>
    <n v="0"/>
    <n v="20"/>
    <n v="0"/>
    <n v="0"/>
    <n v="20"/>
    <n v="0"/>
    <n v="0"/>
    <n v="361"/>
    <n v="0"/>
    <n v="0"/>
    <s v="SAWAI MADHOPUR"/>
    <s v="SAWAI MADHOPUR"/>
    <s v="RJ-AJMER"/>
    <d v="2021-11-13T00:00:00"/>
  </r>
  <r>
    <s v="817063171226"/>
    <x v="558"/>
    <s v="SHYAM BIHARI BUILDING MATERIAL"/>
    <n v="171226"/>
    <s v="SATYA TRADERS"/>
    <n v="77"/>
    <n v="0"/>
    <n v="0"/>
    <n v="42"/>
    <n v="0"/>
    <n v="0"/>
    <n v="77"/>
    <n v="0"/>
    <n v="0"/>
    <n v="35"/>
    <n v="0"/>
    <n v="0"/>
    <n v="0"/>
    <n v="0"/>
    <n v="0"/>
    <n v="0"/>
    <n v="0"/>
    <n v="0"/>
    <n v="35"/>
    <n v="0"/>
    <n v="0"/>
    <n v="40"/>
    <n v="0"/>
    <n v="20"/>
    <n v="306"/>
    <n v="0"/>
    <n v="0"/>
    <s v="SAWAI MADHOPUR"/>
    <s v="SAWAI MADHOPUR"/>
    <s v="RJ-AJMER"/>
    <d v="2021-11-20T00:00:00"/>
  </r>
  <r>
    <s v="817263170204"/>
    <x v="559"/>
    <s v="TULARA TRADERS"/>
    <n v="170204"/>
    <s v="GOYAL BUILDING MATERIAL"/>
    <n v="41.5"/>
    <n v="30"/>
    <n v="0"/>
    <n v="30"/>
    <n v="41.5"/>
    <n v="0"/>
    <n v="22"/>
    <n v="0"/>
    <n v="0"/>
    <n v="77"/>
    <n v="0"/>
    <n v="0"/>
    <n v="132"/>
    <n v="18"/>
    <n v="42"/>
    <n v="57"/>
    <n v="0"/>
    <n v="0"/>
    <n v="20"/>
    <n v="0"/>
    <n v="0"/>
    <n v="40"/>
    <n v="0"/>
    <n v="0"/>
    <n v="419.5"/>
    <n v="89.5"/>
    <n v="42"/>
    <s v="SAWAI MADHOPUR"/>
    <s v="SAWAI MADHOPUR"/>
    <s v="RJ-AJMER"/>
    <d v="2021-12-11T00:00:00"/>
  </r>
  <r>
    <s v="817264170200"/>
    <x v="560"/>
    <s v="INDIRA GANDHI CONTRACTOR"/>
    <n v="170200"/>
    <s v="GARG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12-11T00:00:00"/>
  </r>
  <r>
    <s v="817264212091"/>
    <x v="560"/>
    <s v="INDIRA GANDHI CONTRACTOR"/>
    <n v="212091"/>
    <s v="GARG TRADING COMPANY"/>
    <n v="35"/>
    <n v="0"/>
    <n v="0"/>
    <n v="70"/>
    <n v="0"/>
    <n v="0"/>
    <n v="0"/>
    <n v="0"/>
    <n v="0"/>
    <n v="44.1"/>
    <n v="0"/>
    <n v="0"/>
    <n v="0"/>
    <n v="0"/>
    <n v="0"/>
    <n v="0"/>
    <n v="0"/>
    <n v="0"/>
    <n v="0"/>
    <n v="0"/>
    <n v="0"/>
    <n v="35"/>
    <n v="0"/>
    <n v="0"/>
    <n v="184.1"/>
    <n v="0"/>
    <n v="0"/>
    <s v="SAWAI MADHOPUR"/>
    <s v="SAWAI MADHOPUR"/>
    <s v="RJ-AJMER"/>
    <d v="2021-12-11T00:00:00"/>
  </r>
  <r>
    <s v="817271170204"/>
    <x v="561"/>
    <s v="BHAIRAV BUILDING MATERIAL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1-12-11T00:00:00"/>
  </r>
  <r>
    <s v="817647170204"/>
    <x v="562"/>
    <s v="JAI AMBEY KHAD BEEJ BHANDAR"/>
    <n v="170204"/>
    <s v="GOYAL BUILDING MATERIAL"/>
    <n v="9.5"/>
    <n v="0"/>
    <n v="0"/>
    <n v="20"/>
    <n v="0"/>
    <n v="0"/>
    <n v="0"/>
    <n v="0"/>
    <n v="0"/>
    <n v="10"/>
    <n v="0"/>
    <n v="0"/>
    <n v="20"/>
    <n v="0"/>
    <n v="0"/>
    <n v="0"/>
    <n v="0"/>
    <n v="0"/>
    <n v="0"/>
    <n v="0"/>
    <n v="0"/>
    <n v="0"/>
    <n v="0"/>
    <n v="0"/>
    <n v="59.5"/>
    <n v="0"/>
    <n v="0"/>
    <s v="SAWAI MADHOPUR"/>
    <s v="SAWAI MADHOPUR"/>
    <s v="RJ-AJMER"/>
    <d v="2022-01-11T00:00:00"/>
  </r>
  <r>
    <s v="817774170200"/>
    <x v="563"/>
    <s v="OM PRAKASH BUILDING MATERIAL"/>
    <n v="170200"/>
    <s v="GARG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2-01-21T00:00:00"/>
  </r>
  <r>
    <s v="817774212091"/>
    <x v="563"/>
    <s v="OM PRAKASH BUILDING MATERIAL"/>
    <n v="212091"/>
    <s v="GARG TRADING COMPANY"/>
    <n v="125"/>
    <n v="0"/>
    <n v="0"/>
    <n v="35"/>
    <n v="0"/>
    <n v="0"/>
    <n v="0"/>
    <n v="0"/>
    <n v="0"/>
    <n v="0"/>
    <n v="0"/>
    <n v="0"/>
    <n v="20"/>
    <n v="0"/>
    <n v="0"/>
    <n v="76"/>
    <n v="0"/>
    <n v="0"/>
    <n v="0"/>
    <n v="0"/>
    <n v="0"/>
    <n v="0"/>
    <n v="0"/>
    <n v="0"/>
    <n v="256"/>
    <n v="0"/>
    <n v="0"/>
    <s v="SAWAI MADHOPUR"/>
    <s v="SAWAI MADHOPUR"/>
    <s v="RJ-AJMER"/>
    <d v="2022-01-21T00:00:00"/>
  </r>
  <r>
    <s v="817882207019"/>
    <x v="564"/>
    <s v="ARPITA TRADERS"/>
    <n v="207019"/>
    <s v="MANISHA TRADERS"/>
    <n v="35"/>
    <n v="0"/>
    <n v="0"/>
    <n v="45"/>
    <n v="0"/>
    <n v="0"/>
    <n v="35"/>
    <n v="0"/>
    <n v="0"/>
    <n v="15"/>
    <n v="0"/>
    <n v="0"/>
    <n v="0"/>
    <n v="0"/>
    <n v="0"/>
    <n v="15"/>
    <n v="0"/>
    <n v="0"/>
    <n v="0"/>
    <n v="0"/>
    <n v="0"/>
    <n v="0"/>
    <n v="0"/>
    <n v="0"/>
    <n v="145"/>
    <n v="0"/>
    <n v="0"/>
    <s v="SAWAI MADHOPUR"/>
    <s v="SAWAI MADHOPUR"/>
    <s v="RJ-AJMER"/>
    <d v="2022-01-29T00:00:00"/>
  </r>
  <r>
    <s v="817894203811"/>
    <x v="565"/>
    <s v="KRISHNA TRADING COMPANY"/>
    <n v="203811"/>
    <s v="RAMPRASAD FERTILIZERS"/>
    <n v="34"/>
    <n v="0"/>
    <n v="0"/>
    <n v="0"/>
    <n v="0"/>
    <n v="0"/>
    <n v="35"/>
    <n v="0"/>
    <n v="35"/>
    <n v="70"/>
    <n v="0"/>
    <n v="0"/>
    <n v="0"/>
    <n v="0"/>
    <n v="0"/>
    <n v="0"/>
    <n v="0"/>
    <n v="0"/>
    <n v="25"/>
    <n v="0"/>
    <n v="0"/>
    <n v="20"/>
    <n v="0"/>
    <n v="0"/>
    <n v="184"/>
    <n v="0"/>
    <n v="35"/>
    <s v="SAWAI MADHOPUR"/>
    <s v="SAWAI MADHOPUR"/>
    <s v="RJ-AJMER"/>
    <d v="2022-01-29T00:00:00"/>
  </r>
  <r>
    <s v="817905211138"/>
    <x v="566"/>
    <s v="GUPTA  BUILDING MATERIAL"/>
    <n v="211138"/>
    <s v="LAXMIKANT BUILDING MATERIAL"/>
    <n v="0"/>
    <n v="0"/>
    <n v="0"/>
    <n v="35"/>
    <n v="0"/>
    <n v="0"/>
    <n v="42"/>
    <n v="0"/>
    <n v="0"/>
    <n v="35"/>
    <n v="0"/>
    <n v="35"/>
    <n v="15"/>
    <n v="0"/>
    <n v="0"/>
    <n v="37"/>
    <n v="0"/>
    <n v="0"/>
    <n v="77"/>
    <n v="0"/>
    <n v="0"/>
    <n v="42"/>
    <n v="0"/>
    <n v="0"/>
    <n v="283"/>
    <n v="0"/>
    <n v="35"/>
    <s v="SAWAI MADHOPUR"/>
    <s v="SAWAI MADHOPUR"/>
    <s v="RJ-AJMER"/>
    <d v="2022-01-31T00:00:00"/>
  </r>
  <r>
    <s v="817940202142"/>
    <x v="567"/>
    <s v="SHEETAL BUILING MATERIAL"/>
    <n v="202142"/>
    <s v="PRAHALAD KUMAR LABOUR SUPPLIER"/>
    <n v="35"/>
    <n v="0"/>
    <n v="0"/>
    <n v="25"/>
    <n v="0"/>
    <n v="0"/>
    <n v="35"/>
    <n v="0"/>
    <n v="0"/>
    <n v="25"/>
    <n v="0"/>
    <n v="0"/>
    <n v="0"/>
    <n v="0"/>
    <n v="0"/>
    <n v="0"/>
    <n v="0"/>
    <n v="0"/>
    <n v="0"/>
    <n v="0"/>
    <n v="0"/>
    <n v="0"/>
    <n v="0"/>
    <n v="0"/>
    <n v="120"/>
    <n v="0"/>
    <n v="0"/>
    <s v="SAWAI MADHOPUR"/>
    <s v="SAWAI MADHOPUR"/>
    <s v="RJ-AJMER"/>
    <d v="2022-02-01T00:00:00"/>
  </r>
  <r>
    <s v="818135170204"/>
    <x v="568"/>
    <s v="MAHESH BUILDING MATERIAL"/>
    <n v="170204"/>
    <s v="GOYAL BUILDING MATERIAL"/>
    <n v="30"/>
    <n v="0"/>
    <n v="0"/>
    <n v="107"/>
    <n v="0"/>
    <n v="0"/>
    <n v="20"/>
    <n v="0"/>
    <n v="0"/>
    <n v="48"/>
    <n v="0"/>
    <n v="0"/>
    <n v="45"/>
    <n v="0"/>
    <n v="0"/>
    <n v="42"/>
    <n v="0"/>
    <n v="0"/>
    <n v="0"/>
    <n v="0"/>
    <n v="0"/>
    <n v="40"/>
    <n v="0"/>
    <n v="0"/>
    <n v="332"/>
    <n v="0"/>
    <n v="0"/>
    <s v="SAWAI MADHOPUR"/>
    <s v="SAWAI MADHOPUR"/>
    <s v="RJ-AJMER"/>
    <d v="2022-02-24T00:00:00"/>
  </r>
  <r>
    <s v="818238170204"/>
    <x v="569"/>
    <s v="KAZI TRADING COMPANY"/>
    <n v="170204"/>
    <s v="GOYAL BUILDING MATERIAL"/>
    <n v="76.5"/>
    <n v="0"/>
    <n v="0"/>
    <n v="103"/>
    <n v="0"/>
    <n v="0"/>
    <n v="116"/>
    <n v="0"/>
    <n v="0"/>
    <n v="66"/>
    <n v="0"/>
    <n v="0"/>
    <n v="40"/>
    <n v="0"/>
    <n v="0"/>
    <n v="22"/>
    <n v="0"/>
    <n v="0"/>
    <n v="64"/>
    <n v="0"/>
    <n v="0"/>
    <n v="7.5"/>
    <n v="0"/>
    <n v="0"/>
    <n v="495"/>
    <n v="0"/>
    <n v="0"/>
    <s v="SAWAI MADHOPUR"/>
    <s v="SAWAI MADHOPUR"/>
    <s v="RJ-AJMER"/>
    <d v="2022-03-02T00:00:00"/>
  </r>
  <r>
    <s v="818240144746"/>
    <x v="570"/>
    <s v="MANISH AGENCY"/>
    <n v="144746"/>
    <s v="JAIN BUILDING MATERIAL SUPPLIE"/>
    <n v="97"/>
    <n v="0"/>
    <n v="0"/>
    <n v="42"/>
    <n v="0"/>
    <n v="0"/>
    <n v="70"/>
    <n v="0"/>
    <n v="0"/>
    <n v="40"/>
    <n v="0"/>
    <n v="0"/>
    <n v="0"/>
    <n v="0"/>
    <n v="0"/>
    <n v="55"/>
    <n v="0"/>
    <n v="20"/>
    <n v="17.5"/>
    <n v="0"/>
    <n v="0"/>
    <n v="78"/>
    <n v="0"/>
    <n v="0"/>
    <n v="399.5"/>
    <n v="0"/>
    <n v="20"/>
    <s v="SAWAI MADHOPUR"/>
    <s v="SAWAI MADHOPUR"/>
    <s v="RJ-AJMER"/>
    <d v="2022-03-02T00:00:00"/>
  </r>
  <r>
    <s v="818391170132"/>
    <x v="571"/>
    <s v="AJAY TRADERS"/>
    <n v="170132"/>
    <s v="JAI KOSHLESH TRADING COMPANY"/>
    <n v="35"/>
    <n v="0"/>
    <n v="0"/>
    <n v="85"/>
    <n v="0"/>
    <n v="0"/>
    <n v="47"/>
    <n v="0"/>
    <n v="0"/>
    <n v="22.5"/>
    <n v="0"/>
    <n v="0"/>
    <n v="55"/>
    <n v="0"/>
    <n v="0"/>
    <n v="20"/>
    <n v="0"/>
    <n v="0"/>
    <n v="0"/>
    <n v="0"/>
    <n v="0"/>
    <n v="0"/>
    <n v="0"/>
    <n v="0"/>
    <n v="264.5"/>
    <n v="0"/>
    <n v="0"/>
    <s v="SAWAI MADHOPUR"/>
    <s v="SAWAI MADHOPUR"/>
    <s v="RJ-AJMER"/>
    <d v="2022-03-17T00:00:00"/>
  </r>
  <r>
    <s v="818391203995"/>
    <x v="571"/>
    <s v="AJAY TRADERS"/>
    <n v="203995"/>
    <s v="JAI KOSHLES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2-03-17T00:00:00"/>
  </r>
  <r>
    <s v="818392170132"/>
    <x v="572"/>
    <s v="KHAN TRADING COMPANY"/>
    <n v="170132"/>
    <s v="JAI KOSHLESH TRADING COMPANY"/>
    <n v="0"/>
    <n v="0"/>
    <n v="0"/>
    <n v="1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s v="SAWAI MADHOPUR"/>
    <s v="SAWAI MADHOPUR"/>
    <s v="RJ-AJMER"/>
    <d v="2022-03-17T00:00:00"/>
  </r>
  <r>
    <s v="818392203995"/>
    <x v="572"/>
    <s v="KHAN TRADING COMPANY"/>
    <n v="203995"/>
    <s v="JAI KOSHLES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AWAI MADHOPUR"/>
    <s v="SAWAI MADHOPUR"/>
    <s v="RJ-AJMER"/>
    <d v="2022-03-17T00:00:00"/>
  </r>
  <r>
    <s v="818556170204"/>
    <x v="573"/>
    <s v="JEMINI BUIDING MATERIAL"/>
    <n v="170204"/>
    <s v="GOYAL BUILDING MATERIAL"/>
    <n v="3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s v="SAWAI MADHOPUR"/>
    <s v="SAWAI MADHOPUR"/>
    <s v="RJ-AJMER"/>
    <d v="2022-03-31T00:00:00"/>
  </r>
  <r>
    <s v="818595170203"/>
    <x v="574"/>
    <s v="BHAWNA TRADERS"/>
    <n v="170203"/>
    <s v="SHIV TRADERS"/>
    <n v="0"/>
    <n v="0"/>
    <n v="0"/>
    <n v="50"/>
    <n v="0"/>
    <n v="0"/>
    <n v="4.5"/>
    <n v="0"/>
    <n v="0"/>
    <n v="105"/>
    <n v="0"/>
    <n v="0"/>
    <n v="0"/>
    <n v="0"/>
    <n v="0"/>
    <n v="20"/>
    <n v="0"/>
    <n v="0"/>
    <n v="10"/>
    <n v="0"/>
    <n v="0"/>
    <n v="137.5"/>
    <n v="0"/>
    <n v="7.5"/>
    <n v="327"/>
    <n v="0"/>
    <n v="0"/>
    <s v="SAWAI MADHOPUR"/>
    <s v="SAWAI MADHOPUR"/>
    <s v="RJ-AJMER"/>
    <d v="2022-04-07T00:00:00"/>
  </r>
  <r>
    <s v="819150170146"/>
    <x v="575"/>
    <s v="RANVEER BUILDING MATERIAL"/>
    <n v="170146"/>
    <s v="KASLIWAL KRISHI SEWA KENDRA"/>
    <n v="0"/>
    <n v="0"/>
    <n v="0"/>
    <n v="0"/>
    <n v="0"/>
    <n v="0"/>
    <n v="35"/>
    <n v="0"/>
    <n v="0"/>
    <n v="10"/>
    <n v="0"/>
    <n v="0"/>
    <n v="0"/>
    <n v="0"/>
    <n v="0"/>
    <n v="10"/>
    <n v="0"/>
    <n v="0"/>
    <n v="0"/>
    <n v="0"/>
    <n v="0"/>
    <n v="25"/>
    <n v="0"/>
    <n v="0"/>
    <n v="80"/>
    <n v="0"/>
    <n v="0"/>
    <s v="SAWAI MADHOPUR"/>
    <s v="SAWAI MADHOPUR"/>
    <s v="RJ-AJMER"/>
    <d v="2022-05-31T00:00:00"/>
  </r>
  <r>
    <s v="819168170363"/>
    <x v="576"/>
    <s v="BANWARI BUILDING MATERIALS"/>
    <n v="170363"/>
    <s v="GOLDEN TRADERS"/>
    <n v="0"/>
    <n v="0"/>
    <n v="0"/>
    <n v="0"/>
    <n v="0"/>
    <n v="0"/>
    <n v="77"/>
    <n v="0"/>
    <n v="0"/>
    <n v="0"/>
    <n v="0"/>
    <n v="0"/>
    <n v="0"/>
    <n v="0"/>
    <n v="0"/>
    <n v="15"/>
    <n v="0"/>
    <n v="0"/>
    <n v="0"/>
    <n v="0"/>
    <n v="0"/>
    <n v="7"/>
    <n v="0"/>
    <n v="0"/>
    <n v="99"/>
    <n v="0"/>
    <n v="0"/>
    <s v="SAWAI MADHOPUR"/>
    <s v="SAWAI MADHOPUR"/>
    <s v="RJ-AJMER"/>
    <d v="2022-06-02T00:00:00"/>
  </r>
  <r>
    <s v="819474170204"/>
    <x v="577"/>
    <s v="VISHAL BUILDING MATERIAL"/>
    <n v="170204"/>
    <s v="GOYAL BUILDING MATERIAL"/>
    <n v="0"/>
    <n v="0"/>
    <n v="0"/>
    <n v="0"/>
    <n v="0"/>
    <n v="0"/>
    <n v="30"/>
    <n v="0"/>
    <n v="0"/>
    <n v="40"/>
    <n v="0"/>
    <n v="0"/>
    <n v="69.5"/>
    <n v="0"/>
    <n v="0"/>
    <n v="115"/>
    <n v="11"/>
    <n v="0"/>
    <n v="84"/>
    <n v="0"/>
    <n v="0"/>
    <n v="15"/>
    <n v="0"/>
    <n v="0"/>
    <n v="353.5"/>
    <n v="11"/>
    <n v="0"/>
    <s v="SAWAI MADHOPUR"/>
    <s v="SAWAI MADHOPUR"/>
    <s v="RJ-AJMER"/>
    <d v="2022-06-23T00:00:00"/>
  </r>
  <r>
    <s v="819608207019"/>
    <x v="578"/>
    <s v="MAHAVEER AGENCY"/>
    <n v="207019"/>
    <s v="MANISHA TRADERS"/>
    <n v="0"/>
    <n v="0"/>
    <n v="0"/>
    <n v="0"/>
    <n v="0"/>
    <n v="0"/>
    <n v="0"/>
    <n v="0"/>
    <n v="0"/>
    <n v="47"/>
    <n v="0"/>
    <n v="0"/>
    <n v="42"/>
    <n v="0"/>
    <n v="0"/>
    <n v="43"/>
    <n v="0"/>
    <n v="0"/>
    <n v="70"/>
    <n v="0"/>
    <n v="0"/>
    <n v="20"/>
    <n v="0"/>
    <n v="0"/>
    <n v="222"/>
    <n v="0"/>
    <n v="0"/>
    <s v="SAWAI MADHOPUR"/>
    <s v="SAWAI MADHOPUR"/>
    <s v="RJ-AJMER"/>
    <d v="2022-07-04T00:00:00"/>
  </r>
  <r>
    <s v="819745201741"/>
    <x v="579"/>
    <s v="SHRI SHYAM TRADING COMPANY"/>
    <n v="201741"/>
    <s v="AGARWAL BUILDING MATERIAL"/>
    <n v="0"/>
    <n v="0"/>
    <n v="0"/>
    <n v="0"/>
    <n v="0"/>
    <n v="0"/>
    <n v="0"/>
    <n v="0"/>
    <n v="0"/>
    <n v="42"/>
    <n v="0"/>
    <n v="0"/>
    <n v="42"/>
    <n v="0"/>
    <n v="0"/>
    <n v="44"/>
    <n v="0"/>
    <n v="0"/>
    <n v="47"/>
    <n v="0"/>
    <n v="0"/>
    <n v="17.5"/>
    <n v="0"/>
    <n v="0"/>
    <n v="192.5"/>
    <n v="0"/>
    <n v="0"/>
    <s v="SAWAI MADHOPUR"/>
    <s v="SAWAI MADHOPUR"/>
    <s v="RJ-AJMER"/>
    <d v="2022-07-14T00:00:00"/>
  </r>
  <r>
    <s v="819860209705"/>
    <x v="580"/>
    <s v="SONU BUILDING MATERIAL"/>
    <n v="209705"/>
    <s v="ROYAL BUILDING MATERIAL"/>
    <n v="0"/>
    <n v="0"/>
    <n v="0"/>
    <n v="0"/>
    <n v="0"/>
    <n v="0"/>
    <n v="0"/>
    <n v="0"/>
    <n v="0"/>
    <n v="75"/>
    <n v="0"/>
    <n v="0"/>
    <n v="45"/>
    <n v="0"/>
    <n v="0"/>
    <n v="132"/>
    <n v="0"/>
    <n v="0"/>
    <n v="45"/>
    <n v="0"/>
    <n v="0"/>
    <n v="92"/>
    <n v="0"/>
    <n v="0"/>
    <n v="389"/>
    <n v="0"/>
    <n v="0"/>
    <s v="SAWAI MADHOPUR"/>
    <s v="SAWAI MADHOPUR"/>
    <s v="RJ-AJMER"/>
    <d v="2022-07-21T00:00:00"/>
  </r>
  <r>
    <s v="820265170363"/>
    <x v="581"/>
    <s v="AWESH TRADERS"/>
    <n v="170363"/>
    <s v="GOLDEN TRADERS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37"/>
    <n v="0"/>
    <n v="0"/>
    <n v="0"/>
    <n v="0"/>
    <n v="0"/>
    <n v="57"/>
    <n v="0"/>
    <n v="0"/>
    <s v="SAWAI MADHOPUR"/>
    <s v="SAWAI MADHOPUR"/>
    <s v="RJ-AJMER"/>
    <d v="2022-08-25T00:00:00"/>
  </r>
  <r>
    <s v="814723201741"/>
    <x v="534"/>
    <s v="VIKAS CONSTRUCTION"/>
    <n v="201741"/>
    <s v="AGARWAL BUILDING MATERIAL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SAWAI MADHOPUR"/>
    <s v="SAWAI MADHOPUR"/>
    <s v="RJ-AJMER"/>
    <d v="2021-03-09T00:00:00"/>
  </r>
  <r>
    <s v="814723213813"/>
    <x v="534"/>
    <s v="VIKAS CONSTRUCTION"/>
    <n v="213813"/>
    <s v="JAGDAMBA TRADING COMPANY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12"/>
    <n v="0"/>
    <n v="0"/>
    <n v="0"/>
    <n v="0"/>
    <n v="0"/>
    <n v="47"/>
    <n v="0"/>
    <n v="0"/>
    <s v="SAWAI MADHOPUR"/>
    <s v="SAWAI MADHOPUR"/>
    <s v="RJ-AJMER"/>
    <d v="2021-03-09T00:00:00"/>
  </r>
  <r>
    <s v="819939171226"/>
    <x v="582"/>
    <s v="SAIZAL BUILDING MATERIAL"/>
    <n v="171226"/>
    <s v="SATYA TRADER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0"/>
    <n v="0"/>
    <n v="0"/>
    <n v="25"/>
    <n v="0"/>
    <n v="0"/>
    <s v="SAWAI MADHOPUR"/>
    <s v="SAWAI MADHOPUR"/>
    <s v="RJ-AJMER"/>
    <d v="2022-07-26T00:00:00"/>
  </r>
  <r>
    <s v="820574172097"/>
    <x v="583"/>
    <s v="ANJALI TRADING COMPANY"/>
    <n v="172097"/>
    <s v="BANSAL TRADING COMPANY"/>
    <n v="0"/>
    <n v="0"/>
    <n v="0"/>
    <n v="0"/>
    <n v="0"/>
    <n v="0"/>
    <n v="0"/>
    <n v="0"/>
    <n v="0"/>
    <n v="0"/>
    <n v="0"/>
    <n v="0"/>
    <n v="0"/>
    <n v="0"/>
    <n v="0"/>
    <n v="56"/>
    <n v="0"/>
    <n v="0"/>
    <n v="130"/>
    <n v="0"/>
    <n v="0"/>
    <n v="110"/>
    <n v="0"/>
    <n v="6"/>
    <n v="296"/>
    <n v="0"/>
    <n v="0"/>
    <s v="SAWAI MADHOPUR"/>
    <s v="SAWAI MADHOPUR"/>
    <s v="RJ-AJMER"/>
    <d v="2022-09-17T00:00:00"/>
  </r>
  <r>
    <s v="820811176871"/>
    <x v="584"/>
    <s v="MAHAVEER TRADERS"/>
    <n v="176871"/>
    <s v="SHREE BALAJ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0"/>
    <n v="0"/>
    <n v="0"/>
    <n v="0"/>
    <n v="0"/>
    <n v="34"/>
    <n v="0"/>
    <n v="0"/>
    <s v="SAWAI MADHOPUR"/>
    <s v="SAWAI MADHOPUR"/>
    <s v="RJ-AJMER"/>
    <d v="2022-09-29T00:00:00"/>
  </r>
  <r>
    <s v="817940170204"/>
    <x v="567"/>
    <s v="SHEETAL BUILING MATERIAL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2"/>
    <n v="0"/>
    <n v="0"/>
    <n v="42"/>
    <n v="0"/>
    <n v="0"/>
    <s v="SAWAI MADHOPUR"/>
    <s v="SAWAI MADHOPUR"/>
    <s v="RJ-AJMER"/>
    <d v="2022-02-01T00:00:00"/>
  </r>
  <r>
    <s v="821059170204"/>
    <x v="585"/>
    <s v="SHYAM KHAD BEEJ BHANDAR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SAWAI MADHOPUR"/>
    <s v="SAWAI MADHOPUR"/>
    <s v="RJ-AJMER"/>
    <d v="2022-10-22T00:00:00"/>
  </r>
  <r>
    <s v="821061170204"/>
    <x v="586"/>
    <s v="MANOJ CEMENT AGENCY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SAWAI MADHOPUR"/>
    <s v="SAWAI MADHOPUR"/>
    <s v="RJ-AJMER"/>
    <d v="2022-10-22T00:00:00"/>
  </r>
  <r>
    <s v="804178119046"/>
    <x v="587"/>
    <s v="SHIV TRADERS"/>
    <n v="119046"/>
    <s v="GARG AGRO AGENCIES"/>
    <n v="0"/>
    <n v="0"/>
    <n v="0"/>
    <n v="20"/>
    <n v="0"/>
    <n v="0"/>
    <n v="0"/>
    <n v="0"/>
    <n v="0"/>
    <n v="10"/>
    <n v="9"/>
    <n v="0"/>
    <n v="20"/>
    <n v="0"/>
    <n v="0"/>
    <n v="0"/>
    <n v="0"/>
    <n v="0"/>
    <n v="0"/>
    <n v="0"/>
    <n v="0"/>
    <n v="75"/>
    <n v="0"/>
    <n v="0"/>
    <n v="125"/>
    <n v="9"/>
    <n v="0"/>
    <s v="ALWAR"/>
    <s v="ALWAR"/>
    <s v="RJ-JAIPUR"/>
    <d v="2015-08-11T00:00:00"/>
  </r>
  <r>
    <s v="804286119046"/>
    <x v="588"/>
    <s v="ASHWINI AND SONS"/>
    <n v="119046"/>
    <s v="GARG AGRO AGENCIES"/>
    <n v="61.5"/>
    <n v="0"/>
    <n v="0"/>
    <n v="20"/>
    <n v="0"/>
    <n v="0"/>
    <n v="76"/>
    <n v="0"/>
    <n v="0"/>
    <n v="35"/>
    <n v="0"/>
    <n v="10"/>
    <n v="20"/>
    <n v="0"/>
    <n v="0"/>
    <n v="45"/>
    <n v="0"/>
    <n v="0"/>
    <n v="42"/>
    <n v="0"/>
    <n v="0"/>
    <n v="31"/>
    <n v="0"/>
    <n v="0"/>
    <n v="330.5"/>
    <n v="0"/>
    <n v="10"/>
    <s v="ALWAR"/>
    <s v="ALWAR"/>
    <s v="RJ-JAIPUR"/>
    <d v="2015-09-15T00:00:00"/>
  </r>
  <r>
    <s v="804980171880"/>
    <x v="589"/>
    <s v="SHREE OM TRADING COMPANY"/>
    <n v="171880"/>
    <s v="BHUVAN AGENC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16-04-25T00:00:00"/>
  </r>
  <r>
    <s v="806430175288"/>
    <x v="590"/>
    <s v="SHUBHAM BUILDIERS"/>
    <n v="175288"/>
    <s v="LAXMI TRADERS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s v="ALWAR"/>
    <s v="ALWAR"/>
    <s v="RJ-JAIPUR"/>
    <d v="2017-06-06T00:00:00"/>
  </r>
  <r>
    <s v="806430210619"/>
    <x v="590"/>
    <s v="SHUBHAM BUILDIERS"/>
    <n v="210619"/>
    <s v="JAGDAMBA TRADING CO"/>
    <n v="0"/>
    <n v="0"/>
    <n v="0"/>
    <n v="50"/>
    <n v="0"/>
    <n v="0"/>
    <n v="105"/>
    <n v="0"/>
    <n v="0"/>
    <n v="85"/>
    <n v="0"/>
    <n v="0"/>
    <n v="90"/>
    <n v="0"/>
    <n v="0"/>
    <n v="82"/>
    <n v="0"/>
    <n v="22"/>
    <n v="43.5"/>
    <n v="36"/>
    <n v="0"/>
    <n v="55.55"/>
    <n v="0"/>
    <n v="0"/>
    <n v="511.05"/>
    <n v="36"/>
    <n v="22"/>
    <s v="ALWAR"/>
    <s v="ALWAR"/>
    <s v="RJ-JAIPUR"/>
    <d v="2017-06-06T00:00:00"/>
  </r>
  <r>
    <s v="806431149765"/>
    <x v="591"/>
    <s v="SISODIYA TRADERS"/>
    <n v="149765"/>
    <s v="ARORA CEMENT AGENCY"/>
    <n v="20"/>
    <n v="0"/>
    <n v="0"/>
    <n v="20"/>
    <n v="0"/>
    <n v="0"/>
    <n v="30"/>
    <n v="0"/>
    <n v="0"/>
    <n v="20"/>
    <n v="0"/>
    <n v="0"/>
    <n v="20"/>
    <n v="0"/>
    <n v="0"/>
    <n v="15"/>
    <n v="0"/>
    <n v="0"/>
    <n v="10"/>
    <n v="0"/>
    <n v="0"/>
    <n v="10"/>
    <n v="0"/>
    <n v="0"/>
    <n v="145"/>
    <n v="0"/>
    <n v="0"/>
    <s v="ALWAR"/>
    <s v="ALWAR"/>
    <s v="RJ-JAIPUR"/>
    <d v="2017-06-06T00:00:00"/>
  </r>
  <r>
    <s v="806484148557"/>
    <x v="592"/>
    <s v="GUPTA CEMENT AGENCY"/>
    <n v="148557"/>
    <s v="MITALI ALLOYS PVT LTD"/>
    <n v="81.5"/>
    <n v="0"/>
    <n v="0"/>
    <n v="61.5"/>
    <n v="0"/>
    <n v="0"/>
    <n v="91.5"/>
    <n v="3"/>
    <n v="0"/>
    <n v="67.8"/>
    <n v="19"/>
    <n v="0"/>
    <n v="29"/>
    <n v="0"/>
    <n v="0"/>
    <n v="68"/>
    <n v="0"/>
    <n v="0"/>
    <n v="36.5"/>
    <n v="0"/>
    <n v="0"/>
    <n v="108"/>
    <n v="6"/>
    <n v="0"/>
    <n v="543.79999999999995"/>
    <n v="22"/>
    <n v="0"/>
    <s v="ALWAR"/>
    <s v="ALWAR"/>
    <s v="RJ-JAIPUR"/>
    <d v="2017-06-20T00:00:00"/>
  </r>
  <r>
    <s v="806487149765"/>
    <x v="593"/>
    <s v="BANWARI LAL PRAKESH CHAND"/>
    <n v="149765"/>
    <s v="ARORA CEMENT AGENCY"/>
    <n v="70"/>
    <n v="0"/>
    <n v="0"/>
    <n v="60"/>
    <n v="0"/>
    <n v="0"/>
    <n v="50"/>
    <n v="0"/>
    <n v="0"/>
    <n v="45"/>
    <n v="0"/>
    <n v="0"/>
    <n v="30"/>
    <n v="0"/>
    <n v="10"/>
    <n v="27.5"/>
    <n v="0"/>
    <n v="0"/>
    <n v="14.85"/>
    <n v="4.8499999999999996"/>
    <n v="0"/>
    <n v="20"/>
    <n v="0"/>
    <n v="0"/>
    <n v="317.35000000000002"/>
    <n v="4.8499999999999996"/>
    <n v="10"/>
    <s v="ALWAR"/>
    <s v="ALWAR"/>
    <s v="RJ-JAIPUR"/>
    <d v="2017-06-20T00:00:00"/>
  </r>
  <r>
    <s v="806615149765"/>
    <x v="594"/>
    <s v="MAVAR CEMENT AGENCY"/>
    <n v="149765"/>
    <s v="ARORA CEMENT AGENCY"/>
    <n v="20"/>
    <n v="0"/>
    <n v="0"/>
    <n v="10"/>
    <n v="0"/>
    <n v="0"/>
    <n v="20"/>
    <n v="0"/>
    <n v="0"/>
    <n v="10"/>
    <n v="0"/>
    <n v="0"/>
    <n v="30"/>
    <n v="0"/>
    <n v="0"/>
    <n v="7.5"/>
    <n v="0"/>
    <n v="0"/>
    <n v="15.1"/>
    <n v="0"/>
    <n v="0"/>
    <n v="0"/>
    <n v="0"/>
    <n v="0"/>
    <n v="112.6"/>
    <n v="0"/>
    <n v="0"/>
    <s v="ALWAR"/>
    <s v="ALWAR"/>
    <s v="RJ-JAIPUR"/>
    <d v="2017-07-19T00:00:00"/>
  </r>
  <r>
    <s v="806689149765"/>
    <x v="595"/>
    <s v="KAKA BUILDERS"/>
    <n v="149765"/>
    <s v="ARORA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17-08-11T00:00:00"/>
  </r>
  <r>
    <s v="806720172252"/>
    <x v="596"/>
    <s v="YADHWANSHI BUILDING MATERIAL"/>
    <n v="172252"/>
    <s v="GUPT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17-08-17T00:00:00"/>
  </r>
  <r>
    <s v="806721140927"/>
    <x v="597"/>
    <s v="TANVI CEMENT AGENCY"/>
    <n v="140927"/>
    <s v="SHIV CHARAN LAL RAKESH KUMAR"/>
    <n v="50"/>
    <n v="0"/>
    <n v="0"/>
    <n v="40"/>
    <n v="0"/>
    <n v="0"/>
    <n v="30"/>
    <n v="0"/>
    <n v="0"/>
    <n v="55"/>
    <n v="0"/>
    <n v="0"/>
    <n v="52"/>
    <n v="0"/>
    <n v="0"/>
    <n v="59"/>
    <n v="0"/>
    <n v="0"/>
    <n v="50.6"/>
    <n v="9.6"/>
    <n v="7.5"/>
    <n v="32.5"/>
    <n v="0"/>
    <n v="7.5"/>
    <n v="369.1"/>
    <n v="9.6"/>
    <n v="7.5"/>
    <s v="ALWAR"/>
    <s v="ALWAR"/>
    <s v="RJ-JAIPUR"/>
    <d v="2017-08-17T00:00:00"/>
  </r>
  <r>
    <s v="806871119046"/>
    <x v="598"/>
    <s v="KISAAN KHAD BEEJ BHANDAR"/>
    <n v="119046"/>
    <s v="GARG AGRO AGENCIES"/>
    <n v="42"/>
    <n v="0"/>
    <n v="0"/>
    <n v="20"/>
    <n v="0"/>
    <n v="0"/>
    <n v="110.5"/>
    <n v="0"/>
    <n v="0"/>
    <n v="45"/>
    <n v="0"/>
    <n v="0"/>
    <n v="85"/>
    <n v="0"/>
    <n v="0"/>
    <n v="20"/>
    <n v="0"/>
    <n v="0"/>
    <n v="0"/>
    <n v="0"/>
    <n v="0"/>
    <n v="25"/>
    <n v="0"/>
    <n v="0"/>
    <n v="347.5"/>
    <n v="0"/>
    <n v="0"/>
    <s v="ALWAR"/>
    <s v="ALWAR"/>
    <s v="RJ-JAIPUR"/>
    <d v="2017-09-11T00:00:00"/>
  </r>
  <r>
    <s v="807201149765"/>
    <x v="599"/>
    <s v="SHRI RADHA SHYAM BUILDERS"/>
    <n v="149765"/>
    <s v="ARORA CEMENT AGENCY"/>
    <n v="0"/>
    <n v="0"/>
    <n v="0"/>
    <n v="10"/>
    <n v="0"/>
    <n v="0"/>
    <n v="0"/>
    <n v="0"/>
    <n v="0"/>
    <n v="15"/>
    <n v="0"/>
    <n v="0"/>
    <n v="10"/>
    <n v="0"/>
    <n v="0"/>
    <n v="15"/>
    <n v="0"/>
    <n v="0"/>
    <n v="0"/>
    <n v="0"/>
    <n v="0"/>
    <n v="10"/>
    <n v="0"/>
    <n v="0"/>
    <n v="60"/>
    <n v="0"/>
    <n v="0"/>
    <s v="ALWAR"/>
    <s v="ALWAR"/>
    <s v="RJ-JAIPUR"/>
    <d v="2018-11-23T00:00:00"/>
  </r>
  <r>
    <s v="807929175288"/>
    <x v="600"/>
    <s v="AGARWAL AGRICULTURE AGENCIES"/>
    <n v="175288"/>
    <s v="LAXM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18-01-22T00:00:00"/>
  </r>
  <r>
    <s v="807929210619"/>
    <x v="600"/>
    <s v="AGARWAL AGRICULTURE AGENCIES"/>
    <n v="210619"/>
    <s v="JAGDAMBA TRADING CO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20"/>
    <n v="0"/>
    <n v="0"/>
    <n v="30"/>
    <n v="0"/>
    <n v="0"/>
    <n v="70"/>
    <n v="0"/>
    <n v="0"/>
    <s v="ALWAR"/>
    <s v="ALWAR"/>
    <s v="RJ-JAIPUR"/>
    <d v="2018-01-22T00:00:00"/>
  </r>
  <r>
    <s v="808275143509"/>
    <x v="601"/>
    <s v="SAINI BUILDER"/>
    <n v="143509"/>
    <s v="PAWAN BUILDERS"/>
    <n v="10"/>
    <n v="0"/>
    <n v="0"/>
    <n v="30"/>
    <n v="0"/>
    <n v="0"/>
    <n v="43.4"/>
    <n v="0"/>
    <n v="0"/>
    <n v="40"/>
    <n v="0"/>
    <n v="0"/>
    <n v="20"/>
    <n v="0"/>
    <n v="0"/>
    <n v="66.5"/>
    <n v="0"/>
    <n v="0"/>
    <n v="75.3"/>
    <n v="0"/>
    <n v="12.75"/>
    <n v="42.5"/>
    <n v="0"/>
    <n v="0"/>
    <n v="327.7"/>
    <n v="0"/>
    <n v="12.75"/>
    <s v="ALWAR"/>
    <s v="ALWAR"/>
    <s v="RJ-JAIPUR"/>
    <d v="2018-04-27T00:00:00"/>
  </r>
  <r>
    <s v="808547143509"/>
    <x v="602"/>
    <s v="SHIV SANITARY &amp; HARDWARE STORE"/>
    <n v="143509"/>
    <s v="PAWAN BUILDERS"/>
    <n v="40"/>
    <n v="0"/>
    <n v="0"/>
    <n v="20"/>
    <n v="0"/>
    <n v="0"/>
    <n v="40"/>
    <n v="0"/>
    <n v="0"/>
    <n v="10"/>
    <n v="0"/>
    <n v="0"/>
    <n v="20"/>
    <n v="0"/>
    <n v="0"/>
    <n v="37"/>
    <n v="0"/>
    <n v="0"/>
    <n v="19.95"/>
    <n v="0"/>
    <n v="9.9499999999999993"/>
    <n v="17.5"/>
    <n v="0"/>
    <n v="0"/>
    <n v="204.45"/>
    <n v="0"/>
    <n v="9.9499999999999993"/>
    <s v="ALWAR"/>
    <s v="ALWAR"/>
    <s v="RJ-JAIPUR"/>
    <d v="2018-06-09T00:00:00"/>
  </r>
  <r>
    <s v="809466119046"/>
    <x v="603"/>
    <s v="SHIV SHAKTI TRADERS"/>
    <n v="119046"/>
    <s v="GARG AGRO AGENCIES"/>
    <n v="50"/>
    <n v="0"/>
    <n v="0"/>
    <n v="40"/>
    <n v="0"/>
    <n v="0"/>
    <n v="80"/>
    <n v="0"/>
    <n v="0"/>
    <n v="50"/>
    <n v="0"/>
    <n v="0"/>
    <n v="40"/>
    <n v="0"/>
    <n v="0"/>
    <n v="0"/>
    <n v="0"/>
    <n v="0"/>
    <n v="25"/>
    <n v="0"/>
    <n v="0"/>
    <n v="30"/>
    <n v="0"/>
    <n v="0"/>
    <n v="315"/>
    <n v="0"/>
    <n v="0"/>
    <s v="ALWAR"/>
    <s v="ALWAR"/>
    <s v="RJ-JAIPUR"/>
    <d v="2019-05-02T00:00:00"/>
  </r>
  <r>
    <s v="809467175288"/>
    <x v="604"/>
    <s v="NATIONAL BUILDERS"/>
    <n v="175288"/>
    <s v="LAXM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19-05-02T00:00:00"/>
  </r>
  <r>
    <s v="809467210619"/>
    <x v="604"/>
    <s v="NATIONAL BUILDERS"/>
    <n v="210619"/>
    <s v="JAGDAMBA TRADING CO"/>
    <n v="0"/>
    <n v="0"/>
    <n v="0"/>
    <n v="40"/>
    <n v="0"/>
    <n v="0"/>
    <n v="55"/>
    <n v="0"/>
    <n v="0"/>
    <n v="0"/>
    <n v="0"/>
    <n v="0"/>
    <n v="10"/>
    <n v="0"/>
    <n v="0"/>
    <n v="35"/>
    <n v="0"/>
    <n v="0"/>
    <n v="10"/>
    <n v="0"/>
    <n v="0"/>
    <n v="20"/>
    <n v="0"/>
    <n v="0"/>
    <n v="170"/>
    <n v="0"/>
    <n v="0"/>
    <s v="ALWAR"/>
    <s v="ALWAR"/>
    <s v="RJ-JAIPUR"/>
    <d v="2019-05-02T00:00:00"/>
  </r>
  <r>
    <s v="809507172712"/>
    <x v="605"/>
    <s v="SHEETAL BUILDING MATERIAL SUPP"/>
    <n v="172712"/>
    <s v="JAIN BUILDING MATERIAL STORE"/>
    <n v="20"/>
    <n v="0"/>
    <n v="0"/>
    <n v="26"/>
    <n v="0"/>
    <n v="0"/>
    <n v="44"/>
    <n v="0"/>
    <n v="5"/>
    <n v="34"/>
    <n v="0"/>
    <n v="9"/>
    <n v="46.5"/>
    <n v="0"/>
    <n v="0"/>
    <n v="50.5"/>
    <n v="0"/>
    <n v="6"/>
    <n v="45"/>
    <n v="0"/>
    <n v="7"/>
    <n v="73.25"/>
    <n v="0"/>
    <n v="15.25"/>
    <n v="339.25"/>
    <n v="0"/>
    <n v="27"/>
    <s v="ALWAR"/>
    <s v="ALWAR"/>
    <s v="RJ-JAIPUR"/>
    <d v="2019-05-08T00:00:00"/>
  </r>
  <r>
    <s v="809569171880"/>
    <x v="606"/>
    <s v="DEVENDRA BUILDING MATERIAL"/>
    <n v="171880"/>
    <s v="BHUVAN AGENC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19-05-17T00:00:00"/>
  </r>
  <r>
    <s v="809785149765"/>
    <x v="607"/>
    <s v="GAURAV BUILDING MATERIAL SUPPL"/>
    <n v="149765"/>
    <s v="ARORA CEMENT AGENCY"/>
    <n v="0"/>
    <n v="0"/>
    <n v="0"/>
    <n v="90"/>
    <n v="0"/>
    <n v="0"/>
    <n v="157"/>
    <n v="0"/>
    <n v="0"/>
    <n v="104.3"/>
    <n v="0"/>
    <n v="0"/>
    <n v="62.5"/>
    <n v="0"/>
    <n v="0"/>
    <n v="90"/>
    <n v="0"/>
    <n v="10"/>
    <n v="78"/>
    <n v="0"/>
    <n v="12"/>
    <n v="50"/>
    <n v="0"/>
    <n v="0"/>
    <n v="631.79999999999995"/>
    <n v="0"/>
    <n v="22"/>
    <s v="ALWAR"/>
    <s v="ALWAR"/>
    <s v="RJ-JAIPUR"/>
    <d v="2019-06-24T00:00:00"/>
  </r>
  <r>
    <s v="810055175288"/>
    <x v="608"/>
    <s v="RUPESH KHANDELWAL BUILDERS"/>
    <n v="175288"/>
    <s v="LAXMI TRADERS"/>
    <n v="1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"/>
    <n v="0"/>
    <n v="0"/>
    <s v="ALWAR"/>
    <s v="ALWAR"/>
    <s v="RJ-JAIPUR"/>
    <d v="2019-07-27T00:00:00"/>
  </r>
  <r>
    <s v="810120148557"/>
    <x v="609"/>
    <s v="ANIL SALES"/>
    <n v="148557"/>
    <s v="MITALI ALLOYS PVT LTD"/>
    <n v="88.5"/>
    <n v="0"/>
    <n v="0"/>
    <n v="0"/>
    <n v="0"/>
    <n v="0"/>
    <n v="93.5"/>
    <n v="0"/>
    <n v="0"/>
    <n v="0"/>
    <n v="0"/>
    <n v="0"/>
    <n v="20"/>
    <n v="0"/>
    <n v="0"/>
    <n v="40"/>
    <n v="0"/>
    <n v="0"/>
    <n v="72"/>
    <n v="0"/>
    <n v="0"/>
    <n v="75"/>
    <n v="2.5"/>
    <n v="0"/>
    <n v="389"/>
    <n v="0"/>
    <n v="0"/>
    <s v="ALWAR"/>
    <s v="ALWAR"/>
    <s v="RJ-JAIPUR"/>
    <d v="2019-08-01T00:00:00"/>
  </r>
  <r>
    <s v="810324175288"/>
    <x v="610"/>
    <s v="GOYAL BUILDERS"/>
    <n v="175288"/>
    <s v="LAXMI TRADERS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ALWAR"/>
    <s v="ALWAR"/>
    <s v="RJ-JAIPUR"/>
    <d v="2019-08-23T00:00:00"/>
  </r>
  <r>
    <s v="810324210619"/>
    <x v="610"/>
    <s v="GOYAL BUILDERS"/>
    <n v="210619"/>
    <s v="JAGDAMBA TRADING CO"/>
    <n v="0"/>
    <n v="0"/>
    <n v="0"/>
    <n v="0"/>
    <n v="0"/>
    <n v="0"/>
    <n v="0"/>
    <n v="0"/>
    <n v="0"/>
    <n v="40"/>
    <n v="0"/>
    <n v="0"/>
    <n v="15"/>
    <n v="0"/>
    <n v="0"/>
    <n v="40"/>
    <n v="0"/>
    <n v="0"/>
    <n v="0"/>
    <n v="0"/>
    <n v="0"/>
    <n v="0"/>
    <n v="0"/>
    <n v="0"/>
    <n v="95"/>
    <n v="0"/>
    <n v="0"/>
    <s v="ALWAR"/>
    <s v="ALWAR"/>
    <s v="RJ-JAIPUR"/>
    <d v="2019-08-23T00:00:00"/>
  </r>
  <r>
    <s v="810435178661"/>
    <x v="611"/>
    <s v="NARENDRA SUPPLIERS"/>
    <n v="178661"/>
    <s v="KHAJANCHI TRADING CO."/>
    <n v="0"/>
    <n v="0"/>
    <n v="0"/>
    <n v="0"/>
    <n v="0"/>
    <n v="0"/>
    <n v="20"/>
    <n v="0"/>
    <n v="0"/>
    <n v="25"/>
    <n v="10"/>
    <n v="0"/>
    <n v="10"/>
    <n v="0"/>
    <n v="0"/>
    <n v="0"/>
    <n v="0"/>
    <n v="0"/>
    <n v="10"/>
    <n v="0"/>
    <n v="0"/>
    <n v="10"/>
    <n v="0"/>
    <n v="0"/>
    <n v="75"/>
    <n v="10"/>
    <n v="0"/>
    <s v="ALWAR"/>
    <s v="ALWAR"/>
    <s v="RJ-JAIPUR"/>
    <d v="2019-09-03T00:00:00"/>
  </r>
  <r>
    <s v="810595176641"/>
    <x v="612"/>
    <s v="NAGPAL BUILDERS"/>
    <n v="176641"/>
    <s v="UMA IRON &amp; CEMENT AGENCY"/>
    <n v="40"/>
    <n v="0"/>
    <n v="0"/>
    <n v="13.5"/>
    <n v="0"/>
    <n v="0"/>
    <n v="47.5"/>
    <n v="0"/>
    <n v="0"/>
    <n v="45.6"/>
    <n v="0"/>
    <n v="0"/>
    <n v="7.5"/>
    <n v="0"/>
    <n v="0"/>
    <n v="30.05"/>
    <n v="0"/>
    <n v="0"/>
    <n v="17.5"/>
    <n v="7.5"/>
    <n v="0"/>
    <n v="0"/>
    <n v="0"/>
    <n v="0"/>
    <n v="201.65"/>
    <n v="7.5"/>
    <n v="0"/>
    <s v="ALWAR"/>
    <s v="ALWAR"/>
    <s v="RJ-JAIPUR"/>
    <d v="2019-10-05T00:00:00"/>
  </r>
  <r>
    <s v="810648140481"/>
    <x v="613"/>
    <s v="JAI KISHAN BUILDING MATERIAL S"/>
    <n v="140481"/>
    <s v="Goyal &amp; Co."/>
    <n v="0"/>
    <n v="0"/>
    <n v="0"/>
    <n v="0"/>
    <n v="0"/>
    <n v="0"/>
    <n v="0"/>
    <n v="0"/>
    <n v="0"/>
    <n v="0"/>
    <n v="0"/>
    <n v="0"/>
    <n v="5"/>
    <n v="0"/>
    <n v="0"/>
    <n v="6"/>
    <n v="0"/>
    <n v="0"/>
    <n v="0"/>
    <n v="0"/>
    <n v="0"/>
    <n v="0"/>
    <n v="0"/>
    <n v="0"/>
    <n v="11"/>
    <n v="0"/>
    <n v="0"/>
    <s v="ALWAR"/>
    <s v="ALWAR"/>
    <s v="RJ-JAIPUR"/>
    <d v="2019-10-16T00:00:00"/>
  </r>
  <r>
    <s v="810683178661"/>
    <x v="614"/>
    <s v="AGGARWAL CEMENT STORE"/>
    <n v="178661"/>
    <s v="KHAJANCHI TRADING CO."/>
    <n v="30"/>
    <n v="0"/>
    <n v="0"/>
    <n v="20"/>
    <n v="0"/>
    <n v="0"/>
    <n v="114"/>
    <n v="0"/>
    <n v="10"/>
    <n v="82"/>
    <n v="0"/>
    <n v="0"/>
    <n v="51.8"/>
    <n v="0"/>
    <n v="0"/>
    <n v="84"/>
    <n v="0"/>
    <n v="27.5"/>
    <n v="60"/>
    <n v="0"/>
    <n v="0"/>
    <n v="70.5"/>
    <n v="6"/>
    <n v="10"/>
    <n v="512.29999999999995"/>
    <n v="0"/>
    <n v="37.5"/>
    <s v="ALWAR"/>
    <s v="ALWAR"/>
    <s v="RJ-JAIPUR"/>
    <d v="2019-10-23T00:00:00"/>
  </r>
  <r>
    <s v="810686178661"/>
    <x v="615"/>
    <s v="SAINI KHAD BEEJ BHANDAR"/>
    <n v="178661"/>
    <s v="KHAJANCHI TRADING CO."/>
    <n v="52"/>
    <n v="0"/>
    <n v="0"/>
    <n v="30"/>
    <n v="0"/>
    <n v="0"/>
    <n v="20"/>
    <n v="0"/>
    <n v="0"/>
    <n v="45"/>
    <n v="0"/>
    <n v="0"/>
    <n v="62"/>
    <n v="0"/>
    <n v="0"/>
    <n v="47.5"/>
    <n v="0"/>
    <n v="7.5"/>
    <n v="67"/>
    <n v="0"/>
    <n v="0"/>
    <n v="37.5"/>
    <n v="0"/>
    <n v="10"/>
    <n v="361"/>
    <n v="0"/>
    <n v="7.5"/>
    <s v="ALWAR"/>
    <s v="ALWAR"/>
    <s v="RJ-JAIPUR"/>
    <d v="2019-10-23T00:00:00"/>
  </r>
  <r>
    <s v="810922175288"/>
    <x v="616"/>
    <s v="KALPANA CEMENT AGENCY"/>
    <n v="175288"/>
    <s v="LAXM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19-12-06T00:00:00"/>
  </r>
  <r>
    <s v="811091140481"/>
    <x v="617"/>
    <s v="SHRI SHYAM STEEL"/>
    <n v="140481"/>
    <s v="Goyal &amp; Co.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n v="0"/>
    <n v="0"/>
    <n v="0"/>
    <n v="0"/>
    <n v="0"/>
    <n v="0"/>
    <n v="20"/>
    <n v="0"/>
    <n v="0"/>
    <s v="ALWAR"/>
    <s v="ALWAR"/>
    <s v="RJ-JAIPUR"/>
    <d v="2019-12-27T00:00:00"/>
  </r>
  <r>
    <s v="811092176641"/>
    <x v="618"/>
    <s v="RIDHIMA ENTERPRISES"/>
    <n v="176641"/>
    <s v="UMA IRON &amp; CEMENT AGENCY"/>
    <n v="70"/>
    <n v="0"/>
    <n v="0"/>
    <n v="66.900000000000006"/>
    <n v="0"/>
    <n v="0"/>
    <n v="43.5"/>
    <n v="0"/>
    <n v="0"/>
    <n v="61.5"/>
    <n v="0"/>
    <n v="0"/>
    <n v="13.5"/>
    <n v="0"/>
    <n v="0"/>
    <n v="22"/>
    <n v="0"/>
    <n v="0"/>
    <n v="20"/>
    <n v="0"/>
    <n v="0"/>
    <n v="0"/>
    <n v="0"/>
    <n v="0"/>
    <n v="297.39999999999998"/>
    <n v="0"/>
    <n v="0"/>
    <s v="ALWAR"/>
    <s v="ALWAR"/>
    <s v="RJ-JAIPUR"/>
    <d v="2019-12-27T00:00:00"/>
  </r>
  <r>
    <s v="811135175288"/>
    <x v="619"/>
    <s v="KANHA BUILDERS"/>
    <n v="175288"/>
    <s v="LAXMI TRADERS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s v="ALWAR"/>
    <s v="ALWAR"/>
    <s v="RJ-JAIPUR"/>
    <d v="2019-12-30T00:00:00"/>
  </r>
  <r>
    <s v="811422175288"/>
    <x v="620"/>
    <s v="SHARMA TRADERS"/>
    <n v="175288"/>
    <s v="LAXMI TRADERS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0"/>
    <n v="0"/>
    <s v="ALWAR"/>
    <s v="ALWAR"/>
    <s v="RJ-JAIPUR"/>
    <d v="2020-02-05T00:00:00"/>
  </r>
  <r>
    <s v="811522175288"/>
    <x v="621"/>
    <s v="JASORIA DISTRIBUTORS"/>
    <n v="175288"/>
    <s v="LAXMI TRADERS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s v="ALWAR"/>
    <s v="ALWAR"/>
    <s v="RJ-JAIPUR"/>
    <d v="2020-02-17T00:00:00"/>
  </r>
  <r>
    <s v="811630140481"/>
    <x v="622"/>
    <s v="PANKAJ KUMAR YADAV"/>
    <n v="140481"/>
    <s v="Goyal &amp; Co."/>
    <n v="37"/>
    <n v="0"/>
    <n v="0"/>
    <n v="30"/>
    <n v="0"/>
    <n v="0"/>
    <n v="30"/>
    <n v="0"/>
    <n v="0"/>
    <n v="36.799999999999997"/>
    <n v="0"/>
    <n v="0"/>
    <n v="31"/>
    <n v="0"/>
    <n v="0"/>
    <n v="38"/>
    <n v="0"/>
    <n v="0"/>
    <n v="47"/>
    <n v="0"/>
    <n v="0"/>
    <n v="45"/>
    <n v="0"/>
    <n v="5"/>
    <n v="294.8"/>
    <n v="0"/>
    <n v="0"/>
    <s v="ALWAR"/>
    <s v="ALWAR"/>
    <s v="RJ-JAIPUR"/>
    <d v="2020-02-27T00:00:00"/>
  </r>
  <r>
    <s v="812056175288"/>
    <x v="623"/>
    <s v="RAKESH BUILDERS"/>
    <n v="175288"/>
    <s v="LAXM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20-06-29T00:00:00"/>
  </r>
  <r>
    <s v="812291149765"/>
    <x v="624"/>
    <s v="FAIR TRADING CO"/>
    <n v="149765"/>
    <s v="ARORA CEMENT AGENCY"/>
    <n v="30"/>
    <n v="0"/>
    <n v="0"/>
    <n v="40"/>
    <n v="10"/>
    <n v="0"/>
    <n v="40"/>
    <n v="0"/>
    <n v="0"/>
    <n v="25"/>
    <n v="0"/>
    <n v="0"/>
    <n v="10"/>
    <n v="10"/>
    <n v="0"/>
    <n v="10"/>
    <n v="0"/>
    <n v="0"/>
    <n v="17.5"/>
    <n v="0"/>
    <n v="0"/>
    <n v="17.5"/>
    <n v="0"/>
    <n v="0"/>
    <n v="190"/>
    <n v="20"/>
    <n v="0"/>
    <s v="ALWAR"/>
    <s v="ALWAR"/>
    <s v="RJ-JAIPUR"/>
    <d v="2020-07-20T00:00:00"/>
  </r>
  <r>
    <s v="812300149765"/>
    <x v="625"/>
    <s v="LAXMI BANS BALLI UDYOG"/>
    <n v="149765"/>
    <s v="ARORA CEMENT AGENCY"/>
    <n v="40"/>
    <n v="0"/>
    <n v="0"/>
    <n v="25"/>
    <n v="0"/>
    <n v="0"/>
    <n v="70"/>
    <n v="0"/>
    <n v="0"/>
    <n v="55"/>
    <n v="0"/>
    <n v="0"/>
    <n v="45.15"/>
    <n v="0.15"/>
    <n v="0"/>
    <n v="62"/>
    <n v="0"/>
    <n v="0"/>
    <n v="25"/>
    <n v="0"/>
    <n v="5"/>
    <n v="25"/>
    <n v="0"/>
    <n v="0"/>
    <n v="347.15"/>
    <n v="0.15"/>
    <n v="5"/>
    <s v="ALWAR"/>
    <s v="ALWAR"/>
    <s v="RJ-JAIPUR"/>
    <d v="2020-07-21T00:00:00"/>
  </r>
  <r>
    <s v="812382179893"/>
    <x v="626"/>
    <s v="NEERAJ ENTERPRISES"/>
    <n v="179893"/>
    <s v="AGRAWAL TRADERS"/>
    <n v="42"/>
    <n v="0"/>
    <n v="0"/>
    <n v="66"/>
    <n v="0"/>
    <n v="0"/>
    <n v="34"/>
    <n v="0"/>
    <n v="0"/>
    <n v="80"/>
    <n v="0"/>
    <n v="5"/>
    <n v="57.5"/>
    <n v="0"/>
    <n v="0"/>
    <n v="77.5"/>
    <n v="0"/>
    <n v="13.5"/>
    <n v="0"/>
    <n v="0"/>
    <n v="0"/>
    <n v="68.900000000000006"/>
    <n v="0"/>
    <n v="0"/>
    <n v="425.9"/>
    <n v="0"/>
    <n v="18.5"/>
    <s v="ALWAR"/>
    <s v="ALWAR"/>
    <s v="RJ-JAIPUR"/>
    <d v="2020-07-28T00:00:00"/>
  </r>
  <r>
    <s v="812391143509"/>
    <x v="627"/>
    <s v="SAINI CHIPS &amp; MARBLE"/>
    <n v="143509"/>
    <s v="PAWAN BUILDERS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s v="ALWAR"/>
    <s v="ALWAR"/>
    <s v="RJ-JAIPUR"/>
    <d v="2020-07-29T00:00:00"/>
  </r>
  <r>
    <s v="812391149765"/>
    <x v="627"/>
    <s v="SAINI CHIPS &amp; MARBLE"/>
    <n v="149765"/>
    <s v="ARORA CEMENT AGENCY"/>
    <n v="2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2"/>
    <n v="0"/>
    <n v="0"/>
    <s v="ALWAR"/>
    <s v="ALWAR"/>
    <s v="RJ-JAIPUR"/>
    <d v="2020-07-29T00:00:00"/>
  </r>
  <r>
    <s v="812461179893"/>
    <x v="628"/>
    <s v="TANU CEMENT AGENCY"/>
    <n v="179893"/>
    <s v="AGRAWAL TRADERS"/>
    <n v="0"/>
    <n v="0"/>
    <n v="0"/>
    <n v="15"/>
    <n v="0"/>
    <n v="0"/>
    <n v="20"/>
    <n v="0"/>
    <n v="0"/>
    <n v="5"/>
    <n v="0"/>
    <n v="0"/>
    <n v="16"/>
    <n v="0"/>
    <n v="15"/>
    <n v="12.5"/>
    <n v="0"/>
    <n v="12.5"/>
    <n v="0"/>
    <n v="0"/>
    <n v="0"/>
    <n v="9.5"/>
    <n v="0"/>
    <n v="0"/>
    <n v="78"/>
    <n v="0"/>
    <n v="27.5"/>
    <s v="ALWAR"/>
    <s v="ALWAR"/>
    <s v="RJ-JAIPUR"/>
    <d v="2020-08-07T00:00:00"/>
  </r>
  <r>
    <s v="812469201065"/>
    <x v="629"/>
    <s v="SHREE KRISHNA TRADERS"/>
    <n v="201065"/>
    <s v="SHRI RADHEY KRISHA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20-08-08T00:00:00"/>
  </r>
  <r>
    <s v="812969140481"/>
    <x v="630"/>
    <s v="SHRI BALAJI CEMENT AGENCY"/>
    <n v="140481"/>
    <s v="Goyal &amp; Co."/>
    <n v="169.5"/>
    <n v="18.25"/>
    <n v="0"/>
    <n v="99.25"/>
    <n v="0"/>
    <n v="0"/>
    <n v="137"/>
    <n v="0"/>
    <n v="10"/>
    <n v="40"/>
    <n v="0"/>
    <n v="0"/>
    <n v="125"/>
    <n v="0"/>
    <n v="0"/>
    <n v="177"/>
    <n v="0"/>
    <n v="10"/>
    <n v="159"/>
    <n v="0"/>
    <n v="0"/>
    <n v="128"/>
    <n v="0"/>
    <n v="10"/>
    <n v="1034.75"/>
    <n v="18.25"/>
    <n v="20"/>
    <s v="ALWAR"/>
    <s v="ALWAR"/>
    <s v="RJ-JAIPUR"/>
    <d v="2020-09-18T00:00:00"/>
  </r>
  <r>
    <s v="813172178661"/>
    <x v="631"/>
    <s v="PRABHU DAYAL HARISH CHAND"/>
    <n v="178661"/>
    <s v="KHAJANCHI TRADING CO."/>
    <n v="55"/>
    <n v="0"/>
    <n v="0"/>
    <n v="51.5"/>
    <n v="0"/>
    <n v="0"/>
    <n v="54"/>
    <n v="0"/>
    <n v="0"/>
    <n v="55"/>
    <n v="0"/>
    <n v="0"/>
    <n v="101.5"/>
    <n v="0"/>
    <n v="21.5"/>
    <n v="127.5"/>
    <n v="0"/>
    <n v="55"/>
    <n v="109.5"/>
    <n v="0"/>
    <n v="31.5"/>
    <n v="117.5"/>
    <n v="0"/>
    <n v="17.5"/>
    <n v="671.5"/>
    <n v="0"/>
    <n v="108"/>
    <s v="ALWAR"/>
    <s v="ALWAR"/>
    <s v="RJ-JAIPUR"/>
    <d v="2020-10-05T00:00:00"/>
  </r>
  <r>
    <s v="813521140927"/>
    <x v="632"/>
    <s v="KHANDELWAL TRADERS"/>
    <n v="140927"/>
    <s v="SHIV CHARAN LAL RAKESH KUMAR"/>
    <n v="93.5"/>
    <n v="0"/>
    <n v="0"/>
    <n v="72"/>
    <n v="25.75"/>
    <n v="0"/>
    <n v="55"/>
    <n v="0"/>
    <n v="0"/>
    <n v="77.5"/>
    <n v="0"/>
    <n v="0"/>
    <n v="85"/>
    <n v="0"/>
    <n v="0"/>
    <n v="102"/>
    <n v="0"/>
    <n v="8.5"/>
    <n v="124"/>
    <n v="0"/>
    <n v="10"/>
    <n v="101"/>
    <n v="0"/>
    <n v="0"/>
    <n v="710"/>
    <n v="25.75"/>
    <n v="18.5"/>
    <s v="ALWAR"/>
    <s v="ALWAR"/>
    <s v="RJ-JAIPUR"/>
    <d v="2020-11-07T00:00:00"/>
  </r>
  <r>
    <s v="813636178661"/>
    <x v="633"/>
    <s v="SWASTIK CEMENT AGENCIES"/>
    <n v="178661"/>
    <s v="KHAJANCHI TRADING CO."/>
    <n v="0"/>
    <n v="0"/>
    <n v="0"/>
    <n v="20"/>
    <n v="0"/>
    <n v="0"/>
    <n v="10"/>
    <n v="0"/>
    <n v="0"/>
    <n v="10"/>
    <n v="0"/>
    <n v="0"/>
    <n v="17.5"/>
    <n v="0"/>
    <n v="17.5"/>
    <n v="35"/>
    <n v="0"/>
    <n v="0"/>
    <n v="17.5"/>
    <n v="0"/>
    <n v="0"/>
    <n v="7.5"/>
    <n v="0"/>
    <n v="0"/>
    <n v="117.5"/>
    <n v="0"/>
    <n v="17.5"/>
    <s v="ALWAR"/>
    <s v="ALWAR"/>
    <s v="RJ-JAIPUR"/>
    <d v="2020-11-25T00:00:00"/>
  </r>
  <r>
    <s v="813672176641"/>
    <x v="634"/>
    <s v="LATA CEMENT AGENCY"/>
    <n v="176641"/>
    <s v="UMA IRON &amp; CEMENT AGENCY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ALWAR"/>
    <s v="ALWAR"/>
    <s v="RJ-JAIPUR"/>
    <d v="2020-11-27T00:00:00"/>
  </r>
  <r>
    <s v="813692142984"/>
    <x v="635"/>
    <s v="TIWARI BUILDERS"/>
    <n v="142984"/>
    <s v="JAGDAMBEY BUILDING MATERIAL SU"/>
    <n v="0"/>
    <n v="0"/>
    <n v="0"/>
    <n v="0"/>
    <n v="0"/>
    <n v="0"/>
    <n v="25"/>
    <n v="0"/>
    <n v="0"/>
    <n v="0"/>
    <n v="0"/>
    <n v="0"/>
    <n v="0"/>
    <n v="0"/>
    <n v="0"/>
    <n v="5"/>
    <n v="0"/>
    <n v="0"/>
    <n v="8.5"/>
    <n v="0"/>
    <n v="0"/>
    <n v="10"/>
    <n v="0"/>
    <n v="0"/>
    <n v="48.5"/>
    <n v="0"/>
    <n v="0"/>
    <s v="ALWAR"/>
    <s v="ALWAR"/>
    <s v="RJ-JAIPUR"/>
    <d v="2020-11-28T00:00:00"/>
  </r>
  <r>
    <s v="813728201065"/>
    <x v="636"/>
    <s v="SAHIL BUILDERS TRADING COMPANY"/>
    <n v="201065"/>
    <s v="SHRI RADHEY KRISHA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20-11-30T00:00:00"/>
  </r>
  <r>
    <s v="813729140481"/>
    <x v="637"/>
    <s v="BABA MOHANRAM BUILDING MATERIA"/>
    <n v="140481"/>
    <s v="Goyal &amp; Co."/>
    <n v="109.5"/>
    <n v="0"/>
    <n v="0"/>
    <n v="60"/>
    <n v="0"/>
    <n v="0"/>
    <n v="119"/>
    <n v="0"/>
    <n v="0"/>
    <n v="50"/>
    <n v="0"/>
    <n v="0"/>
    <n v="100.5"/>
    <n v="10"/>
    <n v="0"/>
    <n v="113"/>
    <n v="0"/>
    <n v="0"/>
    <n v="94.5"/>
    <n v="0"/>
    <n v="0"/>
    <n v="137.94999999999999"/>
    <n v="7.95"/>
    <n v="10"/>
    <n v="784.45"/>
    <n v="10"/>
    <n v="0"/>
    <s v="ALWAR"/>
    <s v="ALWAR"/>
    <s v="RJ-JAIPUR"/>
    <d v="2020-11-30T00:00:00"/>
  </r>
  <r>
    <s v="813896149765"/>
    <x v="638"/>
    <s v="GOYAL BUILDERS"/>
    <n v="149765"/>
    <s v="ARORA CEMENT AGENCY"/>
    <n v="10"/>
    <n v="0"/>
    <n v="0"/>
    <n v="10"/>
    <n v="0"/>
    <n v="0"/>
    <n v="10"/>
    <n v="0"/>
    <n v="0"/>
    <n v="10"/>
    <n v="0"/>
    <n v="0"/>
    <n v="0"/>
    <n v="0"/>
    <n v="0"/>
    <n v="10"/>
    <n v="0"/>
    <n v="0"/>
    <n v="10"/>
    <n v="0"/>
    <n v="0"/>
    <n v="0"/>
    <n v="0"/>
    <n v="0"/>
    <n v="60"/>
    <n v="0"/>
    <n v="0"/>
    <s v="ALWAR"/>
    <s v="ALWAR"/>
    <s v="RJ-JAIPUR"/>
    <d v="2020-12-19T00:00:00"/>
  </r>
  <r>
    <s v="813909148557"/>
    <x v="639"/>
    <s v="CCC ASSOCIATES"/>
    <n v="148557"/>
    <s v="MITALI ALLOYS PVT LTD"/>
    <n v="40"/>
    <n v="0"/>
    <n v="0"/>
    <n v="47"/>
    <n v="0"/>
    <n v="0"/>
    <n v="40"/>
    <n v="0"/>
    <n v="0"/>
    <n v="30"/>
    <n v="0"/>
    <n v="0"/>
    <n v="37"/>
    <n v="10"/>
    <n v="0"/>
    <n v="20"/>
    <n v="0"/>
    <n v="0"/>
    <n v="19.5"/>
    <n v="0"/>
    <n v="0"/>
    <n v="18.75"/>
    <n v="0"/>
    <n v="4"/>
    <n v="252.25"/>
    <n v="10"/>
    <n v="0"/>
    <s v="ALWAR"/>
    <s v="ALWAR"/>
    <s v="RJ-JAIPUR"/>
    <d v="2020-12-22T00:00:00"/>
  </r>
  <r>
    <s v="814183147891"/>
    <x v="640"/>
    <s v="BABA TRADING COMPANY"/>
    <n v="147891"/>
    <s v="NEW SAINI TRADING COMPANY"/>
    <n v="47"/>
    <n v="0"/>
    <n v="0"/>
    <n v="110.5"/>
    <n v="0"/>
    <n v="0"/>
    <n v="92.5"/>
    <n v="0"/>
    <n v="0"/>
    <n v="73"/>
    <n v="0"/>
    <n v="9.5"/>
    <n v="88.6"/>
    <n v="0"/>
    <n v="6.5"/>
    <n v="71"/>
    <n v="0"/>
    <n v="22.75"/>
    <n v="34.700000000000003"/>
    <n v="0"/>
    <n v="5"/>
    <n v="65"/>
    <n v="0"/>
    <n v="15"/>
    <n v="582.30000000000007"/>
    <n v="0"/>
    <n v="43.75"/>
    <s v="ALWAR"/>
    <s v="ALWAR"/>
    <s v="RJ-JAIPUR"/>
    <d v="2021-01-19T00:00:00"/>
  </r>
  <r>
    <s v="814184201065"/>
    <x v="641"/>
    <s v="RAJORIYA TRADING COMPANY"/>
    <n v="201065"/>
    <s v="SHRI RADHEY KRISHA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21-01-19T00:00:00"/>
  </r>
  <r>
    <s v="814227178661"/>
    <x v="642"/>
    <s v="SHREE KRISHNA CEMENT STORE"/>
    <n v="178661"/>
    <s v="KHAJANCHI TRADING CO."/>
    <n v="10"/>
    <n v="0"/>
    <n v="0"/>
    <n v="24"/>
    <n v="10"/>
    <n v="0"/>
    <n v="0"/>
    <n v="0"/>
    <n v="0"/>
    <n v="57"/>
    <n v="0"/>
    <n v="0"/>
    <n v="55"/>
    <n v="0"/>
    <n v="5"/>
    <n v="37.5"/>
    <n v="0"/>
    <n v="10"/>
    <n v="45"/>
    <n v="0"/>
    <n v="0"/>
    <n v="35"/>
    <n v="0"/>
    <n v="0"/>
    <n v="263.5"/>
    <n v="10"/>
    <n v="15"/>
    <s v="ALWAR"/>
    <s v="ALWAR"/>
    <s v="RJ-JAIPUR"/>
    <d v="2021-01-22T00:00:00"/>
  </r>
  <r>
    <s v="814253175288"/>
    <x v="643"/>
    <s v="KANHA BUILDERS"/>
    <n v="175288"/>
    <s v="LAXM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21-01-23T00:00:00"/>
  </r>
  <r>
    <s v="814447140927"/>
    <x v="644"/>
    <s v="YADAV CEMENT AGENCY"/>
    <n v="140927"/>
    <s v="SHIV CHARAN LAL RAKESH KUMAR"/>
    <n v="10"/>
    <n v="0"/>
    <n v="0"/>
    <n v="30"/>
    <n v="0"/>
    <n v="0"/>
    <n v="30"/>
    <n v="0"/>
    <n v="0"/>
    <n v="20"/>
    <n v="0"/>
    <n v="0"/>
    <n v="10"/>
    <n v="0"/>
    <n v="0"/>
    <n v="0"/>
    <n v="0"/>
    <n v="0"/>
    <n v="0"/>
    <n v="0"/>
    <n v="0"/>
    <n v="0"/>
    <n v="0"/>
    <n v="0"/>
    <n v="100"/>
    <n v="0"/>
    <n v="0"/>
    <s v="ALWAR"/>
    <s v="ALWAR"/>
    <s v="RJ-JAIPUR"/>
    <d v="2021-02-11T00:00:00"/>
  </r>
  <r>
    <s v="814540202479"/>
    <x v="645"/>
    <s v="VED (MP) CEMENT AGENCY"/>
    <n v="202479"/>
    <s v="SHIKHA ENTERPRSIES"/>
    <n v="10"/>
    <n v="0"/>
    <n v="0"/>
    <n v="54.25"/>
    <n v="0"/>
    <n v="0"/>
    <n v="50"/>
    <n v="0"/>
    <n v="0"/>
    <n v="64"/>
    <n v="0"/>
    <n v="0"/>
    <n v="110"/>
    <n v="0"/>
    <n v="0"/>
    <n v="60"/>
    <n v="0"/>
    <n v="10"/>
    <n v="35"/>
    <n v="0"/>
    <n v="10"/>
    <n v="25.25"/>
    <n v="0"/>
    <n v="6.25"/>
    <n v="408.5"/>
    <n v="0"/>
    <n v="20"/>
    <s v="ALWAR"/>
    <s v="ALWAR"/>
    <s v="RJ-JAIPUR"/>
    <d v="2021-02-19T00:00:00"/>
  </r>
  <r>
    <s v="814545149765"/>
    <x v="646"/>
    <s v="SRIRAM CEMENT AGENCY"/>
    <n v="149765"/>
    <s v="ARORA CEMENT AGENCY"/>
    <n v="0"/>
    <n v="0"/>
    <n v="0"/>
    <n v="10"/>
    <n v="0"/>
    <n v="0"/>
    <n v="20"/>
    <n v="0"/>
    <n v="0"/>
    <n v="10"/>
    <n v="0"/>
    <n v="0"/>
    <n v="20"/>
    <n v="0"/>
    <n v="0"/>
    <n v="20"/>
    <n v="0"/>
    <n v="0"/>
    <n v="17.5"/>
    <n v="0"/>
    <n v="0"/>
    <n v="20"/>
    <n v="0"/>
    <n v="0"/>
    <n v="117.5"/>
    <n v="0"/>
    <n v="0"/>
    <s v="ALWAR"/>
    <s v="ALWAR"/>
    <s v="RJ-JAIPUR"/>
    <d v="2021-02-19T00:00:00"/>
  </r>
  <r>
    <s v="814777178661"/>
    <x v="647"/>
    <s v="MASTER CEMENT AGENCY"/>
    <n v="178661"/>
    <s v="KHAJANCHI TRADING CO."/>
    <n v="52"/>
    <n v="0"/>
    <n v="0"/>
    <n v="20"/>
    <n v="0"/>
    <n v="0"/>
    <n v="60"/>
    <n v="0"/>
    <n v="0"/>
    <n v="32"/>
    <n v="0"/>
    <n v="10"/>
    <n v="27.5"/>
    <n v="0"/>
    <n v="7.5"/>
    <n v="45"/>
    <n v="0"/>
    <n v="10"/>
    <n v="20"/>
    <n v="0"/>
    <n v="0"/>
    <n v="25"/>
    <n v="0"/>
    <n v="7.5"/>
    <n v="281.5"/>
    <n v="0"/>
    <n v="27.5"/>
    <s v="ALWAR"/>
    <s v="ALWAR"/>
    <s v="RJ-JAIPUR"/>
    <d v="2021-03-17T00:00:00"/>
  </r>
  <r>
    <s v="814907179893"/>
    <x v="648"/>
    <s v="PRAJAPAT CEMENT AGENCY"/>
    <n v="179893"/>
    <s v="AGRAWAL TRADERS"/>
    <n v="19.5"/>
    <n v="0"/>
    <n v="0"/>
    <n v="22"/>
    <n v="0"/>
    <n v="0"/>
    <n v="18.5"/>
    <n v="0"/>
    <n v="0"/>
    <n v="15"/>
    <n v="0"/>
    <n v="2.5"/>
    <n v="15"/>
    <n v="0"/>
    <n v="5"/>
    <n v="0"/>
    <n v="0"/>
    <n v="0"/>
    <n v="0"/>
    <n v="0"/>
    <n v="0"/>
    <n v="18"/>
    <n v="0"/>
    <n v="8"/>
    <n v="108"/>
    <n v="0"/>
    <n v="7.5"/>
    <s v="ALWAR"/>
    <s v="ALWAR"/>
    <s v="RJ-JAIPUR"/>
    <d v="2021-04-06T00:00:00"/>
  </r>
  <r>
    <s v="814907142984"/>
    <x v="648"/>
    <s v="PRAJAPAT CEMENT AGENCY"/>
    <n v="142984"/>
    <s v="JAGDAMBEY BUILDING MATERIAL SU"/>
    <n v="0"/>
    <n v="0"/>
    <n v="0"/>
    <n v="0"/>
    <n v="0"/>
    <n v="0"/>
    <n v="0"/>
    <n v="0"/>
    <n v="0"/>
    <n v="10"/>
    <n v="0"/>
    <n v="7"/>
    <n v="0"/>
    <n v="0"/>
    <n v="0"/>
    <n v="0"/>
    <n v="0"/>
    <n v="0"/>
    <n v="0"/>
    <n v="0"/>
    <n v="0"/>
    <n v="0"/>
    <n v="0"/>
    <n v="0"/>
    <n v="10"/>
    <n v="0"/>
    <n v="7"/>
    <s v="ALWAR"/>
    <s v="ALWAR"/>
    <s v="RJ-JAIPUR"/>
    <d v="2021-04-06T00:00:00"/>
  </r>
  <r>
    <s v="814934202479"/>
    <x v="649"/>
    <s v="MANISH CEMENT AGENCY"/>
    <n v="202479"/>
    <s v="SHIKHA ENTERPRSIES"/>
    <n v="20"/>
    <n v="0"/>
    <n v="0"/>
    <n v="24"/>
    <n v="0"/>
    <n v="0"/>
    <n v="40"/>
    <n v="0"/>
    <n v="0"/>
    <n v="70"/>
    <n v="0"/>
    <n v="0"/>
    <n v="80"/>
    <n v="0"/>
    <n v="0"/>
    <n v="40"/>
    <n v="0"/>
    <n v="0"/>
    <n v="7.5"/>
    <n v="0"/>
    <n v="0"/>
    <n v="10"/>
    <n v="0"/>
    <n v="0"/>
    <n v="291.5"/>
    <n v="0"/>
    <n v="0"/>
    <s v="ALWAR"/>
    <s v="ALWAR"/>
    <s v="RJ-JAIPUR"/>
    <d v="2021-04-12T00:00:00"/>
  </r>
  <r>
    <s v="814939202479"/>
    <x v="650"/>
    <s v="HEMLATA CEMENT AGENCY"/>
    <n v="202479"/>
    <s v="SHIKHA ENTERPRSIES"/>
    <n v="0"/>
    <n v="0"/>
    <n v="0"/>
    <n v="30"/>
    <n v="0"/>
    <n v="0"/>
    <n v="40"/>
    <n v="0"/>
    <n v="0"/>
    <n v="60"/>
    <n v="0"/>
    <n v="0"/>
    <n v="155.15"/>
    <n v="0"/>
    <n v="5.25"/>
    <n v="59"/>
    <n v="4"/>
    <n v="0"/>
    <n v="117.5"/>
    <n v="0"/>
    <n v="0"/>
    <n v="111"/>
    <n v="0"/>
    <n v="32"/>
    <n v="572.65"/>
    <n v="4"/>
    <n v="5.25"/>
    <s v="ALWAR"/>
    <s v="ALWAR"/>
    <s v="RJ-JAIPUR"/>
    <d v="2021-04-13T00:00:00"/>
  </r>
  <r>
    <s v="815104149765"/>
    <x v="651"/>
    <s v="ISRAIL CEMENT AGENCY"/>
    <n v="149765"/>
    <s v="ARORA CEMENT AGENCY"/>
    <n v="10"/>
    <n v="0"/>
    <n v="0"/>
    <n v="40"/>
    <n v="0"/>
    <n v="0"/>
    <n v="30"/>
    <n v="0"/>
    <n v="0"/>
    <n v="25"/>
    <n v="0"/>
    <n v="0"/>
    <n v="20"/>
    <n v="0"/>
    <n v="0"/>
    <n v="30"/>
    <n v="0"/>
    <n v="0"/>
    <n v="40"/>
    <n v="0"/>
    <n v="15"/>
    <n v="38"/>
    <n v="0"/>
    <n v="0"/>
    <n v="233"/>
    <n v="0"/>
    <n v="15"/>
    <s v="ALWAR"/>
    <s v="ALWAR"/>
    <s v="RJ-JAIPUR"/>
    <d v="2021-05-31T00:00:00"/>
  </r>
  <r>
    <s v="815105205650"/>
    <x v="652"/>
    <s v="A1 CEMENT AGENCY"/>
    <n v="205650"/>
    <s v="SAINI TRADING COMPANY"/>
    <n v="0"/>
    <n v="0"/>
    <n v="0"/>
    <n v="0"/>
    <n v="0"/>
    <n v="0"/>
    <n v="11"/>
    <n v="0"/>
    <n v="0"/>
    <n v="0"/>
    <n v="0"/>
    <n v="0"/>
    <n v="20"/>
    <n v="0"/>
    <n v="0"/>
    <n v="0"/>
    <n v="0"/>
    <n v="0"/>
    <n v="0"/>
    <n v="0"/>
    <n v="0"/>
    <n v="0"/>
    <n v="0"/>
    <n v="0"/>
    <n v="31"/>
    <n v="0"/>
    <n v="0"/>
    <s v="ALWAR"/>
    <s v="ALWAR"/>
    <s v="RJ-JAIPUR"/>
    <d v="2021-05-31T00:00:00"/>
  </r>
  <r>
    <s v="815175149765"/>
    <x v="653"/>
    <s v="SAINI BUILDERS"/>
    <n v="149765"/>
    <s v="ARORA CEMENT AGENCY"/>
    <n v="10"/>
    <n v="0"/>
    <n v="0"/>
    <n v="30"/>
    <n v="0"/>
    <n v="0"/>
    <n v="50"/>
    <n v="0"/>
    <n v="0"/>
    <n v="35"/>
    <n v="0"/>
    <n v="0"/>
    <n v="25"/>
    <n v="0"/>
    <n v="0"/>
    <n v="40"/>
    <n v="0"/>
    <n v="0"/>
    <n v="35"/>
    <n v="0"/>
    <n v="0"/>
    <n v="30"/>
    <n v="0"/>
    <n v="0"/>
    <n v="255"/>
    <n v="0"/>
    <n v="0"/>
    <s v="ALWAR"/>
    <s v="ALWAR"/>
    <s v="RJ-JAIPUR"/>
    <d v="2021-06-17T00:00:00"/>
  </r>
  <r>
    <s v="815176175288"/>
    <x v="654"/>
    <s v="BHARADWAJ BUILDERS"/>
    <n v="175288"/>
    <s v="LAXM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21-06-17T00:00:00"/>
  </r>
  <r>
    <s v="815237174176"/>
    <x v="655"/>
    <s v="SONU BUILDING MATERIAL &amp; SUPPL"/>
    <n v="174176"/>
    <s v="PRADEEP CHOUDHARY J K SUPER CE"/>
    <n v="20"/>
    <n v="0"/>
    <n v="0"/>
    <n v="20"/>
    <n v="0"/>
    <n v="0"/>
    <n v="10"/>
    <n v="0"/>
    <n v="0"/>
    <n v="20"/>
    <n v="0"/>
    <n v="0"/>
    <n v="30"/>
    <n v="0"/>
    <n v="0"/>
    <n v="27.5"/>
    <n v="0"/>
    <n v="0"/>
    <n v="7.5"/>
    <n v="0"/>
    <n v="0"/>
    <n v="30"/>
    <n v="0"/>
    <n v="0"/>
    <n v="165"/>
    <n v="0"/>
    <n v="0"/>
    <s v="ALWAR"/>
    <s v="ALWAR"/>
    <s v="RJ-JAIPUR"/>
    <d v="2021-06-24T00:00:00"/>
  </r>
  <r>
    <s v="815421149765"/>
    <x v="656"/>
    <s v="MODI BUILDERS"/>
    <n v="149765"/>
    <s v="ARORA CEMENT AGENCY"/>
    <n v="82"/>
    <n v="0"/>
    <n v="0"/>
    <n v="105"/>
    <n v="0"/>
    <n v="0"/>
    <n v="85"/>
    <n v="0"/>
    <n v="0"/>
    <n v="55"/>
    <n v="0"/>
    <n v="10"/>
    <n v="35"/>
    <n v="10"/>
    <n v="0"/>
    <n v="30"/>
    <n v="0"/>
    <n v="0"/>
    <n v="40"/>
    <n v="0"/>
    <n v="0"/>
    <n v="30"/>
    <n v="0"/>
    <n v="0"/>
    <n v="462"/>
    <n v="10"/>
    <n v="10"/>
    <s v="ALWAR"/>
    <s v="ALWAR"/>
    <s v="RJ-JAIPUR"/>
    <d v="2021-07-07T00:00:00"/>
  </r>
  <r>
    <s v="815481205650"/>
    <x v="657"/>
    <s v="BALAJI CEMENT AGENCY"/>
    <n v="205650"/>
    <s v="SAINI TRADING COMPANY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ALWAR"/>
    <s v="ALWAR"/>
    <s v="RJ-JAIPUR"/>
    <d v="2021-07-12T00:00:00"/>
  </r>
  <r>
    <s v="815481202479"/>
    <x v="657"/>
    <s v="BALAJI CEMENT AGENCY"/>
    <n v="202479"/>
    <s v="SHIKHA ENTERPRSIES"/>
    <n v="0"/>
    <n v="0"/>
    <n v="0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20"/>
    <n v="0"/>
    <n v="0"/>
    <s v="ALWAR"/>
    <s v="ALWAR"/>
    <s v="RJ-JAIPUR"/>
    <d v="2021-07-12T00:00:00"/>
  </r>
  <r>
    <s v="815643119046"/>
    <x v="658"/>
    <s v="NARESH TRADERS"/>
    <n v="119046"/>
    <s v="GARG AGRO AGENCIES"/>
    <n v="20"/>
    <n v="0"/>
    <n v="0"/>
    <n v="45.5"/>
    <n v="0"/>
    <n v="0"/>
    <n v="60"/>
    <n v="0"/>
    <n v="0"/>
    <n v="40"/>
    <n v="0"/>
    <n v="0"/>
    <n v="40"/>
    <n v="0"/>
    <n v="0"/>
    <n v="0"/>
    <n v="0"/>
    <n v="0"/>
    <n v="30"/>
    <n v="0"/>
    <n v="0"/>
    <n v="87"/>
    <n v="0"/>
    <n v="0"/>
    <n v="322.5"/>
    <n v="0"/>
    <n v="0"/>
    <s v="ALWAR"/>
    <s v="ALWAR"/>
    <s v="RJ-JAIPUR"/>
    <d v="2021-07-26T00:00:00"/>
  </r>
  <r>
    <s v="815644119046"/>
    <x v="659"/>
    <s v="MORDHWAJ CEMENT AGENCY"/>
    <n v="119046"/>
    <s v="GARG AGRO AGENCIES"/>
    <n v="30"/>
    <n v="0"/>
    <n v="0"/>
    <n v="44"/>
    <n v="0"/>
    <n v="0"/>
    <n v="55"/>
    <n v="0"/>
    <n v="0"/>
    <n v="20"/>
    <n v="0"/>
    <n v="0"/>
    <n v="20"/>
    <n v="0"/>
    <n v="0"/>
    <n v="50"/>
    <n v="0"/>
    <n v="0"/>
    <n v="43"/>
    <n v="0"/>
    <n v="0"/>
    <n v="42"/>
    <n v="0"/>
    <n v="12"/>
    <n v="304"/>
    <n v="0"/>
    <n v="0"/>
    <s v="ALWAR"/>
    <s v="ALWAR"/>
    <s v="RJ-JAIPUR"/>
    <d v="2021-07-26T00:00:00"/>
  </r>
  <r>
    <s v="815645208736"/>
    <x v="660"/>
    <s v="HARSHA CEMENT AGENCY"/>
    <n v="208736"/>
    <s v="RAJORIYA TRADING COMPANY"/>
    <n v="10"/>
    <n v="0"/>
    <n v="0"/>
    <n v="0"/>
    <n v="0"/>
    <n v="0"/>
    <n v="0"/>
    <n v="0"/>
    <n v="0"/>
    <n v="0"/>
    <n v="0"/>
    <n v="0"/>
    <n v="20"/>
    <n v="0"/>
    <n v="0"/>
    <n v="15"/>
    <n v="0"/>
    <n v="0"/>
    <n v="45"/>
    <n v="0"/>
    <n v="0"/>
    <n v="30"/>
    <n v="0"/>
    <n v="0"/>
    <n v="120"/>
    <n v="0"/>
    <n v="0"/>
    <s v="ALWAR"/>
    <s v="ALWAR"/>
    <s v="RJ-JAIPUR"/>
    <d v="2021-07-26T00:00:00"/>
  </r>
  <r>
    <s v="815774149765"/>
    <x v="661"/>
    <s v="DHAWAN BUILDERS"/>
    <n v="149765"/>
    <s v="ARORA CEMENT AGENCY"/>
    <n v="40"/>
    <n v="0"/>
    <n v="0"/>
    <n v="20"/>
    <n v="0"/>
    <n v="0"/>
    <n v="20"/>
    <n v="0"/>
    <n v="0"/>
    <n v="20"/>
    <n v="0"/>
    <n v="0"/>
    <n v="10"/>
    <n v="0"/>
    <n v="0"/>
    <n v="20"/>
    <n v="0"/>
    <n v="0"/>
    <n v="10"/>
    <n v="0"/>
    <n v="0"/>
    <n v="17.5"/>
    <n v="0"/>
    <n v="0"/>
    <n v="157.5"/>
    <n v="0"/>
    <n v="0"/>
    <s v="ALWAR"/>
    <s v="ALWAR"/>
    <s v="RJ-JAIPUR"/>
    <d v="2021-07-30T00:00:00"/>
  </r>
  <r>
    <s v="815864205650"/>
    <x v="662"/>
    <s v="SAINI CEMENT SUPPLIER"/>
    <n v="205650"/>
    <s v="SAINI TRADING COMPANY"/>
    <n v="0"/>
    <n v="0"/>
    <n v="0"/>
    <n v="11"/>
    <n v="0"/>
    <n v="0"/>
    <n v="11"/>
    <n v="0"/>
    <n v="0"/>
    <n v="11"/>
    <n v="0"/>
    <n v="0"/>
    <n v="25"/>
    <n v="0"/>
    <n v="0"/>
    <n v="38.5"/>
    <n v="0"/>
    <n v="0"/>
    <n v="0"/>
    <n v="0"/>
    <n v="0"/>
    <n v="21"/>
    <n v="11"/>
    <n v="0"/>
    <n v="117.5"/>
    <n v="0"/>
    <n v="0"/>
    <s v="ALWAR"/>
    <s v="ALWAR"/>
    <s v="RJ-JAIPUR"/>
    <d v="2021-08-06T00:00:00"/>
  </r>
  <r>
    <s v="816128174176"/>
    <x v="663"/>
    <s v="JATIN CEMENT AGENCY"/>
    <n v="174176"/>
    <s v="PRADEEP CHOUDHARY J K SUPER CE"/>
    <n v="42"/>
    <n v="0"/>
    <n v="0"/>
    <n v="42"/>
    <n v="0"/>
    <n v="0"/>
    <n v="20"/>
    <n v="0"/>
    <n v="0"/>
    <n v="20"/>
    <n v="0"/>
    <n v="0"/>
    <n v="29.8"/>
    <n v="0"/>
    <n v="0"/>
    <n v="27.5"/>
    <n v="0"/>
    <n v="0"/>
    <n v="7.5"/>
    <n v="0"/>
    <n v="0"/>
    <n v="33.5"/>
    <n v="0"/>
    <n v="5.5"/>
    <n v="222.3"/>
    <n v="0"/>
    <n v="0"/>
    <s v="ALWAR"/>
    <s v="ALWAR"/>
    <s v="RJ-JAIPUR"/>
    <d v="2021-08-26T00:00:00"/>
  </r>
  <r>
    <s v="816249178661"/>
    <x v="664"/>
    <s v="MUSKAN TRADING COMPANY"/>
    <n v="178661"/>
    <s v="KHAJANCHI TRADING CO."/>
    <n v="40"/>
    <n v="0"/>
    <n v="0"/>
    <n v="42"/>
    <n v="0"/>
    <n v="0"/>
    <n v="48.35"/>
    <n v="3.35"/>
    <n v="5"/>
    <n v="72"/>
    <n v="0"/>
    <n v="0"/>
    <n v="27.5"/>
    <n v="0"/>
    <n v="2.5"/>
    <n v="57.5"/>
    <n v="0"/>
    <n v="10"/>
    <n v="45"/>
    <n v="0"/>
    <n v="0"/>
    <n v="60"/>
    <n v="0"/>
    <n v="10"/>
    <n v="392.35"/>
    <n v="3.35"/>
    <n v="17.5"/>
    <s v="ALWAR"/>
    <s v="ALWAR"/>
    <s v="RJ-JAIPUR"/>
    <d v="2021-09-02T00:00:00"/>
  </r>
  <r>
    <s v="816270178661"/>
    <x v="665"/>
    <s v="CHOUDHARY CEMENT AGENCY"/>
    <n v="178661"/>
    <s v="KHAJANCHI TRADING CO."/>
    <n v="57"/>
    <n v="11"/>
    <n v="0"/>
    <n v="51"/>
    <n v="0"/>
    <n v="0"/>
    <n v="20"/>
    <n v="0"/>
    <n v="0"/>
    <n v="25"/>
    <n v="0"/>
    <n v="0"/>
    <n v="20"/>
    <n v="0"/>
    <n v="0"/>
    <n v="37.5"/>
    <n v="0"/>
    <n v="0"/>
    <n v="30"/>
    <n v="0"/>
    <n v="0"/>
    <n v="35"/>
    <n v="0"/>
    <n v="10"/>
    <n v="275.5"/>
    <n v="11"/>
    <n v="0"/>
    <s v="ALWAR"/>
    <s v="ALWAR"/>
    <s v="RJ-JAIPUR"/>
    <d v="2021-09-04T00:00:00"/>
  </r>
  <r>
    <s v="816409140481"/>
    <x v="666"/>
    <s v="KRISHNA KUMAR RAGHUVEER SINGH"/>
    <n v="140481"/>
    <s v="Goyal &amp; Co.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ALWAR"/>
    <s v="ALWAR"/>
    <s v="RJ-JAIPUR"/>
    <d v="2021-09-20T00:00:00"/>
  </r>
  <r>
    <s v="816554172252"/>
    <x v="667"/>
    <s v="GUPTA BUILDING MATERIAL STORE"/>
    <n v="172252"/>
    <s v="GUPT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21-09-28T00:00:00"/>
  </r>
  <r>
    <s v="817054148557"/>
    <x v="668"/>
    <s v="BK CONSTRUCTION COMPANY"/>
    <n v="148557"/>
    <s v="MITALI ALLOYS PVT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21-11-18T00:00:00"/>
  </r>
  <r>
    <s v="817308209586"/>
    <x v="669"/>
    <s v="POOJA STEEL"/>
    <n v="209586"/>
    <s v="SHIV SHAKTI WELDING WORK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ALWAR"/>
    <s v="ALWAR"/>
    <s v="RJ-JAIPUR"/>
    <d v="2021-12-14T00:00:00"/>
  </r>
  <r>
    <s v="817610148557"/>
    <x v="670"/>
    <s v="PRADEEP BUILDING MATERIAL SUPP"/>
    <n v="148557"/>
    <s v="MITALI ALLOYS PVT LTD"/>
    <n v="40"/>
    <n v="0"/>
    <n v="0"/>
    <n v="15"/>
    <n v="0"/>
    <n v="0"/>
    <n v="40"/>
    <n v="0"/>
    <n v="0"/>
    <n v="26.75"/>
    <n v="0"/>
    <n v="0"/>
    <n v="20"/>
    <n v="0"/>
    <n v="0"/>
    <n v="109"/>
    <n v="0"/>
    <n v="0"/>
    <n v="40"/>
    <n v="0"/>
    <n v="0"/>
    <n v="169.5"/>
    <n v="0"/>
    <n v="0"/>
    <n v="460.25"/>
    <n v="0"/>
    <n v="0"/>
    <s v="ALWAR"/>
    <s v="ALWAR"/>
    <s v="RJ-JAIPUR"/>
    <d v="2022-01-06T00:00:00"/>
  </r>
  <r>
    <s v="817792178661"/>
    <x v="671"/>
    <s v="LALITA CEMENT STORE"/>
    <n v="178661"/>
    <s v="KHAJANCHI TRADING CO."/>
    <n v="10"/>
    <n v="0"/>
    <n v="0"/>
    <n v="64"/>
    <n v="0"/>
    <n v="0"/>
    <n v="40"/>
    <n v="0"/>
    <n v="0"/>
    <n v="47"/>
    <n v="0"/>
    <n v="0"/>
    <n v="57"/>
    <n v="0"/>
    <n v="0"/>
    <n v="27.5"/>
    <n v="0"/>
    <n v="0"/>
    <n v="27.25"/>
    <n v="0"/>
    <n v="9.75"/>
    <n v="39"/>
    <n v="0"/>
    <n v="11.5"/>
    <n v="311.75"/>
    <n v="0"/>
    <n v="9.75"/>
    <s v="ALWAR"/>
    <s v="ALWAR"/>
    <s v="RJ-JAIPUR"/>
    <d v="2022-01-24T00:00:00"/>
  </r>
  <r>
    <s v="817943210619"/>
    <x v="672"/>
    <s v="VIJAY TRADING COMPANY"/>
    <n v="210619"/>
    <s v="JAGDAMBA TRADING CO"/>
    <n v="156.5"/>
    <n v="0"/>
    <n v="0"/>
    <n v="111.5"/>
    <n v="0"/>
    <n v="0"/>
    <n v="92.25"/>
    <n v="0"/>
    <n v="0"/>
    <n v="60"/>
    <n v="0"/>
    <n v="0"/>
    <n v="80"/>
    <n v="0"/>
    <n v="0"/>
    <n v="65"/>
    <n v="0"/>
    <n v="15"/>
    <n v="24"/>
    <n v="0"/>
    <n v="12"/>
    <n v="70"/>
    <n v="0"/>
    <n v="40"/>
    <n v="659.25"/>
    <n v="0"/>
    <n v="27"/>
    <s v="ALWAR"/>
    <s v="ALWAR"/>
    <s v="RJ-JAIPUR"/>
    <d v="2022-02-01T00:00:00"/>
  </r>
  <r>
    <s v="818256142984"/>
    <x v="673"/>
    <s v="NARAYAN CEMENT AGENCY"/>
    <n v="142984"/>
    <s v="JAGDAMBEY BUILDING MATERIAL SU"/>
    <n v="24"/>
    <n v="0"/>
    <n v="0"/>
    <n v="20"/>
    <n v="0"/>
    <n v="0"/>
    <n v="57.5"/>
    <n v="0"/>
    <n v="5"/>
    <n v="18.25"/>
    <n v="8.5"/>
    <n v="0"/>
    <n v="0"/>
    <n v="0"/>
    <n v="0"/>
    <n v="63.5"/>
    <n v="0"/>
    <n v="12.5"/>
    <n v="21.5"/>
    <n v="0"/>
    <n v="0"/>
    <n v="10"/>
    <n v="0"/>
    <n v="2.5"/>
    <n v="214.75"/>
    <n v="8.5"/>
    <n v="17.5"/>
    <s v="ALWAR"/>
    <s v="ALWAR"/>
    <s v="RJ-JAIPUR"/>
    <d v="2022-03-03T00:00:00"/>
  </r>
  <r>
    <s v="818325148557"/>
    <x v="674"/>
    <s v="R V BUILDING MATERIAL SUPPLIER"/>
    <n v="148557"/>
    <s v="MITALI ALLOYS PVT LTD"/>
    <n v="1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s v="ALWAR"/>
    <s v="ALWAR"/>
    <s v="RJ-JAIPUR"/>
    <d v="2022-03-09T00:00:00"/>
  </r>
  <r>
    <s v="818340210619"/>
    <x v="675"/>
    <s v="JAI BHOMIYA BUILDING MATERIAL"/>
    <n v="210619"/>
    <s v="JAGDAMBA TRADING CO"/>
    <n v="90"/>
    <n v="15"/>
    <n v="0"/>
    <n v="130"/>
    <n v="0"/>
    <n v="0"/>
    <n v="60"/>
    <n v="0"/>
    <n v="0"/>
    <n v="10"/>
    <n v="0"/>
    <n v="0"/>
    <n v="0"/>
    <n v="0"/>
    <n v="0"/>
    <n v="20"/>
    <n v="0"/>
    <n v="10"/>
    <n v="0"/>
    <n v="0"/>
    <n v="0"/>
    <n v="10"/>
    <n v="0"/>
    <n v="0"/>
    <n v="320"/>
    <n v="15"/>
    <n v="10"/>
    <s v="ALWAR"/>
    <s v="ALWAR"/>
    <s v="RJ-JAIPUR"/>
    <d v="2022-03-12T00:00:00"/>
  </r>
  <r>
    <s v="818341210619"/>
    <x v="676"/>
    <s v="MEENA KHAD BEEJ BHANDAR"/>
    <n v="210619"/>
    <s v="JAGDAMBA TRADING CO"/>
    <n v="52.5"/>
    <n v="0"/>
    <n v="0"/>
    <n v="110"/>
    <n v="0"/>
    <n v="0"/>
    <n v="60"/>
    <n v="0"/>
    <n v="0"/>
    <n v="0"/>
    <n v="0"/>
    <n v="0"/>
    <n v="0"/>
    <n v="0"/>
    <n v="0"/>
    <n v="20"/>
    <n v="0"/>
    <n v="0"/>
    <n v="15"/>
    <n v="0"/>
    <n v="0"/>
    <n v="0"/>
    <n v="0"/>
    <n v="0"/>
    <n v="257.5"/>
    <n v="0"/>
    <n v="0"/>
    <s v="ALWAR"/>
    <s v="ALWAR"/>
    <s v="RJ-JAIPUR"/>
    <d v="2022-03-12T00:00:00"/>
  </r>
  <r>
    <s v="818347140927"/>
    <x v="677"/>
    <s v="SHREE KRISHNA CEMENT AGENCY"/>
    <n v="140927"/>
    <s v="SHIV CHARAN LAL RAKESH KUMAR"/>
    <n v="30"/>
    <n v="0"/>
    <n v="0"/>
    <n v="10"/>
    <n v="0"/>
    <n v="0"/>
    <n v="48.25"/>
    <n v="0"/>
    <n v="0"/>
    <n v="7.5"/>
    <n v="0"/>
    <n v="0"/>
    <n v="0"/>
    <n v="0"/>
    <n v="0"/>
    <n v="0"/>
    <n v="0"/>
    <n v="0"/>
    <n v="0"/>
    <n v="0"/>
    <n v="0"/>
    <n v="27.5"/>
    <n v="0"/>
    <n v="0"/>
    <n v="123.25"/>
    <n v="0"/>
    <n v="0"/>
    <s v="ALWAR"/>
    <s v="ALWAR"/>
    <s v="RJ-JAIPUR"/>
    <d v="2022-03-12T00:00:00"/>
  </r>
  <r>
    <s v="818354202479"/>
    <x v="678"/>
    <s v="BALAJI CEMENT AGENCY"/>
    <n v="202479"/>
    <s v="SHIKHA ENTERPRSIES"/>
    <n v="20"/>
    <n v="0"/>
    <n v="0"/>
    <n v="40"/>
    <n v="0"/>
    <n v="0"/>
    <n v="0"/>
    <n v="0"/>
    <n v="0"/>
    <n v="10"/>
    <n v="0"/>
    <n v="0"/>
    <n v="120"/>
    <n v="0"/>
    <n v="0"/>
    <n v="75"/>
    <n v="0"/>
    <n v="0"/>
    <n v="57"/>
    <n v="0"/>
    <n v="0"/>
    <n v="90.95"/>
    <n v="0"/>
    <n v="20"/>
    <n v="412.95"/>
    <n v="0"/>
    <n v="0"/>
    <s v="ALWAR"/>
    <s v="ALWAR"/>
    <s v="RJ-JAIPUR"/>
    <d v="2022-03-12T00:00:00"/>
  </r>
  <r>
    <s v="818354140481"/>
    <x v="678"/>
    <s v="BALAJI CEMENT AGENCY"/>
    <n v="140481"/>
    <s v="Goyal &amp; Co."/>
    <n v="0"/>
    <n v="0"/>
    <n v="0"/>
    <n v="0"/>
    <n v="0"/>
    <n v="0"/>
    <n v="0"/>
    <n v="0"/>
    <n v="0"/>
    <n v="4.25"/>
    <n v="0"/>
    <n v="4.25"/>
    <n v="10"/>
    <n v="0"/>
    <n v="0"/>
    <n v="0"/>
    <n v="0"/>
    <n v="0"/>
    <n v="0"/>
    <n v="0"/>
    <n v="0"/>
    <n v="0"/>
    <n v="0"/>
    <n v="0"/>
    <n v="14.25"/>
    <n v="0"/>
    <n v="4.25"/>
    <s v="ALWAR"/>
    <s v="ALWAR"/>
    <s v="RJ-JAIPUR"/>
    <d v="2022-03-12T00:00:00"/>
  </r>
  <r>
    <s v="818440119046"/>
    <x v="679"/>
    <s v="KHANDELWAL CEMENT AGENCY"/>
    <n v="119046"/>
    <s v="GARG AGRO AGENCIES"/>
    <n v="68"/>
    <n v="0"/>
    <n v="0"/>
    <n v="57"/>
    <n v="0"/>
    <n v="0"/>
    <n v="60"/>
    <n v="0"/>
    <n v="0"/>
    <n v="50"/>
    <n v="0"/>
    <n v="0"/>
    <n v="55"/>
    <n v="0"/>
    <n v="0"/>
    <n v="55.5"/>
    <n v="0"/>
    <n v="8"/>
    <n v="32"/>
    <n v="0"/>
    <n v="0"/>
    <n v="86.5"/>
    <n v="0"/>
    <n v="10"/>
    <n v="464"/>
    <n v="0"/>
    <n v="8"/>
    <s v="ALWAR"/>
    <s v="ALWAR"/>
    <s v="RJ-JAIPUR"/>
    <d v="2022-03-23T00:00:00"/>
  </r>
  <r>
    <s v="818441210619"/>
    <x v="680"/>
    <s v="PINANIYA CONSTRUCTION COMPANY"/>
    <n v="210619"/>
    <s v="JAGDAMBA TRADING CO"/>
    <n v="341"/>
    <n v="0"/>
    <n v="0"/>
    <n v="135"/>
    <n v="0"/>
    <n v="0"/>
    <n v="95"/>
    <n v="0"/>
    <n v="0"/>
    <n v="65"/>
    <n v="0"/>
    <n v="0"/>
    <n v="65"/>
    <n v="0"/>
    <n v="0"/>
    <n v="122"/>
    <n v="0"/>
    <n v="40"/>
    <n v="60"/>
    <n v="0"/>
    <n v="7.5"/>
    <n v="66"/>
    <n v="0"/>
    <n v="7.5"/>
    <n v="949"/>
    <n v="0"/>
    <n v="47.5"/>
    <s v="ALWAR"/>
    <s v="ALWAR"/>
    <s v="RJ-JAIPUR"/>
    <d v="2022-03-23T00:00:00"/>
  </r>
  <r>
    <s v="818483210619"/>
    <x v="681"/>
    <s v="VIRMANI BUILDERS"/>
    <n v="210619"/>
    <s v="JAGDAMBA TRADING CO"/>
    <n v="100"/>
    <n v="10"/>
    <n v="0"/>
    <n v="151"/>
    <n v="0"/>
    <n v="0"/>
    <n v="100.75"/>
    <n v="10.75"/>
    <n v="0"/>
    <n v="109"/>
    <n v="10"/>
    <n v="0"/>
    <n v="70"/>
    <n v="0"/>
    <n v="10"/>
    <n v="71"/>
    <n v="11"/>
    <n v="0"/>
    <n v="82.5"/>
    <n v="0"/>
    <n v="15"/>
    <n v="80.5"/>
    <n v="0"/>
    <n v="20"/>
    <n v="764.75"/>
    <n v="41.75"/>
    <n v="25"/>
    <s v="ALWAR"/>
    <s v="ALWAR"/>
    <s v="RJ-JAIPUR"/>
    <d v="2022-03-26T00:00:00"/>
  </r>
  <r>
    <s v="818523175288"/>
    <x v="682"/>
    <s v="RK BUILDERS"/>
    <n v="175288"/>
    <s v="LAXMI TRADERS"/>
    <n v="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5"/>
    <n v="0"/>
    <n v="0"/>
    <s v="ALWAR"/>
    <s v="ALWAR"/>
    <s v="RJ-JAIPUR"/>
    <d v="2022-03-29T00:00:00"/>
  </r>
  <r>
    <s v="818702140481"/>
    <x v="683"/>
    <s v="RAJESH KUMAR &amp; SONS"/>
    <n v="140481"/>
    <s v="Goyal &amp; Co."/>
    <n v="25"/>
    <n v="5"/>
    <n v="0"/>
    <n v="46"/>
    <n v="0"/>
    <n v="0"/>
    <n v="35"/>
    <n v="0"/>
    <n v="0"/>
    <n v="45"/>
    <n v="0"/>
    <n v="0"/>
    <n v="55"/>
    <n v="0"/>
    <n v="10"/>
    <n v="40"/>
    <n v="0"/>
    <n v="7"/>
    <n v="43.5"/>
    <n v="0"/>
    <n v="0"/>
    <n v="46.95"/>
    <n v="0"/>
    <n v="0"/>
    <n v="336.45"/>
    <n v="5"/>
    <n v="17"/>
    <s v="ALWAR"/>
    <s v="ALWAR"/>
    <s v="RJ-JAIPUR"/>
    <d v="2022-04-20T00:00:00"/>
  </r>
  <r>
    <s v="818765140927"/>
    <x v="684"/>
    <s v="CHOUHAN CEMENT AGENCY"/>
    <n v="140927"/>
    <s v="SHIV CHARAN LAL RAKESH KUMAR"/>
    <n v="25"/>
    <n v="0"/>
    <n v="0"/>
    <n v="10"/>
    <n v="0"/>
    <n v="0"/>
    <n v="43.7"/>
    <n v="0"/>
    <n v="0"/>
    <n v="30"/>
    <n v="0"/>
    <n v="0"/>
    <n v="30"/>
    <n v="0"/>
    <n v="0"/>
    <n v="30"/>
    <n v="0"/>
    <n v="0"/>
    <n v="20"/>
    <n v="0"/>
    <n v="10"/>
    <n v="27.5"/>
    <n v="0"/>
    <n v="5"/>
    <n v="216.2"/>
    <n v="0"/>
    <n v="10"/>
    <s v="ALWAR"/>
    <s v="ALWAR"/>
    <s v="RJ-JAIPUR"/>
    <d v="2022-04-27T00:00:00"/>
  </r>
  <r>
    <s v="818765170204"/>
    <x v="684"/>
    <s v="CHOUHAN CEMENT AGENCY"/>
    <n v="170204"/>
    <s v="GOYAL BUILDING MATERIAL"/>
    <n v="0"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0"/>
    <n v="0"/>
    <n v="0"/>
    <n v="0"/>
    <n v="0"/>
    <n v="27"/>
    <n v="0"/>
    <n v="0"/>
    <s v="ALWAR"/>
    <s v="ALWAR"/>
    <s v="RJ-JAIPUR"/>
    <d v="2022-04-27T00:00:00"/>
  </r>
  <r>
    <s v="818765210619"/>
    <x v="684"/>
    <s v="CHOUHAN CEMENT AGENCY"/>
    <n v="210619"/>
    <s v="JAGDAMBA TRADING CO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ALWAR"/>
    <s v="ALWAR"/>
    <s v="RJ-JAIPUR"/>
    <d v="2022-04-27T00:00:00"/>
  </r>
  <r>
    <s v="818782140481"/>
    <x v="685"/>
    <s v="SHREE SHYAM SALES CORPORATION"/>
    <n v="140481"/>
    <s v="Goyal &amp; Co."/>
    <n v="0"/>
    <n v="7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7"/>
    <n v="0"/>
    <s v="ALWAR"/>
    <s v="ALWAR"/>
    <s v="RJ-JAIPUR"/>
    <d v="2022-04-28T00:00:00"/>
  </r>
  <r>
    <s v="818883211046"/>
    <x v="686"/>
    <s v="KUMAWAT BUILDING MATERIAL"/>
    <n v="211046"/>
    <s v="MAHALAXMI TRADING CO."/>
    <n v="0"/>
    <n v="0"/>
    <n v="0"/>
    <n v="0"/>
    <n v="0"/>
    <n v="0"/>
    <n v="0"/>
    <n v="0"/>
    <n v="0"/>
    <n v="15"/>
    <n v="0"/>
    <n v="5"/>
    <n v="20"/>
    <n v="0"/>
    <n v="8.25"/>
    <n v="69.150000000000006"/>
    <n v="0"/>
    <n v="15"/>
    <n v="34"/>
    <n v="0"/>
    <n v="10"/>
    <n v="36"/>
    <n v="0"/>
    <n v="6"/>
    <n v="174.15"/>
    <n v="0"/>
    <n v="38.25"/>
    <s v="ALWAR"/>
    <s v="ALWAR"/>
    <s v="RJ-JAIPUR"/>
    <d v="2022-05-09T00:00:00"/>
  </r>
  <r>
    <s v="818883179893"/>
    <x v="686"/>
    <s v="KUMAWAT BUILDING MATERIAL"/>
    <s v="179893"/>
    <s v="AGRAWAL TRADERS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ALWAR"/>
    <s v="ALWAR"/>
    <s v="RJ-JAIPUR"/>
    <d v="2022-05-09T00:00:00"/>
  </r>
  <r>
    <s v="818884210696"/>
    <x v="687"/>
    <s v="AYAAN CEMENT AGENCY"/>
    <n v="210696"/>
    <s v="GURU SANITARY &amp; HARDWARES"/>
    <n v="0"/>
    <n v="0"/>
    <n v="0"/>
    <n v="20"/>
    <n v="0"/>
    <n v="0"/>
    <n v="50"/>
    <n v="0"/>
    <n v="0"/>
    <n v="50"/>
    <n v="0"/>
    <n v="0"/>
    <n v="41.25"/>
    <n v="0.25"/>
    <n v="0"/>
    <n v="52.5"/>
    <n v="0"/>
    <n v="10"/>
    <n v="98"/>
    <n v="13"/>
    <n v="17.5"/>
    <n v="65"/>
    <n v="0"/>
    <n v="0"/>
    <n v="376.75"/>
    <n v="13.25"/>
    <n v="27.5"/>
    <s v="ALWAR"/>
    <s v="ALWAR"/>
    <s v="RJ-JAIPUR"/>
    <d v="2022-05-09T00:00:00"/>
  </r>
  <r>
    <s v="819325210619"/>
    <x v="688"/>
    <s v="JITENDRA KUMAR MOHIT KUMAR"/>
    <n v="210619"/>
    <s v="JAGDAMBA TRADING CO"/>
    <n v="0"/>
    <n v="0"/>
    <n v="0"/>
    <n v="0"/>
    <n v="0"/>
    <n v="0"/>
    <n v="0"/>
    <n v="0"/>
    <n v="0"/>
    <n v="40"/>
    <n v="0"/>
    <n v="0"/>
    <n v="26"/>
    <n v="0"/>
    <n v="0"/>
    <n v="15"/>
    <n v="0"/>
    <n v="0"/>
    <n v="0"/>
    <n v="0"/>
    <n v="0"/>
    <n v="0"/>
    <n v="0"/>
    <n v="0"/>
    <n v="81"/>
    <n v="0"/>
    <n v="0"/>
    <s v="ALWAR"/>
    <s v="ALWAR"/>
    <s v="RJ-JAIPUR"/>
    <d v="2022-06-13T00:00:00"/>
  </r>
  <r>
    <s v="819326210619"/>
    <x v="689"/>
    <s v="SHRI ROHITASH CEMENT AGENCY"/>
    <n v="210619"/>
    <s v="JAGDAMBA TRADING CO"/>
    <n v="0"/>
    <n v="0"/>
    <n v="0"/>
    <n v="0"/>
    <n v="0"/>
    <n v="0"/>
    <n v="15"/>
    <n v="0"/>
    <n v="0"/>
    <n v="90"/>
    <n v="10"/>
    <n v="0"/>
    <n v="95"/>
    <n v="10"/>
    <n v="0"/>
    <n v="102"/>
    <n v="0"/>
    <n v="0"/>
    <n v="42.5"/>
    <n v="0"/>
    <n v="20"/>
    <n v="0"/>
    <n v="0"/>
    <n v="0"/>
    <n v="344.5"/>
    <n v="20"/>
    <n v="20"/>
    <s v="ALWAR"/>
    <s v="ALWAR"/>
    <s v="RJ-JAIPUR"/>
    <d v="2022-06-13T00:00:00"/>
  </r>
  <r>
    <s v="819350210696"/>
    <x v="690"/>
    <s v="SHIV TRADERS"/>
    <n v="210696"/>
    <s v="GURU SANITARY &amp; HARDWARES"/>
    <n v="0"/>
    <n v="0"/>
    <n v="0"/>
    <n v="0"/>
    <n v="0"/>
    <n v="0"/>
    <n v="70.050000000000011"/>
    <n v="0"/>
    <n v="7.55"/>
    <n v="65"/>
    <n v="0"/>
    <n v="0"/>
    <n v="20"/>
    <n v="0"/>
    <n v="0"/>
    <n v="98"/>
    <n v="8.5"/>
    <n v="9"/>
    <n v="118.35"/>
    <n v="10"/>
    <n v="20.85"/>
    <n v="60"/>
    <n v="7.5"/>
    <n v="0"/>
    <n v="431.4"/>
    <n v="18.5"/>
    <n v="37.400000000000006"/>
    <s v="ALWAR"/>
    <s v="ALWAR"/>
    <s v="RJ-JAIPUR"/>
    <d v="2022-06-14T00:00:00"/>
  </r>
  <r>
    <s v="819351210619"/>
    <x v="691"/>
    <s v="SATNAM BUIDLING MATERIAL SUPPL"/>
    <n v="210619"/>
    <s v="JAGDAMBA TRADING CO"/>
    <n v="0"/>
    <n v="0"/>
    <n v="0"/>
    <n v="0"/>
    <n v="0"/>
    <n v="0"/>
    <n v="0"/>
    <n v="0"/>
    <n v="0"/>
    <n v="40"/>
    <n v="0"/>
    <n v="0"/>
    <n v="50"/>
    <n v="0"/>
    <n v="10"/>
    <n v="0"/>
    <n v="0"/>
    <n v="0"/>
    <n v="0"/>
    <n v="0"/>
    <n v="0"/>
    <n v="0"/>
    <n v="0"/>
    <n v="0"/>
    <n v="90"/>
    <n v="0"/>
    <n v="10"/>
    <s v="ALWAR"/>
    <s v="ALWAR"/>
    <s v="RJ-JAIPUR"/>
    <d v="2022-06-14T00:00:00"/>
  </r>
  <r>
    <s v="819425210619"/>
    <x v="692"/>
    <s v="CHOUHAN CEMENT AGENCY"/>
    <s v="210619"/>
    <s v="JAGDAMBA TRADING CO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ALWAR"/>
    <s v="ALWAR"/>
    <s v="RJ-JAIPUR"/>
    <d v="2022-06-20T00:00:00"/>
  </r>
  <r>
    <s v="819901149765"/>
    <x v="693"/>
    <s v="SHREE BUILDERS"/>
    <n v="149765"/>
    <s v="ARORA CEMENT AGENCY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n v="20"/>
    <n v="0"/>
    <n v="0"/>
    <n v="17.5"/>
    <n v="0"/>
    <n v="0"/>
    <n v="57.5"/>
    <n v="0"/>
    <n v="0"/>
    <s v="ALWAR"/>
    <s v="ALWAR"/>
    <s v="RJ-JAIPUR"/>
    <d v="2022-07-23T00:00:00"/>
  </r>
  <r>
    <s v="820092210619"/>
    <x v="694"/>
    <s v="MUKESH BUILDERS"/>
    <n v="210619"/>
    <s v="JAGDAMBA TRADING CO"/>
    <n v="0"/>
    <n v="0"/>
    <n v="0"/>
    <n v="0"/>
    <n v="0"/>
    <n v="0"/>
    <n v="0"/>
    <n v="0"/>
    <n v="0"/>
    <n v="0"/>
    <n v="0"/>
    <n v="0"/>
    <n v="50"/>
    <n v="0"/>
    <n v="0"/>
    <n v="58"/>
    <n v="0"/>
    <n v="0"/>
    <n v="27.5"/>
    <n v="0"/>
    <n v="20"/>
    <n v="30"/>
    <n v="0"/>
    <n v="10"/>
    <n v="165.5"/>
    <n v="0"/>
    <n v="20"/>
    <s v="ALWAR"/>
    <s v="ALWAR"/>
    <s v="RJ-JAIPUR"/>
    <d v="2022-08-08T00:00:00"/>
  </r>
  <r>
    <s v="820149148557"/>
    <x v="695"/>
    <s v="SAMARA BUILDING MATERIAL SUPPL"/>
    <n v="148557"/>
    <s v="MITALI ALLOYS PVT LTD"/>
    <n v="0"/>
    <n v="0"/>
    <n v="0"/>
    <n v="0"/>
    <n v="0"/>
    <n v="0"/>
    <n v="0"/>
    <n v="0"/>
    <n v="0"/>
    <n v="0"/>
    <n v="0"/>
    <n v="0"/>
    <n v="30"/>
    <n v="0"/>
    <n v="0"/>
    <n v="32.5"/>
    <n v="0"/>
    <n v="0"/>
    <n v="46"/>
    <n v="0"/>
    <n v="0"/>
    <n v="110"/>
    <n v="0"/>
    <n v="0"/>
    <n v="218.5"/>
    <n v="0"/>
    <n v="0"/>
    <s v="ALWAR"/>
    <s v="ALWAR"/>
    <s v="RJ-JAIPUR"/>
    <d v="2022-08-17T00:00:00"/>
  </r>
  <r>
    <s v="804980210696"/>
    <x v="589"/>
    <s v="SHREE OM TRADING COMPANY"/>
    <n v="210696"/>
    <s v="GURU SANITARY &amp; HARDWARES"/>
    <n v="0"/>
    <n v="0"/>
    <n v="0"/>
    <n v="0"/>
    <n v="0"/>
    <n v="0"/>
    <n v="0"/>
    <n v="0"/>
    <n v="0"/>
    <n v="0"/>
    <n v="0"/>
    <n v="0"/>
    <n v="0"/>
    <n v="0"/>
    <n v="0"/>
    <n v="6.5"/>
    <n v="0"/>
    <n v="6.5"/>
    <n v="0"/>
    <n v="0"/>
    <n v="0"/>
    <n v="0"/>
    <n v="0"/>
    <n v="0"/>
    <n v="6.5"/>
    <n v="0"/>
    <n v="6.5"/>
    <s v="ALWAR"/>
    <s v="ALWAR"/>
    <s v="RJ-JAIPUR"/>
    <d v="2016-04-25T00:00:00"/>
  </r>
  <r>
    <s v="809569210696"/>
    <x v="606"/>
    <s v="DEVENDRA BUILDING MATERIAL"/>
    <n v="210696"/>
    <s v="GURU SANITARY &amp; HARDWARES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ALWAR"/>
    <s v="ALWAR"/>
    <s v="RJ-JAIPUR"/>
    <d v="2019-05-17T00:00:00"/>
  </r>
  <r>
    <s v="811522210696"/>
    <x v="621"/>
    <s v="JASORIA DISTRIBUTORS"/>
    <n v="210696"/>
    <s v="GURU SANITARY &amp; HARDWARES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  <n v="0"/>
    <n v="0"/>
    <n v="0"/>
    <n v="5"/>
    <n v="0"/>
    <n v="5"/>
    <s v="ALWAR"/>
    <s v="ALWAR"/>
    <s v="RJ-JAIPUR"/>
    <d v="2020-02-17T00:00:00"/>
  </r>
  <r>
    <s v="818347202479"/>
    <x v="677"/>
    <s v="SHREE KRISHNA CEMENT AGENCY"/>
    <n v="202479"/>
    <s v="SHIKHA ENTERPRSIES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25"/>
    <n v="0"/>
    <n v="0"/>
    <s v="ALWAR"/>
    <s v="ALWAR"/>
    <s v="RJ-JAIPUR"/>
    <d v="2022-03-12T00:00:00"/>
  </r>
  <r>
    <s v="820460202479"/>
    <x v="696"/>
    <s v="SHREE KRISHNA CEMENT AGENCY"/>
    <n v="202479"/>
    <s v="SHIKHA ENTERPRSIES"/>
    <n v="0"/>
    <n v="0"/>
    <n v="0"/>
    <n v="0"/>
    <n v="0"/>
    <n v="0"/>
    <n v="0"/>
    <n v="0"/>
    <n v="0"/>
    <n v="0"/>
    <n v="0"/>
    <n v="0"/>
    <n v="0"/>
    <n v="0"/>
    <n v="0"/>
    <n v="50"/>
    <n v="0"/>
    <n v="7.5"/>
    <n v="107.5"/>
    <n v="0"/>
    <n v="0"/>
    <n v="105.45"/>
    <n v="0"/>
    <n v="0"/>
    <n v="262.95"/>
    <n v="0"/>
    <n v="7.5"/>
    <s v="ALWAR"/>
    <s v="ALWAR"/>
    <s v="RJ-JAIPUR"/>
    <d v="2022-09-09T00:00:00"/>
  </r>
  <r>
    <s v="820094142984"/>
    <x v="697"/>
    <s v="METHI BUILDERS"/>
    <n v="142984"/>
    <s v="JAGDAMBEY BUILDING MATERIAL SU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25"/>
    <n v="0"/>
    <n v="0"/>
    <s v="ALWAR"/>
    <s v="ALWAR"/>
    <s v="RJ-JAIPUR"/>
    <d v="2022-08-08T00:00:00"/>
  </r>
  <r>
    <s v="820288208736"/>
    <x v="698"/>
    <s v="JASRAM CEMENT AGENCY"/>
    <n v="208736"/>
    <s v="RAJORIYA TRADING COMPANY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10"/>
    <n v="0"/>
    <n v="0"/>
    <n v="25"/>
    <n v="0"/>
    <n v="0"/>
    <s v="ALWAR"/>
    <s v="ALWAR"/>
    <s v="RJ-JAIPUR"/>
    <d v="2022-08-27T00:00:00"/>
  </r>
  <r>
    <s v="820492212976"/>
    <x v="699"/>
    <s v="AMIT KHAD BEEJ BHANDAR"/>
    <n v="212976"/>
    <s v="CHOUDHARY BUILDERS"/>
    <n v="0"/>
    <n v="0"/>
    <n v="0"/>
    <n v="0"/>
    <n v="0"/>
    <n v="0"/>
    <n v="0"/>
    <n v="0"/>
    <n v="0"/>
    <n v="0"/>
    <n v="0"/>
    <n v="0"/>
    <n v="0"/>
    <n v="0"/>
    <n v="0"/>
    <n v="85"/>
    <n v="0"/>
    <n v="25"/>
    <n v="116.3"/>
    <n v="8.8000000000000007"/>
    <n v="0"/>
    <n v="118"/>
    <n v="15"/>
    <n v="18"/>
    <n v="319.3"/>
    <n v="8.8000000000000007"/>
    <n v="25"/>
    <s v="ALWAR"/>
    <s v="ALWAR"/>
    <s v="RJ-JAIPUR"/>
    <d v="2022-09-13T00:00:00"/>
  </r>
  <r>
    <s v="820484148557"/>
    <x v="700"/>
    <s v="ARIF CEMENT AGENCY"/>
    <n v="148557"/>
    <s v="MITALI ALLOYS PVT LTD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28"/>
    <n v="0"/>
    <n v="0"/>
    <n v="43"/>
    <n v="0"/>
    <n v="0"/>
    <s v="ALWAR"/>
    <s v="ALWAR"/>
    <s v="RJ-JAIPUR"/>
    <d v="2022-09-12T00:00:00"/>
  </r>
  <r>
    <s v="820559173310"/>
    <x v="701"/>
    <s v="SHARMA CEMENT AGENCY"/>
    <n v="173310"/>
    <s v="NAGORA  &amp; COMPANY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15"/>
    <n v="0"/>
    <n v="0"/>
    <s v="ALWAR"/>
    <s v="ALWAR"/>
    <s v="RJ-JAIPUR"/>
    <d v="2022-09-16T00:00:00"/>
  </r>
  <r>
    <s v="820559211046"/>
    <x v="701"/>
    <s v="SHARMA CEMENT AGENCY"/>
    <n v="211046"/>
    <s v="MAHALAXMI TRADING CO."/>
    <n v="0"/>
    <n v="0"/>
    <n v="0"/>
    <n v="0"/>
    <n v="0"/>
    <n v="0"/>
    <n v="0"/>
    <n v="0"/>
    <n v="0"/>
    <n v="0"/>
    <n v="0"/>
    <n v="0"/>
    <n v="0"/>
    <n v="0"/>
    <n v="0"/>
    <n v="15"/>
    <n v="0"/>
    <n v="15"/>
    <n v="51.75"/>
    <n v="0"/>
    <n v="2.5"/>
    <n v="37.049999999999997"/>
    <n v="0"/>
    <n v="17.05"/>
    <n v="103.8"/>
    <n v="0"/>
    <n v="17.5"/>
    <s v="ALWAR"/>
    <s v="ALWAR"/>
    <s v="RJ-JAIPUR"/>
    <d v="2022-09-16T00:00:00"/>
  </r>
  <r>
    <s v="820623212976"/>
    <x v="702"/>
    <s v="ERAM CONSTRUCTION"/>
    <n v="212976"/>
    <s v="CHOUDHARY BUILDE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32.5"/>
    <n v="0"/>
    <n v="15"/>
    <n v="27.5"/>
    <n v="0"/>
    <n v="10"/>
    <n v="70"/>
    <n v="0"/>
    <n v="15"/>
    <s v="ALWAR"/>
    <s v="ALWAR"/>
    <s v="RJ-JAIPUR"/>
    <d v="2022-09-20T00:00:00"/>
  </r>
  <r>
    <s v="820634148557"/>
    <x v="703"/>
    <s v="MAA GORI AGENCY"/>
    <n v="148557"/>
    <s v="MITALI ALLOYS PVT LTD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15"/>
    <n v="0"/>
    <n v="0"/>
    <s v="ALWAR"/>
    <s v="ALWAR"/>
    <s v="RJ-JAIPUR"/>
    <d v="2022-09-20T00:00:00"/>
  </r>
  <r>
    <s v="820701148557"/>
    <x v="704"/>
    <s v="MAA JAGDAMBA AGENCIES"/>
    <n v="148557"/>
    <s v="MITALI ALLOYS PVT LTD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16.5"/>
    <n v="0"/>
    <n v="0"/>
    <n v="46"/>
    <n v="0"/>
    <n v="0"/>
    <n v="177.5"/>
    <n v="0"/>
    <n v="0"/>
    <s v="ALWAR"/>
    <s v="ALWAR"/>
    <s v="RJ-JAIPUR"/>
    <d v="2022-09-24T00:00:00"/>
  </r>
  <r>
    <s v="820081148557"/>
    <x v="705"/>
    <s v="SHRI BALAJI BUILDING MATERIAL"/>
    <n v="148557"/>
    <s v="MITALI ALLOYS PVT LTD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37"/>
    <n v="0"/>
    <n v="0"/>
    <n v="61"/>
    <n v="0"/>
    <n v="0"/>
    <n v="120"/>
    <n v="0"/>
    <n v="0"/>
    <s v="ALWAR"/>
    <s v="ALWAR"/>
    <s v="RJ-JAIPUR"/>
    <d v="2022-08-06T00:00:00"/>
  </r>
  <r>
    <s v="820492210696"/>
    <x v="699"/>
    <s v="AMIT KHAD BEEJ BHANDAR"/>
    <n v="210696"/>
    <s v="GURU SANITARY &amp; HARDWAR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"/>
    <n v="0"/>
    <n v="6"/>
    <n v="0"/>
    <n v="0"/>
    <n v="0"/>
    <n v="8.5"/>
    <n v="0"/>
    <n v="6"/>
    <s v="ALWAR"/>
    <s v="ALWAR"/>
    <s v="RJ-JAIPUR"/>
    <d v="2022-09-13T00:00:00"/>
  </r>
  <r>
    <s v="821086213953"/>
    <x v="706"/>
    <s v="RAJU TRADING COMPANY"/>
    <n v="213953"/>
    <s v="B 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.05"/>
    <n v="0"/>
    <n v="23.05"/>
    <n v="77.05"/>
    <n v="0"/>
    <n v="0"/>
    <s v="ALWAR"/>
    <s v="ALWAR"/>
    <s v="RJ-JAIPUR"/>
    <d v="2022-10-29T00:00:00"/>
  </r>
  <r>
    <s v="821207213953"/>
    <x v="707"/>
    <s v="SHIV STONE COMPANY"/>
    <n v="213953"/>
    <s v="B 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63"/>
    <n v="0"/>
    <n v="28"/>
    <n v="78"/>
    <n v="0"/>
    <n v="0"/>
    <s v="ALWAR"/>
    <s v="ALWAR"/>
    <s v="RJ-JAIPUR"/>
    <d v="2022-11-12T00:00:00"/>
  </r>
  <r>
    <s v="801588119047"/>
    <x v="708"/>
    <s v="AGARWAL CEMENT AGENCY"/>
    <n v="119047"/>
    <s v="BANSAL TRADING COMPANY"/>
    <n v="63"/>
    <n v="5"/>
    <n v="0"/>
    <n v="128.5"/>
    <n v="0"/>
    <n v="0"/>
    <n v="178"/>
    <n v="0"/>
    <n v="0"/>
    <n v="99"/>
    <n v="0"/>
    <n v="0"/>
    <n v="114.5"/>
    <n v="0"/>
    <n v="0"/>
    <n v="82"/>
    <n v="0"/>
    <n v="0"/>
    <n v="103.2"/>
    <n v="0"/>
    <n v="0"/>
    <n v="77"/>
    <n v="0"/>
    <n v="0"/>
    <n v="845.2"/>
    <n v="5"/>
    <n v="0"/>
    <s v="BHARATPUR"/>
    <s v="ALWAR"/>
    <s v="RJ-JAIPUR"/>
    <d v="2012-12-28T00:00:00"/>
  </r>
  <r>
    <s v="801589119047"/>
    <x v="709"/>
    <s v="MAA BHAGWATI TRADERS"/>
    <n v="119047"/>
    <s v="BANSAL TRADING COMPANY"/>
    <n v="20"/>
    <n v="0"/>
    <n v="0"/>
    <n v="0"/>
    <n v="0"/>
    <n v="0"/>
    <n v="0"/>
    <n v="0"/>
    <n v="0"/>
    <n v="0"/>
    <n v="0"/>
    <n v="0"/>
    <n v="31"/>
    <n v="0"/>
    <n v="0"/>
    <n v="12"/>
    <n v="0"/>
    <n v="0"/>
    <n v="17"/>
    <n v="0"/>
    <n v="0"/>
    <n v="48"/>
    <n v="0"/>
    <n v="0"/>
    <n v="128"/>
    <n v="0"/>
    <n v="0"/>
    <s v="BHARATPUR"/>
    <s v="ALWAR"/>
    <s v="RJ-JAIPUR"/>
    <d v="2012-12-28T00:00:00"/>
  </r>
  <r>
    <s v="801590119047"/>
    <x v="710"/>
    <s v="MANGAL BUILDING MATERIAL STORE"/>
    <n v="119047"/>
    <s v="BANSAL TRADING COMPANY"/>
    <n v="20"/>
    <n v="0"/>
    <n v="0"/>
    <n v="10"/>
    <n v="0"/>
    <n v="0"/>
    <n v="43"/>
    <n v="0"/>
    <n v="0"/>
    <n v="13"/>
    <n v="0"/>
    <n v="0"/>
    <n v="49"/>
    <n v="0"/>
    <n v="0"/>
    <n v="33.5"/>
    <n v="0"/>
    <n v="0"/>
    <n v="42"/>
    <n v="0"/>
    <n v="0"/>
    <n v="51.5"/>
    <n v="0"/>
    <n v="0"/>
    <n v="262"/>
    <n v="0"/>
    <n v="0"/>
    <s v="BHARATPUR"/>
    <s v="ALWAR"/>
    <s v="RJ-JAIPUR"/>
    <d v="2012-12-28T00:00:00"/>
  </r>
  <r>
    <s v="801627202865"/>
    <x v="711"/>
    <s v="SHREE GOPAL TRADING CO"/>
    <n v="202865"/>
    <s v="DEEPAK TRADERS"/>
    <n v="20"/>
    <n v="0"/>
    <n v="0"/>
    <n v="75"/>
    <n v="0"/>
    <n v="0"/>
    <n v="96.5"/>
    <n v="0"/>
    <n v="0"/>
    <n v="84.5"/>
    <n v="0"/>
    <n v="0"/>
    <n v="0"/>
    <n v="0"/>
    <n v="0"/>
    <n v="43"/>
    <n v="0"/>
    <n v="0"/>
    <n v="71"/>
    <n v="0"/>
    <n v="0"/>
    <n v="44"/>
    <n v="0"/>
    <n v="0"/>
    <n v="434"/>
    <n v="0"/>
    <n v="0"/>
    <s v="BHARATPUR"/>
    <s v="ALWAR"/>
    <s v="RJ-JAIPUR"/>
    <d v="2013-01-09T00:00:00"/>
  </r>
  <r>
    <s v="802165143531"/>
    <x v="712"/>
    <s v="DEEPAK TRADING CO"/>
    <n v="143531"/>
    <s v="JAIN KHAD BEEJ BHANDAR"/>
    <n v="50"/>
    <n v="0"/>
    <n v="0"/>
    <n v="37.5"/>
    <n v="0"/>
    <n v="0"/>
    <n v="28.75"/>
    <n v="0"/>
    <n v="0"/>
    <n v="10"/>
    <n v="0"/>
    <n v="0"/>
    <n v="52"/>
    <n v="0"/>
    <n v="0"/>
    <n v="25"/>
    <n v="0"/>
    <n v="0"/>
    <n v="25"/>
    <n v="0"/>
    <n v="0"/>
    <n v="12.5"/>
    <n v="0"/>
    <n v="0"/>
    <n v="240.75"/>
    <n v="0"/>
    <n v="0"/>
    <s v="BHARATPUR"/>
    <s v="ALWAR"/>
    <s v="RJ-JAIPUR"/>
    <d v="2013-07-06T00:00:00"/>
  </r>
  <r>
    <s v="802918143531"/>
    <x v="713"/>
    <s v="BANKE BIHARI KHAD BEEJ BHANDAR"/>
    <n v="143531"/>
    <s v="JAIN KHAD BEEJ BHANDAR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0"/>
    <n v="0"/>
    <s v="BHARATPUR"/>
    <s v="ALWAR"/>
    <s v="RJ-JAIPUR"/>
    <d v="2013-09-18T00:00:00"/>
  </r>
  <r>
    <s v="803820129599"/>
    <x v="714"/>
    <s v="ARTI BUILDING MATERIAL"/>
    <n v="129599"/>
    <s v="Kuntal Building Material"/>
    <n v="39.5"/>
    <n v="0"/>
    <n v="0"/>
    <n v="25"/>
    <n v="2.5"/>
    <n v="0"/>
    <n v="52.55"/>
    <n v="0"/>
    <n v="0"/>
    <n v="48.5"/>
    <n v="0"/>
    <n v="14"/>
    <n v="44.25"/>
    <n v="0"/>
    <n v="5"/>
    <n v="29.25"/>
    <n v="0"/>
    <n v="7.5"/>
    <n v="20"/>
    <n v="0"/>
    <n v="5"/>
    <n v="31.25"/>
    <n v="0"/>
    <n v="0.75"/>
    <n v="290.3"/>
    <n v="2.5"/>
    <n v="31.5"/>
    <s v="BHARATPUR"/>
    <s v="ALWAR"/>
    <s v="RJ-JAIPUR"/>
    <d v="2015-01-28T00:00:00"/>
  </r>
  <r>
    <s v="805151202865"/>
    <x v="715"/>
    <s v="RAHUL BUILDING MATERIAL"/>
    <n v="202865"/>
    <s v="DEEPAK TRADERS"/>
    <n v="102"/>
    <n v="0"/>
    <n v="0"/>
    <n v="111"/>
    <n v="0"/>
    <n v="0"/>
    <n v="127"/>
    <n v="0"/>
    <n v="2.5"/>
    <n v="137.5"/>
    <n v="0"/>
    <n v="11"/>
    <n v="109"/>
    <n v="0"/>
    <n v="0"/>
    <n v="73.5"/>
    <n v="0"/>
    <n v="0"/>
    <n v="102"/>
    <n v="0"/>
    <n v="0"/>
    <n v="127"/>
    <n v="0"/>
    <n v="0"/>
    <n v="889"/>
    <n v="0"/>
    <n v="13.5"/>
    <s v="BHARATPUR"/>
    <s v="ALWAR"/>
    <s v="RJ-JAIPUR"/>
    <d v="2016-06-07T00:00:00"/>
  </r>
  <r>
    <s v="805158202865"/>
    <x v="716"/>
    <s v="FAUJDAR BUILDING MATERIAL"/>
    <n v="202865"/>
    <s v="DEEPAK TRADERS"/>
    <n v="36.5"/>
    <n v="0"/>
    <n v="0"/>
    <n v="36.5"/>
    <n v="0"/>
    <n v="0"/>
    <n v="35"/>
    <n v="0"/>
    <n v="0"/>
    <n v="30.5"/>
    <n v="0"/>
    <n v="0"/>
    <n v="74"/>
    <n v="0"/>
    <n v="0"/>
    <n v="20"/>
    <n v="0"/>
    <n v="0"/>
    <n v="61.5"/>
    <n v="0"/>
    <n v="0"/>
    <n v="37.5"/>
    <n v="0"/>
    <n v="0"/>
    <n v="331.5"/>
    <n v="0"/>
    <n v="0"/>
    <s v="BHARATPUR"/>
    <s v="ALWAR"/>
    <s v="RJ-JAIPUR"/>
    <d v="2016-06-09T00:00:00"/>
  </r>
  <r>
    <s v="805811202865"/>
    <x v="717"/>
    <s v="YOGESH TRADERS"/>
    <n v="202865"/>
    <s v="DEEPAK TRADERS"/>
    <n v="17"/>
    <n v="0"/>
    <n v="0"/>
    <n v="65.5"/>
    <n v="0"/>
    <n v="0"/>
    <n v="129"/>
    <n v="0"/>
    <n v="0"/>
    <n v="135"/>
    <n v="0"/>
    <n v="0"/>
    <n v="113.4"/>
    <n v="0"/>
    <n v="0"/>
    <n v="139.5"/>
    <n v="0"/>
    <n v="1"/>
    <n v="69"/>
    <n v="0"/>
    <n v="0"/>
    <n v="146.69999999999999"/>
    <n v="0"/>
    <n v="0"/>
    <n v="815.09999999999991"/>
    <n v="0"/>
    <n v="1"/>
    <s v="BHARATPUR"/>
    <s v="ALWAR"/>
    <s v="RJ-JAIPUR"/>
    <d v="2016-11-30T00:00:00"/>
  </r>
  <r>
    <s v="806234202865"/>
    <x v="718"/>
    <s v="JAI SHREE GANESH BUILDING MATE"/>
    <n v="202865"/>
    <s v="DEEPAK TRADERS"/>
    <n v="0"/>
    <n v="0"/>
    <n v="0"/>
    <n v="0"/>
    <n v="0"/>
    <n v="0"/>
    <n v="0"/>
    <n v="0"/>
    <n v="0"/>
    <n v="0"/>
    <n v="0"/>
    <n v="0"/>
    <n v="0"/>
    <n v="0"/>
    <n v="0"/>
    <n v="72"/>
    <n v="0"/>
    <n v="0"/>
    <n v="21"/>
    <n v="0"/>
    <n v="0"/>
    <n v="50.5"/>
    <n v="0"/>
    <n v="0"/>
    <n v="143.5"/>
    <n v="0"/>
    <n v="0"/>
    <s v="BHARATPUR"/>
    <s v="ALWAR"/>
    <s v="RJ-JAIPUR"/>
    <d v="2017-04-07T00:00:00"/>
  </r>
  <r>
    <s v="806436119023"/>
    <x v="719"/>
    <s v="SUKHDEV JI GUPTA"/>
    <n v="119023"/>
    <s v="AGARWAL MACHINERY STORES"/>
    <n v="126"/>
    <n v="10"/>
    <n v="0"/>
    <n v="186"/>
    <n v="0"/>
    <n v="0"/>
    <n v="146"/>
    <n v="0"/>
    <n v="0"/>
    <n v="168.7"/>
    <n v="0"/>
    <n v="0"/>
    <n v="106"/>
    <n v="0"/>
    <n v="0"/>
    <n v="67"/>
    <n v="0"/>
    <n v="0"/>
    <n v="133"/>
    <n v="0"/>
    <n v="0"/>
    <n v="107.5"/>
    <n v="0"/>
    <n v="0"/>
    <n v="1040.2"/>
    <n v="10"/>
    <n v="0"/>
    <s v="BHARATPUR"/>
    <s v="ALWAR"/>
    <s v="RJ-JAIPUR"/>
    <d v="2017-06-07T00:00:00"/>
  </r>
  <r>
    <s v="806439119023"/>
    <x v="720"/>
    <s v="BALAJI BUILDING MATERIAL STORE"/>
    <n v="119023"/>
    <s v="AGARWAL MACHINERY STORES"/>
    <n v="0"/>
    <n v="0"/>
    <n v="0"/>
    <n v="202"/>
    <n v="0"/>
    <n v="0"/>
    <n v="197"/>
    <n v="0"/>
    <n v="88"/>
    <n v="168.5"/>
    <n v="0"/>
    <n v="0"/>
    <n v="103"/>
    <n v="0"/>
    <n v="0"/>
    <n v="0"/>
    <n v="0"/>
    <n v="0"/>
    <n v="172"/>
    <n v="0"/>
    <n v="0"/>
    <n v="162"/>
    <n v="16"/>
    <n v="0"/>
    <n v="1004.5"/>
    <n v="0"/>
    <n v="88"/>
    <s v="BHARATPUR"/>
    <s v="ALWAR"/>
    <s v="RJ-JAIPUR"/>
    <d v="2017-06-07T00:00:00"/>
  </r>
  <r>
    <s v="806440119023"/>
    <x v="721"/>
    <s v="VIKAS CEMENT AGENCY"/>
    <n v="119023"/>
    <s v="AGARWAL MACHINERY STOR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17-06-07T00:00:00"/>
  </r>
  <r>
    <s v="806882119023"/>
    <x v="722"/>
    <s v="GOMTI BUILDING MATERIAL STORE"/>
    <n v="119023"/>
    <s v="AGARWAL MACHINERY STORES"/>
    <n v="0"/>
    <n v="0"/>
    <n v="0"/>
    <n v="142.5"/>
    <n v="0"/>
    <n v="0"/>
    <n v="137.5"/>
    <n v="0"/>
    <n v="0"/>
    <n v="126.5"/>
    <n v="0"/>
    <n v="0"/>
    <n v="84"/>
    <n v="0"/>
    <n v="0"/>
    <n v="0"/>
    <n v="0"/>
    <n v="0"/>
    <n v="59"/>
    <n v="0"/>
    <n v="0"/>
    <n v="142.69999999999999"/>
    <n v="0"/>
    <n v="0"/>
    <n v="692.2"/>
    <n v="0"/>
    <n v="0"/>
    <s v="BHARATPUR"/>
    <s v="ALWAR"/>
    <s v="RJ-JAIPUR"/>
    <d v="2017-09-15T00:00:00"/>
  </r>
  <r>
    <s v="806926119047"/>
    <x v="723"/>
    <s v="AGARWAL KHAD BEEJ BHANDAR"/>
    <n v="119047"/>
    <s v="BANSAL TRADING COMPANY"/>
    <n v="35"/>
    <n v="0"/>
    <n v="0"/>
    <n v="42"/>
    <n v="0"/>
    <n v="0"/>
    <n v="60"/>
    <n v="0"/>
    <n v="0"/>
    <n v="47"/>
    <n v="0"/>
    <n v="0"/>
    <n v="52"/>
    <n v="0"/>
    <n v="0"/>
    <n v="68"/>
    <n v="0"/>
    <n v="0"/>
    <n v="27"/>
    <n v="0"/>
    <n v="0"/>
    <n v="82"/>
    <n v="0"/>
    <n v="0"/>
    <n v="413"/>
    <n v="0"/>
    <n v="0"/>
    <s v="BHARATPUR"/>
    <s v="ALWAR"/>
    <s v="RJ-JAIPUR"/>
    <d v="2017-09-26T00:00:00"/>
  </r>
  <r>
    <s v="807002171479"/>
    <x v="724"/>
    <s v="SHREE JI BUILDING MATERIAL STO"/>
    <n v="171479"/>
    <s v="YADAV TRADING COMPANY"/>
    <n v="42.5"/>
    <n v="0"/>
    <n v="0"/>
    <n v="89"/>
    <n v="0"/>
    <n v="0"/>
    <n v="165"/>
    <n v="0"/>
    <n v="0"/>
    <n v="102.5"/>
    <n v="0"/>
    <n v="5"/>
    <n v="105"/>
    <n v="0"/>
    <n v="0"/>
    <n v="16"/>
    <n v="0"/>
    <n v="0"/>
    <n v="20"/>
    <n v="0"/>
    <n v="0"/>
    <n v="27.7"/>
    <n v="0"/>
    <n v="0"/>
    <n v="567.70000000000005"/>
    <n v="0"/>
    <n v="5"/>
    <s v="BHARATPUR"/>
    <s v="ALWAR"/>
    <s v="RJ-JAIPUR"/>
    <d v="2017-10-25T00:00:00"/>
  </r>
  <r>
    <s v="807143119023"/>
    <x v="725"/>
    <s v="LAVKUSH KHAD BEEJ BHANDAR"/>
    <n v="119023"/>
    <s v="AGARWAL MACHINERY STORES"/>
    <n v="0"/>
    <n v="0"/>
    <n v="0"/>
    <n v="0"/>
    <n v="0"/>
    <n v="0"/>
    <n v="126.5"/>
    <n v="0"/>
    <n v="0"/>
    <n v="42"/>
    <n v="0"/>
    <n v="0"/>
    <n v="0"/>
    <n v="0"/>
    <n v="0"/>
    <n v="0"/>
    <n v="0"/>
    <n v="0"/>
    <n v="102"/>
    <n v="0"/>
    <n v="0"/>
    <n v="161.69999999999999"/>
    <n v="0"/>
    <n v="0"/>
    <n v="432.2"/>
    <n v="0"/>
    <n v="0"/>
    <s v="BHARATPUR"/>
    <s v="ALWAR"/>
    <s v="RJ-JAIPUR"/>
    <d v="2018-11-02T00:00:00"/>
  </r>
  <r>
    <s v="807779202865"/>
    <x v="726"/>
    <s v="MAHAVEER BUILDING MATERIAL"/>
    <n v="202865"/>
    <s v="DEEPAK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19-01-22T00:00:00"/>
  </r>
  <r>
    <s v="808644119023"/>
    <x v="727"/>
    <s v="NAITIK TRADERS"/>
    <n v="119023"/>
    <s v="AGARWAL MACHINERY STORES"/>
    <n v="0"/>
    <n v="0"/>
    <n v="0"/>
    <n v="189"/>
    <n v="0"/>
    <n v="0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313"/>
    <n v="0"/>
    <n v="0"/>
    <s v="BHARATPUR"/>
    <s v="ALWAR"/>
    <s v="RJ-JAIPUR"/>
    <d v="2018-06-26T00:00:00"/>
  </r>
  <r>
    <s v="808925119023"/>
    <x v="728"/>
    <s v="GOYAL TRADING COMPANY"/>
    <n v="119023"/>
    <s v="AGARWAL MACHINERY STORES"/>
    <n v="0"/>
    <n v="0"/>
    <n v="0"/>
    <n v="0"/>
    <n v="0"/>
    <n v="0"/>
    <n v="132"/>
    <n v="0"/>
    <n v="0"/>
    <n v="42"/>
    <n v="0"/>
    <n v="0"/>
    <n v="0"/>
    <n v="0"/>
    <n v="0"/>
    <n v="0"/>
    <n v="0"/>
    <n v="0"/>
    <n v="80"/>
    <n v="0"/>
    <n v="0"/>
    <n v="147.69999999999999"/>
    <n v="0"/>
    <n v="0"/>
    <n v="401.7"/>
    <n v="0"/>
    <n v="0"/>
    <s v="BHARATPUR"/>
    <s v="ALWAR"/>
    <s v="RJ-JAIPUR"/>
    <d v="2018-07-12T00:00:00"/>
  </r>
  <r>
    <s v="808926119023"/>
    <x v="729"/>
    <s v="B L BUILDING MATERIAL"/>
    <n v="119023"/>
    <s v="AGARWAL MACHINERY STORES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145"/>
    <n v="0"/>
    <n v="0"/>
    <n v="165"/>
    <n v="0"/>
    <n v="0"/>
    <s v="BHARATPUR"/>
    <s v="ALWAR"/>
    <s v="RJ-JAIPUR"/>
    <d v="2018-07-12T00:00:00"/>
  </r>
  <r>
    <s v="811475178844"/>
    <x v="730"/>
    <s v="SAINI TRADERS"/>
    <n v="178844"/>
    <s v="SAINI BUILDING MATERIAL SUPPL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20-02-10T00:00:00"/>
  </r>
  <r>
    <s v="812299143531"/>
    <x v="731"/>
    <s v="VIJAY TRADING COMPANY"/>
    <n v="143531"/>
    <s v="JAIN KHAD BEEJ BHANDAR"/>
    <n v="14"/>
    <n v="0"/>
    <n v="0"/>
    <n v="34"/>
    <n v="0"/>
    <n v="0"/>
    <n v="25"/>
    <n v="0"/>
    <n v="0"/>
    <n v="20"/>
    <n v="0"/>
    <n v="0"/>
    <n v="14"/>
    <n v="0"/>
    <n v="0"/>
    <n v="0"/>
    <n v="0"/>
    <n v="0"/>
    <n v="0"/>
    <n v="0"/>
    <n v="0"/>
    <n v="12.5"/>
    <n v="0"/>
    <n v="4"/>
    <n v="119.5"/>
    <n v="0"/>
    <n v="0"/>
    <s v="BHARATPUR"/>
    <s v="ALWAR"/>
    <s v="RJ-JAIPUR"/>
    <d v="2020-07-21T00:00:00"/>
  </r>
  <r>
    <s v="812741129599"/>
    <x v="732"/>
    <s v="LAXMI BUILDING MATERIAL"/>
    <n v="129599"/>
    <s v="Kuntal Building Material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0"/>
    <s v="BHARATPUR"/>
    <s v="ALWAR"/>
    <s v="RJ-JAIPUR"/>
    <d v="2020-09-01T00:00:00"/>
  </r>
  <r>
    <s v="812944177829"/>
    <x v="733"/>
    <s v="HITA JK SUPER CEMENT"/>
    <n v="177829"/>
    <s v="GARG TRADING COMPANY"/>
    <n v="24.5"/>
    <n v="0"/>
    <n v="0"/>
    <n v="64"/>
    <n v="0"/>
    <n v="0"/>
    <n v="74"/>
    <n v="0"/>
    <n v="10"/>
    <n v="51"/>
    <n v="0"/>
    <n v="0"/>
    <n v="50"/>
    <n v="0"/>
    <n v="0"/>
    <n v="42"/>
    <n v="0"/>
    <n v="0"/>
    <n v="20"/>
    <n v="0"/>
    <n v="0"/>
    <n v="47.5"/>
    <n v="0"/>
    <n v="0"/>
    <n v="373"/>
    <n v="0"/>
    <n v="10"/>
    <s v="BHARATPUR"/>
    <s v="ALWAR"/>
    <s v="RJ-JAIPUR"/>
    <d v="2020-09-17T00:00:00"/>
  </r>
  <r>
    <s v="812967177829"/>
    <x v="734"/>
    <s v="BANSAL IRON &amp; CEMENT TRADERS"/>
    <n v="177829"/>
    <s v="GARG TRADING COMPANY"/>
    <n v="59"/>
    <n v="0"/>
    <n v="0"/>
    <n v="40"/>
    <n v="0"/>
    <n v="0"/>
    <n v="64.5"/>
    <n v="0"/>
    <n v="10"/>
    <n v="63.5"/>
    <n v="0"/>
    <n v="0"/>
    <n v="47"/>
    <n v="0"/>
    <n v="0"/>
    <n v="41"/>
    <n v="0"/>
    <n v="0"/>
    <n v="21"/>
    <n v="0"/>
    <n v="0"/>
    <n v="28.4"/>
    <n v="0"/>
    <n v="11.4"/>
    <n v="364.4"/>
    <n v="0"/>
    <n v="10"/>
    <s v="BHARATPUR"/>
    <s v="ALWAR"/>
    <s v="RJ-JAIPUR"/>
    <d v="2020-09-18T00:00:00"/>
  </r>
  <r>
    <s v="813154170708"/>
    <x v="735"/>
    <s v="TIWARI AGENCIES"/>
    <n v="170708"/>
    <s v="BANSAL MARBLES"/>
    <n v="54.5"/>
    <n v="0"/>
    <n v="0"/>
    <n v="54.5"/>
    <n v="0"/>
    <n v="0"/>
    <n v="62"/>
    <n v="0"/>
    <n v="0"/>
    <n v="53"/>
    <n v="0"/>
    <n v="0"/>
    <n v="40"/>
    <n v="0"/>
    <n v="0"/>
    <n v="12.5"/>
    <n v="0"/>
    <n v="0"/>
    <n v="0"/>
    <n v="0"/>
    <n v="0"/>
    <n v="40"/>
    <n v="0"/>
    <n v="0"/>
    <n v="316.5"/>
    <n v="0"/>
    <n v="0"/>
    <s v="BHARATPUR"/>
    <s v="ALWAR"/>
    <s v="RJ-JAIPUR"/>
    <d v="2020-10-01T00:00:00"/>
  </r>
  <r>
    <s v="813385175392"/>
    <x v="736"/>
    <s v="JINDAL KHAD BEEJ BHANDAR"/>
    <n v="175392"/>
    <s v="SANTOSH KUMAR SATISH CHAND"/>
    <n v="43"/>
    <n v="0"/>
    <n v="0"/>
    <n v="20"/>
    <n v="0"/>
    <n v="0"/>
    <n v="57"/>
    <n v="0"/>
    <n v="0"/>
    <n v="42"/>
    <n v="0"/>
    <n v="0"/>
    <n v="0"/>
    <n v="0"/>
    <n v="0"/>
    <n v="35"/>
    <n v="0"/>
    <n v="0"/>
    <n v="46"/>
    <n v="0"/>
    <n v="0"/>
    <n v="63"/>
    <n v="0"/>
    <n v="0"/>
    <n v="306"/>
    <n v="0"/>
    <n v="0"/>
    <s v="BHARATPUR"/>
    <s v="ALWAR"/>
    <s v="RJ-JAIPUR"/>
    <d v="2020-10-24T00:00:00"/>
  </r>
  <r>
    <s v="813746204013"/>
    <x v="737"/>
    <s v="KISHAN SINGH CEMENT AGENCY"/>
    <n v="204013"/>
    <s v="SHARDUL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20-12-03T00:00:00"/>
  </r>
  <r>
    <s v="813876204013"/>
    <x v="738"/>
    <s v="SHREE SHYAM CEMENT AGENCY"/>
    <n v="204013"/>
    <s v="SHARDUL CEMENT AGENCY"/>
    <n v="24.5"/>
    <n v="0"/>
    <n v="0"/>
    <n v="10"/>
    <n v="0"/>
    <n v="0"/>
    <n v="12.7"/>
    <n v="0"/>
    <n v="0"/>
    <n v="0"/>
    <n v="0"/>
    <n v="0"/>
    <n v="20"/>
    <n v="0"/>
    <n v="0"/>
    <n v="0"/>
    <n v="0"/>
    <n v="0"/>
    <n v="0"/>
    <n v="0"/>
    <n v="0"/>
    <n v="31"/>
    <n v="0"/>
    <n v="0"/>
    <n v="98.2"/>
    <n v="0"/>
    <n v="0"/>
    <s v="BHARATPUR"/>
    <s v="ALWAR"/>
    <s v="RJ-JAIPUR"/>
    <d v="2020-12-18T00:00:00"/>
  </r>
  <r>
    <s v="813877119023"/>
    <x v="739"/>
    <s v="SHIVANI BUILDING MATERIAL STOR"/>
    <n v="119023"/>
    <s v="AGARWAL MACHINERY STOR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20-12-18T00:00:00"/>
  </r>
  <r>
    <s v="813894202865"/>
    <x v="740"/>
    <s v="SARDAR BUILDING MATERIAL STORE"/>
    <n v="202865"/>
    <s v="DEEPAK TRADERS"/>
    <n v="25"/>
    <n v="0"/>
    <n v="0"/>
    <n v="42"/>
    <n v="0"/>
    <n v="0"/>
    <n v="42.5"/>
    <n v="0"/>
    <n v="0"/>
    <n v="88.5"/>
    <n v="0"/>
    <n v="5"/>
    <n v="42"/>
    <n v="0"/>
    <n v="0"/>
    <n v="62.5"/>
    <n v="0"/>
    <n v="0"/>
    <n v="42"/>
    <n v="0"/>
    <n v="0"/>
    <n v="87.5"/>
    <n v="0"/>
    <n v="0"/>
    <n v="432"/>
    <n v="0"/>
    <n v="5"/>
    <s v="BHARATPUR"/>
    <s v="ALWAR"/>
    <s v="RJ-JAIPUR"/>
    <d v="2020-12-19T00:00:00"/>
  </r>
  <r>
    <s v="813895204013"/>
    <x v="741"/>
    <s v="PUSHPENDRA SINGH J K CEMENT AG"/>
    <n v="204013"/>
    <s v="SHARDUL CEMENT AGENCY"/>
    <n v="25"/>
    <n v="0"/>
    <n v="0"/>
    <n v="0"/>
    <n v="0"/>
    <n v="0"/>
    <n v="10"/>
    <n v="0"/>
    <n v="0"/>
    <n v="10"/>
    <n v="0"/>
    <n v="0"/>
    <n v="49"/>
    <n v="0"/>
    <n v="0"/>
    <n v="25"/>
    <n v="0"/>
    <n v="0"/>
    <n v="0"/>
    <n v="0"/>
    <n v="0"/>
    <n v="0"/>
    <n v="0"/>
    <n v="0"/>
    <n v="119"/>
    <n v="0"/>
    <n v="0"/>
    <s v="BHARATPUR"/>
    <s v="ALWAR"/>
    <s v="RJ-JAIPUR"/>
    <d v="2020-12-19T00:00:00"/>
  </r>
  <r>
    <s v="814096179473"/>
    <x v="742"/>
    <s v="ROHIT TRADERS"/>
    <n v="179473"/>
    <s v="ANSHU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21-01-07T00:00:00"/>
  </r>
  <r>
    <s v="814416177829"/>
    <x v="743"/>
    <s v="SHRI BALAJI BUILDING MATERIAL"/>
    <n v="177829"/>
    <s v="GARG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21-02-08T00:00:00"/>
  </r>
  <r>
    <s v="814499171479"/>
    <x v="744"/>
    <s v="YADAV CEMENT AGENCY"/>
    <n v="171479"/>
    <s v="YADAV TRADING COMPANY"/>
    <n v="67.5"/>
    <n v="0"/>
    <n v="0"/>
    <n v="47.5"/>
    <n v="0"/>
    <n v="0"/>
    <n v="142.5"/>
    <n v="6.25"/>
    <n v="0"/>
    <n v="87.5"/>
    <n v="12.5"/>
    <n v="0"/>
    <n v="123.5"/>
    <n v="0"/>
    <n v="2.5"/>
    <n v="59"/>
    <n v="0"/>
    <n v="6.5"/>
    <n v="12.5"/>
    <n v="12.5"/>
    <n v="0"/>
    <n v="76.45"/>
    <n v="25"/>
    <n v="0"/>
    <n v="616.45000000000005"/>
    <n v="31.25"/>
    <n v="9"/>
    <s v="BHARATPUR"/>
    <s v="ALWAR"/>
    <s v="RJ-JAIPUR"/>
    <d v="2021-02-16T00:00:00"/>
  </r>
  <r>
    <s v="814671119023"/>
    <x v="745"/>
    <s v="SHRI GOMTI BM &amp; SUPPLIERS"/>
    <n v="119023"/>
    <s v="AGARWAL MACHINERY STORES"/>
    <n v="126"/>
    <n v="6"/>
    <n v="0"/>
    <n v="123.5"/>
    <n v="0"/>
    <n v="0"/>
    <n v="126"/>
    <n v="0"/>
    <n v="0"/>
    <n v="163.5"/>
    <n v="0"/>
    <n v="0"/>
    <n v="120"/>
    <n v="0"/>
    <n v="0"/>
    <n v="78.7"/>
    <n v="0"/>
    <n v="0"/>
    <n v="173.5"/>
    <n v="11.5"/>
    <n v="0"/>
    <n v="111.5"/>
    <n v="10"/>
    <n v="0"/>
    <n v="1022.7"/>
    <n v="17.5"/>
    <n v="0"/>
    <s v="BHARATPUR"/>
    <s v="ALWAR"/>
    <s v="RJ-JAIPUR"/>
    <d v="2021-03-02T00:00:00"/>
  </r>
  <r>
    <s v="814733119023"/>
    <x v="746"/>
    <s v="NIRBHAY CEMENT AGENCY"/>
    <n v="119023"/>
    <s v="AGARWAL MACHINERY STORES"/>
    <n v="42"/>
    <n v="0"/>
    <n v="0"/>
    <n v="182"/>
    <n v="0"/>
    <n v="0"/>
    <n v="129"/>
    <n v="0"/>
    <n v="0"/>
    <n v="174.5"/>
    <n v="0"/>
    <n v="0"/>
    <n v="120"/>
    <n v="0"/>
    <n v="0"/>
    <n v="81"/>
    <n v="0"/>
    <n v="0"/>
    <n v="132"/>
    <n v="0"/>
    <n v="0"/>
    <n v="147"/>
    <n v="0"/>
    <n v="0"/>
    <n v="1007.5"/>
    <n v="0"/>
    <n v="0"/>
    <s v="BHARATPUR"/>
    <s v="ALWAR"/>
    <s v="RJ-JAIPUR"/>
    <d v="2021-03-11T00:00:00"/>
  </r>
  <r>
    <s v="814733176641"/>
    <x v="746"/>
    <s v="NIRBHAY CEMENT AGENCY"/>
    <n v="176641"/>
    <s v="UMA IRON &amp; CEMENT AGENCY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s v="BHARATPUR"/>
    <s v="ALWAR"/>
    <s v="RJ-JAIPUR"/>
    <d v="2021-03-11T00:00:00"/>
  </r>
  <r>
    <s v="814749171469"/>
    <x v="747"/>
    <s v="H S TRADERS"/>
    <n v="171469"/>
    <s v="OM CEMENT HOUSE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s v="BHARATPUR"/>
    <s v="ALWAR"/>
    <s v="RJ-JAIPUR"/>
    <d v="2021-03-13T00:00:00"/>
  </r>
  <r>
    <s v="814776202865"/>
    <x v="748"/>
    <s v="GOVIND BUILDING MATERIAL"/>
    <n v="202865"/>
    <s v="DEEPAK TRADERS"/>
    <n v="64"/>
    <n v="0"/>
    <n v="0"/>
    <n v="70"/>
    <n v="0"/>
    <n v="0"/>
    <n v="102"/>
    <n v="0"/>
    <n v="0"/>
    <n v="99"/>
    <n v="0"/>
    <n v="0"/>
    <n v="72"/>
    <n v="0"/>
    <n v="0"/>
    <n v="116"/>
    <n v="0"/>
    <n v="0"/>
    <n v="45"/>
    <n v="0"/>
    <n v="0"/>
    <n v="84.5"/>
    <n v="0"/>
    <n v="0"/>
    <n v="652.5"/>
    <n v="0"/>
    <n v="0"/>
    <s v="BHARATPUR"/>
    <s v="ALWAR"/>
    <s v="RJ-JAIPUR"/>
    <d v="2021-03-17T00:00:00"/>
  </r>
  <r>
    <s v="815440144996"/>
    <x v="749"/>
    <s v="KHAN BUILDING MATERIAL SUPPLIE"/>
    <n v="144996"/>
    <s v="SHASTRI BUILDING MATERIAL STOR"/>
    <n v="63"/>
    <n v="0"/>
    <n v="0"/>
    <n v="50"/>
    <n v="0"/>
    <n v="0"/>
    <n v="51"/>
    <n v="0"/>
    <n v="0"/>
    <n v="51"/>
    <n v="0"/>
    <n v="0"/>
    <n v="26"/>
    <n v="0"/>
    <n v="0"/>
    <n v="20"/>
    <n v="0"/>
    <n v="0"/>
    <n v="32"/>
    <n v="0"/>
    <n v="0"/>
    <n v="36.5"/>
    <n v="0"/>
    <n v="0"/>
    <n v="329.5"/>
    <n v="0"/>
    <n v="0"/>
    <s v="BHARATPUR"/>
    <s v="ALWAR"/>
    <s v="RJ-JAIPUR"/>
    <d v="2021-07-09T00:00:00"/>
  </r>
  <r>
    <s v="815576119047"/>
    <x v="750"/>
    <s v="SHISHRAM BUILDING MATERIAL"/>
    <n v="119047"/>
    <s v="BANSAL TRADING COMPANY"/>
    <n v="80"/>
    <n v="0"/>
    <n v="0"/>
    <n v="91"/>
    <n v="0"/>
    <n v="0"/>
    <n v="67"/>
    <n v="0"/>
    <n v="0"/>
    <n v="82"/>
    <n v="0"/>
    <n v="0"/>
    <n v="46"/>
    <n v="0"/>
    <n v="9"/>
    <n v="76"/>
    <n v="0"/>
    <n v="0"/>
    <n v="101.5"/>
    <n v="0"/>
    <n v="0"/>
    <n v="46.5"/>
    <n v="0"/>
    <n v="0"/>
    <n v="590"/>
    <n v="0"/>
    <n v="9"/>
    <s v="BHARATPUR"/>
    <s v="ALWAR"/>
    <s v="RJ-JAIPUR"/>
    <d v="2021-07-21T00:00:00"/>
  </r>
  <r>
    <s v="815713119023"/>
    <x v="751"/>
    <s v="SHREE SIDDH BABA SAIPURI CEMEN"/>
    <n v="119023"/>
    <s v="AGARWAL MACHINERY STORES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0"/>
    <n v="0"/>
    <n v="22"/>
    <n v="0"/>
    <n v="0"/>
    <s v="BHARATPUR"/>
    <s v="ALWAR"/>
    <s v="RJ-JAIPUR"/>
    <d v="2021-07-28T00:00:00"/>
  </r>
  <r>
    <s v="816352119047"/>
    <x v="752"/>
    <s v="FAUJDAR BUILDING MATERIAL"/>
    <n v="119047"/>
    <s v="BANSAL TRADING COMPANY"/>
    <n v="27"/>
    <n v="0"/>
    <n v="0"/>
    <n v="0"/>
    <n v="0"/>
    <n v="0"/>
    <n v="56"/>
    <n v="0"/>
    <n v="0"/>
    <n v="26"/>
    <n v="0"/>
    <n v="0"/>
    <n v="21"/>
    <n v="0"/>
    <n v="0"/>
    <n v="30"/>
    <n v="0"/>
    <n v="0"/>
    <n v="65"/>
    <n v="0"/>
    <n v="2.5"/>
    <n v="22.5"/>
    <n v="0"/>
    <n v="0"/>
    <n v="247.5"/>
    <n v="0"/>
    <n v="2.5"/>
    <s v="BHARATPUR"/>
    <s v="ALWAR"/>
    <s v="RJ-JAIPUR"/>
    <d v="2021-09-16T00:00:00"/>
  </r>
  <r>
    <s v="816437177245"/>
    <x v="753"/>
    <s v="MITTAL FERTILIZERS"/>
    <n v="177245"/>
    <s v="SAIN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21-09-22T00:00:00"/>
  </r>
  <r>
    <s v="816534119047"/>
    <x v="754"/>
    <s v="SHRI KANHAIYA BUILDING MATERIA"/>
    <n v="119047"/>
    <s v="BANSAL TRADING COMPANY"/>
    <n v="51"/>
    <n v="0"/>
    <n v="0"/>
    <n v="104"/>
    <n v="0"/>
    <n v="0"/>
    <n v="92"/>
    <n v="0"/>
    <n v="0"/>
    <n v="68"/>
    <n v="0"/>
    <n v="0"/>
    <n v="72"/>
    <n v="0"/>
    <n v="0"/>
    <n v="120"/>
    <n v="0"/>
    <n v="0"/>
    <n v="81.5"/>
    <n v="0"/>
    <n v="0"/>
    <n v="141"/>
    <n v="0"/>
    <n v="0"/>
    <n v="729.5"/>
    <n v="0"/>
    <n v="0"/>
    <s v="BHARATPUR"/>
    <s v="ALWAR"/>
    <s v="RJ-JAIPUR"/>
    <d v="2021-09-27T00:00:00"/>
  </r>
  <r>
    <s v="816555170708"/>
    <x v="755"/>
    <s v="SATNAM CEMENT AGENCY"/>
    <n v="170708"/>
    <s v="BANSAL MARBLES"/>
    <n v="34.5"/>
    <n v="0"/>
    <n v="0"/>
    <n v="0"/>
    <n v="0"/>
    <n v="0"/>
    <n v="79"/>
    <n v="0"/>
    <n v="0"/>
    <n v="27"/>
    <n v="0"/>
    <n v="0"/>
    <n v="43"/>
    <n v="0"/>
    <n v="0"/>
    <n v="12.5"/>
    <n v="0"/>
    <n v="0"/>
    <n v="0"/>
    <n v="0"/>
    <n v="0"/>
    <n v="40.5"/>
    <n v="0"/>
    <n v="0"/>
    <n v="236.5"/>
    <n v="0"/>
    <n v="0"/>
    <s v="BHARATPUR"/>
    <s v="ALWAR"/>
    <s v="RJ-JAIPUR"/>
    <d v="2021-09-28T00:00:00"/>
  </r>
  <r>
    <s v="816742170708"/>
    <x v="756"/>
    <s v="UPADHYAY BUILDING MATERIAL"/>
    <n v="170708"/>
    <s v="BANSAL MARBLES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44"/>
    <n v="0"/>
    <n v="0"/>
    <n v="54"/>
    <n v="0"/>
    <n v="0"/>
    <s v="BHARATPUR"/>
    <s v="ALWAR"/>
    <s v="RJ-JAIPUR"/>
    <d v="2021-10-15T00:00:00"/>
  </r>
  <r>
    <s v="817167210440"/>
    <x v="757"/>
    <s v="DEEPAK TRADING COMPANY"/>
    <n v="210440"/>
    <s v="SATISH CHAND NARESH CH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21-11-29T00:00:00"/>
  </r>
  <r>
    <s v="817352171479"/>
    <x v="758"/>
    <s v="SHRI KRISHNA BUILDING MATERIAL"/>
    <n v="171479"/>
    <s v="YADAV TRADING COMPANY"/>
    <n v="97"/>
    <n v="0"/>
    <n v="0"/>
    <n v="107"/>
    <n v="0"/>
    <n v="0"/>
    <n v="142.5"/>
    <n v="0"/>
    <n v="0"/>
    <n v="189.7"/>
    <n v="0"/>
    <n v="0"/>
    <n v="155"/>
    <n v="0"/>
    <n v="0"/>
    <n v="64.5"/>
    <n v="12.5"/>
    <n v="0"/>
    <n v="54.7"/>
    <n v="0"/>
    <n v="0"/>
    <n v="132.69999999999999"/>
    <n v="0"/>
    <n v="0"/>
    <n v="943.10000000000014"/>
    <n v="12.5"/>
    <n v="0"/>
    <s v="BHARATPUR"/>
    <s v="ALWAR"/>
    <s v="RJ-JAIPUR"/>
    <d v="2021-12-17T00:00:00"/>
  </r>
  <r>
    <s v="817835119023"/>
    <x v="759"/>
    <s v="DHAKED BUILDING MATERIAL"/>
    <n v="119023"/>
    <s v="AGARWAL MACHINERY STORES"/>
    <n v="0"/>
    <n v="0"/>
    <n v="0"/>
    <n v="0"/>
    <n v="0"/>
    <n v="0"/>
    <n v="139.5"/>
    <n v="0"/>
    <n v="0"/>
    <n v="83.7"/>
    <n v="0"/>
    <n v="0"/>
    <n v="127"/>
    <n v="0"/>
    <n v="0"/>
    <n v="0"/>
    <n v="0"/>
    <n v="0"/>
    <n v="0"/>
    <n v="0"/>
    <n v="0"/>
    <n v="142.5"/>
    <n v="0"/>
    <n v="0"/>
    <n v="492.7"/>
    <n v="0"/>
    <n v="0"/>
    <s v="BHARATPUR"/>
    <s v="ALWAR"/>
    <s v="RJ-JAIPUR"/>
    <d v="2022-01-25T00:00:00"/>
  </r>
  <r>
    <s v="818218206986"/>
    <x v="760"/>
    <s v="MAA BHAGWATI BUILDING SOLUTION"/>
    <n v="206986"/>
    <s v="SHREE SAI CONSTRUC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ARATPUR"/>
    <s v="ALWAR"/>
    <s v="RJ-JAIPUR"/>
    <d v="2022-02-28T00:00:00"/>
  </r>
  <r>
    <s v="818218171469"/>
    <x v="760"/>
    <s v="MAA BHAGWATI BUILDING SOLUTION"/>
    <n v="171469"/>
    <s v="OM CEMENT HOUSE"/>
    <n v="0"/>
    <n v="0"/>
    <n v="0"/>
    <n v="0"/>
    <n v="0"/>
    <n v="0"/>
    <n v="0"/>
    <n v="0"/>
    <n v="0"/>
    <n v="84"/>
    <n v="0"/>
    <n v="0"/>
    <n v="54"/>
    <n v="0"/>
    <n v="0"/>
    <n v="14"/>
    <n v="0"/>
    <n v="0"/>
    <n v="17"/>
    <n v="0"/>
    <n v="0"/>
    <n v="0"/>
    <n v="0"/>
    <n v="0"/>
    <n v="169"/>
    <n v="0"/>
    <n v="0"/>
    <s v="BHARATPUR"/>
    <s v="ALWAR"/>
    <s v="RJ-JAIPUR"/>
    <d v="2022-02-28T00:00:00"/>
  </r>
  <r>
    <s v="818406177829"/>
    <x v="761"/>
    <s v="KRISHNA CEMENT AGENCY"/>
    <n v="177829"/>
    <s v="GARG TRADING COMPANY"/>
    <n v="25"/>
    <n v="0"/>
    <n v="0"/>
    <n v="0"/>
    <n v="10"/>
    <n v="0"/>
    <n v="34.5"/>
    <n v="0"/>
    <n v="0"/>
    <n v="25.5"/>
    <n v="0"/>
    <n v="0"/>
    <n v="32.5"/>
    <n v="0"/>
    <n v="0"/>
    <n v="0"/>
    <n v="0"/>
    <n v="0"/>
    <n v="62.5"/>
    <n v="0"/>
    <n v="0"/>
    <n v="50"/>
    <n v="0"/>
    <n v="0"/>
    <n v="230"/>
    <n v="10"/>
    <n v="0"/>
    <s v="BHARATPUR"/>
    <s v="ALWAR"/>
    <s v="RJ-JAIPUR"/>
    <d v="2022-03-19T00:00:00"/>
  </r>
  <r>
    <s v="818587177829"/>
    <x v="762"/>
    <s v="RAJ BUILDING MATERIAL"/>
    <n v="177829"/>
    <s v="GARG TRADING COMPANY"/>
    <n v="28.5"/>
    <n v="0"/>
    <n v="0"/>
    <n v="0"/>
    <n v="0"/>
    <n v="0"/>
    <n v="32.5"/>
    <n v="0"/>
    <n v="0"/>
    <n v="25"/>
    <n v="0"/>
    <n v="0"/>
    <n v="0"/>
    <n v="0"/>
    <n v="0"/>
    <n v="0"/>
    <n v="0"/>
    <n v="0"/>
    <n v="0"/>
    <n v="0"/>
    <n v="0"/>
    <n v="0"/>
    <n v="0"/>
    <n v="0"/>
    <n v="86"/>
    <n v="0"/>
    <n v="0"/>
    <s v="BHARATPUR"/>
    <s v="ALWAR"/>
    <s v="RJ-JAIPUR"/>
    <d v="2022-04-06T00:00:00"/>
  </r>
  <r>
    <s v="819337206986"/>
    <x v="763"/>
    <s v="JADAUN BUILDING MATERIAL"/>
    <n v="206986"/>
    <s v="SHREE SAI CONSTRUCTION"/>
    <n v="0"/>
    <n v="0"/>
    <n v="0"/>
    <n v="0"/>
    <n v="0"/>
    <n v="0"/>
    <n v="5.75"/>
    <n v="0.75"/>
    <n v="0"/>
    <n v="42"/>
    <n v="0"/>
    <n v="0"/>
    <n v="25"/>
    <n v="0"/>
    <n v="0"/>
    <n v="22"/>
    <n v="0"/>
    <n v="0"/>
    <n v="40"/>
    <n v="0"/>
    <n v="0"/>
    <n v="43.5"/>
    <n v="0"/>
    <n v="0"/>
    <n v="178.25"/>
    <n v="0.75"/>
    <n v="0"/>
    <s v="BHARATPUR"/>
    <s v="ALWAR"/>
    <s v="RJ-JAIPUR"/>
    <d v="2022-06-14T00:00:00"/>
  </r>
  <r>
    <s v="819538204013"/>
    <x v="764"/>
    <s v="SHREE TAKUR HAKIM SINGH"/>
    <n v="204013"/>
    <s v="SHARDUL CEMENT AGENCY"/>
    <n v="0"/>
    <n v="0"/>
    <n v="0"/>
    <n v="0"/>
    <n v="0"/>
    <n v="0"/>
    <n v="0"/>
    <n v="0"/>
    <n v="0"/>
    <n v="20"/>
    <n v="0"/>
    <n v="0"/>
    <n v="0"/>
    <n v="0"/>
    <n v="0"/>
    <n v="32"/>
    <n v="2.5"/>
    <n v="0"/>
    <n v="10"/>
    <n v="0"/>
    <n v="0"/>
    <n v="10"/>
    <n v="3"/>
    <n v="0"/>
    <n v="72"/>
    <n v="2.5"/>
    <n v="0"/>
    <s v="BHARATPUR"/>
    <s v="ALWAR"/>
    <s v="RJ-JAIPUR"/>
    <d v="2022-06-27T00:00:00"/>
  </r>
  <r>
    <s v="820917119047"/>
    <x v="765"/>
    <s v="SHIV BUILDING MATERIAL STORE"/>
    <n v="119047"/>
    <s v="BANSAL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0"/>
    <n v="0"/>
    <n v="52.7"/>
    <n v="0"/>
    <n v="0"/>
    <n v="107.7"/>
    <n v="0"/>
    <n v="0"/>
    <s v="BHARATPUR"/>
    <s v="ALWAR"/>
    <s v="RJ-JAIPUR"/>
    <d v="2022-10-12T00:00:00"/>
  </r>
  <r>
    <s v="803820171469"/>
    <x v="714"/>
    <s v="ARTI BUILDING MATERIAL"/>
    <n v="171469"/>
    <s v="OM CEMENT HO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84"/>
    <n v="0"/>
    <n v="0"/>
    <n v="129"/>
    <n v="0"/>
    <n v="0"/>
    <s v="BHARATPUR"/>
    <s v="ALWAR"/>
    <s v="RJ-JAIPUR"/>
    <d v="2015-01-28T00:00:00"/>
  </r>
  <r>
    <s v="807200174713"/>
    <x v="766"/>
    <s v="SHIV GANPATI MARBLE AND GRANIT"/>
    <n v="174713"/>
    <s v="KANHA BUILDING MATERIAL"/>
    <n v="0"/>
    <n v="0"/>
    <n v="0"/>
    <n v="0"/>
    <n v="0"/>
    <n v="0"/>
    <n v="27.5"/>
    <n v="0"/>
    <n v="0"/>
    <n v="0"/>
    <n v="0"/>
    <n v="0"/>
    <n v="0"/>
    <n v="0"/>
    <n v="0"/>
    <n v="22"/>
    <n v="0"/>
    <n v="0"/>
    <n v="25"/>
    <n v="0"/>
    <n v="0"/>
    <n v="30"/>
    <n v="0"/>
    <n v="0"/>
    <n v="104.5"/>
    <n v="0"/>
    <n v="0"/>
    <s v="DHOLPUR"/>
    <s v="ALWAR"/>
    <s v="RJ-JAIPUR"/>
    <d v="2018-11-23T00:00:00"/>
  </r>
  <r>
    <s v="811848202758"/>
    <x v="767"/>
    <s v="R R CONSTRUCTION COMPANY"/>
    <n v="202758"/>
    <s v="B M TRADING &amp; CONSTRUCTION COM"/>
    <n v="12"/>
    <n v="0"/>
    <n v="0"/>
    <n v="0"/>
    <n v="0"/>
    <n v="0"/>
    <n v="42"/>
    <n v="0"/>
    <n v="0"/>
    <n v="62"/>
    <n v="0"/>
    <n v="0"/>
    <n v="0"/>
    <n v="0"/>
    <n v="0"/>
    <n v="47"/>
    <n v="0"/>
    <n v="0"/>
    <n v="0"/>
    <n v="0"/>
    <n v="0"/>
    <n v="35"/>
    <n v="0"/>
    <n v="0"/>
    <n v="198"/>
    <n v="0"/>
    <n v="0"/>
    <s v="DHOLPUR"/>
    <s v="ALWAR"/>
    <s v="RJ-JAIPUR"/>
    <d v="2020-05-31T00:00:00"/>
  </r>
  <r>
    <s v="811944179894"/>
    <x v="768"/>
    <s v="RAVINDRA SINGH PARMAR"/>
    <n v="179894"/>
    <s v="SHARMA CEMENT AGENCY"/>
    <n v="15"/>
    <n v="0"/>
    <n v="0"/>
    <n v="25"/>
    <n v="0"/>
    <n v="0"/>
    <n v="40"/>
    <n v="0"/>
    <n v="0"/>
    <n v="9.5"/>
    <n v="0"/>
    <n v="0"/>
    <n v="25"/>
    <n v="0"/>
    <n v="0"/>
    <n v="15"/>
    <n v="0"/>
    <n v="0"/>
    <n v="0"/>
    <n v="0"/>
    <n v="0"/>
    <n v="10"/>
    <n v="0"/>
    <n v="0"/>
    <n v="139.5"/>
    <n v="0"/>
    <n v="0"/>
    <s v="DHOLPUR"/>
    <s v="ALWAR"/>
    <s v="RJ-JAIPUR"/>
    <d v="2020-06-19T00:00:00"/>
  </r>
  <r>
    <s v="812372202849"/>
    <x v="769"/>
    <s v="YOGESH CONSTRUCTION"/>
    <n v="202849"/>
    <s v="AKHLESH TRADING COMPANY"/>
    <n v="22"/>
    <n v="0"/>
    <n v="0"/>
    <n v="37.5"/>
    <n v="0"/>
    <n v="0"/>
    <n v="59.5"/>
    <n v="4.5"/>
    <n v="0"/>
    <n v="34.5"/>
    <n v="0"/>
    <n v="0"/>
    <n v="88.5"/>
    <n v="0"/>
    <n v="0"/>
    <n v="55"/>
    <n v="0"/>
    <n v="0"/>
    <n v="70"/>
    <n v="12.5"/>
    <n v="37.5"/>
    <n v="67"/>
    <n v="0"/>
    <n v="15"/>
    <n v="434"/>
    <n v="17"/>
    <n v="37.5"/>
    <s v="DHOLPUR"/>
    <s v="ALWAR"/>
    <s v="RJ-JAIPUR"/>
    <d v="2020-07-27T00:00:00"/>
  </r>
  <r>
    <s v="812404179894"/>
    <x v="770"/>
    <s v="GUPTA HARDWARE STORE"/>
    <n v="179894"/>
    <s v="SHARMA CEMENT AGENCY"/>
    <n v="0"/>
    <n v="0"/>
    <n v="0"/>
    <n v="0"/>
    <n v="0"/>
    <n v="0"/>
    <n v="0"/>
    <n v="0"/>
    <n v="0"/>
    <n v="0"/>
    <n v="0"/>
    <n v="0"/>
    <n v="0"/>
    <n v="0"/>
    <n v="0"/>
    <n v="58"/>
    <n v="0"/>
    <n v="7.5"/>
    <n v="10"/>
    <n v="0"/>
    <n v="0"/>
    <n v="37.5"/>
    <n v="0"/>
    <n v="0"/>
    <n v="105.5"/>
    <n v="0"/>
    <n v="7.5"/>
    <s v="DHOLPUR"/>
    <s v="ALWAR"/>
    <s v="RJ-JAIPUR"/>
    <d v="2020-07-30T00:00:00"/>
  </r>
  <r>
    <s v="813151179892"/>
    <x v="771"/>
    <s v="RUPESH CEMENT AGENCY"/>
    <n v="179892"/>
    <s v="MADHAV ENTERPRISES"/>
    <n v="50"/>
    <n v="0"/>
    <n v="0"/>
    <n v="0"/>
    <n v="0"/>
    <n v="0"/>
    <n v="41"/>
    <n v="0"/>
    <n v="0"/>
    <n v="17.5"/>
    <n v="0"/>
    <n v="0"/>
    <n v="0"/>
    <n v="0"/>
    <n v="0"/>
    <n v="0"/>
    <n v="0"/>
    <n v="0"/>
    <n v="15"/>
    <n v="0"/>
    <n v="15"/>
    <n v="35"/>
    <n v="0"/>
    <n v="0"/>
    <n v="158.5"/>
    <n v="0"/>
    <n v="15"/>
    <s v="DHOLPUR"/>
    <s v="ALWAR"/>
    <s v="RJ-JAIPUR"/>
    <d v="2020-09-30T00:00:00"/>
  </r>
  <r>
    <s v="813299179894"/>
    <x v="772"/>
    <s v="KRISHNA ENTERPRISES"/>
    <n v="179894"/>
    <s v="SHARMA CEMENT AGENCY"/>
    <n v="20"/>
    <n v="5.5"/>
    <n v="0"/>
    <n v="50.5"/>
    <n v="0"/>
    <n v="0"/>
    <n v="10"/>
    <n v="0"/>
    <n v="0"/>
    <n v="11.5"/>
    <n v="0"/>
    <n v="0"/>
    <n v="15"/>
    <n v="0"/>
    <n v="0"/>
    <n v="0"/>
    <n v="0"/>
    <n v="0"/>
    <n v="15"/>
    <n v="0"/>
    <n v="0"/>
    <n v="27.5"/>
    <n v="0"/>
    <n v="0"/>
    <n v="149.5"/>
    <n v="5.5"/>
    <n v="0"/>
    <s v="DHOLPUR"/>
    <s v="ALWAR"/>
    <s v="RJ-JAIPUR"/>
    <d v="2020-10-16T00:00:00"/>
  </r>
  <r>
    <s v="815101208026"/>
    <x v="773"/>
    <s v="DEV CEMENT AGENCY"/>
    <n v="208026"/>
    <s v="PRIYA ENTERPRISES"/>
    <n v="24"/>
    <n v="0"/>
    <n v="0"/>
    <n v="36"/>
    <n v="0"/>
    <n v="0"/>
    <n v="95"/>
    <n v="10.5"/>
    <n v="18.5"/>
    <n v="23"/>
    <n v="3"/>
    <n v="0"/>
    <n v="61"/>
    <n v="0"/>
    <n v="11"/>
    <n v="68.5"/>
    <n v="0"/>
    <n v="20.5"/>
    <n v="75"/>
    <n v="0"/>
    <n v="18"/>
    <n v="70.5"/>
    <n v="9"/>
    <n v="15.5"/>
    <n v="453"/>
    <n v="13.5"/>
    <n v="68"/>
    <s v="DHOLPUR"/>
    <s v="ALWAR"/>
    <s v="RJ-JAIPUR"/>
    <d v="2021-05-31T00:00:00"/>
  </r>
  <r>
    <s v="816037179894"/>
    <x v="774"/>
    <s v="BHUPENDRA CEMENT AGENCY"/>
    <n v="179894"/>
    <s v="SHARMA CEMENT AGENCY"/>
    <n v="107"/>
    <n v="0"/>
    <n v="0"/>
    <n v="112.5"/>
    <n v="0"/>
    <n v="0"/>
    <n v="150"/>
    <n v="0"/>
    <n v="20"/>
    <n v="121.5"/>
    <n v="0"/>
    <n v="15.5"/>
    <n v="105"/>
    <n v="0"/>
    <n v="10"/>
    <n v="47"/>
    <n v="0"/>
    <n v="45"/>
    <n v="77.5"/>
    <n v="5"/>
    <n v="27.5"/>
    <n v="101"/>
    <n v="0"/>
    <n v="0"/>
    <n v="821.5"/>
    <n v="5"/>
    <n v="118"/>
    <s v="DHOLPUR"/>
    <s v="ALWAR"/>
    <s v="RJ-JAIPUR"/>
    <d v="2021-08-20T00:00:00"/>
  </r>
  <r>
    <s v="817789179894"/>
    <x v="775"/>
    <s v="KULDEEP CEMENT AGENCY"/>
    <n v="179894"/>
    <s v="SHARMA CEMENT AGENCY"/>
    <n v="15"/>
    <n v="0"/>
    <n v="0"/>
    <n v="0"/>
    <n v="0"/>
    <n v="0"/>
    <n v="15"/>
    <n v="0"/>
    <n v="0"/>
    <n v="13"/>
    <n v="0"/>
    <n v="0"/>
    <n v="15"/>
    <n v="0"/>
    <n v="0"/>
    <n v="26.5"/>
    <n v="0"/>
    <n v="0"/>
    <n v="40"/>
    <n v="0"/>
    <n v="0"/>
    <n v="17.5"/>
    <n v="0"/>
    <n v="0"/>
    <n v="142"/>
    <n v="0"/>
    <n v="0"/>
    <s v="DHOLPUR"/>
    <s v="ALWAR"/>
    <s v="RJ-JAIPUR"/>
    <d v="2022-01-22T00:00:00"/>
  </r>
  <r>
    <s v="817871174713"/>
    <x v="776"/>
    <s v="MANGAL BUILDING MATERIAL"/>
    <n v="174713"/>
    <s v="KANHA BUILDING MATERIAL"/>
    <n v="0"/>
    <n v="0"/>
    <n v="0"/>
    <n v="0"/>
    <n v="0"/>
    <n v="0"/>
    <n v="0"/>
    <n v="0"/>
    <n v="0"/>
    <n v="1"/>
    <n v="0"/>
    <n v="0"/>
    <n v="0"/>
    <n v="0"/>
    <n v="0"/>
    <n v="20"/>
    <n v="0"/>
    <n v="0"/>
    <n v="0"/>
    <n v="0"/>
    <n v="0"/>
    <n v="0"/>
    <n v="0"/>
    <n v="0"/>
    <n v="21"/>
    <n v="0"/>
    <n v="0"/>
    <s v="DHOLPUR"/>
    <s v="ALWAR"/>
    <s v="RJ-JAIPUR"/>
    <d v="2022-01-28T00:00:00"/>
  </r>
  <r>
    <s v="818073208516"/>
    <x v="777"/>
    <s v="SHARMA BUILDING MATERIAL"/>
    <n v="208516"/>
    <s v="HARDENIYA CEMENT AGENCIES"/>
    <n v="43.5"/>
    <n v="0"/>
    <n v="0"/>
    <n v="16"/>
    <n v="7.5"/>
    <n v="0"/>
    <n v="66"/>
    <n v="0"/>
    <n v="0"/>
    <n v="12"/>
    <n v="0"/>
    <n v="2"/>
    <n v="73"/>
    <n v="0"/>
    <n v="18"/>
    <n v="47.5"/>
    <n v="0"/>
    <n v="3"/>
    <n v="0"/>
    <n v="0"/>
    <n v="0"/>
    <n v="32"/>
    <n v="0"/>
    <n v="32"/>
    <n v="290"/>
    <n v="7.5"/>
    <n v="23"/>
    <s v="DHOLPUR"/>
    <s v="ALWAR"/>
    <s v="RJ-JAIPUR"/>
    <d v="2022-02-18T00:00:00"/>
  </r>
  <r>
    <s v="818100179894"/>
    <x v="778"/>
    <s v="RAJPOOT CEMENT AGENCY"/>
    <n v="179894"/>
    <s v="SHARMA CEMENT AGENCY"/>
    <n v="25"/>
    <n v="0"/>
    <n v="0"/>
    <n v="0"/>
    <n v="0"/>
    <n v="0"/>
    <n v="5"/>
    <n v="0"/>
    <n v="0"/>
    <n v="5"/>
    <n v="0"/>
    <n v="0"/>
    <n v="10"/>
    <n v="0"/>
    <n v="0"/>
    <n v="7.5"/>
    <n v="0"/>
    <n v="0"/>
    <n v="2"/>
    <n v="0"/>
    <n v="0"/>
    <n v="5"/>
    <n v="0"/>
    <n v="0"/>
    <n v="59.5"/>
    <n v="0"/>
    <n v="0"/>
    <s v="DHOLPUR"/>
    <s v="ALWAR"/>
    <s v="RJ-JAIPUR"/>
    <d v="2022-02-22T00:00:00"/>
  </r>
  <r>
    <s v="818484179894"/>
    <x v="779"/>
    <s v="SURYANSH CEMENT AGENCY"/>
    <n v="179894"/>
    <s v="SHARMA CEMENT AGENCY"/>
    <n v="25"/>
    <n v="0"/>
    <n v="0"/>
    <n v="0"/>
    <n v="0"/>
    <n v="0"/>
    <n v="2.5"/>
    <n v="0"/>
    <n v="0"/>
    <n v="5"/>
    <n v="0"/>
    <n v="0"/>
    <n v="0"/>
    <n v="0"/>
    <n v="0"/>
    <n v="7.5"/>
    <n v="0"/>
    <n v="0"/>
    <n v="5"/>
    <n v="0"/>
    <n v="0"/>
    <n v="0"/>
    <n v="0"/>
    <n v="0"/>
    <n v="45"/>
    <n v="0"/>
    <n v="0"/>
    <s v="DHOLPUR"/>
    <s v="ALWAR"/>
    <s v="RJ-JAIPUR"/>
    <d v="2022-03-26T00:00:00"/>
  </r>
  <r>
    <s v="819817208516"/>
    <x v="780"/>
    <s v="BANKEY BIHARI TRADERS"/>
    <s v="208516"/>
    <s v="HARDENIYA CEMENT AGENCIES"/>
    <n v="0"/>
    <n v="0"/>
    <n v="0"/>
    <n v="0"/>
    <n v="0"/>
    <n v="0"/>
    <n v="0"/>
    <n v="0"/>
    <n v="0"/>
    <n v="0"/>
    <n v="0"/>
    <n v="0"/>
    <n v="18"/>
    <n v="0"/>
    <n v="0"/>
    <n v="22.5"/>
    <n v="0"/>
    <n v="0"/>
    <n v="0"/>
    <n v="0"/>
    <n v="0"/>
    <n v="8"/>
    <n v="0"/>
    <n v="0"/>
    <n v="48.5"/>
    <n v="0"/>
    <n v="0"/>
    <s v="DHOLPUR"/>
    <s v="ALWAR"/>
    <s v="RJ-JAIPUR"/>
    <d v="2022-07-18T00:00:00"/>
  </r>
  <r>
    <s v="820008179894"/>
    <x v="781"/>
    <s v="MANVENDRA CEMENT AGENCY"/>
    <n v="179894"/>
    <s v="SHARMA CEMENT AGENCY"/>
    <n v="0"/>
    <n v="0"/>
    <n v="0"/>
    <n v="0"/>
    <n v="0"/>
    <n v="0"/>
    <n v="0"/>
    <n v="0"/>
    <n v="0"/>
    <n v="0"/>
    <n v="0"/>
    <n v="0"/>
    <n v="42.5"/>
    <n v="0"/>
    <n v="0"/>
    <n v="20"/>
    <n v="0"/>
    <n v="0"/>
    <n v="33"/>
    <n v="8"/>
    <n v="0"/>
    <n v="5"/>
    <n v="0"/>
    <n v="0"/>
    <n v="100.5"/>
    <n v="8"/>
    <n v="0"/>
    <s v="DHOLPUR"/>
    <s v="ALWAR"/>
    <s v="RJ-JAIPUR"/>
    <d v="2022-07-29T00:00:00"/>
  </r>
  <r>
    <s v="820429210479"/>
    <x v="782"/>
    <s v="BALAJI BUILDING MATERIAL"/>
    <n v="210479"/>
    <s v="SHRIPATI CONSTRUCTION"/>
    <n v="0"/>
    <n v="0"/>
    <n v="0"/>
    <n v="0"/>
    <n v="0"/>
    <n v="0"/>
    <n v="0"/>
    <n v="0"/>
    <n v="0"/>
    <n v="0"/>
    <n v="0"/>
    <n v="0"/>
    <n v="0"/>
    <n v="0"/>
    <n v="0"/>
    <n v="54.5"/>
    <n v="0"/>
    <n v="6"/>
    <n v="63"/>
    <n v="0"/>
    <n v="45"/>
    <n v="37.1"/>
    <n v="2.1"/>
    <n v="5"/>
    <n v="154.6"/>
    <n v="0"/>
    <n v="51"/>
    <s v="DHOLPUR"/>
    <s v="ALWAR"/>
    <s v="RJ-JAIPUR"/>
    <d v="2022-09-07T00:00:00"/>
  </r>
  <r>
    <s v="820486179894"/>
    <x v="783"/>
    <s v="VANSHIKA CEMENT AGENCY"/>
    <n v="179894"/>
    <s v="SHARMA CEMENT AGENCY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20"/>
    <n v="0"/>
    <n v="0"/>
    <n v="7.5"/>
    <n v="0"/>
    <n v="0"/>
    <n v="48.5"/>
    <n v="0"/>
    <n v="0"/>
    <s v="DHOLPUR"/>
    <s v="ALWAR"/>
    <s v="RJ-JAIPUR"/>
    <d v="2022-09-12T00:00:00"/>
  </r>
  <r>
    <s v="820702179894"/>
    <x v="784"/>
    <s v="VIRENDRA CEMENT AGENCY"/>
    <n v="179894"/>
    <s v="SHARMA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0"/>
    <n v="10"/>
    <n v="7.5"/>
    <n v="0"/>
    <n v="0"/>
    <n v="55.5"/>
    <n v="0"/>
    <n v="10"/>
    <s v="DHOLPUR"/>
    <s v="ALWAR"/>
    <s v="RJ-JAIPUR"/>
    <d v="2022-09-24T00:00:00"/>
  </r>
  <r>
    <s v="820866179894"/>
    <x v="785"/>
    <s v="YASH CEMENT SALES"/>
    <n v="179894"/>
    <s v="SHARMA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10"/>
    <n v="0"/>
    <n v="0"/>
    <n v="30"/>
    <n v="0"/>
    <n v="0"/>
    <s v="DHOLPUR"/>
    <s v="ALWAR"/>
    <s v="RJ-JAIPUR"/>
    <d v="2022-10-04T00:00:00"/>
  </r>
  <r>
    <s v="808980175717"/>
    <x v="786"/>
    <s v="TRILOK NATH AGARWAL"/>
    <n v="175717"/>
    <s v="S S AGRAWAL AND COMPANY"/>
    <n v="15"/>
    <n v="0"/>
    <n v="0"/>
    <n v="0"/>
    <n v="0"/>
    <n v="0"/>
    <n v="59.5"/>
    <n v="0"/>
    <n v="0"/>
    <n v="0"/>
    <n v="0"/>
    <n v="0"/>
    <n v="25"/>
    <n v="0"/>
    <n v="0"/>
    <n v="0"/>
    <n v="0"/>
    <n v="0"/>
    <n v="37"/>
    <n v="0"/>
    <n v="0"/>
    <n v="0"/>
    <n v="0"/>
    <n v="0"/>
    <n v="136.5"/>
    <n v="0"/>
    <n v="0"/>
    <s v="DAUSA"/>
    <s v="JAIPUR RURAL"/>
    <s v="RJ-JAIPUR"/>
    <d v="2018-09-12T00:00:00"/>
  </r>
  <r>
    <s v="811106178237"/>
    <x v="787"/>
    <s v="SATISH CHAND GUPTA"/>
    <n v="178237"/>
    <s v="BADAYA TRADERS"/>
    <n v="220.5"/>
    <n v="10"/>
    <n v="0"/>
    <n v="178"/>
    <n v="0"/>
    <n v="0"/>
    <n v="233.5"/>
    <n v="0"/>
    <n v="9"/>
    <n v="218"/>
    <n v="26"/>
    <n v="10"/>
    <n v="143"/>
    <n v="10"/>
    <n v="10"/>
    <n v="161"/>
    <n v="5"/>
    <n v="5"/>
    <n v="197.05"/>
    <n v="0"/>
    <n v="0"/>
    <n v="236"/>
    <n v="0"/>
    <n v="0"/>
    <n v="1587.05"/>
    <n v="51"/>
    <n v="34"/>
    <s v="DAUSA"/>
    <s v="JAIPUR RURAL"/>
    <s v="RJ-JAIPUR"/>
    <d v="2019-12-27T00:00:00"/>
  </r>
  <r>
    <s v="812076178234"/>
    <x v="788"/>
    <s v="SHRINATH TRADERS"/>
    <n v="178234"/>
    <s v="SHREE GIRIRAJ TRADERS"/>
    <n v="55"/>
    <n v="0"/>
    <n v="0"/>
    <n v="25"/>
    <n v="0"/>
    <n v="0"/>
    <n v="40"/>
    <n v="0"/>
    <n v="0"/>
    <n v="62.5"/>
    <n v="0"/>
    <n v="20"/>
    <n v="43.5"/>
    <n v="0"/>
    <n v="10"/>
    <n v="30"/>
    <n v="0"/>
    <n v="0"/>
    <n v="26.5"/>
    <n v="0"/>
    <n v="16.5"/>
    <n v="40"/>
    <n v="10"/>
    <n v="10"/>
    <n v="322.5"/>
    <n v="0"/>
    <n v="46.5"/>
    <s v="DAUSA"/>
    <s v="JAIPUR RURAL"/>
    <s v="RJ-JAIPUR"/>
    <d v="2020-06-30T00:00:00"/>
  </r>
  <r>
    <s v="812100203236"/>
    <x v="789"/>
    <s v="MAHALAXMI B M TRADERS"/>
    <n v="203236"/>
    <s v="SAINI STONE SUPPLIERS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DAUSA"/>
    <s v="JAIPUR RURAL"/>
    <s v="RJ-JAIPUR"/>
    <d v="2020-07-03T00:00:00"/>
  </r>
  <r>
    <s v="812384178234"/>
    <x v="790"/>
    <s v="GURUKRIPA BUILDING MATERIAL"/>
    <n v="178234"/>
    <s v="SHREE GIRIRAJ TRADERS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0"/>
    <n v="0"/>
    <s v="DAUSA"/>
    <s v="JAIPUR RURAL"/>
    <s v="RJ-JAIPUR"/>
    <d v="2020-07-28T00:00:00"/>
  </r>
  <r>
    <s v="812384178298"/>
    <x v="790"/>
    <s v="GURUKRIPA BUILDING MATERIAL"/>
    <n v="178298"/>
    <s v="SAINI BUILDING MATERIAL"/>
    <n v="207"/>
    <n v="0"/>
    <n v="0"/>
    <n v="196"/>
    <n v="0"/>
    <n v="0"/>
    <n v="224"/>
    <n v="5"/>
    <n v="0"/>
    <n v="154.80000000000001"/>
    <n v="10"/>
    <n v="0"/>
    <n v="157.80000000000001"/>
    <n v="10"/>
    <n v="0"/>
    <n v="147"/>
    <n v="24"/>
    <n v="0"/>
    <n v="217"/>
    <n v="0"/>
    <n v="0"/>
    <n v="187"/>
    <n v="0"/>
    <n v="0"/>
    <n v="1490.6"/>
    <n v="49"/>
    <n v="0"/>
    <s v="DAUSA"/>
    <s v="JAIPUR RURAL"/>
    <s v="RJ-JAIPUR"/>
    <d v="2020-07-28T00:00:00"/>
  </r>
  <r>
    <s v="812392178237"/>
    <x v="791"/>
    <s v="JAI MATADI  BUILDING MATERIAL"/>
    <n v="178237"/>
    <s v="BADAYA TRADERS"/>
    <n v="10"/>
    <n v="0"/>
    <n v="0"/>
    <n v="15"/>
    <n v="10"/>
    <n v="0"/>
    <n v="42"/>
    <n v="0"/>
    <n v="0"/>
    <n v="15"/>
    <n v="0"/>
    <n v="0"/>
    <n v="15"/>
    <n v="0"/>
    <n v="0"/>
    <n v="0"/>
    <n v="0"/>
    <n v="0"/>
    <n v="18.5"/>
    <n v="3.5"/>
    <n v="0"/>
    <n v="31"/>
    <n v="0"/>
    <n v="0"/>
    <n v="146.5"/>
    <n v="13.5"/>
    <n v="0"/>
    <s v="DAUSA"/>
    <s v="JAIPUR RURAL"/>
    <s v="RJ-JAIPUR"/>
    <d v="2020-07-29T00:00:00"/>
  </r>
  <r>
    <s v="812407178237"/>
    <x v="792"/>
    <s v="HARI SINGH GURJAR"/>
    <n v="178237"/>
    <s v="BADAYA TRADERS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DAUSA"/>
    <s v="JAIPUR RURAL"/>
    <s v="RJ-JAIPUR"/>
    <d v="2020-07-30T00:00:00"/>
  </r>
  <r>
    <s v="812474178234"/>
    <x v="793"/>
    <s v="DEEPENDRA SINGH CHOUHAN"/>
    <n v="178234"/>
    <s v="SHREE GIRIRAJ TRADERS"/>
    <n v="0"/>
    <n v="0"/>
    <n v="0"/>
    <n v="0"/>
    <n v="0"/>
    <n v="0"/>
    <n v="20"/>
    <n v="0"/>
    <n v="0"/>
    <n v="15"/>
    <n v="0"/>
    <n v="0"/>
    <n v="22.5"/>
    <n v="0"/>
    <n v="9"/>
    <n v="55"/>
    <n v="0"/>
    <n v="0"/>
    <n v="23.6"/>
    <n v="0"/>
    <n v="3.6"/>
    <n v="10"/>
    <n v="0"/>
    <n v="0"/>
    <n v="146.1"/>
    <n v="0"/>
    <n v="12.6"/>
    <s v="DAUSA"/>
    <s v="JAIPUR RURAL"/>
    <s v="RJ-JAIPUR"/>
    <d v="2020-08-10T00:00:00"/>
  </r>
  <r>
    <s v="812562178237"/>
    <x v="794"/>
    <s v="MOHAN LAL SAINI"/>
    <n v="178237"/>
    <s v="BADAYA TRADERS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s v="DAUSA"/>
    <s v="JAIPUR RURAL"/>
    <s v="RJ-JAIPUR"/>
    <d v="2020-08-18T00:00:00"/>
  </r>
  <r>
    <s v="812751178237"/>
    <x v="795"/>
    <s v="KARTIK SANITARY &amp; BUILDING MAT"/>
    <n v="178237"/>
    <s v="BADAYA TRADERS"/>
    <n v="32"/>
    <n v="0"/>
    <n v="0"/>
    <n v="15"/>
    <n v="0"/>
    <n v="0"/>
    <n v="67"/>
    <n v="0"/>
    <n v="0"/>
    <n v="35"/>
    <n v="0"/>
    <n v="5"/>
    <n v="47"/>
    <n v="0"/>
    <n v="0"/>
    <n v="35"/>
    <n v="8"/>
    <n v="0"/>
    <n v="65"/>
    <n v="0"/>
    <n v="0"/>
    <n v="70"/>
    <n v="0"/>
    <n v="0"/>
    <n v="366"/>
    <n v="8"/>
    <n v="5"/>
    <s v="DAUSA"/>
    <s v="JAIPUR RURAL"/>
    <s v="RJ-JAIPUR"/>
    <d v="2020-09-02T00:00:00"/>
  </r>
  <r>
    <s v="812810203236"/>
    <x v="796"/>
    <s v="VIRENDRA SAINI"/>
    <n v="203236"/>
    <s v="SAINI STONE SUPPLIERS"/>
    <n v="0"/>
    <n v="0"/>
    <n v="0"/>
    <n v="0"/>
    <n v="0"/>
    <n v="0"/>
    <n v="10"/>
    <n v="0"/>
    <n v="0"/>
    <n v="10"/>
    <n v="0"/>
    <n v="0"/>
    <n v="30"/>
    <n v="0"/>
    <n v="10"/>
    <n v="0"/>
    <n v="0"/>
    <n v="0"/>
    <n v="0"/>
    <n v="0"/>
    <n v="0"/>
    <n v="20"/>
    <n v="0"/>
    <n v="0"/>
    <n v="70"/>
    <n v="0"/>
    <n v="10"/>
    <s v="DAUSA"/>
    <s v="JAIPUR RURAL"/>
    <s v="RJ-JAIPUR"/>
    <d v="2020-09-07T00:00:00"/>
  </r>
  <r>
    <s v="812811178237"/>
    <x v="797"/>
    <s v="MADHU SHARMA"/>
    <n v="178237"/>
    <s v="BADAYA TRADERS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DAUSA"/>
    <s v="JAIPUR RURAL"/>
    <s v="RJ-JAIPUR"/>
    <d v="2020-09-07T00:00:00"/>
  </r>
  <r>
    <s v="813378178234"/>
    <x v="798"/>
    <s v="BRIJENDRA SINGH CHAUHAN"/>
    <n v="178234"/>
    <s v="SHREE GIRIRAJ TRADERS"/>
    <n v="0"/>
    <n v="10"/>
    <n v="0"/>
    <n v="25"/>
    <n v="0"/>
    <n v="0"/>
    <n v="20"/>
    <n v="0"/>
    <n v="0"/>
    <n v="14"/>
    <n v="0"/>
    <n v="0"/>
    <n v="0"/>
    <n v="0"/>
    <n v="0"/>
    <n v="0"/>
    <n v="0"/>
    <n v="0"/>
    <n v="0"/>
    <n v="0"/>
    <n v="0"/>
    <n v="20"/>
    <n v="0"/>
    <n v="0"/>
    <n v="79"/>
    <n v="10"/>
    <n v="0"/>
    <s v="DAUSA"/>
    <s v="JAIPUR RURAL"/>
    <s v="RJ-JAIPUR"/>
    <d v="2020-10-24T00:00:00"/>
  </r>
  <r>
    <s v="813378178298"/>
    <x v="798"/>
    <s v="BRIJENDRA SINGH CHAUHAN"/>
    <n v="178298"/>
    <s v="SAINI BUILDING MATERIAL"/>
    <n v="20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0"/>
    <s v="DAUSA"/>
    <s v="JAIPUR RURAL"/>
    <s v="RJ-JAIPUR"/>
    <d v="2020-10-24T00:00:00"/>
  </r>
  <r>
    <s v="813821178237"/>
    <x v="799"/>
    <s v="SHARMA BUILDING MATERIAL SUPPL"/>
    <n v="178237"/>
    <s v="BADAY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AUSA"/>
    <s v="JAIPUR RURAL"/>
    <s v="RJ-JAIPUR"/>
    <d v="2020-12-12T00:00:00"/>
  </r>
  <r>
    <s v="813842178298"/>
    <x v="800"/>
    <s v="VINOD KUMAR SAINI"/>
    <n v="178298"/>
    <s v="SAINI BUILDING MATERIAL"/>
    <n v="0"/>
    <n v="0"/>
    <n v="0"/>
    <n v="6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11"/>
    <n v="0"/>
    <n v="0"/>
    <s v="DAUSA"/>
    <s v="JAIPUR RURAL"/>
    <s v="RJ-JAIPUR"/>
    <d v="2020-12-15T00:00:00"/>
  </r>
  <r>
    <s v="813842202478"/>
    <x v="800"/>
    <s v="VINOD KUMAR SAINI"/>
    <n v="202478"/>
    <s v="RAMSWAROOP PRAKASHCHAND"/>
    <n v="10"/>
    <n v="0"/>
    <n v="0"/>
    <n v="50"/>
    <n v="0"/>
    <n v="0"/>
    <n v="0"/>
    <n v="0"/>
    <n v="0"/>
    <n v="0"/>
    <n v="0"/>
    <n v="0"/>
    <n v="0"/>
    <n v="0"/>
    <n v="0"/>
    <n v="0"/>
    <n v="0"/>
    <n v="0"/>
    <n v="83"/>
    <n v="0"/>
    <n v="0"/>
    <n v="24.5"/>
    <n v="0"/>
    <n v="0"/>
    <n v="167.5"/>
    <n v="0"/>
    <n v="0"/>
    <s v="DAUSA"/>
    <s v="JAIPUR RURAL"/>
    <s v="RJ-JAIPUR"/>
    <d v="2020-12-15T00:00:00"/>
  </r>
  <r>
    <s v="814109119052"/>
    <x v="801"/>
    <s v="SHANKAR KHAD BHANDAR"/>
    <n v="119052"/>
    <s v="SURESH CHAND &amp; CO"/>
    <n v="84"/>
    <n v="0"/>
    <n v="0"/>
    <n v="142"/>
    <n v="0"/>
    <n v="0"/>
    <n v="183.5"/>
    <n v="2.5"/>
    <n v="0"/>
    <n v="94"/>
    <n v="0"/>
    <n v="0"/>
    <n v="98"/>
    <n v="0"/>
    <n v="0"/>
    <n v="84"/>
    <n v="0"/>
    <n v="0"/>
    <n v="66"/>
    <n v="0"/>
    <n v="0"/>
    <n v="116"/>
    <n v="0"/>
    <n v="0"/>
    <n v="867.5"/>
    <n v="2.5"/>
    <n v="0"/>
    <s v="DAUSA"/>
    <s v="JAIPUR RURAL"/>
    <s v="RJ-JAIPUR"/>
    <d v="2021-01-08T00:00:00"/>
  </r>
  <r>
    <s v="814116178298"/>
    <x v="802"/>
    <s v="SANJAY KUMAR SAINI"/>
    <n v="178298"/>
    <s v="SAINI BUILDING MATERIAL"/>
    <n v="37"/>
    <n v="0"/>
    <n v="0"/>
    <n v="19"/>
    <n v="0"/>
    <n v="0"/>
    <n v="57"/>
    <n v="0"/>
    <n v="0"/>
    <n v="58.5"/>
    <n v="0"/>
    <n v="0"/>
    <n v="72"/>
    <n v="0"/>
    <n v="0"/>
    <n v="73"/>
    <n v="0"/>
    <n v="0"/>
    <n v="70"/>
    <n v="0"/>
    <n v="0"/>
    <n v="46"/>
    <n v="0"/>
    <n v="0"/>
    <n v="432.5"/>
    <n v="0"/>
    <n v="0"/>
    <s v="DAUSA"/>
    <s v="JAIPUR RURAL"/>
    <s v="RJ-JAIPUR"/>
    <d v="2021-01-09T00:00:00"/>
  </r>
  <r>
    <s v="814116202478"/>
    <x v="802"/>
    <s v="SANJAY KUMAR SAINI"/>
    <n v="202478"/>
    <s v="RAMSWAROOP PRAKASHCHAND"/>
    <n v="40"/>
    <n v="0"/>
    <n v="0"/>
    <n v="0"/>
    <n v="0"/>
    <n v="0"/>
    <n v="31"/>
    <n v="0"/>
    <n v="0"/>
    <n v="10"/>
    <n v="0"/>
    <n v="0"/>
    <n v="20"/>
    <n v="0"/>
    <n v="0"/>
    <n v="24"/>
    <n v="0"/>
    <n v="0"/>
    <n v="0"/>
    <n v="0"/>
    <n v="0"/>
    <n v="0"/>
    <n v="0"/>
    <n v="0"/>
    <n v="125"/>
    <n v="0"/>
    <n v="0"/>
    <s v="DAUSA"/>
    <s v="JAIPUR RURAL"/>
    <s v="RJ-JAIPUR"/>
    <d v="2021-01-09T00:00:00"/>
  </r>
  <r>
    <s v="814350175717"/>
    <x v="803"/>
    <s v="GAURAV MARBLE"/>
    <n v="175717"/>
    <s v="S S AGRAWAL AND COMPANY"/>
    <n v="59"/>
    <n v="0"/>
    <n v="0"/>
    <n v="67"/>
    <n v="0"/>
    <n v="0"/>
    <n v="99.449999999999989"/>
    <n v="0"/>
    <n v="0"/>
    <n v="75"/>
    <n v="0"/>
    <n v="0"/>
    <n v="25"/>
    <n v="0"/>
    <n v="0"/>
    <n v="55"/>
    <n v="0"/>
    <n v="0"/>
    <n v="65"/>
    <n v="0"/>
    <n v="0"/>
    <n v="83"/>
    <n v="0"/>
    <n v="0"/>
    <n v="528.45000000000005"/>
    <n v="0"/>
    <n v="0"/>
    <s v="DAUSA"/>
    <s v="JAIPUR RURAL"/>
    <s v="RJ-JAIPUR"/>
    <d v="2021-01-30T00:00:00"/>
  </r>
  <r>
    <s v="815467203236"/>
    <x v="804"/>
    <s v="SAINI TENT HOUSE"/>
    <n v="203236"/>
    <s v="SAINI STONE SUPPLIERS"/>
    <n v="70"/>
    <n v="0"/>
    <n v="0"/>
    <n v="81"/>
    <n v="0"/>
    <n v="0"/>
    <n v="126"/>
    <n v="1.75"/>
    <n v="1"/>
    <n v="85.5"/>
    <n v="0"/>
    <n v="5.9"/>
    <n v="39"/>
    <n v="0"/>
    <n v="2.25"/>
    <n v="37.1"/>
    <n v="0"/>
    <n v="6.1"/>
    <n v="0"/>
    <n v="0"/>
    <n v="0"/>
    <n v="39.65"/>
    <n v="0"/>
    <n v="0"/>
    <n v="478.25"/>
    <n v="1.75"/>
    <n v="15.25"/>
    <s v="DAUSA"/>
    <s v="JAIPUR RURAL"/>
    <s v="RJ-JAIPUR"/>
    <d v="2021-07-12T00:00:00"/>
  </r>
  <r>
    <s v="815468178234"/>
    <x v="805"/>
    <s v="SAINI FLOUR MEELS AND GENERAL"/>
    <n v="178234"/>
    <s v="SHREE GIRIRAJ TRADERS"/>
    <n v="0"/>
    <n v="0"/>
    <n v="0"/>
    <n v="10"/>
    <n v="0"/>
    <n v="0"/>
    <n v="20"/>
    <n v="0"/>
    <n v="6"/>
    <n v="15"/>
    <n v="0"/>
    <n v="0"/>
    <n v="27.5"/>
    <n v="0"/>
    <n v="0"/>
    <n v="35"/>
    <n v="0"/>
    <n v="4"/>
    <n v="55"/>
    <n v="0"/>
    <n v="0"/>
    <n v="30"/>
    <n v="0"/>
    <n v="0"/>
    <n v="192.5"/>
    <n v="0"/>
    <n v="10"/>
    <s v="DAUSA"/>
    <s v="JAIPUR RURAL"/>
    <s v="RJ-JAIPUR"/>
    <d v="2021-07-12T00:00:00"/>
  </r>
  <r>
    <s v="815479203236"/>
    <x v="806"/>
    <s v="GURUKRIPA CONSTRUCTION COMPANY"/>
    <n v="203236"/>
    <s v="SAINI STONE SUPPLIERS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DAUSA"/>
    <s v="JAIPUR RURAL"/>
    <s v="RJ-JAIPUR"/>
    <d v="2021-07-12T00:00:00"/>
  </r>
  <r>
    <s v="815924178237"/>
    <x v="807"/>
    <s v="CHHIRANJILAL OM PRAKASH"/>
    <n v="178237"/>
    <s v="BADAYA TRADERS"/>
    <n v="20"/>
    <n v="5"/>
    <n v="0"/>
    <n v="35"/>
    <n v="0"/>
    <n v="0"/>
    <n v="40"/>
    <n v="0"/>
    <n v="0"/>
    <n v="30"/>
    <n v="0"/>
    <n v="10"/>
    <n v="22.5"/>
    <n v="0"/>
    <n v="0"/>
    <n v="10"/>
    <n v="0"/>
    <n v="0"/>
    <n v="35"/>
    <n v="0"/>
    <n v="5"/>
    <n v="41"/>
    <n v="0"/>
    <n v="0"/>
    <n v="233.5"/>
    <n v="5"/>
    <n v="15"/>
    <s v="DAUSA"/>
    <s v="JAIPUR RURAL"/>
    <s v="RJ-JAIPUR"/>
    <d v="2021-08-13T00:00:00"/>
  </r>
  <r>
    <s v="817366210355"/>
    <x v="808"/>
    <s v="MUNIRAJ MEENA"/>
    <n v="210355"/>
    <s v="SHRI BALAJI TRADERS"/>
    <n v="0"/>
    <n v="0"/>
    <n v="0"/>
    <n v="0"/>
    <n v="0"/>
    <n v="0"/>
    <n v="21"/>
    <n v="0"/>
    <n v="0"/>
    <n v="29"/>
    <n v="0"/>
    <n v="0"/>
    <n v="0"/>
    <n v="0"/>
    <n v="0"/>
    <n v="0"/>
    <n v="0"/>
    <n v="0"/>
    <n v="0"/>
    <n v="0"/>
    <n v="0"/>
    <n v="0"/>
    <n v="0"/>
    <n v="0"/>
    <n v="50"/>
    <n v="0"/>
    <n v="0"/>
    <s v="DAUSA"/>
    <s v="JAIPUR RURAL"/>
    <s v="RJ-JAIPUR"/>
    <d v="2021-12-18T00:00:00"/>
  </r>
  <r>
    <s v="817404178234"/>
    <x v="809"/>
    <s v="JAI AMBE TRADERS"/>
    <n v="178234"/>
    <s v="SHREE GIRIRAJ TRADERS"/>
    <n v="158.5"/>
    <n v="20"/>
    <n v="0"/>
    <n v="142"/>
    <n v="0"/>
    <n v="0"/>
    <n v="94"/>
    <n v="0"/>
    <n v="0"/>
    <n v="148.69999999999999"/>
    <n v="0"/>
    <n v="0"/>
    <n v="40"/>
    <n v="0"/>
    <n v="0"/>
    <n v="21.4"/>
    <n v="0"/>
    <n v="3.9"/>
    <n v="73"/>
    <n v="0"/>
    <n v="0"/>
    <n v="67"/>
    <n v="0"/>
    <n v="0"/>
    <n v="744.6"/>
    <n v="20"/>
    <n v="3.9"/>
    <s v="DAUSA"/>
    <s v="JAIPUR RURAL"/>
    <s v="RJ-JAIPUR"/>
    <d v="2021-12-21T00:00:00"/>
  </r>
  <r>
    <s v="817913178298"/>
    <x v="810"/>
    <s v="RAMESH CEMENT AGENCY"/>
    <n v="178298"/>
    <s v="SAINI BUILDING MATERIAL"/>
    <n v="15"/>
    <n v="0"/>
    <n v="0"/>
    <n v="15"/>
    <n v="0"/>
    <n v="0"/>
    <n v="21"/>
    <n v="0"/>
    <n v="0"/>
    <n v="30"/>
    <n v="0"/>
    <n v="0"/>
    <n v="22.5"/>
    <n v="0"/>
    <n v="7.5"/>
    <n v="33"/>
    <n v="0"/>
    <n v="0"/>
    <n v="25"/>
    <n v="0"/>
    <n v="0"/>
    <n v="40"/>
    <n v="0"/>
    <n v="7.5"/>
    <n v="201.5"/>
    <n v="0"/>
    <n v="7.5"/>
    <s v="DAUSA"/>
    <s v="JAIPUR RURAL"/>
    <s v="RJ-JAIPUR"/>
    <d v="2022-01-31T00:00:00"/>
  </r>
  <r>
    <s v="817914210355"/>
    <x v="811"/>
    <s v="RADHEY CEMENT AGENCY"/>
    <n v="210355"/>
    <s v="SHRI BALAJI TRADERS"/>
    <n v="21"/>
    <n v="0"/>
    <n v="0"/>
    <n v="68"/>
    <n v="0"/>
    <n v="0"/>
    <n v="95.25"/>
    <n v="0"/>
    <n v="0"/>
    <n v="67"/>
    <n v="0"/>
    <n v="0"/>
    <n v="88.75"/>
    <n v="0"/>
    <n v="0"/>
    <n v="111.7"/>
    <n v="0"/>
    <n v="0"/>
    <n v="125"/>
    <n v="0"/>
    <n v="0"/>
    <n v="67"/>
    <n v="0"/>
    <n v="0"/>
    <n v="643.70000000000005"/>
    <n v="0"/>
    <n v="0"/>
    <s v="DAUSA"/>
    <s v="JAIPUR RURAL"/>
    <s v="RJ-JAIPUR"/>
    <d v="2022-01-31T00:00:00"/>
  </r>
  <r>
    <s v="817916178298"/>
    <x v="812"/>
    <s v="KRATIKA ENTERPRISES"/>
    <n v="178298"/>
    <s v="SAINI BUILDING MATERIAL"/>
    <n v="15"/>
    <n v="0"/>
    <n v="0"/>
    <n v="15"/>
    <n v="0"/>
    <n v="0"/>
    <n v="37"/>
    <n v="0"/>
    <n v="0"/>
    <n v="35"/>
    <n v="0"/>
    <n v="0"/>
    <n v="15"/>
    <n v="0"/>
    <n v="0"/>
    <n v="23.05"/>
    <n v="0"/>
    <n v="0"/>
    <n v="24.5"/>
    <n v="0"/>
    <n v="0"/>
    <n v="17"/>
    <n v="0"/>
    <n v="0"/>
    <n v="181.55"/>
    <n v="0"/>
    <n v="0"/>
    <s v="DAUSA"/>
    <s v="JAIPUR RURAL"/>
    <s v="RJ-JAIPUR"/>
    <d v="2022-01-31T00:00:00"/>
  </r>
  <r>
    <s v="817934210355"/>
    <x v="813"/>
    <s v="KRISHNA TRADING COMPANY"/>
    <n v="210355"/>
    <s v="SHRI BALAJI TRADERS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DAUSA"/>
    <s v="JAIPUR RURAL"/>
    <s v="RJ-JAIPUR"/>
    <d v="2022-02-01T00:00:00"/>
  </r>
  <r>
    <s v="818071202478"/>
    <x v="814"/>
    <s v="GAURI CEMENT AGENCY"/>
    <n v="202478"/>
    <s v="RAMSWAROOP PRAKASHCHAND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7.5"/>
    <n v="0"/>
    <n v="0"/>
    <n v="38.5"/>
    <n v="0"/>
    <n v="0"/>
    <n v="51"/>
    <n v="0"/>
    <n v="0"/>
    <s v="DAUSA"/>
    <s v="JAIPUR RURAL"/>
    <s v="RJ-JAIPUR"/>
    <d v="2022-02-18T00:00:00"/>
  </r>
  <r>
    <s v="818239178237"/>
    <x v="815"/>
    <s v="LALITA DEVI GUPTA"/>
    <n v="178237"/>
    <s v="BADAYA TRADERS"/>
    <n v="0"/>
    <n v="0"/>
    <n v="0"/>
    <n v="0"/>
    <n v="0"/>
    <n v="0"/>
    <n v="10"/>
    <n v="0"/>
    <n v="0"/>
    <n v="15"/>
    <n v="0"/>
    <n v="0"/>
    <n v="0"/>
    <n v="0"/>
    <n v="0"/>
    <n v="25"/>
    <n v="5"/>
    <n v="0"/>
    <n v="0"/>
    <n v="0"/>
    <n v="0"/>
    <n v="8"/>
    <n v="0"/>
    <n v="0"/>
    <n v="58"/>
    <n v="5"/>
    <n v="0"/>
    <s v="DAUSA"/>
    <s v="JAIPUR RURAL"/>
    <s v="RJ-JAIPUR"/>
    <d v="2022-03-02T00:00:00"/>
  </r>
  <r>
    <s v="818867178298"/>
    <x v="816"/>
    <s v="BACHCHU SINGH SAINI"/>
    <n v="178298"/>
    <s v="SAINI BUILDING MATERIAL"/>
    <n v="0"/>
    <n v="0"/>
    <n v="0"/>
    <n v="35"/>
    <n v="0"/>
    <n v="0"/>
    <n v="30"/>
    <n v="0"/>
    <n v="0"/>
    <n v="30"/>
    <n v="0"/>
    <n v="0"/>
    <n v="25"/>
    <n v="0"/>
    <n v="0"/>
    <n v="27.5"/>
    <n v="0"/>
    <n v="0"/>
    <n v="17"/>
    <n v="0"/>
    <n v="0"/>
    <n v="10"/>
    <n v="0"/>
    <n v="0"/>
    <n v="174.5"/>
    <n v="0"/>
    <n v="0"/>
    <s v="DAUSA"/>
    <s v="JAIPUR RURAL"/>
    <s v="RJ-JAIPUR"/>
    <d v="2022-05-09T00:00:00"/>
  </r>
  <r>
    <s v="819240212215"/>
    <x v="817"/>
    <s v="SHREE RAMAN BUILDING MATERIALS"/>
    <n v="212215"/>
    <s v="KHEDA TRADERS"/>
    <n v="0"/>
    <n v="0"/>
    <n v="0"/>
    <n v="0"/>
    <n v="0"/>
    <n v="0"/>
    <n v="0"/>
    <n v="0"/>
    <n v="0"/>
    <n v="67.5"/>
    <n v="0"/>
    <n v="13.5"/>
    <n v="61"/>
    <n v="0"/>
    <n v="0"/>
    <n v="69"/>
    <n v="0"/>
    <n v="0"/>
    <n v="7"/>
    <n v="0"/>
    <n v="0"/>
    <n v="14"/>
    <n v="0"/>
    <n v="0"/>
    <n v="218.5"/>
    <n v="0"/>
    <n v="13.5"/>
    <s v="DAUSA"/>
    <s v="JAIPUR RURAL"/>
    <s v="RJ-JAIPUR"/>
    <d v="2022-06-09T00:00:00"/>
  </r>
  <r>
    <s v="819248212215"/>
    <x v="818"/>
    <s v="RAJ KUMAR BAIRWA"/>
    <n v="212215"/>
    <s v="KHEDA TRADERS"/>
    <n v="0"/>
    <n v="0"/>
    <n v="0"/>
    <n v="0"/>
    <n v="0"/>
    <n v="0"/>
    <n v="21.5"/>
    <n v="0"/>
    <n v="0"/>
    <n v="34.5"/>
    <n v="0.5"/>
    <n v="0"/>
    <n v="10"/>
    <n v="0"/>
    <n v="0"/>
    <n v="49.449999999999996"/>
    <n v="0"/>
    <n v="10"/>
    <n v="0"/>
    <n v="0"/>
    <n v="0"/>
    <n v="15"/>
    <n v="0"/>
    <n v="0"/>
    <n v="130.44999999999999"/>
    <n v="0.5"/>
    <n v="10"/>
    <s v="DAUSA"/>
    <s v="JAIPUR RURAL"/>
    <s v="RJ-JAIPUR"/>
    <d v="2022-06-10T00:00:00"/>
  </r>
  <r>
    <s v="819249212829"/>
    <x v="819"/>
    <s v="SOHAM TRADING"/>
    <n v="212829"/>
    <s v="AMAN SALES AGENCY"/>
    <n v="0"/>
    <n v="0"/>
    <n v="0"/>
    <n v="0"/>
    <n v="0"/>
    <n v="0"/>
    <n v="38.5"/>
    <n v="0"/>
    <n v="10"/>
    <n v="119"/>
    <n v="0"/>
    <n v="15"/>
    <n v="57"/>
    <n v="0"/>
    <n v="0"/>
    <n v="58"/>
    <n v="0"/>
    <n v="3"/>
    <n v="25.8"/>
    <n v="0"/>
    <n v="0"/>
    <n v="46"/>
    <n v="0"/>
    <n v="0"/>
    <n v="344.3"/>
    <n v="0"/>
    <n v="28"/>
    <s v="DAUSA"/>
    <s v="JAIPUR RURAL"/>
    <s v="RJ-JAIPUR"/>
    <d v="2022-06-10T00:00:00"/>
  </r>
  <r>
    <s v="819813210355"/>
    <x v="820"/>
    <s v="BALAJI BUILDING MATERIAL"/>
    <n v="210355"/>
    <s v="SHRI BALAJI TRADERS"/>
    <n v="0"/>
    <n v="0"/>
    <n v="0"/>
    <n v="0"/>
    <n v="0"/>
    <n v="0"/>
    <n v="0"/>
    <n v="0"/>
    <n v="0"/>
    <n v="66"/>
    <n v="0"/>
    <n v="0"/>
    <n v="104.5"/>
    <n v="0"/>
    <n v="0"/>
    <n v="75.45"/>
    <n v="0"/>
    <n v="0"/>
    <n v="97"/>
    <n v="0"/>
    <n v="0"/>
    <n v="175.25"/>
    <n v="5.5"/>
    <n v="5.25"/>
    <n v="518.20000000000005"/>
    <n v="0"/>
    <n v="0"/>
    <s v="DAUSA"/>
    <s v="JAIPUR RURAL"/>
    <s v="RJ-JAIPUR"/>
    <d v="2022-07-18T00:00:00"/>
  </r>
  <r>
    <s v="820755178237"/>
    <x v="821"/>
    <s v="RAJKAPOOR MEENA"/>
    <n v="178237"/>
    <s v="BADAYA TRADERS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33"/>
    <n v="0"/>
    <n v="0"/>
    <n v="0"/>
    <n v="0"/>
    <n v="0"/>
    <n v="53"/>
    <n v="0"/>
    <n v="0"/>
    <s v="DAUSA"/>
    <s v="JAIPUR RURAL"/>
    <s v="RJ-JAIPUR"/>
    <d v="2022-09-27T00:00:00"/>
  </r>
  <r>
    <s v="820759203236"/>
    <x v="822"/>
    <s v="MAHA LAKSHMI BUILDING MATERIAL"/>
    <n v="203236"/>
    <s v="SAINI STONE SUPPLIE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59"/>
    <n v="0"/>
    <n v="0"/>
    <n v="69"/>
    <n v="0"/>
    <n v="0"/>
    <s v="DAUSA"/>
    <s v="JAIPUR RURAL"/>
    <s v="RJ-JAIPUR"/>
    <d v="2022-09-27T00:00:00"/>
  </r>
  <r>
    <s v="820760212215"/>
    <x v="823"/>
    <s v="PEEYUSH SHARMA"/>
    <n v="212215"/>
    <s v="KHED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55"/>
    <n v="0"/>
    <n v="0"/>
    <n v="85"/>
    <n v="0"/>
    <n v="0"/>
    <s v="DAUSA"/>
    <s v="JAIPUR RURAL"/>
    <s v="RJ-JAIPUR"/>
    <d v="2022-09-27T00:00:00"/>
  </r>
  <r>
    <s v="821009212829"/>
    <x v="824"/>
    <s v="BADAYA AGENCIES"/>
    <n v="212829"/>
    <s v="AMAN SALES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48"/>
    <n v="0"/>
    <n v="0"/>
    <n v="65"/>
    <n v="0"/>
    <n v="0"/>
    <s v="DAUSA"/>
    <s v="JAIPUR RURAL"/>
    <s v="RJ-JAIPUR"/>
    <d v="2022-10-19T00:00:00"/>
  </r>
  <r>
    <s v="820498201172"/>
    <x v="825"/>
    <s v="SHRI NATH JI HOME BUILD SOLUTI"/>
    <n v="201172"/>
    <s v="MAA TRADERS"/>
    <n v="0"/>
    <n v="0"/>
    <n v="0"/>
    <n v="0"/>
    <n v="0"/>
    <n v="0"/>
    <n v="0"/>
    <n v="0"/>
    <n v="0"/>
    <n v="0"/>
    <n v="0"/>
    <n v="0"/>
    <n v="0"/>
    <n v="0"/>
    <n v="0"/>
    <n v="83.5"/>
    <n v="0"/>
    <n v="0"/>
    <n v="161.5"/>
    <n v="0"/>
    <n v="12.5"/>
    <n v="83.75"/>
    <n v="0"/>
    <n v="8.75"/>
    <n v="328.75"/>
    <n v="0"/>
    <n v="12.5"/>
    <s v="JAIPUR"/>
    <s v="JAIPUR RURAL"/>
    <s v="RJ-JAIPUR"/>
    <d v="2022-09-13T00:00:00"/>
  </r>
  <r>
    <s v="820510171947"/>
    <x v="826"/>
    <s v="SINGODIYA CEMENT UDYOG"/>
    <n v="171947"/>
    <s v="M.N.ASSOCIATE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.5"/>
    <n v="0"/>
    <n v="0"/>
    <n v="3"/>
    <n v="0"/>
    <n v="0"/>
    <n v="25.5"/>
    <n v="0"/>
    <n v="0"/>
    <s v="JAIPUR"/>
    <s v="JAIPUR RURAL"/>
    <s v="RJ-JAIPUR"/>
    <d v="2022-09-13T00:00:00"/>
  </r>
  <r>
    <s v="820513144868"/>
    <x v="827"/>
    <s v="SHREE SHYAM TRADERS"/>
    <n v="144868"/>
    <s v="ASHISH SALES CORPORATION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7.5"/>
    <n v="0"/>
    <n v="0"/>
    <n v="28"/>
    <n v="0"/>
    <n v="0"/>
    <n v="60.5"/>
    <n v="0"/>
    <n v="0"/>
    <s v="JAIPUR"/>
    <s v="JAIPUR RURAL"/>
    <s v="RJ-JAIPUR"/>
    <d v="2022-09-14T00:00:00"/>
  </r>
  <r>
    <s v="820530119261"/>
    <x v="828"/>
    <s v="KHANDELWAL ENTERPRISES"/>
    <n v="119261"/>
    <s v="DURGESH ENTERPRISES"/>
    <n v="0"/>
    <n v="0"/>
    <n v="0"/>
    <n v="0"/>
    <n v="0"/>
    <n v="0"/>
    <n v="0"/>
    <n v="0"/>
    <n v="0"/>
    <n v="0"/>
    <n v="0"/>
    <n v="0"/>
    <n v="0"/>
    <n v="0"/>
    <n v="0"/>
    <n v="37.5"/>
    <n v="0"/>
    <n v="0"/>
    <n v="79.5"/>
    <n v="0"/>
    <n v="0"/>
    <n v="86"/>
    <n v="0"/>
    <n v="0"/>
    <n v="203"/>
    <n v="0"/>
    <n v="0"/>
    <s v="JAIPUR"/>
    <s v="JAIPUR RURAL"/>
    <s v="RJ-JAIPUR"/>
    <d v="2022-09-15T00:00:00"/>
  </r>
  <r>
    <s v="820566141512"/>
    <x v="829"/>
    <s v="NISHA ENTERPRISES"/>
    <n v="141512"/>
    <s v="MISHRA TRADERS"/>
    <n v="0"/>
    <n v="0"/>
    <n v="0"/>
    <n v="0"/>
    <n v="0"/>
    <n v="0"/>
    <n v="0"/>
    <n v="0"/>
    <n v="0"/>
    <n v="0"/>
    <n v="0"/>
    <n v="0"/>
    <n v="0"/>
    <n v="0"/>
    <n v="0"/>
    <n v="29"/>
    <n v="0"/>
    <n v="6.25"/>
    <n v="43"/>
    <n v="0"/>
    <n v="0"/>
    <n v="51"/>
    <n v="0"/>
    <n v="0"/>
    <n v="123"/>
    <n v="0"/>
    <n v="6.25"/>
    <s v="JAIPUR"/>
    <s v="JAIPUR RURAL"/>
    <s v="RJ-JAIPUR"/>
    <d v="2022-09-16T00:00:00"/>
  </r>
  <r>
    <s v="820629205225"/>
    <x v="830"/>
    <s v="SUSHILA ENTERPRISES"/>
    <n v="205225"/>
    <s v="MAHAVEER ASSOCIATES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116.3"/>
    <n v="6.8"/>
    <n v="0"/>
    <n v="102.5"/>
    <n v="0"/>
    <n v="0"/>
    <n v="268.8"/>
    <n v="6.8"/>
    <n v="0"/>
    <s v="JAIPUR"/>
    <s v="JAIPUR RURAL"/>
    <s v="RJ-JAIPUR"/>
    <d v="2022-09-20T00:00:00"/>
  </r>
  <r>
    <s v="803018176276"/>
    <x v="831"/>
    <s v="SHARMA BUILDING MATERIAL SUPPL"/>
    <n v="176276"/>
    <s v="LAXMI BUILDING MATERIAL STORE"/>
    <n v="25"/>
    <n v="0"/>
    <n v="0"/>
    <n v="7.5"/>
    <n v="0"/>
    <n v="0"/>
    <n v="10"/>
    <n v="0"/>
    <n v="0"/>
    <n v="10"/>
    <n v="0"/>
    <n v="0"/>
    <n v="12.5"/>
    <n v="0"/>
    <n v="0"/>
    <n v="30"/>
    <n v="0"/>
    <n v="0"/>
    <n v="0"/>
    <n v="0"/>
    <n v="0"/>
    <n v="0"/>
    <n v="0"/>
    <n v="0"/>
    <n v="95"/>
    <n v="0"/>
    <n v="0"/>
    <s v="JAIPUR RURAL"/>
    <s v="JAIPUR RURAL"/>
    <s v="RJ-JAIPUR"/>
    <d v="2013-11-29T00:00:00"/>
  </r>
  <r>
    <s v="803698172976"/>
    <x v="832"/>
    <s v="RAVI SHANKAR SAINI"/>
    <n v="172976"/>
    <s v="SHRI RAM BUILDING MATERIAL"/>
    <n v="40"/>
    <n v="0"/>
    <n v="0"/>
    <n v="30"/>
    <n v="0"/>
    <n v="0"/>
    <n v="27.5"/>
    <n v="0"/>
    <n v="0"/>
    <n v="24"/>
    <n v="0"/>
    <n v="0"/>
    <n v="15"/>
    <n v="3.5"/>
    <n v="0"/>
    <n v="27.5"/>
    <n v="0"/>
    <n v="0"/>
    <n v="36"/>
    <n v="0"/>
    <n v="3.5"/>
    <n v="20"/>
    <n v="0"/>
    <n v="0"/>
    <n v="220"/>
    <n v="3.5"/>
    <n v="3.5"/>
    <s v="JAIPUR RURAL"/>
    <s v="JAIPUR RURAL"/>
    <s v="RJ-JAIPUR"/>
    <d v="2014-11-19T00:00:00"/>
  </r>
  <r>
    <s v="804818119261"/>
    <x v="833"/>
    <s v="JAGDAMBA SUPPLIERS"/>
    <n v="119261"/>
    <s v="DURGESH ENTERPRISES"/>
    <n v="50"/>
    <n v="0"/>
    <n v="0"/>
    <n v="35"/>
    <n v="0"/>
    <n v="0"/>
    <n v="75"/>
    <n v="0"/>
    <n v="0"/>
    <n v="50"/>
    <n v="0"/>
    <n v="0"/>
    <n v="0"/>
    <n v="0"/>
    <n v="0"/>
    <n v="75"/>
    <n v="0"/>
    <n v="0"/>
    <n v="79.5"/>
    <n v="0"/>
    <n v="0"/>
    <n v="75"/>
    <n v="0"/>
    <n v="0"/>
    <n v="439.5"/>
    <n v="0"/>
    <n v="0"/>
    <s v="JAIPUR RURAL"/>
    <s v="JAIPUR RURAL"/>
    <s v="RJ-JAIPUR"/>
    <d v="2016-02-08T00:00:00"/>
  </r>
  <r>
    <s v="804978176276"/>
    <x v="834"/>
    <s v="SHREE MAHARANI BUILDING MATERI"/>
    <n v="176276"/>
    <s v="LAXMI BUILDING MATERIAL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16-04-25T00:00:00"/>
  </r>
  <r>
    <s v="805005146845"/>
    <x v="835"/>
    <s v="NETA ELECTRICALS"/>
    <n v="146845"/>
    <s v="SHARDA TRADERS"/>
    <n v="45"/>
    <n v="0"/>
    <n v="0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5"/>
    <n v="0"/>
    <n v="0"/>
    <s v="JAIPUR RURAL"/>
    <s v="JAIPUR RURAL"/>
    <s v="RJ-JAIPUR"/>
    <d v="2016-04-30T00:00:00"/>
  </r>
  <r>
    <s v="805378176276"/>
    <x v="836"/>
    <s v="BANWARI LAL KUMHAR"/>
    <n v="176276"/>
    <s v="LAXMI BUILDING MATERIAL STORE"/>
    <n v="259.5"/>
    <n v="0"/>
    <n v="0"/>
    <n v="105"/>
    <n v="0"/>
    <n v="0"/>
    <n v="125"/>
    <n v="0"/>
    <n v="15"/>
    <n v="69"/>
    <n v="0"/>
    <n v="5"/>
    <n v="141.5"/>
    <n v="5"/>
    <n v="0"/>
    <n v="125"/>
    <n v="0"/>
    <n v="0"/>
    <n v="20"/>
    <n v="0"/>
    <n v="0"/>
    <n v="30"/>
    <n v="0"/>
    <n v="0"/>
    <n v="875"/>
    <n v="5"/>
    <n v="20"/>
    <s v="JAIPUR RURAL"/>
    <s v="JAIPUR RURAL"/>
    <s v="RJ-JAIPUR"/>
    <d v="2016-07-29T00:00:00"/>
  </r>
  <r>
    <s v="805869176821"/>
    <x v="837"/>
    <s v="BALAJI BUILDING MATERIAL CONST"/>
    <n v="176821"/>
    <s v="DHARMENDRA &amp; COMPANY"/>
    <n v="5"/>
    <n v="0"/>
    <n v="0"/>
    <n v="0"/>
    <n v="5"/>
    <n v="0"/>
    <n v="17.5"/>
    <n v="14"/>
    <n v="2.5"/>
    <n v="0"/>
    <n v="0"/>
    <n v="0"/>
    <n v="0"/>
    <n v="0"/>
    <n v="0"/>
    <n v="0"/>
    <n v="0"/>
    <n v="0"/>
    <n v="0"/>
    <n v="0"/>
    <n v="0"/>
    <n v="0"/>
    <n v="0"/>
    <n v="0"/>
    <n v="22.5"/>
    <n v="19"/>
    <n v="2.5"/>
    <s v="JAIPUR RURAL"/>
    <s v="JAIPUR RURAL"/>
    <s v="RJ-JAIPUR"/>
    <d v="2016-12-20T00:00:00"/>
  </r>
  <r>
    <s v="806296179796"/>
    <x v="838"/>
    <s v="MEHTA SANITARY HARDWARE"/>
    <n v="179796"/>
    <s v="VINAYAK TRADE HOME"/>
    <n v="16"/>
    <n v="0"/>
    <n v="0"/>
    <n v="13.5"/>
    <n v="0"/>
    <n v="0"/>
    <n v="43"/>
    <n v="0"/>
    <n v="0"/>
    <n v="25.5"/>
    <n v="0"/>
    <n v="0"/>
    <n v="43"/>
    <n v="0"/>
    <n v="0"/>
    <n v="54"/>
    <n v="0"/>
    <n v="0"/>
    <n v="32"/>
    <n v="0"/>
    <n v="0"/>
    <n v="51.3"/>
    <n v="0"/>
    <n v="0"/>
    <n v="278.3"/>
    <n v="0"/>
    <n v="0"/>
    <s v="JAIPUR RURAL"/>
    <s v="JAIPUR RURAL"/>
    <s v="RJ-JAIPUR"/>
    <d v="2017-04-28T00:00:00"/>
  </r>
  <r>
    <s v="806511208268"/>
    <x v="839"/>
    <s v="GAURAV CONSTRUCTION"/>
    <n v="208268"/>
    <s v="BADIWA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17-06-23T00:00:00"/>
  </r>
  <r>
    <s v="806511212409"/>
    <x v="839"/>
    <s v="GAURAV CONSTRUCTION"/>
    <n v="212409"/>
    <s v="HARE KRISHNA TRADERS"/>
    <n v="0"/>
    <n v="0"/>
    <n v="0"/>
    <n v="4.5"/>
    <n v="0"/>
    <n v="0"/>
    <n v="3"/>
    <n v="0"/>
    <n v="0"/>
    <n v="0"/>
    <n v="0"/>
    <n v="0"/>
    <n v="0"/>
    <n v="0"/>
    <n v="0"/>
    <n v="12"/>
    <n v="0"/>
    <n v="0"/>
    <n v="2.5"/>
    <n v="0"/>
    <n v="0"/>
    <n v="5"/>
    <n v="0"/>
    <n v="0"/>
    <n v="27"/>
    <n v="0"/>
    <n v="0"/>
    <s v="JAIPUR RURAL"/>
    <s v="JAIPUR RURAL"/>
    <s v="RJ-JAIPUR"/>
    <d v="2017-06-23T00:00:00"/>
  </r>
  <r>
    <s v="806616141512"/>
    <x v="840"/>
    <s v="SHRI SHYAM TENT HOUSE"/>
    <n v="141512"/>
    <s v="MISHRA TRADERS"/>
    <n v="15"/>
    <n v="0"/>
    <n v="0"/>
    <n v="43.5"/>
    <n v="0"/>
    <n v="0"/>
    <n v="76"/>
    <n v="0"/>
    <n v="0"/>
    <n v="55"/>
    <n v="0"/>
    <n v="0"/>
    <n v="53"/>
    <n v="0"/>
    <n v="0"/>
    <n v="55.5"/>
    <n v="0"/>
    <n v="0"/>
    <n v="58.5"/>
    <n v="6.5"/>
    <n v="8.5"/>
    <n v="75.5"/>
    <n v="0"/>
    <n v="0"/>
    <n v="432"/>
    <n v="6.5"/>
    <n v="8.5"/>
    <s v="JAIPUR RURAL"/>
    <s v="JAIPUR RURAL"/>
    <s v="RJ-JAIPUR"/>
    <d v="2017-07-19T00:00:00"/>
  </r>
  <r>
    <s v="806887119071"/>
    <x v="841"/>
    <s v="RADHAKRISHNA ENTERPRISES"/>
    <n v="119071"/>
    <s v="GANESH AGENCIES"/>
    <n v="59.75"/>
    <n v="0"/>
    <n v="0"/>
    <n v="47"/>
    <n v="0"/>
    <n v="0"/>
    <n v="113"/>
    <n v="0"/>
    <n v="0"/>
    <n v="70"/>
    <n v="0"/>
    <n v="4.5"/>
    <n v="40"/>
    <n v="0"/>
    <n v="0"/>
    <n v="13.5"/>
    <n v="0"/>
    <n v="6"/>
    <n v="33.049999999999997"/>
    <n v="0"/>
    <n v="0"/>
    <n v="30"/>
    <n v="0"/>
    <n v="0"/>
    <n v="406.3"/>
    <n v="0"/>
    <n v="10.5"/>
    <s v="JAIPUR RURAL"/>
    <s v="JAIPUR RURAL"/>
    <s v="RJ-JAIPUR"/>
    <d v="2017-09-15T00:00:00"/>
  </r>
  <r>
    <s v="806898141512"/>
    <x v="842"/>
    <s v="SHIV SHANKAR BUILDING MATERIAL"/>
    <n v="141512"/>
    <s v="MISHRA TRADERS"/>
    <n v="50.5"/>
    <n v="0"/>
    <n v="0"/>
    <n v="64"/>
    <n v="0"/>
    <n v="0"/>
    <n v="115.5"/>
    <n v="0"/>
    <n v="0"/>
    <n v="15"/>
    <n v="0"/>
    <n v="0"/>
    <n v="5"/>
    <n v="0"/>
    <n v="0"/>
    <n v="0"/>
    <n v="0"/>
    <n v="0"/>
    <n v="40"/>
    <n v="0"/>
    <n v="0"/>
    <n v="57.5"/>
    <n v="0"/>
    <n v="0"/>
    <n v="347.5"/>
    <n v="0"/>
    <n v="0"/>
    <s v="JAIPUR RURAL"/>
    <s v="JAIPUR RURAL"/>
    <s v="RJ-JAIPUR"/>
    <d v="2017-06-21T00:00:00"/>
  </r>
  <r>
    <s v="807065143301"/>
    <x v="843"/>
    <s v="KUMAWAT CEMENT AGENCY"/>
    <n v="143301"/>
    <s v="LAXM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18-10-11T00:00:00"/>
  </r>
  <r>
    <s v="807121146845"/>
    <x v="844"/>
    <s v="SHARDA ENTERPRISES"/>
    <n v="146845"/>
    <s v="SHARDA TRADERS"/>
    <n v="56.25"/>
    <n v="0"/>
    <n v="0"/>
    <n v="0"/>
    <n v="0"/>
    <n v="0"/>
    <n v="0"/>
    <n v="0"/>
    <n v="0"/>
    <n v="0"/>
    <n v="0"/>
    <n v="0"/>
    <n v="0"/>
    <n v="0"/>
    <n v="0"/>
    <n v="56"/>
    <n v="0"/>
    <n v="0"/>
    <n v="52.75"/>
    <n v="0"/>
    <n v="8.5"/>
    <n v="84.75"/>
    <n v="0"/>
    <n v="0"/>
    <n v="249.75"/>
    <n v="0"/>
    <n v="8.5"/>
    <s v="JAIPUR RURAL"/>
    <s v="JAIPUR RURAL"/>
    <s v="RJ-JAIPUR"/>
    <d v="2018-10-27T00:00:00"/>
  </r>
  <r>
    <s v="807122176303"/>
    <x v="845"/>
    <s v="NANDINI TIMBER &amp; BUILDING MATE"/>
    <n v="176303"/>
    <s v="ASHISH TRADERS"/>
    <n v="22"/>
    <n v="2.5"/>
    <n v="0"/>
    <n v="32.5"/>
    <n v="0"/>
    <n v="0"/>
    <n v="47.5"/>
    <n v="0"/>
    <n v="11"/>
    <n v="28.5"/>
    <n v="0"/>
    <n v="0"/>
    <n v="20"/>
    <n v="0"/>
    <n v="7.5"/>
    <n v="32.5"/>
    <n v="0"/>
    <n v="0"/>
    <n v="37"/>
    <n v="0"/>
    <n v="13.5"/>
    <n v="15"/>
    <n v="0"/>
    <n v="0"/>
    <n v="235"/>
    <n v="2.5"/>
    <n v="32"/>
    <s v="JAIPUR RURAL"/>
    <s v="JAIPUR RURAL"/>
    <s v="RJ-JAIPUR"/>
    <d v="2018-10-27T00:00:00"/>
  </r>
  <r>
    <s v="807141202994"/>
    <x v="846"/>
    <s v="DILIP SAINI"/>
    <n v="202994"/>
    <s v="ARVIND CEMENT &amp; KALI UDYOG"/>
    <n v="0"/>
    <n v="0"/>
    <n v="0"/>
    <n v="10"/>
    <n v="0"/>
    <n v="0"/>
    <n v="15"/>
    <n v="0"/>
    <n v="0"/>
    <n v="10"/>
    <n v="0"/>
    <n v="0"/>
    <n v="10"/>
    <n v="0"/>
    <n v="0"/>
    <n v="20"/>
    <n v="0"/>
    <n v="0"/>
    <n v="0"/>
    <n v="0"/>
    <n v="0"/>
    <n v="0"/>
    <n v="0"/>
    <n v="0"/>
    <n v="65"/>
    <n v="0"/>
    <n v="0"/>
    <s v="JAIPUR RURAL"/>
    <s v="JAIPUR RURAL"/>
    <s v="RJ-JAIPUR"/>
    <d v="2018-11-02T00:00:00"/>
  </r>
  <r>
    <s v="807353119261"/>
    <x v="847"/>
    <s v="AGRWAL TRADERS"/>
    <n v="119261"/>
    <s v="DURGESH ENTERPRISES"/>
    <n v="50"/>
    <n v="0"/>
    <n v="0"/>
    <n v="0"/>
    <n v="0"/>
    <n v="0"/>
    <n v="50"/>
    <n v="0"/>
    <n v="0"/>
    <n v="75"/>
    <n v="0"/>
    <n v="0"/>
    <n v="110"/>
    <n v="0"/>
    <n v="0"/>
    <n v="83.5"/>
    <n v="0"/>
    <n v="0"/>
    <n v="0"/>
    <n v="0"/>
    <n v="0"/>
    <n v="0"/>
    <n v="0"/>
    <n v="0"/>
    <n v="368.5"/>
    <n v="0"/>
    <n v="0"/>
    <s v="JAIPUR RURAL"/>
    <s v="JAIPUR RURAL"/>
    <s v="RJ-JAIPUR"/>
    <d v="2018-12-17T00:00:00"/>
  </r>
  <r>
    <s v="807368176303"/>
    <x v="848"/>
    <s v="SHRI SHYAM TRADERS"/>
    <n v="176303"/>
    <s v="ASHISH TRADERS"/>
    <n v="9.5"/>
    <n v="0"/>
    <n v="0"/>
    <n v="0"/>
    <n v="0"/>
    <n v="0"/>
    <n v="10"/>
    <n v="0"/>
    <n v="4"/>
    <n v="6.75"/>
    <n v="0"/>
    <n v="0"/>
    <n v="0"/>
    <n v="0"/>
    <n v="0"/>
    <n v="0"/>
    <n v="0"/>
    <n v="0"/>
    <n v="0"/>
    <n v="0"/>
    <n v="0"/>
    <n v="0"/>
    <n v="0"/>
    <n v="0"/>
    <n v="26.25"/>
    <n v="0"/>
    <n v="4"/>
    <s v="JAIPUR RURAL"/>
    <s v="JAIPUR RURAL"/>
    <s v="RJ-JAIPUR"/>
    <d v="2018-12-19T00:00:00"/>
  </r>
  <r>
    <s v="807690141512"/>
    <x v="849"/>
    <s v="SAPNA BUILDING MATERIAL SUPPLI"/>
    <n v="141512"/>
    <s v="MISHR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18-10-15T00:00:00"/>
  </r>
  <r>
    <s v="808419206011"/>
    <x v="850"/>
    <s v="POOJA TRADING COMPANY"/>
    <n v="206011"/>
    <s v="PAHARIA CHEMICALS"/>
    <n v="406"/>
    <n v="55.95"/>
    <n v="0"/>
    <n v="433.34999999999997"/>
    <n v="50"/>
    <n v="0"/>
    <n v="598.9"/>
    <n v="68.95"/>
    <n v="45"/>
    <n v="233.35"/>
    <n v="65"/>
    <n v="37.85"/>
    <n v="230.64999999999998"/>
    <n v="66.95"/>
    <n v="9"/>
    <n v="478.65"/>
    <n v="84.5"/>
    <n v="51.7"/>
    <n v="338.25"/>
    <n v="123"/>
    <n v="52.5"/>
    <n v="421"/>
    <n v="87"/>
    <n v="20.75"/>
    <n v="3140.15"/>
    <n v="514.35"/>
    <n v="196.05"/>
    <s v="JAIPUR RURAL"/>
    <s v="JAIPUR RURAL"/>
    <s v="RJ-JAIPUR"/>
    <d v="2018-05-25T00:00:00"/>
  </r>
  <r>
    <s v="808731141512"/>
    <x v="851"/>
    <s v="GANESH TRADERS"/>
    <n v="141512"/>
    <s v="MISHRA TRADERS"/>
    <n v="33.5"/>
    <n v="0"/>
    <n v="0"/>
    <n v="57"/>
    <n v="0"/>
    <n v="0"/>
    <n v="76"/>
    <n v="0"/>
    <n v="0"/>
    <n v="65"/>
    <n v="0"/>
    <n v="0"/>
    <n v="48.5"/>
    <n v="3"/>
    <n v="0"/>
    <n v="55.5"/>
    <n v="0"/>
    <n v="0"/>
    <n v="43"/>
    <n v="0"/>
    <n v="0"/>
    <n v="70"/>
    <n v="0"/>
    <n v="0"/>
    <n v="448.5"/>
    <n v="3"/>
    <n v="0"/>
    <s v="JAIPUR RURAL"/>
    <s v="JAIPUR RURAL"/>
    <s v="RJ-JAIPUR"/>
    <d v="2018-08-03T00:00:00"/>
  </r>
  <r>
    <s v="809479176303"/>
    <x v="852"/>
    <s v="SHRI MINESH CONSTRUCTION COMPA"/>
    <n v="176303"/>
    <s v="ASHISH TRADERS"/>
    <n v="29.5"/>
    <n v="0"/>
    <n v="0"/>
    <n v="17.5"/>
    <n v="0"/>
    <n v="0"/>
    <n v="26"/>
    <n v="0"/>
    <n v="0"/>
    <n v="15.5"/>
    <n v="0"/>
    <n v="0"/>
    <n v="30"/>
    <n v="0"/>
    <n v="15"/>
    <n v="30.5"/>
    <n v="0"/>
    <n v="0"/>
    <n v="32.5"/>
    <n v="0"/>
    <n v="0"/>
    <n v="18.75"/>
    <n v="3.75"/>
    <n v="0"/>
    <n v="200.25"/>
    <n v="0"/>
    <n v="15"/>
    <s v="JAIPUR RURAL"/>
    <s v="JAIPUR RURAL"/>
    <s v="RJ-JAIPUR"/>
    <d v="2019-05-03T00:00:00"/>
  </r>
  <r>
    <s v="810821141512"/>
    <x v="853"/>
    <s v="S R TRADERS"/>
    <n v="141512"/>
    <s v="MISHRA TRADERS"/>
    <n v="25"/>
    <n v="0"/>
    <n v="0"/>
    <n v="40"/>
    <n v="0"/>
    <n v="0"/>
    <n v="60"/>
    <n v="0"/>
    <n v="0"/>
    <n v="29.9"/>
    <n v="0"/>
    <n v="0"/>
    <n v="54"/>
    <n v="0"/>
    <n v="4"/>
    <n v="45.5"/>
    <n v="0"/>
    <n v="0"/>
    <n v="30"/>
    <n v="0"/>
    <n v="0"/>
    <n v="36.299999999999997"/>
    <n v="0"/>
    <n v="0"/>
    <n v="320.7"/>
    <n v="0"/>
    <n v="4"/>
    <s v="JAIPUR RURAL"/>
    <s v="JAIPUR RURAL"/>
    <s v="RJ-JAIPUR"/>
    <d v="2019-11-22T00:00:00"/>
  </r>
  <r>
    <s v="811242147770"/>
    <x v="854"/>
    <s v="ASHISH SUPPLIERS"/>
    <n v="147770"/>
    <s v="POOJA TRADERS"/>
    <n v="10"/>
    <n v="0"/>
    <n v="0"/>
    <n v="20"/>
    <n v="0"/>
    <n v="0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37.5"/>
    <n v="0"/>
    <n v="0"/>
    <s v="JAIPUR RURAL"/>
    <s v="JAIPUR RURAL"/>
    <s v="RJ-JAIPUR"/>
    <d v="2020-01-14T00:00:00"/>
  </r>
  <r>
    <s v="811243176303"/>
    <x v="855"/>
    <s v="ANKIT TRADERS &amp; CONSTRUCTION"/>
    <n v="176303"/>
    <s v="ASHISH TRADERS"/>
    <n v="9.5"/>
    <n v="0"/>
    <n v="0"/>
    <n v="5.5"/>
    <n v="0"/>
    <n v="0"/>
    <n v="8"/>
    <n v="0"/>
    <n v="0"/>
    <n v="0"/>
    <n v="0"/>
    <n v="0"/>
    <n v="0"/>
    <n v="0"/>
    <n v="0"/>
    <n v="7.5"/>
    <n v="0"/>
    <n v="0"/>
    <n v="7.5"/>
    <n v="0"/>
    <n v="0"/>
    <n v="0"/>
    <n v="0"/>
    <n v="0"/>
    <n v="38"/>
    <n v="0"/>
    <n v="0"/>
    <s v="JAIPUR RURAL"/>
    <s v="JAIPUR RURAL"/>
    <s v="RJ-JAIPUR"/>
    <d v="2020-01-14T00:00:00"/>
  </r>
  <r>
    <s v="812077202452"/>
    <x v="856"/>
    <s v="SARWAN KUMAR MAHESH KUMAR"/>
    <n v="202452"/>
    <s v="MANGLA STEELS AGENCY"/>
    <n v="15"/>
    <n v="0"/>
    <n v="0"/>
    <n v="10"/>
    <n v="0"/>
    <n v="0"/>
    <n v="15"/>
    <n v="0"/>
    <n v="6"/>
    <n v="10"/>
    <n v="0"/>
    <n v="0.5"/>
    <n v="7.5"/>
    <n v="0"/>
    <n v="0"/>
    <n v="27"/>
    <n v="0"/>
    <n v="0"/>
    <n v="5"/>
    <n v="0"/>
    <n v="0"/>
    <n v="20"/>
    <n v="0"/>
    <n v="0"/>
    <n v="109.5"/>
    <n v="0"/>
    <n v="6.5"/>
    <s v="JAIPUR RURAL"/>
    <s v="JAIPUR RURAL"/>
    <s v="RJ-JAIPUR"/>
    <d v="2020-06-30T00:00:00"/>
  </r>
  <r>
    <s v="812102145639"/>
    <x v="857"/>
    <s v="RIYA TRADERS"/>
    <n v="145639"/>
    <s v="GOVIND TRADERS"/>
    <n v="0"/>
    <n v="0"/>
    <n v="0"/>
    <n v="0"/>
    <n v="0"/>
    <n v="0"/>
    <n v="0"/>
    <n v="0"/>
    <n v="0"/>
    <n v="10"/>
    <n v="0"/>
    <n v="10"/>
    <n v="0"/>
    <n v="0"/>
    <n v="0"/>
    <n v="20.5"/>
    <n v="0"/>
    <n v="13"/>
    <n v="13"/>
    <n v="0"/>
    <n v="0"/>
    <n v="0"/>
    <n v="0"/>
    <n v="0"/>
    <n v="43.5"/>
    <n v="0"/>
    <n v="23"/>
    <s v="JAIPUR RURAL"/>
    <s v="JAIPUR RURAL"/>
    <s v="RJ-JAIPUR"/>
    <d v="2020-07-03T00:00:00"/>
  </r>
  <r>
    <s v="812160203154"/>
    <x v="858"/>
    <s v="SHIV TRADERS"/>
    <n v="203154"/>
    <s v="OM SHIV CEMENT SUPPLIERS"/>
    <n v="182.75"/>
    <n v="47.3"/>
    <n v="0"/>
    <n v="194.05"/>
    <n v="21"/>
    <n v="0"/>
    <n v="171.6"/>
    <n v="4"/>
    <n v="18.850000000000001"/>
    <n v="93.55"/>
    <n v="10"/>
    <n v="5"/>
    <n v="83.55"/>
    <n v="19.05"/>
    <n v="15.75"/>
    <n v="131.5"/>
    <n v="22.75"/>
    <n v="0.5"/>
    <n v="52.5"/>
    <n v="20"/>
    <n v="2"/>
    <n v="114.5"/>
    <n v="0"/>
    <n v="20"/>
    <n v="1023.9999999999999"/>
    <n v="144.1"/>
    <n v="42.1"/>
    <s v="JAIPUR RURAL"/>
    <s v="JAIPUR RURAL"/>
    <s v="RJ-JAIPUR"/>
    <d v="2020-07-09T00:00:00"/>
  </r>
  <r>
    <s v="812237174445"/>
    <x v="859"/>
    <s v="MEENA BUILDING MATERIAL SUPPLI"/>
    <n v="174445"/>
    <s v="RAM JI BUILDING MATERIAL SUPPL"/>
    <n v="58"/>
    <n v="0"/>
    <n v="0"/>
    <n v="42"/>
    <n v="0"/>
    <n v="0"/>
    <n v="35"/>
    <n v="0"/>
    <n v="0"/>
    <n v="17.5"/>
    <n v="0"/>
    <n v="0"/>
    <n v="37"/>
    <n v="0"/>
    <n v="0"/>
    <n v="48.75"/>
    <n v="0"/>
    <n v="0"/>
    <n v="51.75"/>
    <n v="10.75"/>
    <n v="0"/>
    <n v="40"/>
    <n v="0"/>
    <n v="0"/>
    <n v="330"/>
    <n v="10.75"/>
    <n v="0"/>
    <s v="JAIPUR RURAL"/>
    <s v="JAIPUR RURAL"/>
    <s v="RJ-JAIPUR"/>
    <d v="2020-07-15T00:00:00"/>
  </r>
  <r>
    <s v="812546176388"/>
    <x v="860"/>
    <s v="MADHAV TRADERS"/>
    <n v="176388"/>
    <s v="KUMAWAT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20-08-17T00:00:00"/>
  </r>
  <r>
    <s v="812793202452"/>
    <x v="861"/>
    <s v="GOTHAWAL CEMENT AGENCY"/>
    <n v="202452"/>
    <s v="MANGLA STEELS AGENCY"/>
    <n v="16.25"/>
    <n v="0"/>
    <n v="0"/>
    <n v="3"/>
    <n v="0"/>
    <n v="0"/>
    <n v="15"/>
    <n v="0"/>
    <n v="5"/>
    <n v="21.5"/>
    <n v="0"/>
    <n v="0"/>
    <n v="7.5"/>
    <n v="0"/>
    <n v="0"/>
    <n v="20"/>
    <n v="0"/>
    <n v="0"/>
    <n v="17.5"/>
    <n v="0"/>
    <n v="0"/>
    <n v="22.5"/>
    <n v="0"/>
    <n v="0"/>
    <n v="123.25"/>
    <n v="0"/>
    <n v="5"/>
    <s v="JAIPUR RURAL"/>
    <s v="JAIPUR RURAL"/>
    <s v="RJ-JAIPUR"/>
    <d v="2020-09-05T00:00:00"/>
  </r>
  <r>
    <s v="812794202994"/>
    <x v="862"/>
    <s v="DINESH KUMAR KUMAWAT"/>
    <n v="202994"/>
    <s v="ARVIND CEMENT &amp; KALI UDYO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20-09-05T00:00:00"/>
  </r>
  <r>
    <s v="812883149825"/>
    <x v="863"/>
    <s v="MARUTI ENTERPRISES"/>
    <n v="149825"/>
    <s v="MISHRA CEMENT AGENCIES"/>
    <n v="17.5"/>
    <n v="10"/>
    <n v="0"/>
    <n v="20"/>
    <n v="0"/>
    <n v="0"/>
    <n v="43"/>
    <n v="0"/>
    <n v="18"/>
    <n v="35"/>
    <n v="0"/>
    <n v="0"/>
    <n v="7.5"/>
    <n v="0"/>
    <n v="7.5"/>
    <n v="32.5"/>
    <n v="0"/>
    <n v="0"/>
    <n v="68.25"/>
    <n v="1.75"/>
    <n v="22.5"/>
    <n v="25"/>
    <n v="0"/>
    <n v="0"/>
    <n v="248.75"/>
    <n v="11.75"/>
    <n v="48"/>
    <s v="JAIPUR RURAL"/>
    <s v="JAIPUR RURAL"/>
    <s v="RJ-JAIPUR"/>
    <d v="2020-09-11T00:00:00"/>
  </r>
  <r>
    <s v="813149149583"/>
    <x v="864"/>
    <s v="RAVITA TRADERS"/>
    <n v="149583"/>
    <s v="M A TRADING COMPANY"/>
    <n v="73.5"/>
    <n v="0"/>
    <n v="0"/>
    <n v="57.5"/>
    <n v="0"/>
    <n v="0"/>
    <n v="71"/>
    <n v="0"/>
    <n v="0"/>
    <n v="50"/>
    <n v="0"/>
    <n v="0"/>
    <n v="17"/>
    <n v="0"/>
    <n v="0"/>
    <n v="12"/>
    <n v="0"/>
    <n v="0"/>
    <n v="25"/>
    <n v="0"/>
    <n v="0"/>
    <n v="22.5"/>
    <n v="0"/>
    <n v="0"/>
    <n v="328.5"/>
    <n v="0"/>
    <n v="0"/>
    <s v="JAIPUR RURAL"/>
    <s v="JAIPUR RURAL"/>
    <s v="RJ-JAIPUR"/>
    <d v="2020-09-30T00:00:00"/>
  </r>
  <r>
    <s v="813195176303"/>
    <x v="865"/>
    <s v="YOGESH AGENCY"/>
    <n v="176303"/>
    <s v="ASHISH TRADERS"/>
    <n v="9.5"/>
    <n v="0"/>
    <n v="0"/>
    <n v="5"/>
    <n v="0"/>
    <n v="0"/>
    <n v="0"/>
    <n v="0"/>
    <n v="0"/>
    <n v="8"/>
    <n v="0"/>
    <n v="0"/>
    <n v="5"/>
    <n v="0"/>
    <n v="0"/>
    <n v="10"/>
    <n v="0"/>
    <n v="0"/>
    <n v="17.5"/>
    <n v="0"/>
    <n v="0"/>
    <n v="7.5"/>
    <n v="0"/>
    <n v="0"/>
    <n v="62.5"/>
    <n v="0"/>
    <n v="0"/>
    <s v="JAIPUR RURAL"/>
    <s v="JAIPUR RURAL"/>
    <s v="RJ-JAIPUR"/>
    <d v="2020-10-07T00:00:00"/>
  </r>
  <r>
    <s v="813271176276"/>
    <x v="866"/>
    <s v="PRAJAPAT CEMENT AGENCY"/>
    <n v="176276"/>
    <s v="LAXMI BUILDING MATERIAL STORE"/>
    <n v="49.5"/>
    <n v="0"/>
    <n v="0"/>
    <n v="35"/>
    <n v="0"/>
    <n v="0"/>
    <n v="40"/>
    <n v="0"/>
    <n v="0.5"/>
    <n v="30.75"/>
    <n v="0"/>
    <n v="0"/>
    <n v="57.5"/>
    <n v="5"/>
    <n v="3"/>
    <n v="47.5"/>
    <n v="0"/>
    <n v="0"/>
    <n v="10"/>
    <n v="0"/>
    <n v="0"/>
    <n v="15"/>
    <n v="0"/>
    <n v="0"/>
    <n v="285.25"/>
    <n v="5"/>
    <n v="3.5"/>
    <s v="JAIPUR RURAL"/>
    <s v="JAIPUR RURAL"/>
    <s v="RJ-JAIPUR"/>
    <d v="2020-10-14T00:00:00"/>
  </r>
  <r>
    <s v="813946205270"/>
    <x v="867"/>
    <s v="KUMAWAT CONSTRUTION AND SUPPLI"/>
    <n v="205270"/>
    <s v="KARTIK ENTERPRISES"/>
    <n v="154.5"/>
    <n v="0"/>
    <n v="0"/>
    <n v="38.950000000000003"/>
    <n v="0"/>
    <n v="0"/>
    <n v="32.5"/>
    <n v="0"/>
    <n v="0"/>
    <n v="14.5"/>
    <n v="0"/>
    <n v="0"/>
    <n v="0"/>
    <n v="0"/>
    <n v="0"/>
    <n v="37"/>
    <n v="0"/>
    <n v="0"/>
    <n v="0"/>
    <n v="0"/>
    <n v="0"/>
    <n v="12.5"/>
    <n v="0"/>
    <n v="0"/>
    <n v="289.95"/>
    <n v="0"/>
    <n v="0"/>
    <s v="JAIPUR RURAL"/>
    <s v="JAIPUR RURAL"/>
    <s v="RJ-JAIPUR"/>
    <d v="2020-12-24T00:00:00"/>
  </r>
  <r>
    <s v="814097141512"/>
    <x v="868"/>
    <s v="HARI OM TRADERS"/>
    <n v="141512"/>
    <s v="MISHRA TRADERS"/>
    <n v="50"/>
    <n v="0"/>
    <n v="0"/>
    <n v="32"/>
    <n v="0"/>
    <n v="0"/>
    <n v="76.5"/>
    <n v="0"/>
    <n v="0"/>
    <n v="67.5"/>
    <n v="0"/>
    <n v="0"/>
    <n v="71.5"/>
    <n v="0"/>
    <n v="0"/>
    <n v="56.5"/>
    <n v="0"/>
    <n v="0"/>
    <n v="68"/>
    <n v="6"/>
    <n v="18"/>
    <n v="57.5"/>
    <n v="0"/>
    <n v="0"/>
    <n v="479.5"/>
    <n v="6"/>
    <n v="18"/>
    <s v="JAIPUR RURAL"/>
    <s v="JAIPUR RURAL"/>
    <s v="RJ-JAIPUR"/>
    <d v="2021-01-07T00:00:00"/>
  </r>
  <r>
    <s v="814248174693"/>
    <x v="869"/>
    <s v="SITARAM INFRA PROJECTS"/>
    <n v="174693"/>
    <s v="SHARMA SALES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21-01-23T00:00:00"/>
  </r>
  <r>
    <s v="814284176303"/>
    <x v="870"/>
    <s v="SHREE TRADING COMPANY"/>
    <n v="176303"/>
    <s v="ASHISH TRADERS"/>
    <n v="30"/>
    <n v="0"/>
    <n v="0"/>
    <n v="7.5"/>
    <n v="0"/>
    <n v="0"/>
    <n v="40.5"/>
    <n v="0"/>
    <n v="0"/>
    <n v="39.25"/>
    <n v="0"/>
    <n v="0"/>
    <n v="22.5"/>
    <n v="0"/>
    <n v="0"/>
    <n v="27.5"/>
    <n v="0"/>
    <n v="0"/>
    <n v="0"/>
    <n v="0"/>
    <n v="0"/>
    <n v="11"/>
    <n v="0"/>
    <n v="11"/>
    <n v="178.25"/>
    <n v="0"/>
    <n v="0"/>
    <s v="JAIPUR RURAL"/>
    <s v="JAIPUR RURAL"/>
    <s v="RJ-JAIPUR"/>
    <d v="2021-01-27T00:00:00"/>
  </r>
  <r>
    <s v="814528141512"/>
    <x v="871"/>
    <s v="SHIVANSH TRADERS"/>
    <n v="141512"/>
    <s v="MISHRA TRADERS"/>
    <n v="215.8"/>
    <n v="77.150000000000006"/>
    <n v="0"/>
    <n v="185.9"/>
    <n v="35.6"/>
    <n v="0"/>
    <n v="237"/>
    <n v="18.5"/>
    <n v="43.5"/>
    <n v="301.5"/>
    <n v="38.25"/>
    <n v="47.5"/>
    <n v="289.25"/>
    <n v="15.75"/>
    <n v="37.25"/>
    <n v="213"/>
    <n v="0"/>
    <n v="33.5"/>
    <n v="65.75"/>
    <n v="7.25"/>
    <n v="15"/>
    <n v="146.75"/>
    <n v="0"/>
    <n v="37.25"/>
    <n v="1654.95"/>
    <n v="192.5"/>
    <n v="176.75"/>
    <s v="JAIPUR RURAL"/>
    <s v="JAIPUR RURAL"/>
    <s v="RJ-JAIPUR"/>
    <d v="2021-02-18T00:00:00"/>
  </r>
  <r>
    <s v="814541141512"/>
    <x v="872"/>
    <s v="RUDRA TRADERS"/>
    <n v="141512"/>
    <s v="MISHRA TRADERS"/>
    <n v="10"/>
    <n v="0"/>
    <n v="0"/>
    <n v="5"/>
    <n v="0"/>
    <n v="0"/>
    <n v="30"/>
    <n v="0"/>
    <n v="0"/>
    <n v="0"/>
    <n v="0"/>
    <n v="0"/>
    <n v="0"/>
    <n v="0"/>
    <n v="0"/>
    <n v="21"/>
    <n v="0"/>
    <n v="0"/>
    <n v="0"/>
    <n v="0"/>
    <n v="0"/>
    <n v="0"/>
    <n v="0"/>
    <n v="0"/>
    <n v="66"/>
    <n v="0"/>
    <n v="0"/>
    <s v="JAIPUR RURAL"/>
    <s v="JAIPUR RURAL"/>
    <s v="RJ-JAIPUR"/>
    <d v="2021-02-19T00:00:00"/>
  </r>
  <r>
    <s v="814711205266"/>
    <x v="873"/>
    <s v="JAI  AMBE TRADERS"/>
    <n v="205266"/>
    <s v="TAK BROTHERS"/>
    <n v="28"/>
    <n v="0"/>
    <n v="0"/>
    <n v="5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s v="JAIPUR RURAL"/>
    <s v="JAIPUR RURAL"/>
    <s v="RJ-JAIPUR"/>
    <d v="2021-03-06T00:00:00"/>
  </r>
  <r>
    <s v="815057207857"/>
    <x v="874"/>
    <s v="ANKUR CEMENT AGENCY"/>
    <n v="207857"/>
    <s v="YADAV BUILDING MATERIAL"/>
    <n v="67"/>
    <n v="0"/>
    <n v="0"/>
    <n v="160"/>
    <n v="42"/>
    <n v="0"/>
    <n v="182"/>
    <n v="0"/>
    <n v="96"/>
    <n v="135"/>
    <n v="30"/>
    <n v="30"/>
    <n v="166.25"/>
    <n v="51"/>
    <n v="107.5"/>
    <n v="188.5"/>
    <n v="10"/>
    <n v="10"/>
    <n v="112"/>
    <n v="36"/>
    <n v="75"/>
    <n v="177.5"/>
    <n v="20"/>
    <n v="35"/>
    <n v="1188.25"/>
    <n v="169"/>
    <n v="318.5"/>
    <s v="JAIPUR RURAL"/>
    <s v="JAIPUR RURAL"/>
    <s v="RJ-JAIPUR"/>
    <d v="2021-05-19T00:00:00"/>
  </r>
  <r>
    <s v="815231206681"/>
    <x v="875"/>
    <s v="JAI BALAJI CEMENT AGENCY"/>
    <n v="206681"/>
    <s v="CHOUDHARY TRADERS"/>
    <n v="6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s v="JAIPUR RURAL"/>
    <s v="JAIPUR RURAL"/>
    <s v="RJ-JAIPUR"/>
    <d v="2021-06-23T00:00:00"/>
  </r>
  <r>
    <s v="815408201172"/>
    <x v="876"/>
    <s v="SAINI SINGODIYA STONE SUPPLIER"/>
    <n v="201172"/>
    <s v="MAA TRADERS"/>
    <n v="26.5"/>
    <n v="0"/>
    <n v="0"/>
    <n v="18.5"/>
    <n v="0"/>
    <n v="0"/>
    <n v="20"/>
    <n v="0"/>
    <n v="0"/>
    <n v="27.5"/>
    <n v="0"/>
    <n v="0"/>
    <n v="17"/>
    <n v="0"/>
    <n v="0"/>
    <n v="25.25"/>
    <n v="0"/>
    <n v="0"/>
    <n v="17"/>
    <n v="0"/>
    <n v="0"/>
    <n v="18.5"/>
    <n v="0"/>
    <n v="0"/>
    <n v="170.25"/>
    <n v="0"/>
    <n v="0"/>
    <s v="JAIPUR RURAL"/>
    <s v="JAIPUR RURAL"/>
    <s v="RJ-JAIPUR"/>
    <d v="2021-07-06T00:00:00"/>
  </r>
  <r>
    <s v="815417207787"/>
    <x v="877"/>
    <s v="LAXMI BUILDING MATERIAL"/>
    <n v="207787"/>
    <s v="BALAJI CEMENT MATERIALS SUPPL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21-07-07T00:00:00"/>
  </r>
  <r>
    <s v="815426202994"/>
    <x v="878"/>
    <s v="JAI AMBE TRADERS"/>
    <n v="202994"/>
    <s v="ARVIND CEMENT &amp; KALI UDYOG"/>
    <n v="20"/>
    <n v="0"/>
    <n v="0"/>
    <n v="0"/>
    <n v="0"/>
    <n v="0"/>
    <n v="2.5"/>
    <n v="0"/>
    <n v="0"/>
    <n v="10"/>
    <n v="0"/>
    <n v="0"/>
    <n v="9"/>
    <n v="0"/>
    <n v="5"/>
    <n v="0"/>
    <n v="0"/>
    <n v="0"/>
    <n v="0"/>
    <n v="0"/>
    <n v="0"/>
    <n v="0"/>
    <n v="0"/>
    <n v="0"/>
    <n v="41.5"/>
    <n v="0"/>
    <n v="5"/>
    <s v="JAIPUR RURAL"/>
    <s v="JAIPUR RURAL"/>
    <s v="RJ-JAIPUR"/>
    <d v="2021-07-07T00:00:00"/>
  </r>
  <r>
    <s v="815514207857"/>
    <x v="879"/>
    <s v="KRISHNA ENTERPRISES"/>
    <n v="207857"/>
    <s v="YADAV BUILDING MATERIAL"/>
    <n v="5"/>
    <n v="0"/>
    <n v="0"/>
    <n v="0"/>
    <n v="0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10"/>
    <n v="5"/>
    <n v="0"/>
    <s v="JAIPUR RURAL"/>
    <s v="JAIPUR RURAL"/>
    <s v="RJ-JAIPUR"/>
    <d v="2021-07-14T00:00:00"/>
  </r>
  <r>
    <s v="815593203154"/>
    <x v="880"/>
    <s v="SAINI BUILDING MATERIAL SUPPLI"/>
    <n v="203154"/>
    <s v="OM SHIV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7.5"/>
    <n v="0"/>
    <n v="0"/>
    <s v="JAIPUR RURAL"/>
    <s v="JAIPUR RURAL"/>
    <s v="RJ-JAIPUR"/>
    <d v="2021-07-22T00:00:00"/>
  </r>
  <r>
    <s v="815657207857"/>
    <x v="881"/>
    <s v="LILA RAM GURJAR"/>
    <n v="207857"/>
    <s v="YADAV BUILDING MATERIAL"/>
    <n v="5"/>
    <n v="0"/>
    <n v="0"/>
    <n v="35"/>
    <n v="0"/>
    <n v="0"/>
    <n v="25.5"/>
    <n v="0"/>
    <n v="5.5"/>
    <n v="40"/>
    <n v="0"/>
    <n v="0"/>
    <n v="30"/>
    <n v="15"/>
    <n v="0"/>
    <n v="30"/>
    <n v="0"/>
    <n v="0"/>
    <n v="50"/>
    <n v="0"/>
    <n v="0"/>
    <n v="40"/>
    <n v="0"/>
    <n v="0"/>
    <n v="255.5"/>
    <n v="15"/>
    <n v="5.5"/>
    <s v="JAIPUR RURAL"/>
    <s v="JAIPUR RURAL"/>
    <s v="RJ-JAIPUR"/>
    <d v="2021-07-26T00:00:00"/>
  </r>
  <r>
    <s v="815663207857"/>
    <x v="882"/>
    <s v="SHRI SHYAM CEMENT AGENCY"/>
    <n v="207857"/>
    <s v="YADAV BUILDING MATERIAL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JAIPUR RURAL"/>
    <s v="JAIPUR RURAL"/>
    <s v="RJ-JAIPUR"/>
    <d v="2021-07-26T00:00:00"/>
  </r>
  <r>
    <s v="815664207857"/>
    <x v="883"/>
    <s v="HATHWALA CEMENT AGENCY"/>
    <n v="207857"/>
    <s v="YADAV BUILDING MATERIAL"/>
    <n v="5"/>
    <n v="0"/>
    <n v="0"/>
    <n v="17.5"/>
    <n v="0"/>
    <n v="0"/>
    <n v="15.5"/>
    <n v="0"/>
    <n v="0"/>
    <n v="20"/>
    <n v="0"/>
    <n v="0"/>
    <n v="7.5"/>
    <n v="0"/>
    <n v="0"/>
    <n v="30"/>
    <n v="0"/>
    <n v="0"/>
    <n v="32.5"/>
    <n v="0"/>
    <n v="0"/>
    <n v="20"/>
    <n v="0"/>
    <n v="0"/>
    <n v="148"/>
    <n v="0"/>
    <n v="0"/>
    <s v="JAIPUR RURAL"/>
    <s v="JAIPUR RURAL"/>
    <s v="RJ-JAIPUR"/>
    <d v="2021-07-26T00:00:00"/>
  </r>
  <r>
    <s v="815719207857"/>
    <x v="884"/>
    <s v="JAI AMBEY TRADERS"/>
    <n v="207857"/>
    <s v="YADAV BUILDING MATERIAL"/>
    <n v="5"/>
    <n v="0"/>
    <n v="0"/>
    <n v="0"/>
    <n v="0"/>
    <n v="0"/>
    <n v="5"/>
    <n v="5"/>
    <n v="0"/>
    <n v="0"/>
    <n v="0"/>
    <n v="0"/>
    <n v="0"/>
    <n v="0"/>
    <n v="0"/>
    <n v="2.5"/>
    <n v="0"/>
    <n v="0"/>
    <n v="15"/>
    <n v="0"/>
    <n v="0"/>
    <n v="33.5"/>
    <n v="0"/>
    <n v="1"/>
    <n v="61"/>
    <n v="5"/>
    <n v="0"/>
    <s v="JAIPUR RURAL"/>
    <s v="JAIPUR RURAL"/>
    <s v="RJ-JAIPUR"/>
    <d v="2021-07-28T00:00:00"/>
  </r>
  <r>
    <s v="815720207857"/>
    <x v="885"/>
    <s v="SHRI GOGA TRADING COMPANY"/>
    <n v="207857"/>
    <s v="YADAV BUILDING MATERIAL"/>
    <n v="15"/>
    <n v="0"/>
    <n v="0"/>
    <n v="20"/>
    <n v="0"/>
    <n v="0"/>
    <n v="44.5"/>
    <n v="5"/>
    <n v="10.5"/>
    <n v="40"/>
    <n v="0"/>
    <n v="0"/>
    <n v="25"/>
    <n v="0"/>
    <n v="0"/>
    <n v="30"/>
    <n v="0"/>
    <n v="0"/>
    <n v="40"/>
    <n v="0"/>
    <n v="0"/>
    <n v="49.5"/>
    <n v="0"/>
    <n v="0"/>
    <n v="264"/>
    <n v="5"/>
    <n v="10.5"/>
    <s v="JAIPUR RURAL"/>
    <s v="JAIPUR RURAL"/>
    <s v="RJ-JAIPUR"/>
    <d v="2021-07-28T00:00:00"/>
  </r>
  <r>
    <s v="815929202870"/>
    <x v="886"/>
    <s v="KIRAN TRADERS"/>
    <n v="202870"/>
    <s v="ASHUTOSH CONSTRUCTION CO"/>
    <n v="0"/>
    <n v="2.5"/>
    <n v="0"/>
    <n v="2.5"/>
    <n v="0"/>
    <n v="0"/>
    <n v="17.5"/>
    <n v="0"/>
    <n v="0"/>
    <n v="30"/>
    <n v="7"/>
    <n v="0"/>
    <n v="0"/>
    <n v="0"/>
    <n v="0"/>
    <n v="0"/>
    <n v="0"/>
    <n v="0"/>
    <n v="1.5"/>
    <n v="0"/>
    <n v="0"/>
    <n v="0"/>
    <n v="0"/>
    <n v="0"/>
    <n v="51.5"/>
    <n v="9.5"/>
    <n v="0"/>
    <s v="JAIPUR RURAL"/>
    <s v="JAIPUR RURAL"/>
    <s v="RJ-JAIPUR"/>
    <d v="2021-08-14T00:00:00"/>
  </r>
  <r>
    <s v="816261149825"/>
    <x v="887"/>
    <s v="ANIL TRADING COMPANY"/>
    <n v="149825"/>
    <s v="MISHRA CEMENT AGENCIES"/>
    <n v="20"/>
    <n v="0"/>
    <n v="0"/>
    <n v="20"/>
    <n v="0"/>
    <n v="0"/>
    <n v="10"/>
    <n v="0"/>
    <n v="10"/>
    <n v="84.55"/>
    <n v="0.25"/>
    <n v="14.3"/>
    <n v="10"/>
    <n v="0"/>
    <n v="0"/>
    <n v="81.75"/>
    <n v="0"/>
    <n v="13.25"/>
    <n v="55"/>
    <n v="0"/>
    <n v="5"/>
    <n v="37.5"/>
    <n v="0"/>
    <n v="0"/>
    <n v="318.8"/>
    <n v="0.25"/>
    <n v="42.55"/>
    <s v="JAIPUR RURAL"/>
    <s v="JAIPUR RURAL"/>
    <s v="RJ-JAIPUR"/>
    <d v="2021-09-04T00:00:00"/>
  </r>
  <r>
    <s v="816262176276"/>
    <x v="888"/>
    <s v="BALAJI STONE &amp; BUILDING MATERI"/>
    <n v="176276"/>
    <s v="LAXMI BUILDING MATERIAL STORE"/>
    <n v="21"/>
    <n v="0"/>
    <n v="0"/>
    <n v="7.5"/>
    <n v="0"/>
    <n v="0"/>
    <n v="43"/>
    <n v="0"/>
    <n v="0"/>
    <n v="12.5"/>
    <n v="0"/>
    <n v="0"/>
    <n v="15"/>
    <n v="0"/>
    <n v="2.5"/>
    <n v="37.5"/>
    <n v="0"/>
    <n v="0"/>
    <n v="0"/>
    <n v="0"/>
    <n v="0"/>
    <n v="10"/>
    <n v="0"/>
    <n v="0"/>
    <n v="146.5"/>
    <n v="0"/>
    <n v="2.5"/>
    <s v="JAIPUR RURAL"/>
    <s v="JAIPUR RURAL"/>
    <s v="RJ-JAIPUR"/>
    <d v="2021-09-04T00:00:00"/>
  </r>
  <r>
    <s v="816272119071"/>
    <x v="889"/>
    <s v="BALAJI TRADERS"/>
    <n v="119071"/>
    <s v="GANESH AGENCIES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2.5"/>
    <n v="0"/>
    <n v="0"/>
    <s v="JAIPUR RURAL"/>
    <s v="JAIPUR RURAL"/>
    <s v="RJ-JAIPUR"/>
    <d v="2021-09-04T00:00:00"/>
  </r>
  <r>
    <s v="816348207857"/>
    <x v="890"/>
    <s v="SWAMI CONSTRUCTION AND CEMENT"/>
    <n v="207857"/>
    <s v="YADAV BUILDING MATERIAL"/>
    <n v="15"/>
    <n v="0"/>
    <n v="0"/>
    <n v="45"/>
    <n v="0"/>
    <n v="0"/>
    <n v="75"/>
    <n v="5"/>
    <n v="0"/>
    <n v="30"/>
    <n v="0"/>
    <n v="0"/>
    <n v="35"/>
    <n v="0"/>
    <n v="13.5"/>
    <n v="53"/>
    <n v="5"/>
    <n v="0"/>
    <n v="42.5"/>
    <n v="0"/>
    <n v="0"/>
    <n v="32.5"/>
    <n v="0"/>
    <n v="0"/>
    <n v="328"/>
    <n v="10"/>
    <n v="13.5"/>
    <s v="JAIPUR RURAL"/>
    <s v="JAIPUR RURAL"/>
    <s v="RJ-JAIPUR"/>
    <d v="2021-09-15T00:00:00"/>
  </r>
  <r>
    <s v="816639203971"/>
    <x v="891"/>
    <s v="SITARAM SHARMA"/>
    <n v="203971"/>
    <s v="KUMAWAT STONE MERCHANT"/>
    <n v="10"/>
    <n v="0"/>
    <n v="0"/>
    <n v="5"/>
    <n v="0"/>
    <n v="0"/>
    <n v="20"/>
    <n v="0"/>
    <n v="0"/>
    <n v="0"/>
    <n v="0"/>
    <n v="0"/>
    <n v="10"/>
    <n v="0"/>
    <n v="10"/>
    <n v="0"/>
    <n v="0"/>
    <n v="0"/>
    <n v="0"/>
    <n v="0"/>
    <n v="0"/>
    <n v="0"/>
    <n v="0"/>
    <n v="0"/>
    <n v="45"/>
    <n v="0"/>
    <n v="10"/>
    <s v="JAIPUR RURAL"/>
    <s v="JAIPUR RURAL"/>
    <s v="RJ-JAIPUR"/>
    <d v="2021-10-05T00:00:00"/>
  </r>
  <r>
    <s v="816906207857"/>
    <x v="892"/>
    <s v="VINAYAK TRADERS"/>
    <n v="207857"/>
    <s v="YADAV BUILDING MATERIAL"/>
    <n v="5"/>
    <n v="0"/>
    <n v="0"/>
    <n v="27.5"/>
    <n v="0"/>
    <n v="0"/>
    <n v="25.5"/>
    <n v="0"/>
    <n v="1.5"/>
    <n v="10"/>
    <n v="0"/>
    <n v="0"/>
    <n v="0"/>
    <n v="0"/>
    <n v="0"/>
    <n v="7.5"/>
    <n v="0"/>
    <n v="0"/>
    <n v="0"/>
    <n v="0"/>
    <n v="0"/>
    <n v="2"/>
    <n v="0"/>
    <n v="1"/>
    <n v="77.5"/>
    <n v="0"/>
    <n v="1.5"/>
    <s v="JAIPUR RURAL"/>
    <s v="JAIPUR RURAL"/>
    <s v="RJ-JAIPUR"/>
    <d v="2021-10-30T00:00:00"/>
  </r>
  <r>
    <s v="816933202870"/>
    <x v="893"/>
    <s v="RAJENDRA TRADERS"/>
    <n v="202870"/>
    <s v="ASHUTOSH CONSTRUCTION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21-10-30T00:00:00"/>
  </r>
  <r>
    <s v="817030209816"/>
    <x v="894"/>
    <s v="GAURAV KUMAWAT"/>
    <n v="209816"/>
    <s v="OM TRADERS"/>
    <n v="62"/>
    <n v="0"/>
    <n v="0"/>
    <n v="20"/>
    <n v="0"/>
    <n v="0"/>
    <n v="10"/>
    <n v="0"/>
    <n v="0"/>
    <n v="15"/>
    <n v="0"/>
    <n v="0"/>
    <n v="31"/>
    <n v="0"/>
    <n v="0"/>
    <n v="10"/>
    <n v="0"/>
    <n v="0"/>
    <n v="13.4"/>
    <n v="0"/>
    <n v="0"/>
    <n v="0"/>
    <n v="0"/>
    <n v="0"/>
    <n v="161.4"/>
    <n v="0"/>
    <n v="0"/>
    <s v="JAIPUR RURAL"/>
    <s v="JAIPUR RURAL"/>
    <s v="RJ-JAIPUR"/>
    <d v="2021-11-16T00:00:00"/>
  </r>
  <r>
    <s v="817102207857"/>
    <x v="895"/>
    <s v="SHIV CEMENT AGENCY"/>
    <n v="207857"/>
    <s v="YADAV BUILDING MATERIAL"/>
    <n v="5"/>
    <n v="0"/>
    <n v="0"/>
    <n v="0"/>
    <n v="0"/>
    <n v="0"/>
    <n v="65.5"/>
    <n v="10"/>
    <n v="0"/>
    <n v="0"/>
    <n v="0"/>
    <n v="0"/>
    <n v="0"/>
    <n v="0"/>
    <n v="0"/>
    <n v="15.5"/>
    <n v="0"/>
    <n v="8"/>
    <n v="15"/>
    <n v="0"/>
    <n v="0"/>
    <n v="9.5"/>
    <n v="0"/>
    <n v="1"/>
    <n v="110.5"/>
    <n v="10"/>
    <n v="8"/>
    <s v="JAIPUR RURAL"/>
    <s v="JAIPUR RURAL"/>
    <s v="RJ-JAIPUR"/>
    <d v="2021-11-24T00:00:00"/>
  </r>
  <r>
    <s v="817272202870"/>
    <x v="896"/>
    <s v="RAJ TRADERS"/>
    <n v="202870"/>
    <s v="ASHUTOSH CONSTRUCTION CO"/>
    <n v="55.5"/>
    <n v="0"/>
    <n v="0"/>
    <n v="20"/>
    <n v="5"/>
    <n v="0"/>
    <n v="43.5"/>
    <n v="0"/>
    <n v="0"/>
    <n v="23"/>
    <n v="0"/>
    <n v="23"/>
    <n v="30"/>
    <n v="0"/>
    <n v="0"/>
    <n v="51"/>
    <n v="0"/>
    <n v="0"/>
    <n v="20"/>
    <n v="0"/>
    <n v="2.5"/>
    <n v="0"/>
    <n v="0"/>
    <n v="0"/>
    <n v="243"/>
    <n v="5"/>
    <n v="25.5"/>
    <s v="JAIPUR RURAL"/>
    <s v="JAIPUR RURAL"/>
    <s v="RJ-JAIPUR"/>
    <d v="2021-12-11T00:00:00"/>
  </r>
  <r>
    <s v="817342179396"/>
    <x v="897"/>
    <s v="SHRI KRISHNA ASSOCIATES"/>
    <n v="179396"/>
    <s v="SHRI KHANDAL CEMENT AGENCY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JAIPUR RURAL"/>
    <s v="JAIPUR RURAL"/>
    <s v="RJ-JAIPUR"/>
    <d v="2021-12-16T00:00:00"/>
  </r>
  <r>
    <s v="817343149825"/>
    <x v="898"/>
    <s v="R K ELECTRICALS AND HARDWARE"/>
    <n v="149825"/>
    <s v="MISHRA CEMENT AGENC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RURAL"/>
    <s v="JAIPUR RURAL"/>
    <s v="RJ-JAIPUR"/>
    <d v="2021-12-16T00:00:00"/>
  </r>
  <r>
    <s v="817546141512"/>
    <x v="899"/>
    <s v="NISHA TRADERS"/>
    <n v="141512"/>
    <s v="MISHRA TRADERS"/>
    <n v="20"/>
    <n v="0.5"/>
    <n v="0"/>
    <n v="70"/>
    <n v="0"/>
    <n v="0"/>
    <n v="90"/>
    <n v="0"/>
    <n v="0"/>
    <n v="80"/>
    <n v="0"/>
    <n v="0"/>
    <n v="52"/>
    <n v="0"/>
    <n v="0"/>
    <n v="42.5"/>
    <n v="0"/>
    <n v="0"/>
    <n v="25"/>
    <n v="0"/>
    <n v="0"/>
    <n v="51.5"/>
    <n v="0"/>
    <n v="0"/>
    <n v="431"/>
    <n v="0.5"/>
    <n v="0"/>
    <s v="JAIPUR RURAL"/>
    <s v="JAIPUR RURAL"/>
    <s v="RJ-JAIPUR"/>
    <d v="2021-12-30T00:00:00"/>
  </r>
  <r>
    <s v="817611119071"/>
    <x v="900"/>
    <s v="DHANPAL LODHA"/>
    <n v="119071"/>
    <s v="GANESH AGENCIES"/>
    <n v="0"/>
    <n v="0"/>
    <n v="0"/>
    <n v="35"/>
    <n v="0"/>
    <n v="0"/>
    <n v="43.5"/>
    <n v="0"/>
    <n v="1.5"/>
    <n v="10"/>
    <n v="0"/>
    <n v="0"/>
    <n v="15"/>
    <n v="0"/>
    <n v="0"/>
    <n v="0"/>
    <n v="0"/>
    <n v="0"/>
    <n v="7.5"/>
    <n v="0"/>
    <n v="0"/>
    <n v="22.5"/>
    <n v="0"/>
    <n v="0"/>
    <n v="133.5"/>
    <n v="0"/>
    <n v="1.5"/>
    <s v="JAIPUR RURAL"/>
    <s v="JAIPUR RURAL"/>
    <s v="RJ-JAIPUR"/>
    <d v="2022-01-06T00:00:00"/>
  </r>
  <r>
    <s v="817628207857"/>
    <x v="901"/>
    <s v="HONEY CEMENT AGENCY"/>
    <n v="207857"/>
    <s v="YADAV BUILDING MATERIAL"/>
    <n v="35"/>
    <n v="0"/>
    <n v="0"/>
    <n v="20"/>
    <n v="0"/>
    <n v="0"/>
    <n v="15.5"/>
    <n v="0"/>
    <n v="0"/>
    <n v="15"/>
    <n v="0"/>
    <n v="0"/>
    <n v="7.5"/>
    <n v="0"/>
    <n v="0"/>
    <n v="7.5"/>
    <n v="0"/>
    <n v="0"/>
    <n v="0"/>
    <n v="0"/>
    <n v="0"/>
    <n v="0"/>
    <n v="0"/>
    <n v="0"/>
    <n v="100.5"/>
    <n v="0"/>
    <n v="0"/>
    <s v="JAIPUR RURAL"/>
    <s v="JAIPUR RURAL"/>
    <s v="RJ-JAIPUR"/>
    <d v="2022-01-07T00:00:00"/>
  </r>
  <r>
    <s v="817917207857"/>
    <x v="902"/>
    <s v="YASH BUILDING MATERIAL SUPPLIE"/>
    <n v="207857"/>
    <s v="YADAV BUILDING MATERIAL"/>
    <n v="47"/>
    <n v="15"/>
    <n v="0"/>
    <n v="85"/>
    <n v="0"/>
    <n v="0"/>
    <n v="55"/>
    <n v="0"/>
    <n v="9.5"/>
    <n v="40"/>
    <n v="0"/>
    <n v="0"/>
    <n v="49"/>
    <n v="1.5"/>
    <n v="7.5"/>
    <n v="51.5"/>
    <n v="0"/>
    <n v="7.5"/>
    <n v="35"/>
    <n v="1.55"/>
    <n v="7"/>
    <n v="22.5"/>
    <n v="0"/>
    <n v="0"/>
    <n v="385"/>
    <n v="18.05"/>
    <n v="31.5"/>
    <s v="JAIPUR RURAL"/>
    <s v="JAIPUR RURAL"/>
    <s v="RJ-JAIPUR"/>
    <d v="2022-01-31T00:00:00"/>
  </r>
  <r>
    <s v="817933202870"/>
    <x v="903"/>
    <s v="MEENA BUILDING MATERIAL SUPPLI"/>
    <n v="202870"/>
    <s v="ASHUTOSH CONSTRUCTION CO"/>
    <n v="61"/>
    <n v="10"/>
    <n v="0"/>
    <n v="69.5"/>
    <n v="8.5"/>
    <n v="0"/>
    <n v="80.75"/>
    <n v="6.75"/>
    <n v="0"/>
    <n v="68"/>
    <n v="7.5"/>
    <n v="10"/>
    <n v="45.5"/>
    <n v="0"/>
    <n v="29"/>
    <n v="56.25"/>
    <n v="0"/>
    <n v="40.5"/>
    <n v="12.75"/>
    <n v="0"/>
    <n v="7.75"/>
    <n v="55"/>
    <n v="0"/>
    <n v="15"/>
    <n v="448.75"/>
    <n v="32.75"/>
    <n v="87.25"/>
    <s v="JAIPUR RURAL"/>
    <s v="JAIPUR RURAL"/>
    <s v="RJ-JAIPUR"/>
    <d v="2022-02-01T00:00:00"/>
  </r>
  <r>
    <s v="818163119071"/>
    <x v="904"/>
    <s v="MANISH TRADERS"/>
    <n v="119071"/>
    <s v="GANESH AGENCIES"/>
    <n v="273"/>
    <n v="6.85"/>
    <n v="0"/>
    <n v="108.5"/>
    <n v="13.5"/>
    <n v="0"/>
    <n v="198.6"/>
    <n v="2.6"/>
    <n v="21"/>
    <n v="147.9"/>
    <n v="0"/>
    <n v="10.65"/>
    <n v="80"/>
    <n v="0"/>
    <n v="2"/>
    <n v="40"/>
    <n v="0"/>
    <n v="0"/>
    <n v="62.7"/>
    <n v="0"/>
    <n v="16.2"/>
    <n v="85"/>
    <n v="0"/>
    <n v="12.5"/>
    <n v="995.7"/>
    <n v="22.950000000000003"/>
    <n v="49.849999999999994"/>
    <s v="JAIPUR RURAL"/>
    <s v="JAIPUR RURAL"/>
    <s v="RJ-JAIPUR"/>
    <d v="2022-02-26T00:00:00"/>
  </r>
  <r>
    <s v="818194141512"/>
    <x v="905"/>
    <s v="SHIV SHAKTI BUILDING MATERIAL"/>
    <n v="141512"/>
    <s v="MISHRA TRADERS"/>
    <n v="33.6"/>
    <n v="0"/>
    <n v="0"/>
    <n v="24"/>
    <n v="0"/>
    <n v="0"/>
    <n v="60"/>
    <n v="0"/>
    <n v="0"/>
    <n v="30"/>
    <n v="0"/>
    <n v="0"/>
    <n v="53.25"/>
    <n v="0"/>
    <n v="0"/>
    <n v="64.5"/>
    <n v="0"/>
    <n v="15.5"/>
    <n v="23"/>
    <n v="0"/>
    <n v="0"/>
    <n v="53.75"/>
    <n v="0"/>
    <n v="13.25"/>
    <n v="342.1"/>
    <n v="0"/>
    <n v="15.5"/>
    <s v="JAIPUR RURAL"/>
    <s v="JAIPUR RURAL"/>
    <s v="RJ-JAIPUR"/>
    <d v="2022-02-26T00:00:00"/>
  </r>
  <r>
    <s v="818232209816"/>
    <x v="906"/>
    <s v="DURGA SHANKAR SHARMA"/>
    <n v="209816"/>
    <s v="OM TRADERS"/>
    <n v="0"/>
    <n v="0"/>
    <n v="0"/>
    <n v="12.5"/>
    <n v="0"/>
    <n v="0"/>
    <n v="10"/>
    <n v="0"/>
    <n v="0"/>
    <n v="17.5"/>
    <n v="0"/>
    <n v="0"/>
    <n v="25"/>
    <n v="0"/>
    <n v="0"/>
    <n v="0"/>
    <n v="0"/>
    <n v="0"/>
    <n v="0"/>
    <n v="0"/>
    <n v="0"/>
    <n v="0"/>
    <n v="0"/>
    <n v="0"/>
    <n v="65"/>
    <n v="0"/>
    <n v="0"/>
    <s v="JAIPUR RURAL"/>
    <s v="JAIPUR RURAL"/>
    <s v="RJ-JAIPUR"/>
    <d v="2022-03-02T00:00:00"/>
  </r>
  <r>
    <s v="818235211342"/>
    <x v="907"/>
    <s v="VISHWAKARMA CEMENT AGENCY"/>
    <n v="211342"/>
    <s v="JANGID ENTERPRISES"/>
    <n v="21"/>
    <n v="0"/>
    <n v="0"/>
    <n v="15"/>
    <n v="0"/>
    <n v="0"/>
    <n v="25"/>
    <n v="0"/>
    <n v="0"/>
    <n v="15"/>
    <n v="0"/>
    <n v="0"/>
    <n v="20"/>
    <n v="0"/>
    <n v="9"/>
    <n v="18"/>
    <n v="0"/>
    <n v="0"/>
    <n v="0"/>
    <n v="0"/>
    <n v="0"/>
    <n v="43"/>
    <n v="0"/>
    <n v="0"/>
    <n v="157"/>
    <n v="0"/>
    <n v="9"/>
    <s v="JAIPUR RURAL"/>
    <s v="JAIPUR RURAL"/>
    <s v="RJ-JAIPUR"/>
    <d v="2022-03-02T00:00:00"/>
  </r>
  <r>
    <s v="818237209816"/>
    <x v="908"/>
    <s v="SHREE BAJRANG BUILDING MATERIA"/>
    <n v="209816"/>
    <s v="OM TRADERS"/>
    <n v="0"/>
    <n v="0"/>
    <n v="0"/>
    <n v="10"/>
    <n v="0"/>
    <n v="0"/>
    <n v="10"/>
    <n v="0"/>
    <n v="0"/>
    <n v="26"/>
    <n v="0"/>
    <n v="0"/>
    <n v="15"/>
    <n v="0"/>
    <n v="0"/>
    <n v="0"/>
    <n v="0"/>
    <n v="0"/>
    <n v="22.5"/>
    <n v="0"/>
    <n v="0"/>
    <n v="0"/>
    <n v="0"/>
    <n v="0"/>
    <n v="83.5"/>
    <n v="0"/>
    <n v="0"/>
    <s v="JAIPUR RURAL"/>
    <s v="JAIPUR RURAL"/>
    <s v="RJ-JAIPUR"/>
    <d v="2022-03-02T00:00:00"/>
  </r>
  <r>
    <s v="818357203154"/>
    <x v="909"/>
    <s v="SAINI BUILDING MATERIAL SUPPLI"/>
    <n v="203154"/>
    <s v="OM SHIV CEMENT SUPPLIERS"/>
    <n v="0"/>
    <n v="0"/>
    <n v="0"/>
    <n v="22.5"/>
    <n v="0"/>
    <n v="0"/>
    <n v="10"/>
    <n v="0"/>
    <n v="0"/>
    <n v="10"/>
    <n v="0"/>
    <n v="0"/>
    <n v="7.5"/>
    <n v="0"/>
    <n v="0"/>
    <n v="7.5"/>
    <n v="0"/>
    <n v="0"/>
    <n v="0"/>
    <n v="0"/>
    <n v="0"/>
    <n v="10"/>
    <n v="0"/>
    <n v="0"/>
    <n v="67.5"/>
    <n v="0"/>
    <n v="0"/>
    <s v="JAIPUR RURAL"/>
    <s v="JAIPUR RURAL"/>
    <s v="RJ-JAIPUR"/>
    <d v="2022-03-12T00:00:00"/>
  </r>
  <r>
    <s v="818469206011"/>
    <x v="910"/>
    <s v="RAM PRASAD KHATIK"/>
    <n v="206011"/>
    <s v="PAHARIA CHEMICALS"/>
    <n v="0"/>
    <n v="0"/>
    <n v="0"/>
    <n v="0"/>
    <n v="0"/>
    <n v="0"/>
    <n v="10"/>
    <n v="0"/>
    <n v="0"/>
    <n v="11"/>
    <n v="0"/>
    <n v="0"/>
    <n v="0"/>
    <n v="0"/>
    <n v="0"/>
    <n v="0"/>
    <n v="0"/>
    <n v="0"/>
    <n v="10"/>
    <n v="0"/>
    <n v="0"/>
    <n v="0"/>
    <n v="0"/>
    <n v="0"/>
    <n v="31"/>
    <n v="0"/>
    <n v="0"/>
    <s v="JAIPUR RURAL"/>
    <s v="JAIPUR RURAL"/>
    <s v="RJ-JAIPUR"/>
    <d v="2022-03-25T00:00:00"/>
  </r>
  <r>
    <s v="818514210433"/>
    <x v="911"/>
    <s v="SHREE GANESH ENTERPRISES"/>
    <n v="210433"/>
    <s v="SHREE JEE CEMENT AGENCY"/>
    <n v="49.5"/>
    <n v="0"/>
    <n v="0"/>
    <n v="23"/>
    <n v="2.5"/>
    <n v="0"/>
    <n v="96"/>
    <n v="0"/>
    <n v="0"/>
    <n v="53"/>
    <n v="7.5"/>
    <n v="9"/>
    <n v="41.5"/>
    <n v="8"/>
    <n v="0"/>
    <n v="33.5"/>
    <n v="2.5"/>
    <n v="0"/>
    <n v="14"/>
    <n v="0"/>
    <n v="0"/>
    <n v="21"/>
    <n v="0"/>
    <n v="0"/>
    <n v="331.5"/>
    <n v="20.5"/>
    <n v="9"/>
    <s v="JAIPUR RURAL"/>
    <s v="JAIPUR RURAL"/>
    <s v="RJ-JAIPUR"/>
    <d v="2022-03-29T00:00:00"/>
  </r>
  <r>
    <s v="818515206011"/>
    <x v="912"/>
    <s v="AADINATH TRADERS"/>
    <n v="206011"/>
    <s v="PAHARIA CHEMICALS"/>
    <n v="17"/>
    <n v="0"/>
    <n v="0"/>
    <n v="0"/>
    <n v="0"/>
    <n v="0"/>
    <n v="30"/>
    <n v="0"/>
    <n v="0"/>
    <n v="25"/>
    <n v="0"/>
    <n v="0"/>
    <n v="25"/>
    <n v="5"/>
    <n v="10"/>
    <n v="0"/>
    <n v="0"/>
    <n v="0"/>
    <n v="10"/>
    <n v="0"/>
    <n v="0"/>
    <n v="5"/>
    <n v="0"/>
    <n v="0"/>
    <n v="112"/>
    <n v="5"/>
    <n v="10"/>
    <s v="JAIPUR RURAL"/>
    <s v="JAIPUR RURAL"/>
    <s v="RJ-JAIPUR"/>
    <d v="2022-03-29T00:00:00"/>
  </r>
  <r>
    <s v="818530210306"/>
    <x v="913"/>
    <s v="BALAJI CEMENT AGENCY"/>
    <n v="210306"/>
    <s v="VINOD SALES AGENCIES"/>
    <n v="10"/>
    <n v="0"/>
    <n v="0"/>
    <n v="20"/>
    <n v="0"/>
    <n v="0"/>
    <n v="16"/>
    <n v="0"/>
    <n v="0"/>
    <n v="41.35"/>
    <n v="0"/>
    <n v="0.5"/>
    <n v="15"/>
    <n v="0"/>
    <n v="0"/>
    <n v="47.5"/>
    <n v="0"/>
    <n v="5"/>
    <n v="33"/>
    <n v="0"/>
    <n v="0"/>
    <n v="45"/>
    <n v="0"/>
    <n v="0"/>
    <n v="227.85"/>
    <n v="0"/>
    <n v="5.5"/>
    <s v="JAIPUR RURAL"/>
    <s v="JAIPUR RURAL"/>
    <s v="RJ-JAIPUR"/>
    <d v="2022-03-30T00:00:00"/>
  </r>
  <r>
    <s v="818540207857"/>
    <x v="914"/>
    <s v="BALAJI CEMENT AGENCY"/>
    <n v="207857"/>
    <s v="YADAV BUILDING MATERIAL"/>
    <n v="5"/>
    <n v="0"/>
    <n v="0"/>
    <n v="0"/>
    <n v="0"/>
    <n v="0"/>
    <n v="0"/>
    <n v="0"/>
    <n v="0"/>
    <n v="0"/>
    <n v="0"/>
    <n v="0"/>
    <n v="7.5"/>
    <n v="0"/>
    <n v="0"/>
    <n v="0"/>
    <n v="0"/>
    <n v="0"/>
    <n v="0"/>
    <n v="0"/>
    <n v="0"/>
    <n v="0"/>
    <n v="0"/>
    <n v="0"/>
    <n v="12.5"/>
    <n v="0"/>
    <n v="0"/>
    <s v="JAIPUR RURAL"/>
    <s v="JAIPUR RURAL"/>
    <s v="RJ-JAIPUR"/>
    <d v="2022-03-30T00:00:00"/>
  </r>
  <r>
    <s v="818611209816"/>
    <x v="915"/>
    <s v="CHOUDHARY GENERAL STORE"/>
    <n v="209816"/>
    <s v="OM TRADERS"/>
    <n v="36.5"/>
    <n v="0"/>
    <n v="0"/>
    <n v="17.5"/>
    <n v="2.5"/>
    <n v="0"/>
    <n v="0"/>
    <n v="0"/>
    <n v="0"/>
    <n v="12.5"/>
    <n v="0"/>
    <n v="0"/>
    <n v="25"/>
    <n v="0"/>
    <n v="0"/>
    <n v="0"/>
    <n v="0"/>
    <n v="0"/>
    <n v="5"/>
    <n v="0"/>
    <n v="5"/>
    <n v="0"/>
    <n v="0"/>
    <n v="0"/>
    <n v="96.5"/>
    <n v="2.5"/>
    <n v="5"/>
    <s v="JAIPUR RURAL"/>
    <s v="JAIPUR RURAL"/>
    <s v="RJ-JAIPUR"/>
    <d v="2022-04-09T00:00:00"/>
  </r>
  <r>
    <s v="818744210855"/>
    <x v="916"/>
    <s v="KUMAWAT TRADERS"/>
    <n v="210855"/>
    <s v="OM TRADERS"/>
    <n v="13"/>
    <n v="0"/>
    <n v="0"/>
    <n v="70"/>
    <n v="3"/>
    <n v="0"/>
    <n v="91.25"/>
    <n v="26.75"/>
    <n v="5.5"/>
    <n v="59"/>
    <n v="0"/>
    <n v="20"/>
    <n v="10"/>
    <n v="0"/>
    <n v="0"/>
    <n v="5"/>
    <n v="0"/>
    <n v="5"/>
    <n v="10.75"/>
    <n v="0"/>
    <n v="10.75"/>
    <n v="30"/>
    <n v="0"/>
    <n v="0"/>
    <n v="289"/>
    <n v="29.75"/>
    <n v="41.25"/>
    <s v="JAIPUR RURAL"/>
    <s v="JAIPUR RURAL"/>
    <s v="RJ-JAIPUR"/>
    <d v="2022-04-25T00:00:00"/>
  </r>
  <r>
    <s v="818790207857"/>
    <x v="917"/>
    <s v="PARI CEMENT AGENCY"/>
    <n v="207857"/>
    <s v="YADAV BUILDING MATERIAL"/>
    <n v="0"/>
    <n v="0"/>
    <n v="0"/>
    <n v="0"/>
    <n v="0"/>
    <n v="0"/>
    <n v="50.75"/>
    <n v="4.25"/>
    <n v="5.5"/>
    <n v="50"/>
    <n v="0"/>
    <n v="0"/>
    <n v="33.6"/>
    <n v="0"/>
    <n v="0"/>
    <n v="37.5"/>
    <n v="0"/>
    <n v="7.5"/>
    <n v="50"/>
    <n v="0"/>
    <n v="10"/>
    <n v="47.5"/>
    <n v="0"/>
    <n v="0"/>
    <n v="269.35000000000002"/>
    <n v="4.25"/>
    <n v="23"/>
    <s v="JAIPUR RURAL"/>
    <s v="JAIPUR RURAL"/>
    <s v="RJ-JAIPUR"/>
    <d v="2022-04-28T00:00:00"/>
  </r>
  <r>
    <s v="818805207857"/>
    <x v="918"/>
    <s v="MOHIT CEMENT AGENCY"/>
    <n v="207857"/>
    <s v="YADAV BUILDING MATERIAL"/>
    <n v="0"/>
    <n v="0"/>
    <n v="0"/>
    <n v="10"/>
    <n v="0"/>
    <n v="0"/>
    <n v="20.5"/>
    <n v="0"/>
    <n v="0"/>
    <n v="30"/>
    <n v="0"/>
    <n v="0"/>
    <n v="0"/>
    <n v="0"/>
    <n v="0"/>
    <n v="7.5"/>
    <n v="0"/>
    <n v="0"/>
    <n v="7.5"/>
    <n v="0"/>
    <n v="0"/>
    <n v="9.5"/>
    <n v="0"/>
    <n v="1"/>
    <n v="85"/>
    <n v="0"/>
    <n v="0"/>
    <s v="JAIPUR RURAL"/>
    <s v="JAIPUR RURAL"/>
    <s v="RJ-JAIPUR"/>
    <d v="2022-04-29T00:00:00"/>
  </r>
  <r>
    <s v="818912207857"/>
    <x v="919"/>
    <s v="VANSH CEMENT AGENCY"/>
    <n v="207857"/>
    <s v="YADAV BUILDING MATERIAL"/>
    <n v="0"/>
    <n v="0"/>
    <n v="0"/>
    <n v="10"/>
    <n v="0"/>
    <n v="0"/>
    <n v="0"/>
    <n v="0"/>
    <n v="0"/>
    <n v="0"/>
    <n v="0"/>
    <n v="0"/>
    <n v="0"/>
    <n v="0"/>
    <n v="0"/>
    <n v="15"/>
    <n v="0"/>
    <n v="0"/>
    <n v="0"/>
    <n v="0"/>
    <n v="0"/>
    <n v="2"/>
    <n v="0"/>
    <n v="1"/>
    <n v="27"/>
    <n v="0"/>
    <n v="0"/>
    <s v="JAIPUR RURAL"/>
    <s v="JAIPUR RURAL"/>
    <s v="RJ-JAIPUR"/>
    <d v="2022-05-11T00:00:00"/>
  </r>
  <r>
    <s v="818966204445"/>
    <x v="920"/>
    <s v="PAYAL TRADERS"/>
    <n v="204445"/>
    <s v="KRISHNA BUILDCON"/>
    <n v="0"/>
    <n v="0"/>
    <n v="0"/>
    <n v="25"/>
    <n v="0"/>
    <n v="0"/>
    <n v="90.5"/>
    <n v="0.5"/>
    <n v="20"/>
    <n v="65.5"/>
    <n v="0"/>
    <n v="2.5"/>
    <n v="33.049999999999997"/>
    <n v="0"/>
    <n v="1.25"/>
    <n v="5"/>
    <n v="0"/>
    <n v="2.5"/>
    <n v="28.5"/>
    <n v="0"/>
    <n v="16"/>
    <n v="5"/>
    <n v="0"/>
    <n v="0"/>
    <n v="252.55"/>
    <n v="0.5"/>
    <n v="42.25"/>
    <s v="JAIPUR RURAL"/>
    <s v="JAIPUR RURAL"/>
    <s v="RJ-JAIPUR"/>
    <d v="2022-05-17T00:00:00"/>
  </r>
  <r>
    <s v="818983208268"/>
    <x v="921"/>
    <s v="POOJA TRADERS"/>
    <n v="208268"/>
    <s v="BADIWAL TRADERS"/>
    <n v="0"/>
    <n v="0"/>
    <n v="0"/>
    <n v="0"/>
    <n v="0"/>
    <n v="0"/>
    <n v="10"/>
    <n v="5"/>
    <n v="0"/>
    <n v="7.5"/>
    <n v="0"/>
    <n v="0"/>
    <n v="0"/>
    <n v="0"/>
    <n v="0"/>
    <n v="0"/>
    <n v="0"/>
    <n v="0"/>
    <n v="0"/>
    <n v="0"/>
    <n v="0"/>
    <n v="0"/>
    <n v="0"/>
    <n v="0"/>
    <n v="17.5"/>
    <n v="5"/>
    <n v="0"/>
    <s v="JAIPUR RURAL"/>
    <s v="JAIPUR RURAL"/>
    <s v="RJ-JAIPUR"/>
    <d v="2022-05-19T00:00:00"/>
  </r>
  <r>
    <s v="819056141236"/>
    <x v="922"/>
    <s v="BASANT HARDWARE &amp; PLYWOOD"/>
    <n v="141236"/>
    <s v="MK.SUPPLIER"/>
    <n v="0"/>
    <n v="0"/>
    <n v="0"/>
    <n v="0"/>
    <n v="0"/>
    <n v="0"/>
    <n v="12.5"/>
    <n v="0"/>
    <n v="0"/>
    <n v="12.5"/>
    <n v="0"/>
    <n v="0"/>
    <n v="26"/>
    <n v="0"/>
    <n v="0"/>
    <n v="106.5"/>
    <n v="0"/>
    <n v="0"/>
    <n v="62.5"/>
    <n v="0"/>
    <n v="0"/>
    <n v="25"/>
    <n v="0"/>
    <n v="0"/>
    <n v="245"/>
    <n v="0"/>
    <n v="0"/>
    <s v="JAIPUR RURAL"/>
    <s v="JAIPUR RURAL"/>
    <s v="RJ-JAIPUR"/>
    <d v="2022-05-25T00:00:00"/>
  </r>
  <r>
    <s v="819328212495"/>
    <x v="923"/>
    <s v="BHOLENATH BUILDING MATERIAL SA"/>
    <n v="212495"/>
    <s v="SHREE RAM KOTA &amp; MARBLE"/>
    <n v="0"/>
    <n v="0"/>
    <n v="0"/>
    <n v="0"/>
    <n v="0"/>
    <n v="0"/>
    <n v="0"/>
    <n v="0"/>
    <n v="0"/>
    <n v="8.75"/>
    <n v="0"/>
    <n v="0"/>
    <n v="12.5"/>
    <n v="0"/>
    <n v="0"/>
    <n v="28.25"/>
    <n v="8.75"/>
    <n v="0"/>
    <n v="29.05"/>
    <n v="0"/>
    <n v="7.5"/>
    <n v="24.5"/>
    <n v="0"/>
    <n v="0"/>
    <n v="103.05"/>
    <n v="8.75"/>
    <n v="7.5"/>
    <s v="JAIPUR RURAL"/>
    <s v="JAIPUR RURAL"/>
    <s v="RJ-JAIPUR"/>
    <d v="2022-06-13T00:00:00"/>
  </r>
  <r>
    <s v="819375202870"/>
    <x v="924"/>
    <s v="ANKIT BUILDING MATERIAL SUPPLI"/>
    <n v="202870"/>
    <s v="ASHUTOSH CONSTRUCTION CO"/>
    <n v="0"/>
    <n v="0"/>
    <n v="0"/>
    <n v="0"/>
    <n v="0"/>
    <n v="0"/>
    <n v="15"/>
    <n v="0"/>
    <n v="0"/>
    <n v="20"/>
    <n v="0"/>
    <n v="11.5"/>
    <n v="36.5"/>
    <n v="0"/>
    <n v="31.5"/>
    <n v="17.75"/>
    <n v="0"/>
    <n v="17.75"/>
    <n v="0"/>
    <n v="0"/>
    <n v="0"/>
    <n v="22.5"/>
    <n v="0"/>
    <n v="7.5"/>
    <n v="111.75"/>
    <n v="0"/>
    <n v="60.75"/>
    <s v="JAIPUR RURAL"/>
    <s v="JAIPUR RURAL"/>
    <s v="RJ-JAIPUR"/>
    <d v="2022-06-16T00:00:00"/>
  </r>
  <r>
    <s v="819476141512"/>
    <x v="925"/>
    <s v="KAKA BUILDING MATERIAL SUPPLIE"/>
    <n v="141512"/>
    <s v="MISHRA TRADERS"/>
    <n v="0"/>
    <n v="0"/>
    <n v="0"/>
    <n v="0"/>
    <n v="0"/>
    <n v="0"/>
    <n v="0"/>
    <n v="0"/>
    <n v="0"/>
    <n v="24.5"/>
    <n v="0"/>
    <n v="0"/>
    <n v="25"/>
    <n v="0"/>
    <n v="0"/>
    <n v="21"/>
    <n v="0"/>
    <n v="0"/>
    <n v="25"/>
    <n v="0"/>
    <n v="0"/>
    <n v="27.5"/>
    <n v="0"/>
    <n v="0"/>
    <n v="123"/>
    <n v="0"/>
    <n v="0"/>
    <s v="JAIPUR RURAL"/>
    <s v="JAIPUR RURAL"/>
    <s v="RJ-JAIPUR"/>
    <d v="2022-06-23T00:00:00"/>
  </r>
  <r>
    <s v="819589212067"/>
    <x v="926"/>
    <s v="NANCY ENTERPRISES"/>
    <n v="212067"/>
    <s v="SHREE NIRANJAN ASSOCIATES"/>
    <n v="0"/>
    <n v="0"/>
    <n v="0"/>
    <n v="0"/>
    <n v="0"/>
    <n v="0"/>
    <n v="0"/>
    <n v="0"/>
    <n v="0"/>
    <n v="110.85"/>
    <n v="0"/>
    <n v="10.85"/>
    <n v="67.5"/>
    <n v="0"/>
    <n v="7.5"/>
    <n v="114.7"/>
    <n v="0"/>
    <n v="27"/>
    <n v="81.25"/>
    <n v="0"/>
    <n v="21.75"/>
    <n v="91"/>
    <n v="0"/>
    <n v="3"/>
    <n v="465.3"/>
    <n v="0"/>
    <n v="67.099999999999994"/>
    <s v="JAIPUR RURAL"/>
    <s v="JAIPUR RURAL"/>
    <s v="RJ-JAIPUR"/>
    <d v="2022-07-02T00:00:00"/>
  </r>
  <r>
    <s v="819594212495"/>
    <x v="927"/>
    <s v="GAJANAND BUILDING MATERIAL SUP"/>
    <n v="212495"/>
    <s v="SHREE RAM KOTA &amp; MARBLE"/>
    <n v="0"/>
    <n v="0"/>
    <n v="0"/>
    <n v="0"/>
    <n v="0"/>
    <n v="0"/>
    <n v="0"/>
    <n v="0"/>
    <n v="0"/>
    <n v="7.5"/>
    <n v="0"/>
    <n v="0"/>
    <n v="0"/>
    <n v="0"/>
    <n v="0"/>
    <n v="21.25"/>
    <n v="0"/>
    <n v="0"/>
    <n v="22.5"/>
    <n v="0"/>
    <n v="0"/>
    <n v="12.5"/>
    <n v="0"/>
    <n v="0"/>
    <n v="63.75"/>
    <n v="0"/>
    <n v="0"/>
    <s v="JAIPUR RURAL"/>
    <s v="JAIPUR RURAL"/>
    <s v="RJ-JAIPUR"/>
    <d v="2022-07-02T00:00:00"/>
  </r>
  <r>
    <s v="819812207857"/>
    <x v="928"/>
    <s v="JAI MANSA CEMENT AGENCY"/>
    <n v="207857"/>
    <s v="YADAV BUILDING MATERIAL"/>
    <n v="0"/>
    <n v="0"/>
    <n v="0"/>
    <n v="0"/>
    <n v="0"/>
    <n v="0"/>
    <n v="0"/>
    <n v="0"/>
    <n v="0"/>
    <n v="20"/>
    <n v="0"/>
    <n v="0"/>
    <n v="6"/>
    <n v="0"/>
    <n v="0"/>
    <n v="22.5"/>
    <n v="0"/>
    <n v="0"/>
    <n v="0"/>
    <n v="0"/>
    <n v="0"/>
    <n v="16"/>
    <n v="0"/>
    <n v="0"/>
    <n v="64.5"/>
    <n v="0"/>
    <n v="0"/>
    <s v="JAIPUR RURAL"/>
    <s v="JAIPUR RURAL"/>
    <s v="RJ-JAIPUR"/>
    <d v="2022-07-18T00:00:00"/>
  </r>
  <r>
    <s v="819848210508"/>
    <x v="929"/>
    <s v="RASHI CEMENT AGENCY"/>
    <n v="210508"/>
    <s v="KUMAWAT CEMENT AGENCY"/>
    <n v="0"/>
    <n v="0"/>
    <n v="0"/>
    <n v="0"/>
    <n v="0"/>
    <n v="0"/>
    <n v="0"/>
    <n v="0"/>
    <n v="0"/>
    <n v="27.5"/>
    <n v="0"/>
    <n v="7.5"/>
    <n v="30"/>
    <n v="0"/>
    <n v="0"/>
    <n v="50.5"/>
    <n v="0"/>
    <n v="16"/>
    <n v="43"/>
    <n v="0"/>
    <n v="0"/>
    <n v="26"/>
    <n v="0"/>
    <n v="0"/>
    <n v="177"/>
    <n v="0"/>
    <n v="23.5"/>
    <s v="JAIPUR RURAL"/>
    <s v="JAIPUR RURAL"/>
    <s v="RJ-JAIPUR"/>
    <d v="2022-07-20T00:00:00"/>
  </r>
  <r>
    <s v="820157208835"/>
    <x v="930"/>
    <s v="SHRI PRAJAPATI ENTERPRISES"/>
    <n v="208835"/>
    <s v="K D BUILDING MATERIAL SUPPLIER"/>
    <n v="0"/>
    <n v="0"/>
    <n v="0"/>
    <n v="0"/>
    <n v="0"/>
    <n v="0"/>
    <n v="0"/>
    <n v="0"/>
    <n v="0"/>
    <n v="0"/>
    <n v="0"/>
    <n v="0"/>
    <n v="21"/>
    <n v="0"/>
    <n v="0"/>
    <n v="26.5"/>
    <n v="0"/>
    <n v="5"/>
    <n v="17.5"/>
    <n v="0"/>
    <n v="0"/>
    <n v="30.75"/>
    <n v="0"/>
    <n v="3.25"/>
    <n v="95.75"/>
    <n v="0"/>
    <n v="5"/>
    <s v="JAIPUR RURAL"/>
    <s v="JAIPUR RURAL"/>
    <s v="RJ-JAIPUR"/>
    <d v="2022-08-17T00:00:00"/>
  </r>
  <r>
    <s v="820516205270"/>
    <x v="931"/>
    <s v="GURU KRIPA BUILDING MATERIAL A"/>
    <n v="205270"/>
    <s v="KARTIK ENTERPRISES"/>
    <n v="0"/>
    <n v="0"/>
    <n v="0"/>
    <n v="0"/>
    <n v="0"/>
    <n v="0"/>
    <n v="0"/>
    <n v="0"/>
    <n v="0"/>
    <n v="0"/>
    <n v="0"/>
    <n v="0"/>
    <n v="0"/>
    <n v="0"/>
    <n v="0"/>
    <n v="37.5"/>
    <n v="0"/>
    <n v="0"/>
    <n v="12.5"/>
    <n v="0"/>
    <n v="0"/>
    <n v="46.25"/>
    <n v="0"/>
    <n v="0"/>
    <n v="96.25"/>
    <n v="0"/>
    <n v="0"/>
    <s v="JAIPUR RURAL"/>
    <s v="JAIPUR RURAL"/>
    <s v="RJ-JAIPUR"/>
    <d v="2022-09-14T00:00:00"/>
  </r>
  <r>
    <s v="820336204445"/>
    <x v="932"/>
    <s v="TEJAL TRADERS"/>
    <n v="204445"/>
    <s v="KRISHNA BUILD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7.5"/>
    <n v="7.5"/>
    <n v="0"/>
    <n v="0"/>
    <n v="16.5"/>
    <n v="0"/>
    <n v="7.5"/>
    <s v="JAIPUR RURAL"/>
    <s v="JAIPUR RURAL"/>
    <s v="RJ-JAIPUR"/>
    <d v="2022-08-31T00:00:00"/>
  </r>
  <r>
    <s v="820716210433"/>
    <x v="933"/>
    <s v="JAI BHAWANI HARDWARE"/>
    <n v="210433"/>
    <s v="SHREE JEE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1"/>
    <n v="0"/>
    <n v="0"/>
    <n v="8.5"/>
    <n v="0"/>
    <n v="0"/>
    <s v="JAIPUR RURAL"/>
    <s v="JAIPUR RURAL"/>
    <s v="RJ-JAIPUR"/>
    <d v="2022-09-24T00:00:00"/>
  </r>
  <r>
    <s v="808731204445"/>
    <x v="851"/>
    <s v="GANESH TRADERS"/>
    <n v="204445"/>
    <s v="KRISHNA BUILD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1.75"/>
    <n v="0"/>
    <n v="0"/>
    <n v="0"/>
    <n v="7.5"/>
    <n v="0"/>
    <n v="1.75"/>
    <s v="JAIPUR RURAL"/>
    <s v="JAIPUR RURAL"/>
    <s v="RJ-JAIPUR"/>
    <d v="2018-08-03T00:00:00"/>
  </r>
  <r>
    <s v="820879176276"/>
    <x v="934"/>
    <s v="AYUSH ENTERPRISES"/>
    <n v="176276"/>
    <s v="LAXMI BUILDING MATERIAL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7.5"/>
    <n v="0"/>
    <n v="0"/>
    <n v="17.5"/>
    <n v="0"/>
    <n v="0"/>
    <s v="JAIPUR RURAL"/>
    <s v="JAIPUR RURAL"/>
    <s v="RJ-JAIPUR"/>
    <d v="2022-10-07T00:00:00"/>
  </r>
  <r>
    <s v="821185119261"/>
    <x v="935"/>
    <s v="AGARWAL TRADERS"/>
    <n v="119261"/>
    <s v="DURGESH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01.25"/>
    <n v="0"/>
    <n v="8.75"/>
    <n v="316.25"/>
    <n v="0"/>
    <n v="0"/>
    <s v="JAIPUR RURAL"/>
    <s v="JAIPUR RURAL"/>
    <s v="RJ-JAIPUR"/>
    <d v="2022-11-09T00:00:00"/>
  </r>
  <r>
    <s v="821083207857"/>
    <x v="936"/>
    <s v="SHREE MADHAV TRADING COMPANY"/>
    <n v="207857"/>
    <s v="YADAV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.5"/>
    <n v="0"/>
    <n v="0"/>
    <n v="22.5"/>
    <n v="0"/>
    <n v="0"/>
    <s v="JAIPUR RURAL"/>
    <s v="JAIPUR RURAL"/>
    <s v="RJ-JAIPUR"/>
    <d v="2022-10-29T00:00:00"/>
  </r>
  <r>
    <s v="821020207857"/>
    <x v="937"/>
    <s v="NISHA ENTERPRISES"/>
    <n v="207857"/>
    <s v="YADAV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"/>
    <n v="0"/>
    <n v="0"/>
    <n v="18"/>
    <n v="0"/>
    <n v="0"/>
    <s v="JAIPUR RURAL"/>
    <s v="JAIPUR RURAL"/>
    <s v="RJ-JAIPUR"/>
    <d v="2022-10-19T00:00:00"/>
  </r>
  <r>
    <s v="820878176276"/>
    <x v="938"/>
    <s v="ANUJ BUILDING MATERIAL STORE"/>
    <n v="176276"/>
    <s v="LAXMI BUILDING MATERIAL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.5"/>
    <n v="0"/>
    <n v="0"/>
    <n v="22.5"/>
    <n v="0"/>
    <n v="0"/>
    <s v="JAIPUR RURAL"/>
    <s v="JAIPUR RURAL"/>
    <s v="RJ-JAIPUR"/>
    <d v="2022-10-07T00:00:00"/>
  </r>
  <r>
    <s v="819605204307"/>
    <x v="939"/>
    <s v="BHARAT CEMENT AGENCY"/>
    <n v="204307"/>
    <s v="JAI BAJRANG STEELS"/>
    <n v="0"/>
    <n v="0"/>
    <n v="0"/>
    <n v="0"/>
    <n v="0"/>
    <n v="0"/>
    <n v="0"/>
    <n v="0"/>
    <n v="0"/>
    <n v="42.5"/>
    <n v="0"/>
    <n v="0"/>
    <n v="74"/>
    <n v="0"/>
    <n v="0"/>
    <n v="0"/>
    <n v="0"/>
    <n v="0"/>
    <n v="0"/>
    <n v="0"/>
    <n v="0"/>
    <n v="0"/>
    <n v="0"/>
    <n v="0"/>
    <n v="116.5"/>
    <n v="0"/>
    <n v="0"/>
    <s v="JAIPUR URBAN"/>
    <s v="JAIPUR RURAL"/>
    <s v="RJ-JAIPUR"/>
    <d v="2022-07-04T00:00:00"/>
  </r>
  <r>
    <s v="801716119261"/>
    <x v="940"/>
    <s v="RIDHI SIDHI TRADERS"/>
    <n v="119261"/>
    <s v="DURGESH ENTERPRISES"/>
    <n v="101.75"/>
    <n v="0"/>
    <n v="0"/>
    <n v="75"/>
    <n v="0"/>
    <n v="0"/>
    <n v="50"/>
    <n v="0"/>
    <n v="0"/>
    <n v="50"/>
    <n v="0"/>
    <n v="0"/>
    <n v="75"/>
    <n v="0"/>
    <n v="0"/>
    <n v="53"/>
    <n v="0"/>
    <n v="0"/>
    <n v="110"/>
    <n v="0"/>
    <n v="0"/>
    <n v="116"/>
    <n v="0"/>
    <n v="0"/>
    <n v="630.75"/>
    <n v="0"/>
    <n v="0"/>
    <s v="JAIPUR URBAN"/>
    <s v="JAIPUR URBAN"/>
    <s v="RJ-JAIPUR"/>
    <d v="2013-02-13T00:00:00"/>
  </r>
  <r>
    <s v="801729119261"/>
    <x v="941"/>
    <s v="AGARWAL BUILDING MATERIAL SUPP"/>
    <n v="119261"/>
    <s v="DURGESH ENTERPRISES"/>
    <n v="30"/>
    <n v="0"/>
    <n v="0"/>
    <n v="35"/>
    <n v="0"/>
    <n v="0"/>
    <n v="0"/>
    <n v="0"/>
    <n v="0"/>
    <n v="10"/>
    <n v="0"/>
    <n v="0"/>
    <n v="40"/>
    <n v="0"/>
    <n v="0"/>
    <n v="25"/>
    <n v="0"/>
    <n v="0"/>
    <n v="23.5"/>
    <n v="0"/>
    <n v="0"/>
    <n v="25"/>
    <n v="0"/>
    <n v="9"/>
    <n v="188.5"/>
    <n v="0"/>
    <n v="0"/>
    <s v="JAIPUR URBAN"/>
    <s v="JAIPUR URBAN"/>
    <s v="RJ-JAIPUR"/>
    <d v="2013-02-18T00:00:00"/>
  </r>
  <r>
    <s v="801876119261"/>
    <x v="942"/>
    <s v="BHAIRAV BUILDING MATERIAL SUPP"/>
    <n v="119261"/>
    <s v="DURGESH ENTERPRISES"/>
    <n v="0"/>
    <n v="0"/>
    <n v="0"/>
    <n v="0"/>
    <n v="0"/>
    <n v="0"/>
    <n v="75"/>
    <n v="0"/>
    <n v="0"/>
    <n v="0"/>
    <n v="0"/>
    <n v="0"/>
    <n v="0"/>
    <n v="0"/>
    <n v="0"/>
    <n v="25"/>
    <n v="0"/>
    <n v="0"/>
    <n v="1"/>
    <n v="0"/>
    <n v="0"/>
    <n v="25"/>
    <n v="0"/>
    <n v="0"/>
    <n v="126"/>
    <n v="0"/>
    <n v="0"/>
    <s v="JAIPUR URBAN"/>
    <s v="JAIPUR URBAN"/>
    <s v="RJ-JAIPUR"/>
    <d v="2013-03-22T00:00:00"/>
  </r>
  <r>
    <s v="801965119261"/>
    <x v="943"/>
    <s v="AGARWAL AGENCIES"/>
    <n v="119261"/>
    <s v="DURGESH ENTERPRISES"/>
    <n v="10"/>
    <n v="0"/>
    <n v="0"/>
    <n v="10"/>
    <n v="0"/>
    <n v="0"/>
    <n v="35"/>
    <n v="0"/>
    <n v="0"/>
    <n v="10"/>
    <n v="0"/>
    <n v="0"/>
    <n v="25"/>
    <n v="0"/>
    <n v="0"/>
    <n v="25"/>
    <n v="0"/>
    <n v="0"/>
    <n v="52"/>
    <n v="0"/>
    <n v="0"/>
    <n v="25"/>
    <n v="0"/>
    <n v="0"/>
    <n v="192"/>
    <n v="0"/>
    <n v="0"/>
    <s v="JAIPUR URBAN"/>
    <s v="JAIPUR URBAN"/>
    <s v="RJ-JAIPUR"/>
    <d v="2013-04-16T00:00:00"/>
  </r>
  <r>
    <s v="801966119261"/>
    <x v="944"/>
    <s v="TANWAR TRADING CO"/>
    <n v="119261"/>
    <s v="DURGESH ENTERPRISES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s v="JAIPUR URBAN"/>
    <s v="JAIPUR URBAN"/>
    <s v="RJ-JAIPUR"/>
    <d v="2013-04-16T00:00:00"/>
  </r>
  <r>
    <s v="801967119261"/>
    <x v="945"/>
    <s v="SHIV TRADERS"/>
    <n v="119261"/>
    <s v="DURGESH ENTERPRISES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7.5"/>
    <n v="0"/>
    <n v="0"/>
    <n v="17.5"/>
    <n v="0"/>
    <n v="0"/>
    <s v="JAIPUR URBAN"/>
    <s v="JAIPUR URBAN"/>
    <s v="RJ-JAIPUR"/>
    <d v="2013-04-16T00:00:00"/>
  </r>
  <r>
    <s v="802073119261"/>
    <x v="946"/>
    <s v="ABHISHEK CHODHARY &amp; COMPANY"/>
    <n v="119261"/>
    <s v="DURGESH ENTERPRISES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s v="JAIPUR URBAN"/>
    <s v="JAIPUR URBAN"/>
    <s v="RJ-JAIPUR"/>
    <d v="2013-06-07T00:00:00"/>
  </r>
  <r>
    <s v="802948119261"/>
    <x v="947"/>
    <s v="AGARWAL AGENCIES"/>
    <n v="119261"/>
    <s v="DURGESH ENTERPRISES"/>
    <n v="30"/>
    <n v="0"/>
    <n v="0"/>
    <n v="30"/>
    <n v="0"/>
    <n v="0"/>
    <n v="25"/>
    <n v="0"/>
    <n v="0"/>
    <n v="10"/>
    <n v="0"/>
    <n v="0"/>
    <n v="25"/>
    <n v="0"/>
    <n v="0"/>
    <n v="25"/>
    <n v="0"/>
    <n v="0"/>
    <n v="10"/>
    <n v="0"/>
    <n v="0"/>
    <n v="25"/>
    <n v="0"/>
    <n v="0"/>
    <n v="180"/>
    <n v="0"/>
    <n v="0"/>
    <s v="JAIPUR URBAN"/>
    <s v="JAIPUR URBAN"/>
    <s v="RJ-JAIPUR"/>
    <d v="2013-10-09T00:00:00"/>
  </r>
  <r>
    <s v="803877143416"/>
    <x v="948"/>
    <s v="LOKESH BUILDING MATERIAL"/>
    <n v="143416"/>
    <s v="ANKIT AGENCIES"/>
    <n v="0"/>
    <n v="0"/>
    <n v="0"/>
    <n v="2.5"/>
    <n v="0"/>
    <n v="0"/>
    <n v="0"/>
    <n v="0"/>
    <n v="0"/>
    <n v="46"/>
    <n v="0"/>
    <n v="0"/>
    <n v="0"/>
    <n v="0"/>
    <n v="0"/>
    <n v="37.5"/>
    <n v="0"/>
    <n v="0"/>
    <n v="5"/>
    <n v="0"/>
    <n v="0"/>
    <n v="5"/>
    <n v="0"/>
    <n v="0"/>
    <n v="96"/>
    <n v="0"/>
    <n v="0"/>
    <s v="JAIPUR URBAN"/>
    <s v="JAIPUR URBAN"/>
    <s v="RJ-JAIPUR"/>
    <d v="2015-02-24T00:00:00"/>
  </r>
  <r>
    <s v="804935122537"/>
    <x v="949"/>
    <s v="SHREE SHYAM TRADERS"/>
    <n v="122537"/>
    <s v="SARASWATI TRADERS"/>
    <n v="91.75"/>
    <n v="0"/>
    <n v="0"/>
    <n v="77.25"/>
    <n v="0"/>
    <n v="0"/>
    <n v="124"/>
    <n v="0"/>
    <n v="0"/>
    <n v="85.5"/>
    <n v="0"/>
    <n v="0"/>
    <n v="57.5"/>
    <n v="0"/>
    <n v="0"/>
    <n v="83.5"/>
    <n v="0"/>
    <n v="0"/>
    <n v="70"/>
    <n v="0"/>
    <n v="0"/>
    <n v="38.25"/>
    <n v="0"/>
    <n v="0"/>
    <n v="627.75"/>
    <n v="0"/>
    <n v="0"/>
    <s v="JAIPUR URBAN"/>
    <s v="JAIPUR URBAN"/>
    <s v="RJ-JAIPUR"/>
    <d v="2016-03-31T00:00:00"/>
  </r>
  <r>
    <s v="805095119261"/>
    <x v="950"/>
    <s v="SHRI KRISHNA TRADERS"/>
    <n v="119261"/>
    <s v="DURGESH ENTERPRISES"/>
    <n v="75"/>
    <n v="0"/>
    <n v="0"/>
    <n v="20"/>
    <n v="0"/>
    <n v="0"/>
    <n v="50"/>
    <n v="0"/>
    <n v="0"/>
    <n v="35"/>
    <n v="0"/>
    <n v="0"/>
    <n v="0"/>
    <n v="0"/>
    <n v="0"/>
    <n v="75"/>
    <n v="0"/>
    <n v="0"/>
    <n v="38"/>
    <n v="0"/>
    <n v="0"/>
    <n v="75"/>
    <n v="0"/>
    <n v="0"/>
    <n v="368"/>
    <n v="0"/>
    <n v="0"/>
    <s v="JAIPUR URBAN"/>
    <s v="JAIPUR URBAN"/>
    <s v="RJ-JAIPUR"/>
    <d v="2016-05-26T00:00:00"/>
  </r>
  <r>
    <s v="805255119261"/>
    <x v="951"/>
    <s v="SWASTIK BUILDING"/>
    <n v="119261"/>
    <s v="DURGESH ENTERPRISES"/>
    <n v="2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7.5"/>
    <n v="0"/>
    <n v="0"/>
    <n v="28.5"/>
    <n v="1"/>
    <n v="0"/>
    <s v="JAIPUR URBAN"/>
    <s v="JAIPUR URBAN"/>
    <s v="RJ-JAIPUR"/>
    <d v="2016-06-28T00:00:00"/>
  </r>
  <r>
    <s v="805375119261"/>
    <x v="952"/>
    <s v="SHREE RAM TRADERS"/>
    <n v="119261"/>
    <s v="DURGESH ENTERPRISES"/>
    <n v="50.05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75.05"/>
    <n v="0"/>
    <n v="0"/>
    <s v="JAIPUR URBAN"/>
    <s v="JAIPUR URBAN"/>
    <s v="RJ-JAIPUR"/>
    <d v="2016-07-29T00:00:00"/>
  </r>
  <r>
    <s v="805377119261"/>
    <x v="953"/>
    <s v="MANISH TRADERS"/>
    <n v="119261"/>
    <s v="DURGESH ENTERPRISES"/>
    <n v="85"/>
    <n v="0"/>
    <n v="0"/>
    <n v="30"/>
    <n v="0"/>
    <n v="0"/>
    <n v="75.5"/>
    <n v="0"/>
    <n v="0"/>
    <n v="75.75"/>
    <n v="0"/>
    <n v="17.25"/>
    <n v="50"/>
    <n v="0"/>
    <n v="0"/>
    <n v="56"/>
    <n v="0"/>
    <n v="0"/>
    <n v="79.5"/>
    <n v="2.75"/>
    <n v="7.5"/>
    <n v="75"/>
    <n v="0"/>
    <n v="0"/>
    <n v="526.75"/>
    <n v="2.75"/>
    <n v="24.75"/>
    <s v="JAIPUR URBAN"/>
    <s v="JAIPUR URBAN"/>
    <s v="RJ-JAIPUR"/>
    <d v="2016-07-29T00:00:00"/>
  </r>
  <r>
    <s v="805406119261"/>
    <x v="954"/>
    <s v="PRIYANKA BUILDERS"/>
    <n v="119261"/>
    <s v="DURGESH ENTERPRISE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7.5"/>
    <n v="0"/>
    <n v="0"/>
    <n v="17.5"/>
    <n v="0"/>
    <n v="0"/>
    <s v="JAIPUR URBAN"/>
    <s v="JAIPUR URBAN"/>
    <s v="RJ-JAIPUR"/>
    <d v="2016-08-09T00:00:00"/>
  </r>
  <r>
    <s v="805419119261"/>
    <x v="955"/>
    <s v="SHEOJI RAM NIRBHAY RAM KUMAWAT"/>
    <n v="119261"/>
    <s v="DURGESH ENTERPRISES"/>
    <n v="0"/>
    <n v="0"/>
    <n v="0"/>
    <n v="55"/>
    <n v="0"/>
    <n v="0"/>
    <n v="50"/>
    <n v="0"/>
    <n v="0"/>
    <n v="25"/>
    <n v="0"/>
    <n v="0"/>
    <n v="25"/>
    <n v="0"/>
    <n v="0"/>
    <n v="38.5"/>
    <n v="0"/>
    <n v="0"/>
    <n v="77"/>
    <n v="0"/>
    <n v="0"/>
    <n v="58.5"/>
    <n v="0"/>
    <n v="0"/>
    <n v="329"/>
    <n v="0"/>
    <n v="0"/>
    <s v="JAIPUR URBAN"/>
    <s v="JAIPUR URBAN"/>
    <s v="RJ-JAIPUR"/>
    <d v="2016-08-12T00:00:00"/>
  </r>
  <r>
    <s v="805453119261"/>
    <x v="956"/>
    <s v="SHREE GANESH TRADING COMPANY"/>
    <n v="119261"/>
    <s v="DURGESH ENTERPRISES"/>
    <n v="76.5"/>
    <n v="0"/>
    <n v="0"/>
    <n v="55"/>
    <n v="0"/>
    <n v="0"/>
    <n v="55"/>
    <n v="0"/>
    <n v="0"/>
    <n v="75"/>
    <n v="0"/>
    <n v="0"/>
    <n v="50"/>
    <n v="0"/>
    <n v="0"/>
    <n v="117.5"/>
    <n v="0"/>
    <n v="10"/>
    <n v="113.5"/>
    <n v="0"/>
    <n v="0"/>
    <n v="180"/>
    <n v="0"/>
    <n v="0"/>
    <n v="722.5"/>
    <n v="0"/>
    <n v="10"/>
    <s v="JAIPUR URBAN"/>
    <s v="JAIPUR URBAN"/>
    <s v="RJ-JAIPUR"/>
    <d v="2016-08-29T00:00:00"/>
  </r>
  <r>
    <s v="805796208268"/>
    <x v="957"/>
    <s v="PAYAL TRADERS"/>
    <n v="208268"/>
    <s v="BADIWAL TRADERS"/>
    <n v="1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5"/>
    <n v="0"/>
    <n v="0"/>
    <s v="JAIPUR URBAN"/>
    <s v="JAIPUR URBAN"/>
    <s v="RJ-JAIPUR"/>
    <d v="2016-11-23T00:00:00"/>
  </r>
  <r>
    <s v="805796212409"/>
    <x v="957"/>
    <s v="PAYAL TRADERS"/>
    <n v="212409"/>
    <s v="HARE KRISHNA TRADERS"/>
    <n v="0"/>
    <n v="0"/>
    <n v="0"/>
    <n v="17"/>
    <n v="0"/>
    <n v="0"/>
    <n v="30"/>
    <n v="0"/>
    <n v="0"/>
    <n v="47.5"/>
    <n v="0"/>
    <n v="0"/>
    <n v="22.5"/>
    <n v="0"/>
    <n v="0"/>
    <n v="25.5"/>
    <n v="0"/>
    <n v="0"/>
    <n v="27.5"/>
    <n v="7.5"/>
    <n v="0"/>
    <n v="36"/>
    <n v="0"/>
    <n v="0"/>
    <n v="206"/>
    <n v="7.5"/>
    <n v="0"/>
    <s v="JAIPUR URBAN"/>
    <s v="JAIPUR URBAN"/>
    <s v="RJ-JAIPUR"/>
    <d v="2016-11-23T00:00:00"/>
  </r>
  <r>
    <s v="806289179796"/>
    <x v="958"/>
    <s v="ABHAY CONSTRUCTION AND PROPERT"/>
    <n v="179796"/>
    <s v="VINAYAK TRADE HOME"/>
    <n v="26"/>
    <n v="0"/>
    <n v="0"/>
    <n v="47.5"/>
    <n v="0"/>
    <n v="0"/>
    <n v="59"/>
    <n v="0"/>
    <n v="0"/>
    <n v="47.5"/>
    <n v="0"/>
    <n v="0"/>
    <n v="6.5"/>
    <n v="0"/>
    <n v="0"/>
    <n v="25"/>
    <n v="0"/>
    <n v="0"/>
    <n v="16.5"/>
    <n v="0"/>
    <n v="0"/>
    <n v="36"/>
    <n v="0"/>
    <n v="0"/>
    <n v="264"/>
    <n v="0"/>
    <n v="0"/>
    <s v="JAIPUR URBAN"/>
    <s v="JAIPUR URBAN"/>
    <s v="RJ-JAIPUR"/>
    <d v="2017-04-27T00:00:00"/>
  </r>
  <r>
    <s v="806433119261"/>
    <x v="959"/>
    <s v="GOYAL CONSTRUCTION &amp; CONSULTAN"/>
    <n v="119261"/>
    <s v="DURGESH ENTERPRISES"/>
    <n v="448.5"/>
    <n v="6"/>
    <n v="0"/>
    <n v="474.25"/>
    <n v="0"/>
    <n v="0"/>
    <n v="541.5"/>
    <n v="35"/>
    <n v="3.5"/>
    <n v="445.25"/>
    <n v="2"/>
    <n v="5"/>
    <n v="318.25"/>
    <n v="16"/>
    <n v="0.75"/>
    <n v="378.6"/>
    <n v="20.100000000000001"/>
    <n v="15.5"/>
    <n v="375"/>
    <n v="0"/>
    <n v="0"/>
    <n v="375"/>
    <n v="10"/>
    <n v="11"/>
    <n v="3356.35"/>
    <n v="79.099999999999994"/>
    <n v="24.75"/>
    <s v="JAIPUR URBAN"/>
    <s v="JAIPUR URBAN"/>
    <s v="RJ-JAIPUR"/>
    <d v="2017-06-06T00:00:00"/>
  </r>
  <r>
    <s v="806510119261"/>
    <x v="960"/>
    <s v="GOVIND TRADERS"/>
    <n v="119261"/>
    <s v="DURGESH ENTERPRISES"/>
    <n v="10"/>
    <n v="0"/>
    <n v="0"/>
    <n v="0"/>
    <n v="0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s v="JAIPUR URBAN"/>
    <s v="JAIPUR URBAN"/>
    <s v="RJ-JAIPUR"/>
    <d v="2017-06-23T00:00:00"/>
  </r>
  <r>
    <s v="806717141146"/>
    <x v="961"/>
    <s v="KAMLESH CEMENT AGENCY"/>
    <n v="141146"/>
    <s v="KEDIA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URBAN"/>
    <s v="JAIPUR URBAN"/>
    <s v="RJ-JAIPUR"/>
    <d v="2017-08-17T00:00:00"/>
  </r>
  <r>
    <s v="806722119261"/>
    <x v="962"/>
    <s v="AGARWAL PROPERTIES AND BUILDIN"/>
    <n v="119261"/>
    <s v="DURGESH ENTERPRISES"/>
    <n v="101"/>
    <n v="0"/>
    <n v="0"/>
    <n v="75"/>
    <n v="0"/>
    <n v="0"/>
    <n v="55"/>
    <n v="0"/>
    <n v="0"/>
    <n v="25"/>
    <n v="0"/>
    <n v="0"/>
    <n v="35"/>
    <n v="0"/>
    <n v="0"/>
    <n v="35.5"/>
    <n v="0"/>
    <n v="0"/>
    <n v="77"/>
    <n v="0"/>
    <n v="0"/>
    <n v="27.5"/>
    <n v="0"/>
    <n v="0"/>
    <n v="431"/>
    <n v="0"/>
    <n v="0"/>
    <s v="JAIPUR URBAN"/>
    <s v="JAIPUR URBAN"/>
    <s v="RJ-JAIPUR"/>
    <d v="2017-08-17T00:00:00"/>
  </r>
  <r>
    <s v="806723119261"/>
    <x v="963"/>
    <s v="LAXMI BUILDING MATERIAL SUPPLI"/>
    <n v="119261"/>
    <s v="DURGESH ENTERPRISES"/>
    <n v="30"/>
    <n v="0"/>
    <n v="0"/>
    <n v="0"/>
    <n v="0"/>
    <n v="0"/>
    <n v="36"/>
    <n v="0"/>
    <n v="0"/>
    <n v="50"/>
    <n v="0"/>
    <n v="0"/>
    <n v="0"/>
    <n v="0"/>
    <n v="0"/>
    <n v="55"/>
    <n v="0"/>
    <n v="0"/>
    <n v="2"/>
    <n v="0"/>
    <n v="0"/>
    <n v="110.5"/>
    <n v="0"/>
    <n v="0"/>
    <n v="283.5"/>
    <n v="0"/>
    <n v="0"/>
    <s v="JAIPUR URBAN"/>
    <s v="JAIPUR URBAN"/>
    <s v="RJ-JAIPUR"/>
    <d v="2017-08-17T00:00:00"/>
  </r>
  <r>
    <s v="807120119261"/>
    <x v="964"/>
    <s v="AGARWAL SANITATION"/>
    <n v="119261"/>
    <s v="DURGESH ENTERPRISES"/>
    <n v="390"/>
    <n v="0"/>
    <n v="0"/>
    <n v="300.5"/>
    <n v="0"/>
    <n v="0"/>
    <n v="295.5"/>
    <n v="3.5"/>
    <n v="1"/>
    <n v="360"/>
    <n v="0"/>
    <n v="0"/>
    <n v="225"/>
    <n v="0"/>
    <n v="0"/>
    <n v="228.5"/>
    <n v="0"/>
    <n v="0"/>
    <n v="300"/>
    <n v="6"/>
    <n v="0"/>
    <n v="300"/>
    <n v="0"/>
    <n v="0"/>
    <n v="2399.5"/>
    <n v="9.5"/>
    <n v="1"/>
    <s v="JAIPUR URBAN"/>
    <s v="JAIPUR URBAN"/>
    <s v="RJ-JAIPUR"/>
    <d v="2018-10-27T00:00:00"/>
  </r>
  <r>
    <s v="807142171947"/>
    <x v="965"/>
    <s v="R S TRADERS"/>
    <n v="171947"/>
    <s v="M.N.ASSOCIATES"/>
    <n v="146.55000000000001"/>
    <n v="11"/>
    <n v="0"/>
    <n v="71"/>
    <n v="0"/>
    <n v="0"/>
    <n v="65"/>
    <n v="0"/>
    <n v="0"/>
    <n v="38"/>
    <n v="0"/>
    <n v="0"/>
    <n v="116"/>
    <n v="1"/>
    <n v="0"/>
    <n v="136.5"/>
    <n v="1"/>
    <n v="13"/>
    <n v="110.5"/>
    <n v="0"/>
    <n v="2.5"/>
    <n v="120"/>
    <n v="0"/>
    <n v="0"/>
    <n v="803.55"/>
    <n v="13"/>
    <n v="15.5"/>
    <s v="JAIPUR URBAN"/>
    <s v="JAIPUR URBAN"/>
    <s v="RJ-JAIPUR"/>
    <d v="2018-11-02T00:00:00"/>
  </r>
  <r>
    <s v="807202171947"/>
    <x v="966"/>
    <s v="SHREE RADHIKA TRADERS"/>
    <n v="171947"/>
    <s v="M.N.ASSOCIATES"/>
    <n v="37.5"/>
    <n v="0"/>
    <n v="0"/>
    <n v="12.5"/>
    <n v="7.5"/>
    <n v="0"/>
    <n v="28.5"/>
    <n v="0"/>
    <n v="0"/>
    <n v="22.5"/>
    <n v="0"/>
    <n v="0"/>
    <n v="22.5"/>
    <n v="0"/>
    <n v="0"/>
    <n v="33.25"/>
    <n v="0"/>
    <n v="0"/>
    <n v="42.5"/>
    <n v="0"/>
    <n v="9"/>
    <n v="50.5"/>
    <n v="0"/>
    <n v="0"/>
    <n v="249.75"/>
    <n v="7.5"/>
    <n v="9"/>
    <s v="JAIPUR URBAN"/>
    <s v="JAIPUR URBAN"/>
    <s v="RJ-JAIPUR"/>
    <d v="2018-11-23T00:00:00"/>
  </r>
  <r>
    <s v="807203119261"/>
    <x v="967"/>
    <s v="GAGAN TRADERS"/>
    <n v="119261"/>
    <s v="DURGESH ENTERPRISES"/>
    <n v="0"/>
    <n v="0"/>
    <n v="0"/>
    <n v="0"/>
    <n v="0"/>
    <n v="0"/>
    <n v="10"/>
    <n v="0"/>
    <n v="0"/>
    <n v="0"/>
    <n v="0"/>
    <n v="0"/>
    <n v="0"/>
    <n v="0"/>
    <n v="0"/>
    <n v="2.5"/>
    <n v="2.5"/>
    <n v="0"/>
    <n v="0"/>
    <n v="0"/>
    <n v="0"/>
    <n v="16"/>
    <n v="0"/>
    <n v="1"/>
    <n v="28.5"/>
    <n v="2.5"/>
    <n v="0"/>
    <s v="JAIPUR URBAN"/>
    <s v="JAIPUR URBAN"/>
    <s v="RJ-JAIPUR"/>
    <d v="2018-11-23T00:00:00"/>
  </r>
  <r>
    <s v="807244201172"/>
    <x v="968"/>
    <s v="ADITYA ENTERPRISES"/>
    <n v="201172"/>
    <s v="MAA TRADERS"/>
    <n v="0"/>
    <n v="0"/>
    <n v="0"/>
    <n v="76.5"/>
    <n v="0"/>
    <n v="0"/>
    <n v="47.5"/>
    <n v="0"/>
    <n v="0"/>
    <n v="57.5"/>
    <n v="0"/>
    <n v="0"/>
    <n v="57.25"/>
    <n v="0"/>
    <n v="0"/>
    <n v="49"/>
    <n v="0"/>
    <n v="0"/>
    <n v="66.75"/>
    <n v="6.25"/>
    <n v="0"/>
    <n v="52"/>
    <n v="0"/>
    <n v="0"/>
    <n v="406.5"/>
    <n v="6.25"/>
    <n v="0"/>
    <s v="JAIPUR URBAN"/>
    <s v="JAIPUR URBAN"/>
    <s v="RJ-JAIPUR"/>
    <d v="2017-11-15T00:00:00"/>
  </r>
  <r>
    <s v="807416176279"/>
    <x v="969"/>
    <s v="JAI SHREE SHYAM TRADERS"/>
    <n v="176279"/>
    <s v="ADITYA ENTERPRISES"/>
    <n v="88"/>
    <n v="0"/>
    <n v="0"/>
    <n v="67"/>
    <n v="0"/>
    <n v="0"/>
    <n v="32.75"/>
    <n v="0"/>
    <n v="1"/>
    <n v="54.5"/>
    <n v="0"/>
    <n v="0"/>
    <n v="41.8"/>
    <n v="0"/>
    <n v="0"/>
    <n v="32.5"/>
    <n v="0"/>
    <n v="0"/>
    <n v="47.5"/>
    <n v="0"/>
    <n v="0"/>
    <n v="40.5"/>
    <n v="0"/>
    <n v="0"/>
    <n v="404.55"/>
    <n v="0"/>
    <n v="1"/>
    <s v="JAIPUR URBAN"/>
    <s v="JAIPUR URBAN"/>
    <s v="RJ-JAIPUR"/>
    <d v="2018-12-24T00:00:00"/>
  </r>
  <r>
    <s v="807576201172"/>
    <x v="970"/>
    <s v="SHARMA BUILDING MATERIAL SUPPL"/>
    <n v="201172"/>
    <s v="MAA TRADERS"/>
    <n v="27.5"/>
    <n v="0"/>
    <n v="0"/>
    <n v="15"/>
    <n v="0"/>
    <n v="0"/>
    <n v="47.5"/>
    <n v="0"/>
    <n v="0"/>
    <n v="24.05"/>
    <n v="2.5"/>
    <n v="0"/>
    <n v="65.5"/>
    <n v="14"/>
    <n v="0"/>
    <n v="24.75"/>
    <n v="0"/>
    <n v="0"/>
    <n v="22.5"/>
    <n v="7.5"/>
    <n v="0"/>
    <n v="15"/>
    <n v="0"/>
    <n v="0"/>
    <n v="241.8"/>
    <n v="24"/>
    <n v="0"/>
    <s v="JAIPUR URBAN"/>
    <s v="JAIPUR URBAN"/>
    <s v="RJ-JAIPUR"/>
    <d v="2017-11-25T00:00:00"/>
  </r>
  <r>
    <s v="807780149893"/>
    <x v="971"/>
    <s v="BALAJI TRADERS"/>
    <n v="149893"/>
    <s v="DRASHTIKA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URBAN"/>
    <s v="JAIPUR URBAN"/>
    <s v="RJ-JAIPUR"/>
    <d v="2019-01-22T00:00:00"/>
  </r>
  <r>
    <s v="807781176647"/>
    <x v="972"/>
    <s v="BALAJI TRADERS"/>
    <n v="176647"/>
    <s v="SHREE RIDDHI SIDDHI TRADERS"/>
    <n v="25"/>
    <n v="0"/>
    <n v="0"/>
    <n v="55.5"/>
    <n v="0"/>
    <n v="0"/>
    <n v="104"/>
    <n v="0"/>
    <n v="0"/>
    <n v="72.5"/>
    <n v="0"/>
    <n v="0"/>
    <n v="70"/>
    <n v="0"/>
    <n v="0"/>
    <n v="24.5"/>
    <n v="0"/>
    <n v="0"/>
    <n v="25"/>
    <n v="0"/>
    <n v="0"/>
    <n v="32.5"/>
    <n v="0"/>
    <n v="0"/>
    <n v="409"/>
    <n v="0"/>
    <n v="0"/>
    <s v="JAIPUR URBAN"/>
    <s v="JAIPUR URBAN"/>
    <s v="RJ-JAIPUR"/>
    <d v="2019-01-22T00:00:00"/>
  </r>
  <r>
    <s v="807889119261"/>
    <x v="973"/>
    <s v="GUPTA BUILDING MATERIAL SUPPLI"/>
    <n v="119261"/>
    <s v="DURGESH ENTERPRISES"/>
    <n v="50.5"/>
    <n v="0"/>
    <n v="0"/>
    <n v="55"/>
    <n v="0"/>
    <n v="0"/>
    <n v="75"/>
    <n v="0"/>
    <n v="20"/>
    <n v="35"/>
    <n v="0"/>
    <n v="0"/>
    <n v="75"/>
    <n v="0"/>
    <n v="0"/>
    <n v="77"/>
    <n v="0"/>
    <n v="0"/>
    <n v="123.5"/>
    <n v="0"/>
    <n v="0"/>
    <n v="15"/>
    <n v="0"/>
    <n v="0"/>
    <n v="506"/>
    <n v="0"/>
    <n v="20"/>
    <s v="JAIPUR URBAN"/>
    <s v="JAIPUR URBAN"/>
    <s v="RJ-JAIPUR"/>
    <d v="2018-01-11T00:00:00"/>
  </r>
  <r>
    <s v="808730201172"/>
    <x v="974"/>
    <s v="NEESHA BUILDING MATERIALS"/>
    <n v="201172"/>
    <s v="MAA TRADERS"/>
    <n v="33.65"/>
    <n v="0"/>
    <n v="0"/>
    <n v="48.5"/>
    <n v="0"/>
    <n v="0"/>
    <n v="23"/>
    <n v="0"/>
    <n v="0"/>
    <n v="16.149999999999999"/>
    <n v="0"/>
    <n v="0"/>
    <n v="16.25"/>
    <n v="0"/>
    <n v="0"/>
    <n v="5"/>
    <n v="0"/>
    <n v="0"/>
    <n v="17.5"/>
    <n v="0"/>
    <n v="0"/>
    <n v="22.5"/>
    <n v="0"/>
    <n v="0"/>
    <n v="182.55"/>
    <n v="0"/>
    <n v="0"/>
    <s v="JAIPUR URBAN"/>
    <s v="JAIPUR URBAN"/>
    <s v="RJ-JAIPUR"/>
    <d v="2018-08-03T00:00:00"/>
  </r>
  <r>
    <s v="808937125022"/>
    <x v="975"/>
    <s v="R K TRADERS"/>
    <n v="125022"/>
    <s v="SHIV CEMENT AGENCY"/>
    <n v="0"/>
    <n v="0"/>
    <n v="0"/>
    <n v="0"/>
    <n v="0"/>
    <n v="0"/>
    <n v="0"/>
    <n v="0"/>
    <n v="0"/>
    <n v="0"/>
    <n v="0"/>
    <n v="0"/>
    <n v="0.95"/>
    <n v="0"/>
    <n v="0"/>
    <n v="0"/>
    <n v="0"/>
    <n v="0"/>
    <n v="0"/>
    <n v="0"/>
    <n v="0"/>
    <n v="0"/>
    <n v="0"/>
    <n v="0"/>
    <n v="0.95"/>
    <n v="0"/>
    <n v="0"/>
    <s v="JAIPUR URBAN"/>
    <s v="JAIPUR URBAN"/>
    <s v="RJ-JAIPUR"/>
    <d v="2018-07-13T00:00:00"/>
  </r>
  <r>
    <s v="809330176647"/>
    <x v="976"/>
    <s v="AGRAWAL PLYWOOD AND TIMBER"/>
    <n v="176647"/>
    <s v="SHREE RIDDHI SIDDHI TRADERS"/>
    <n v="221"/>
    <n v="0"/>
    <n v="0"/>
    <n v="149.5"/>
    <n v="0"/>
    <n v="0"/>
    <n v="154.5"/>
    <n v="0"/>
    <n v="0"/>
    <n v="69.5"/>
    <n v="0"/>
    <n v="0"/>
    <n v="57"/>
    <n v="0"/>
    <n v="0"/>
    <n v="112.3"/>
    <n v="0"/>
    <n v="0"/>
    <n v="88"/>
    <n v="0"/>
    <n v="0"/>
    <n v="55"/>
    <n v="10"/>
    <n v="0"/>
    <n v="906.8"/>
    <n v="0"/>
    <n v="0"/>
    <s v="JAIPUR URBAN"/>
    <s v="JAIPUR URBAN"/>
    <s v="RJ-JAIPUR"/>
    <d v="2019-04-03T00:00:00"/>
  </r>
  <r>
    <s v="809534174445"/>
    <x v="977"/>
    <s v="SATTGURU BUILDING MATERIAL SUP"/>
    <n v="174445"/>
    <s v="RAM JI BUILDING MATERIAL SUPPL"/>
    <n v="0"/>
    <n v="0"/>
    <n v="0"/>
    <n v="0"/>
    <n v="0"/>
    <n v="0"/>
    <n v="0"/>
    <n v="0"/>
    <n v="0"/>
    <n v="0"/>
    <n v="0"/>
    <n v="0"/>
    <n v="21"/>
    <n v="0"/>
    <n v="0"/>
    <n v="24.25"/>
    <n v="0"/>
    <n v="0"/>
    <n v="20"/>
    <n v="0"/>
    <n v="0"/>
    <n v="10"/>
    <n v="0"/>
    <n v="0"/>
    <n v="75.25"/>
    <n v="0"/>
    <n v="0"/>
    <s v="JAIPUR URBAN"/>
    <s v="JAIPUR URBAN"/>
    <s v="RJ-JAIPUR"/>
    <d v="2019-05-11T00:00:00"/>
  </r>
  <r>
    <s v="809579119261"/>
    <x v="978"/>
    <s v="TAMBI TRADING CO"/>
    <n v="119261"/>
    <s v="DURGESH ENTERPRISES"/>
    <n v="301.5"/>
    <n v="0"/>
    <n v="0"/>
    <n v="245.5"/>
    <n v="15"/>
    <n v="0"/>
    <n v="400.5"/>
    <n v="0"/>
    <n v="1.5"/>
    <n v="304.14999999999998"/>
    <n v="0"/>
    <n v="0"/>
    <n v="111"/>
    <n v="5.5"/>
    <n v="0"/>
    <n v="310"/>
    <n v="0"/>
    <n v="0"/>
    <n v="300"/>
    <n v="0"/>
    <n v="3.75"/>
    <n v="368.5"/>
    <n v="0"/>
    <n v="0"/>
    <n v="2341.15"/>
    <n v="20.5"/>
    <n v="5.25"/>
    <s v="JAIPUR URBAN"/>
    <s v="JAIPUR URBAN"/>
    <s v="RJ-JAIPUR"/>
    <d v="2019-05-20T00:00:00"/>
  </r>
  <r>
    <s v="809618171947"/>
    <x v="979"/>
    <s v="PUNJABI BUILDING MATERIALS"/>
    <n v="171947"/>
    <s v="M.N.ASSOCIATES"/>
    <n v="50"/>
    <n v="0"/>
    <n v="0"/>
    <n v="7.5"/>
    <n v="0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65.5"/>
    <n v="0"/>
    <n v="0"/>
    <s v="JAIPUR URBAN"/>
    <s v="JAIPUR URBAN"/>
    <s v="RJ-JAIPUR"/>
    <d v="2019-05-24T00:00:00"/>
  </r>
  <r>
    <s v="809917172150"/>
    <x v="980"/>
    <s v="HIMANI ASSOCIATES"/>
    <n v="172150"/>
    <s v="GHODELA BUILDING MATERIAL AND"/>
    <n v="169.95"/>
    <n v="0"/>
    <n v="0"/>
    <n v="166.5"/>
    <n v="9.5"/>
    <n v="0"/>
    <n v="191.4"/>
    <n v="14.1"/>
    <n v="0"/>
    <n v="142.5"/>
    <n v="1"/>
    <n v="8.5"/>
    <n v="75.25"/>
    <n v="3.75"/>
    <n v="2.5"/>
    <n v="170.25"/>
    <n v="10.5"/>
    <n v="0"/>
    <n v="138"/>
    <n v="9.25"/>
    <n v="0"/>
    <n v="122.5"/>
    <n v="23.75"/>
    <n v="3.75"/>
    <n v="1176.3499999999999"/>
    <n v="48.1"/>
    <n v="11"/>
    <s v="JAIPUR URBAN"/>
    <s v="JAIPUR URBAN"/>
    <s v="RJ-JAIPUR"/>
    <d v="2019-07-13T00:00:00"/>
  </r>
  <r>
    <s v="809918144868"/>
    <x v="981"/>
    <s v="SHRI LAXMI AGENCIES"/>
    <n v="144868"/>
    <s v="ASHISH SALES CORPORATION"/>
    <n v="199.5"/>
    <n v="5.25"/>
    <n v="0"/>
    <n v="150.25"/>
    <n v="8.5"/>
    <n v="0"/>
    <n v="165.25"/>
    <n v="2.75"/>
    <n v="5"/>
    <n v="123.75"/>
    <n v="0"/>
    <n v="0"/>
    <n v="77.3"/>
    <n v="0"/>
    <n v="0"/>
    <n v="110.75"/>
    <n v="2.5"/>
    <n v="0"/>
    <n v="83"/>
    <n v="0"/>
    <n v="0"/>
    <n v="71.5"/>
    <n v="0"/>
    <n v="0"/>
    <n v="981.3"/>
    <n v="19"/>
    <n v="5"/>
    <s v="JAIPUR URBAN"/>
    <s v="JAIPUR URBAN"/>
    <s v="RJ-JAIPUR"/>
    <d v="2019-07-13T00:00:00"/>
  </r>
  <r>
    <s v="810127178137"/>
    <x v="982"/>
    <s v="KHANDELWAL TRADERS"/>
    <n v="178137"/>
    <s v="KHANDELWAL TRADING AND COMPANY"/>
    <n v="31"/>
    <n v="0"/>
    <n v="0"/>
    <n v="25.5"/>
    <n v="0"/>
    <n v="0"/>
    <n v="7.5"/>
    <n v="0"/>
    <n v="0"/>
    <n v="20"/>
    <n v="0"/>
    <n v="0"/>
    <n v="16.5"/>
    <n v="0"/>
    <n v="0"/>
    <n v="26.25"/>
    <n v="0"/>
    <n v="1.5"/>
    <n v="36"/>
    <n v="1"/>
    <n v="0"/>
    <n v="81"/>
    <n v="0"/>
    <n v="0"/>
    <n v="243.75"/>
    <n v="1"/>
    <n v="1.5"/>
    <s v="JAIPUR URBAN"/>
    <s v="JAIPUR URBAN"/>
    <s v="RJ-JAIPUR"/>
    <d v="2019-08-01T00:00:00"/>
  </r>
  <r>
    <s v="810242119261"/>
    <x v="983"/>
    <s v="GOYAL TRADERS"/>
    <n v="119261"/>
    <s v="DURGESH ENTERPRISES"/>
    <n v="531.5"/>
    <n v="5"/>
    <n v="0"/>
    <n v="355.1"/>
    <n v="0"/>
    <n v="0"/>
    <n v="333.5"/>
    <n v="4"/>
    <n v="7.5"/>
    <n v="466.75"/>
    <n v="0"/>
    <n v="0"/>
    <n v="226"/>
    <n v="0"/>
    <n v="0"/>
    <n v="306"/>
    <n v="0"/>
    <n v="0"/>
    <n v="335"/>
    <n v="0"/>
    <n v="0"/>
    <n v="387.1"/>
    <n v="0"/>
    <n v="14.75"/>
    <n v="2940.95"/>
    <n v="9"/>
    <n v="7.5"/>
    <s v="JAIPUR URBAN"/>
    <s v="JAIPUR URBAN"/>
    <s v="RJ-JAIPUR"/>
    <d v="2019-08-14T00:00:00"/>
  </r>
  <r>
    <s v="810684119261"/>
    <x v="984"/>
    <s v="CHANDER TIMBER DEPOT"/>
    <n v="119261"/>
    <s v="DURGESH ENTERPRISES"/>
    <n v="0"/>
    <n v="0"/>
    <n v="0"/>
    <n v="0"/>
    <n v="0"/>
    <n v="0"/>
    <n v="10"/>
    <n v="0"/>
    <n v="0"/>
    <n v="0"/>
    <n v="0"/>
    <n v="0"/>
    <n v="15"/>
    <n v="0"/>
    <n v="0"/>
    <n v="0"/>
    <n v="0"/>
    <n v="0"/>
    <n v="0"/>
    <n v="0"/>
    <n v="0"/>
    <n v="10"/>
    <n v="0"/>
    <n v="0"/>
    <n v="35"/>
    <n v="0"/>
    <n v="0"/>
    <s v="JAIPUR URBAN"/>
    <s v="JAIPUR URBAN"/>
    <s v="RJ-JAIPUR"/>
    <d v="2019-10-23T00:00:00"/>
  </r>
  <r>
    <s v="810734119065"/>
    <x v="985"/>
    <s v="BABA STEEL AND BUILDING MATERI"/>
    <n v="119065"/>
    <s v="AJMERA TRANSPORTER"/>
    <n v="4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"/>
    <n v="0"/>
    <n v="0"/>
    <s v="JAIPUR URBAN"/>
    <s v="JAIPUR URBAN"/>
    <s v="RJ-JAIPUR"/>
    <d v="2019-11-05T00:00:00"/>
  </r>
  <r>
    <s v="810830119261"/>
    <x v="986"/>
    <s v="SUMAN ENTERPRISES"/>
    <n v="119261"/>
    <s v="DURGESH ENTERPRISES"/>
    <n v="0"/>
    <n v="0"/>
    <n v="0"/>
    <n v="0"/>
    <n v="0"/>
    <n v="0"/>
    <n v="35"/>
    <n v="0"/>
    <n v="0"/>
    <n v="10"/>
    <n v="0"/>
    <n v="0"/>
    <n v="0"/>
    <n v="0"/>
    <n v="0"/>
    <n v="25"/>
    <n v="0"/>
    <n v="0"/>
    <n v="36"/>
    <n v="0"/>
    <n v="0"/>
    <n v="51"/>
    <n v="0"/>
    <n v="0"/>
    <n v="157"/>
    <n v="0"/>
    <n v="0"/>
    <s v="JAIPUR URBAN"/>
    <s v="JAIPUR URBAN"/>
    <s v="RJ-JAIPUR"/>
    <d v="2019-11-23T00:00:00"/>
  </r>
  <r>
    <s v="810852179911"/>
    <x v="987"/>
    <s v="ROHIT STEEL AND BUILDING MATER"/>
    <n v="179911"/>
    <s v="DIPESH STEEL AND BUILDING MATE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.5"/>
    <n v="0"/>
    <n v="0"/>
    <n v="0"/>
    <n v="0"/>
    <n v="0"/>
    <n v="3.5"/>
    <n v="0"/>
    <n v="0"/>
    <s v="JAIPUR URBAN"/>
    <s v="JAIPUR URBAN"/>
    <s v="RJ-JAIPUR"/>
    <d v="2019-11-27T00:00:00"/>
  </r>
  <r>
    <s v="811137177957"/>
    <x v="988"/>
    <s v="AGARWAL TRADERS"/>
    <n v="177957"/>
    <s v="MITTAL AGENCY"/>
    <n v="44.9"/>
    <n v="9"/>
    <n v="0"/>
    <n v="67.75"/>
    <n v="0"/>
    <n v="0"/>
    <n v="62.75"/>
    <n v="0"/>
    <n v="8.75"/>
    <n v="50"/>
    <n v="9"/>
    <n v="0"/>
    <n v="45.5"/>
    <n v="0"/>
    <n v="2.5"/>
    <n v="50.5"/>
    <n v="0"/>
    <n v="6"/>
    <n v="33"/>
    <n v="0"/>
    <n v="0"/>
    <n v="72.5"/>
    <n v="0"/>
    <n v="0"/>
    <n v="426.9"/>
    <n v="18"/>
    <n v="17.25"/>
    <s v="JAIPUR URBAN"/>
    <s v="JAIPUR URBAN"/>
    <s v="RJ-JAIPUR"/>
    <d v="2019-12-30T00:00:00"/>
  </r>
  <r>
    <s v="811183174445"/>
    <x v="989"/>
    <s v="SHARMA BUILDING MATERIAL SUPPL"/>
    <n v="174445"/>
    <s v="RAM JI BUILDING MATERIAL SUPPL"/>
    <n v="10"/>
    <n v="0"/>
    <n v="0"/>
    <n v="21"/>
    <n v="0"/>
    <n v="0"/>
    <n v="25"/>
    <n v="0"/>
    <n v="0"/>
    <n v="17.5"/>
    <n v="0"/>
    <n v="0"/>
    <n v="21"/>
    <n v="0"/>
    <n v="0"/>
    <n v="34.25"/>
    <n v="0"/>
    <n v="0"/>
    <n v="15"/>
    <n v="0"/>
    <n v="0"/>
    <n v="12.5"/>
    <n v="0"/>
    <n v="0"/>
    <n v="156.25"/>
    <n v="0"/>
    <n v="0"/>
    <s v="JAIPUR URBAN"/>
    <s v="JAIPUR URBAN"/>
    <s v="RJ-JAIPUR"/>
    <d v="2020-01-04T00:00:00"/>
  </r>
  <r>
    <s v="811251144868"/>
    <x v="990"/>
    <s v="VIVEK ENTERPRISES"/>
    <n v="144868"/>
    <s v="ASHISH SALES CORPORATION"/>
    <n v="0"/>
    <n v="0"/>
    <n v="0"/>
    <n v="12.5"/>
    <n v="0"/>
    <n v="0"/>
    <n v="33.5"/>
    <n v="0"/>
    <n v="0"/>
    <n v="17.5"/>
    <n v="0"/>
    <n v="0"/>
    <n v="20.5"/>
    <n v="0"/>
    <n v="0"/>
    <n v="21"/>
    <n v="0"/>
    <n v="0"/>
    <n v="20"/>
    <n v="0"/>
    <n v="0"/>
    <n v="10"/>
    <n v="0"/>
    <n v="0"/>
    <n v="135"/>
    <n v="0"/>
    <n v="0"/>
    <s v="JAIPUR URBAN"/>
    <s v="JAIPUR URBAN"/>
    <s v="RJ-JAIPUR"/>
    <d v="2020-01-14T00:00:00"/>
  </r>
  <r>
    <s v="811401145639"/>
    <x v="991"/>
    <s v="KAMAL SINGH GURJAR"/>
    <n v="145639"/>
    <s v="GOVIND TRADERS"/>
    <n v="0"/>
    <n v="0"/>
    <n v="0"/>
    <n v="0"/>
    <n v="0"/>
    <n v="0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7.5"/>
    <n v="0"/>
    <n v="0"/>
    <s v="JAIPUR URBAN"/>
    <s v="JAIPUR URBAN"/>
    <s v="RJ-JAIPUR"/>
    <d v="2020-02-04T00:00:00"/>
  </r>
  <r>
    <s v="811455176279"/>
    <x v="992"/>
    <s v="MADAN SANITATION"/>
    <n v="176279"/>
    <s v="ADITYA ENTERPRISES"/>
    <n v="2.5"/>
    <n v="0"/>
    <n v="0"/>
    <n v="0"/>
    <n v="0"/>
    <n v="0"/>
    <n v="17.5"/>
    <n v="0"/>
    <n v="0"/>
    <n v="19"/>
    <n v="0"/>
    <n v="0"/>
    <n v="0"/>
    <n v="0"/>
    <n v="0"/>
    <n v="0"/>
    <n v="0"/>
    <n v="0"/>
    <n v="7.5"/>
    <n v="0"/>
    <n v="0"/>
    <n v="0"/>
    <n v="0"/>
    <n v="0"/>
    <n v="46.5"/>
    <n v="0"/>
    <n v="0"/>
    <s v="JAIPUR URBAN"/>
    <s v="JAIPUR URBAN"/>
    <s v="RJ-JAIPUR"/>
    <d v="2020-02-07T00:00:00"/>
  </r>
  <r>
    <s v="811480119071"/>
    <x v="993"/>
    <s v="GAURAV BUILDING MATERIAL SUPPL"/>
    <n v="119071"/>
    <s v="GANESH AGENCIES"/>
    <n v="0"/>
    <n v="0"/>
    <n v="0"/>
    <n v="0"/>
    <n v="0"/>
    <n v="0"/>
    <n v="0"/>
    <n v="0"/>
    <n v="0"/>
    <n v="3.25"/>
    <n v="0"/>
    <n v="0"/>
    <n v="7.5"/>
    <n v="0"/>
    <n v="0"/>
    <n v="7.5"/>
    <n v="0"/>
    <n v="0"/>
    <n v="47.5"/>
    <n v="0"/>
    <n v="5"/>
    <n v="22.5"/>
    <n v="0"/>
    <n v="0"/>
    <n v="88.25"/>
    <n v="0"/>
    <n v="5"/>
    <s v="JAIPUR URBAN"/>
    <s v="JAIPUR URBAN"/>
    <s v="RJ-JAIPUR"/>
    <d v="2020-02-12T00:00:00"/>
  </r>
  <r>
    <s v="811535176279"/>
    <x v="994"/>
    <s v="SHREE BALAJI BUILDING MATERIAL"/>
    <n v="176279"/>
    <s v="ADITYA ENTERPRISES"/>
    <n v="0"/>
    <n v="0"/>
    <n v="0"/>
    <n v="2.5"/>
    <n v="0"/>
    <n v="0"/>
    <n v="4"/>
    <n v="4"/>
    <n v="0"/>
    <n v="0"/>
    <n v="0"/>
    <n v="0"/>
    <n v="0"/>
    <n v="0"/>
    <n v="0"/>
    <n v="0"/>
    <n v="0"/>
    <n v="0"/>
    <n v="5"/>
    <n v="0"/>
    <n v="0"/>
    <n v="0"/>
    <n v="0"/>
    <n v="0"/>
    <n v="11.5"/>
    <n v="4"/>
    <n v="0"/>
    <s v="JAIPUR URBAN"/>
    <s v="JAIPUR URBAN"/>
    <s v="RJ-JAIPUR"/>
    <d v="2020-02-18T00:00:00"/>
  </r>
  <r>
    <s v="811639141512"/>
    <x v="995"/>
    <s v="SAPNA TRADERS"/>
    <n v="141512"/>
    <s v="MISHRA TRADERS"/>
    <n v="31.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5"/>
    <n v="0"/>
    <n v="0"/>
    <s v="JAIPUR URBAN"/>
    <s v="JAIPUR URBAN"/>
    <s v="RJ-JAIPUR"/>
    <d v="2020-02-28T00:00:00"/>
  </r>
  <r>
    <s v="811862149872"/>
    <x v="996"/>
    <s v="AKHIL AGARWAL"/>
    <n v="149872"/>
    <s v="GD ASSOCIATES"/>
    <n v="174.3"/>
    <n v="25"/>
    <n v="0"/>
    <n v="129"/>
    <n v="5"/>
    <n v="0"/>
    <n v="162.80000000000001"/>
    <n v="0"/>
    <n v="2.5"/>
    <n v="205.05"/>
    <n v="0"/>
    <n v="10.050000000000001"/>
    <n v="87.5"/>
    <n v="5"/>
    <n v="5"/>
    <n v="214.25"/>
    <n v="7.95"/>
    <n v="0"/>
    <n v="178.25"/>
    <n v="0"/>
    <n v="10"/>
    <n v="260"/>
    <n v="0"/>
    <n v="12.5"/>
    <n v="1411.15"/>
    <n v="42.95"/>
    <n v="27.55"/>
    <s v="JAIPUR URBAN"/>
    <s v="JAIPUR URBAN"/>
    <s v="RJ-JAIPUR"/>
    <d v="2020-06-05T00:00:00"/>
  </r>
  <r>
    <s v="812071179911"/>
    <x v="997"/>
    <s v="SHRI BAJRANG STEEL &amp; CEMENT AG"/>
    <n v="179911"/>
    <s v="DIPESH STEEL AND BUILDING MATE"/>
    <n v="32"/>
    <n v="3.1"/>
    <n v="0"/>
    <n v="32.1"/>
    <n v="0"/>
    <n v="0"/>
    <n v="28.900000000000002"/>
    <n v="0.8"/>
    <n v="5"/>
    <n v="10.25"/>
    <n v="4"/>
    <n v="0"/>
    <n v="0"/>
    <n v="0"/>
    <n v="0"/>
    <n v="0"/>
    <n v="0"/>
    <n v="0"/>
    <n v="0"/>
    <n v="0"/>
    <n v="0"/>
    <n v="0"/>
    <n v="0"/>
    <n v="0"/>
    <n v="103.25"/>
    <n v="7.9"/>
    <n v="5"/>
    <s v="JAIPUR URBAN"/>
    <s v="JAIPUR URBAN"/>
    <s v="RJ-JAIPUR"/>
    <d v="2020-06-30T00:00:00"/>
  </r>
  <r>
    <s v="812071119261"/>
    <x v="997"/>
    <s v="SHRI BAJRANG STEEL &amp; CEMENT AG"/>
    <n v="119261"/>
    <s v="DURGESH ENTERPRISES"/>
    <n v="0"/>
    <n v="0"/>
    <n v="0"/>
    <n v="0"/>
    <n v="0"/>
    <n v="0"/>
    <n v="0"/>
    <n v="0"/>
    <n v="0"/>
    <n v="25"/>
    <n v="0"/>
    <n v="0"/>
    <n v="50"/>
    <n v="0"/>
    <n v="0"/>
    <n v="141"/>
    <n v="0"/>
    <n v="0"/>
    <n v="195"/>
    <n v="0"/>
    <n v="0"/>
    <n v="225.7"/>
    <n v="19"/>
    <n v="0"/>
    <n v="636.70000000000005"/>
    <n v="0"/>
    <n v="0"/>
    <s v="JAIPUR URBAN"/>
    <s v="JAIPUR URBAN"/>
    <s v="RJ-JAIPUR"/>
    <d v="2020-06-30T00:00:00"/>
  </r>
  <r>
    <s v="812072144868"/>
    <x v="998"/>
    <s v="ANUPAM PAINTS AND HARDWARES"/>
    <n v="144868"/>
    <s v="ASHISH SALES CORPORATION"/>
    <n v="2.5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5"/>
    <n v="0"/>
    <n v="0"/>
    <s v="JAIPUR URBAN"/>
    <s v="JAIPUR URBAN"/>
    <s v="RJ-JAIPUR"/>
    <d v="2020-06-30T00:00:00"/>
  </r>
  <r>
    <s v="812142174445"/>
    <x v="999"/>
    <s v="GURUKRIPA SUPPLIERS"/>
    <n v="174445"/>
    <s v="RAM JI BUILDING MATERIAL SUPPL"/>
    <n v="40"/>
    <n v="5"/>
    <n v="0"/>
    <n v="12"/>
    <n v="0"/>
    <n v="0"/>
    <n v="25"/>
    <n v="0"/>
    <n v="0"/>
    <n v="17.5"/>
    <n v="0"/>
    <n v="0"/>
    <n v="16"/>
    <n v="0"/>
    <n v="0"/>
    <n v="23.75"/>
    <n v="0"/>
    <n v="0"/>
    <n v="18.75"/>
    <n v="0"/>
    <n v="0"/>
    <n v="12.5"/>
    <n v="0"/>
    <n v="0"/>
    <n v="165.5"/>
    <n v="5"/>
    <n v="0"/>
    <s v="JAIPUR URBAN"/>
    <s v="JAIPUR URBAN"/>
    <s v="RJ-JAIPUR"/>
    <d v="2020-07-07T00:00:00"/>
  </r>
  <r>
    <s v="812161145639"/>
    <x v="1000"/>
    <s v="ARPIT TRADERS"/>
    <n v="145639"/>
    <s v="GOVIND TRADERS"/>
    <n v="89.25"/>
    <n v="5"/>
    <n v="0"/>
    <n v="33"/>
    <n v="2.0499999999999998"/>
    <n v="0"/>
    <n v="102.95"/>
    <n v="6.25"/>
    <n v="7.5"/>
    <n v="43.75"/>
    <n v="0.5"/>
    <n v="0"/>
    <n v="20.5"/>
    <n v="0"/>
    <n v="0"/>
    <n v="79.5"/>
    <n v="0"/>
    <n v="12.5"/>
    <n v="34"/>
    <n v="0"/>
    <n v="0"/>
    <n v="43.5"/>
    <n v="0"/>
    <n v="16"/>
    <n v="446.45"/>
    <n v="13.8"/>
    <n v="20"/>
    <s v="JAIPUR URBAN"/>
    <s v="JAIPUR URBAN"/>
    <s v="RJ-JAIPUR"/>
    <d v="2020-07-09T00:00:00"/>
  </r>
  <r>
    <s v="812196174445"/>
    <x v="1001"/>
    <s v="SHREE KALYAN BUILDING MATERIAL"/>
    <n v="174445"/>
    <s v="RAM JI BUILDING MATERIAL SUPPL"/>
    <n v="10"/>
    <n v="0"/>
    <n v="0"/>
    <n v="0"/>
    <n v="0"/>
    <n v="0"/>
    <n v="0"/>
    <n v="0"/>
    <n v="0"/>
    <n v="0"/>
    <n v="0"/>
    <n v="0"/>
    <n v="2.5"/>
    <n v="0"/>
    <n v="0"/>
    <n v="2.25"/>
    <n v="0"/>
    <n v="0"/>
    <n v="0"/>
    <n v="0"/>
    <n v="0"/>
    <n v="0"/>
    <n v="0"/>
    <n v="0"/>
    <n v="14.75"/>
    <n v="0"/>
    <n v="0"/>
    <s v="JAIPUR URBAN"/>
    <s v="JAIPUR URBAN"/>
    <s v="RJ-JAIPUR"/>
    <d v="2020-07-11T00:00:00"/>
  </r>
  <r>
    <s v="812425146909"/>
    <x v="1002"/>
    <s v="KUSHAL TRADING COMPANY"/>
    <n v="146909"/>
    <s v="AMERIA BUILDING MATERIAL"/>
    <n v="164.1"/>
    <n v="0"/>
    <n v="0"/>
    <n v="109.5"/>
    <n v="0"/>
    <n v="0"/>
    <n v="90.5"/>
    <n v="0"/>
    <n v="0"/>
    <n v="77.099999999999994"/>
    <n v="1"/>
    <n v="5.6"/>
    <n v="117"/>
    <n v="1"/>
    <n v="0"/>
    <n v="67"/>
    <n v="0"/>
    <n v="0"/>
    <n v="62"/>
    <n v="0"/>
    <n v="0"/>
    <n v="11.75"/>
    <n v="1.75"/>
    <n v="0"/>
    <n v="698.95"/>
    <n v="2"/>
    <n v="5.6"/>
    <s v="JAIPUR URBAN"/>
    <s v="JAIPUR URBAN"/>
    <s v="RJ-JAIPUR"/>
    <d v="2020-07-31T00:00:00"/>
  </r>
  <r>
    <s v="812428176279"/>
    <x v="1003"/>
    <s v="SHREE JI HARDWARE &amp; SANITARY"/>
    <n v="176279"/>
    <s v="ADITYA ENTERPRISES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7.5"/>
    <n v="0"/>
    <n v="0"/>
    <n v="0"/>
    <n v="0"/>
    <n v="0"/>
    <n v="15.5"/>
    <n v="0"/>
    <n v="0"/>
    <s v="JAIPUR URBAN"/>
    <s v="JAIPUR URBAN"/>
    <s v="RJ-JAIPUR"/>
    <d v="2020-07-31T00:00:00"/>
  </r>
  <r>
    <s v="812658119071"/>
    <x v="1004"/>
    <s v="SHREE SHYAM CONSTRUCTION COMPA"/>
    <n v="119071"/>
    <s v="GANESH AGENC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URBAN"/>
    <s v="JAIPUR URBAN"/>
    <s v="RJ-JAIPUR"/>
    <d v="2020-08-26T00:00:00"/>
  </r>
  <r>
    <s v="813074177957"/>
    <x v="1005"/>
    <s v="JAI KARAULI MAA TRADERS"/>
    <n v="177957"/>
    <s v="MITTAL AGENCY"/>
    <n v="10"/>
    <n v="0"/>
    <n v="0"/>
    <n v="0"/>
    <n v="0"/>
    <n v="0"/>
    <n v="9"/>
    <n v="0"/>
    <n v="0"/>
    <n v="7.5"/>
    <n v="0"/>
    <n v="0"/>
    <n v="7.5"/>
    <n v="0"/>
    <n v="0"/>
    <n v="12"/>
    <n v="0"/>
    <n v="0"/>
    <n v="25"/>
    <n v="0"/>
    <n v="0"/>
    <n v="10"/>
    <n v="0"/>
    <n v="0"/>
    <n v="81"/>
    <n v="0"/>
    <n v="0"/>
    <s v="JAIPUR URBAN"/>
    <s v="JAIPUR URBAN"/>
    <s v="RJ-JAIPUR"/>
    <d v="2020-09-26T00:00:00"/>
  </r>
  <r>
    <s v="813147204307"/>
    <x v="1006"/>
    <s v="RUCHI ENTERPRISES"/>
    <n v="204307"/>
    <s v="JAI BAJRANG STEELS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20"/>
    <n v="0"/>
    <n v="0"/>
    <s v="JAIPUR URBAN"/>
    <s v="JAIPUR URBAN"/>
    <s v="RJ-JAIPUR"/>
    <d v="2020-09-30T00:00:00"/>
  </r>
  <r>
    <s v="813327204307"/>
    <x v="1007"/>
    <s v="MAHA LAXMI SALES"/>
    <n v="204307"/>
    <s v="JAI BAJRANG STEELS"/>
    <n v="133.65"/>
    <n v="5"/>
    <n v="0"/>
    <n v="103.25"/>
    <n v="0.5"/>
    <n v="0"/>
    <n v="39.25"/>
    <n v="0"/>
    <n v="0"/>
    <n v="0"/>
    <n v="0"/>
    <n v="0"/>
    <n v="0"/>
    <n v="0"/>
    <n v="0"/>
    <n v="0"/>
    <n v="0"/>
    <n v="0"/>
    <n v="0"/>
    <n v="0"/>
    <n v="0"/>
    <n v="0"/>
    <n v="0"/>
    <n v="0"/>
    <n v="276.14999999999998"/>
    <n v="5.5"/>
    <n v="0"/>
    <s v="JAIPUR URBAN"/>
    <s v="JAIPUR URBAN"/>
    <s v="RJ-JAIPUR"/>
    <d v="2020-10-20T00:00:00"/>
  </r>
  <r>
    <s v="813602177603"/>
    <x v="1008"/>
    <s v="YADAV CONSTRUCTION COMPANY"/>
    <n v="177603"/>
    <s v="SEEMA BUILDING MATERIAL SUPPLI"/>
    <n v="18.5"/>
    <n v="0"/>
    <n v="0"/>
    <n v="10"/>
    <n v="0"/>
    <n v="0"/>
    <n v="33.75"/>
    <n v="0"/>
    <n v="0"/>
    <n v="25"/>
    <n v="0"/>
    <n v="0"/>
    <n v="10"/>
    <n v="5"/>
    <n v="0"/>
    <n v="37.5"/>
    <n v="0"/>
    <n v="0"/>
    <n v="25"/>
    <n v="0"/>
    <n v="0"/>
    <n v="39.5"/>
    <n v="0"/>
    <n v="0"/>
    <n v="199.25"/>
    <n v="5"/>
    <n v="0"/>
    <s v="JAIPUR URBAN"/>
    <s v="JAIPUR URBAN"/>
    <s v="RJ-JAIPUR"/>
    <d v="2020-11-21T00:00:00"/>
  </r>
  <r>
    <s v="813800144868"/>
    <x v="1009"/>
    <s v="SHAKUN ENTERPRISES"/>
    <n v="144868"/>
    <s v="ASHISH SALES CORPORATION"/>
    <n v="2.5"/>
    <n v="0"/>
    <n v="0"/>
    <n v="66.5"/>
    <n v="0"/>
    <n v="0"/>
    <n v="35.5"/>
    <n v="0"/>
    <n v="0"/>
    <n v="15"/>
    <n v="0"/>
    <n v="0"/>
    <n v="18.2"/>
    <n v="0"/>
    <n v="0"/>
    <n v="31"/>
    <n v="0"/>
    <n v="0"/>
    <n v="10"/>
    <n v="0"/>
    <n v="0"/>
    <n v="20"/>
    <n v="0"/>
    <n v="0"/>
    <n v="198.7"/>
    <n v="0"/>
    <n v="0"/>
    <s v="JAIPUR URBAN"/>
    <s v="JAIPUR URBAN"/>
    <s v="RJ-JAIPUR"/>
    <d v="2020-12-10T00:00:00"/>
  </r>
  <r>
    <s v="813820201172"/>
    <x v="1010"/>
    <s v="M K STEEL &amp; DÉCOR"/>
    <n v="201172"/>
    <s v="MAA TRADERS"/>
    <n v="0"/>
    <n v="0"/>
    <n v="0"/>
    <n v="0"/>
    <n v="0"/>
    <n v="0"/>
    <n v="7.5"/>
    <n v="0"/>
    <n v="0"/>
    <n v="2.5"/>
    <n v="0"/>
    <n v="0"/>
    <n v="5.95"/>
    <n v="0"/>
    <n v="0"/>
    <n v="0"/>
    <n v="0"/>
    <n v="0"/>
    <n v="0"/>
    <n v="0"/>
    <n v="0"/>
    <n v="0"/>
    <n v="0"/>
    <n v="0"/>
    <n v="15.95"/>
    <n v="0"/>
    <n v="0"/>
    <s v="JAIPUR URBAN"/>
    <s v="JAIPUR URBAN"/>
    <s v="RJ-JAIPUR"/>
    <d v="2020-12-12T00:00:00"/>
  </r>
  <r>
    <s v="813897205225"/>
    <x v="1011"/>
    <s v="SHREE BALAJI TRADERS"/>
    <n v="205225"/>
    <s v="MAHAVEER ASSOCIATES"/>
    <n v="0"/>
    <n v="0"/>
    <n v="0"/>
    <n v="0"/>
    <n v="0"/>
    <n v="0"/>
    <n v="0"/>
    <n v="0"/>
    <n v="0"/>
    <n v="0"/>
    <n v="0"/>
    <n v="0"/>
    <n v="2.5"/>
    <n v="0"/>
    <n v="0"/>
    <n v="38"/>
    <n v="0"/>
    <n v="0"/>
    <n v="0"/>
    <n v="0"/>
    <n v="0"/>
    <n v="18.25"/>
    <n v="0"/>
    <n v="5"/>
    <n v="58.75"/>
    <n v="0"/>
    <n v="0"/>
    <s v="JAIPUR URBAN"/>
    <s v="JAIPUR URBAN"/>
    <s v="RJ-JAIPUR"/>
    <d v="2020-12-19T00:00:00"/>
  </r>
  <r>
    <s v="814050206049"/>
    <x v="1012"/>
    <s v="VASUDA ASSOCIATES"/>
    <n v="206049"/>
    <s v="VAIBHAV ENTERPRISES"/>
    <n v="260.75"/>
    <n v="7.5"/>
    <n v="0"/>
    <n v="40"/>
    <n v="8.25"/>
    <n v="0"/>
    <n v="191"/>
    <n v="7.5"/>
    <n v="10"/>
    <n v="141.5"/>
    <n v="0"/>
    <n v="0"/>
    <n v="22.5"/>
    <n v="7.5"/>
    <n v="0"/>
    <n v="191.55"/>
    <n v="0"/>
    <n v="0"/>
    <n v="49.5"/>
    <n v="0"/>
    <n v="0"/>
    <n v="23.5"/>
    <n v="0"/>
    <n v="0"/>
    <n v="920.3"/>
    <n v="30.75"/>
    <n v="10"/>
    <s v="JAIPUR URBAN"/>
    <s v="JAIPUR URBAN"/>
    <s v="RJ-JAIPUR"/>
    <d v="2020-12-31T00:00:00"/>
  </r>
  <r>
    <s v="814290119261"/>
    <x v="1013"/>
    <s v="SUIWAL BROTHERS"/>
    <n v="119261"/>
    <s v="DURGESH ENTERPRISES"/>
    <n v="30"/>
    <n v="0"/>
    <n v="0"/>
    <n v="35"/>
    <n v="0"/>
    <n v="0"/>
    <n v="50.25"/>
    <n v="1.25"/>
    <n v="0"/>
    <n v="51"/>
    <n v="0"/>
    <n v="0"/>
    <n v="35"/>
    <n v="0"/>
    <n v="0"/>
    <n v="50"/>
    <n v="0"/>
    <n v="0"/>
    <n v="52"/>
    <n v="0"/>
    <n v="0"/>
    <n v="30"/>
    <n v="0"/>
    <n v="0"/>
    <n v="333.25"/>
    <n v="1.25"/>
    <n v="0"/>
    <s v="JAIPUR URBAN"/>
    <s v="JAIPUR URBAN"/>
    <s v="RJ-JAIPUR"/>
    <d v="2021-01-27T00:00:00"/>
  </r>
  <r>
    <s v="814503177957"/>
    <x v="1014"/>
    <s v="CHHITAR MAL KUMAWAT"/>
    <n v="177957"/>
    <s v="MITTAL AGENCY"/>
    <n v="10"/>
    <n v="0"/>
    <n v="0"/>
    <n v="0"/>
    <n v="0"/>
    <n v="0"/>
    <n v="16.75"/>
    <n v="0"/>
    <n v="5"/>
    <n v="7.5"/>
    <n v="0"/>
    <n v="2.5"/>
    <n v="12.5"/>
    <n v="7.5"/>
    <n v="5"/>
    <n v="20"/>
    <n v="7.5"/>
    <n v="1.5"/>
    <n v="23"/>
    <n v="0"/>
    <n v="0"/>
    <n v="0"/>
    <n v="0"/>
    <n v="0"/>
    <n v="89.75"/>
    <n v="15"/>
    <n v="14"/>
    <s v="JAIPUR URBAN"/>
    <s v="JAIPUR URBAN"/>
    <s v="RJ-JAIPUR"/>
    <d v="2021-02-16T00:00:00"/>
  </r>
  <r>
    <s v="814521143416"/>
    <x v="1015"/>
    <s v="TEENA BUILDING MATERIAL SUPPLI"/>
    <n v="143416"/>
    <s v="ANKIT AGENCIES"/>
    <n v="51.25"/>
    <n v="0"/>
    <n v="0"/>
    <n v="97.25"/>
    <n v="0"/>
    <n v="0"/>
    <n v="100"/>
    <n v="0"/>
    <n v="0"/>
    <n v="76.75"/>
    <n v="0"/>
    <n v="6.25"/>
    <n v="51"/>
    <n v="0"/>
    <n v="0"/>
    <n v="62.25"/>
    <n v="0"/>
    <n v="0"/>
    <n v="62.5"/>
    <n v="5"/>
    <n v="0"/>
    <n v="72.5"/>
    <n v="0"/>
    <n v="0"/>
    <n v="573.5"/>
    <n v="5"/>
    <n v="6.25"/>
    <s v="JAIPUR URBAN"/>
    <s v="JAIPUR URBAN"/>
    <s v="RJ-JAIPUR"/>
    <d v="2021-02-18T00:00:00"/>
  </r>
  <r>
    <s v="814602206933"/>
    <x v="1016"/>
    <s v="ROSHAN SAINI"/>
    <n v="206933"/>
    <s v="RAHUL SALES"/>
    <n v="43"/>
    <n v="0"/>
    <n v="0"/>
    <n v="62.5"/>
    <n v="0"/>
    <n v="0"/>
    <n v="46.5"/>
    <n v="0"/>
    <n v="5"/>
    <n v="62"/>
    <n v="0"/>
    <n v="4"/>
    <n v="22.5"/>
    <n v="0"/>
    <n v="0"/>
    <n v="38.5"/>
    <n v="0"/>
    <n v="0"/>
    <n v="67.5"/>
    <n v="0"/>
    <n v="0"/>
    <n v="61.5"/>
    <n v="0"/>
    <n v="0"/>
    <n v="404"/>
    <n v="0"/>
    <n v="9"/>
    <s v="JAIPUR URBAN"/>
    <s v="JAIPUR URBAN"/>
    <s v="RJ-JAIPUR"/>
    <d v="2021-02-25T00:00:00"/>
  </r>
  <r>
    <s v="814651141146"/>
    <x v="1017"/>
    <s v="SHREE SHYAM BUILDING MATERIAL"/>
    <n v="141146"/>
    <s v="KEDIA TRADING COMPANY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JAIPUR URBAN"/>
    <s v="JAIPUR URBAN"/>
    <s v="RJ-JAIPUR"/>
    <d v="2021-02-26T00:00:00"/>
  </r>
  <r>
    <s v="814935206807"/>
    <x v="1018"/>
    <s v="SIDDHI ENTERPRISES"/>
    <n v="206807"/>
    <s v="DELIGHT MARKETIN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PUR URBAN"/>
    <s v="JAIPUR URBAN"/>
    <s v="RJ-JAIPUR"/>
    <d v="2021-04-12T00:00:00"/>
  </r>
  <r>
    <s v="814942172150"/>
    <x v="1019"/>
    <s v="RAJESH BUILDING MATERIAL AND S"/>
    <n v="172150"/>
    <s v="GHODELA BUILDING MATERIAL AND"/>
    <n v="15"/>
    <n v="0"/>
    <n v="0"/>
    <n v="42"/>
    <n v="0"/>
    <n v="0"/>
    <n v="23"/>
    <n v="5"/>
    <n v="0"/>
    <n v="52.5"/>
    <n v="0"/>
    <n v="0"/>
    <n v="20"/>
    <n v="0"/>
    <n v="0"/>
    <n v="30"/>
    <n v="0"/>
    <n v="0"/>
    <n v="10"/>
    <n v="0"/>
    <n v="0"/>
    <n v="10"/>
    <n v="0"/>
    <n v="0"/>
    <n v="202.5"/>
    <n v="5"/>
    <n v="0"/>
    <s v="JAIPUR URBAN"/>
    <s v="JAIPUR URBAN"/>
    <s v="RJ-JAIPUR"/>
    <d v="2021-04-14T00:00:00"/>
  </r>
  <r>
    <s v="815393205225"/>
    <x v="1020"/>
    <s v="SWASTIK ENTERPRISES"/>
    <n v="205225"/>
    <s v="MAHAVEER ASSOCIATES"/>
    <n v="57.5"/>
    <n v="0"/>
    <n v="0"/>
    <n v="78.95"/>
    <n v="12.5"/>
    <n v="0"/>
    <n v="87"/>
    <n v="0"/>
    <n v="0"/>
    <n v="78"/>
    <n v="7"/>
    <n v="0"/>
    <n v="88.95"/>
    <n v="0"/>
    <n v="0"/>
    <n v="69.75"/>
    <n v="0"/>
    <n v="0"/>
    <n v="55"/>
    <n v="0"/>
    <n v="0"/>
    <n v="77.5"/>
    <n v="0"/>
    <n v="20"/>
    <n v="592.65"/>
    <n v="19.5"/>
    <n v="0"/>
    <s v="JAIPUR URBAN"/>
    <s v="JAIPUR URBAN"/>
    <s v="RJ-JAIPUR"/>
    <d v="2021-07-03T00:00:00"/>
  </r>
  <r>
    <s v="815401204307"/>
    <x v="1021"/>
    <s v="PRAJAPATI TRADING COMPANY"/>
    <n v="204307"/>
    <s v="JAI BAJRANG STEELS"/>
    <n v="45"/>
    <n v="0"/>
    <n v="0"/>
    <n v="10"/>
    <n v="0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0.75"/>
    <n v="0"/>
    <s v="JAIPUR URBAN"/>
    <s v="JAIPUR URBAN"/>
    <s v="RJ-JAIPUR"/>
    <d v="2021-07-05T00:00:00"/>
  </r>
  <r>
    <s v="815502208268"/>
    <x v="1022"/>
    <s v="KOMAL TRADERS"/>
    <n v="208268"/>
    <s v="BADIWAL TRADERS"/>
    <n v="47.75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.75"/>
    <n v="5"/>
    <n v="0"/>
    <s v="JAIPUR URBAN"/>
    <s v="JAIPUR URBAN"/>
    <s v="RJ-JAIPUR"/>
    <d v="2021-07-13T00:00:00"/>
  </r>
  <r>
    <s v="815594206049"/>
    <x v="1023"/>
    <s v="BENIWAL TRADERS"/>
    <n v="206049"/>
    <s v="VAIBHAV ENTERPRISES"/>
    <n v="0"/>
    <n v="0"/>
    <n v="0"/>
    <n v="0"/>
    <n v="0"/>
    <n v="0"/>
    <n v="137.5"/>
    <n v="0"/>
    <n v="0"/>
    <n v="35"/>
    <n v="0"/>
    <n v="0"/>
    <n v="116"/>
    <n v="0"/>
    <n v="5"/>
    <n v="36.75"/>
    <n v="0"/>
    <n v="0"/>
    <n v="9"/>
    <n v="0"/>
    <n v="0"/>
    <n v="52"/>
    <n v="0"/>
    <n v="0"/>
    <n v="386.25"/>
    <n v="0"/>
    <n v="5"/>
    <s v="JAIPUR URBAN"/>
    <s v="JAIPUR URBAN"/>
    <s v="RJ-JAIPUR"/>
    <d v="2021-07-22T00:00:00"/>
  </r>
  <r>
    <s v="815595208184"/>
    <x v="1024"/>
    <s v="GOPAL CEMENT SUPPLIERS"/>
    <n v="208184"/>
    <s v="KUMAWAT SUPPLIERS"/>
    <n v="0"/>
    <n v="0"/>
    <n v="0"/>
    <n v="18.5"/>
    <n v="0"/>
    <n v="0"/>
    <n v="33"/>
    <n v="0"/>
    <n v="1"/>
    <n v="40.5"/>
    <n v="0"/>
    <n v="0"/>
    <n v="0"/>
    <n v="0"/>
    <n v="0"/>
    <n v="15"/>
    <n v="0"/>
    <n v="0"/>
    <n v="25"/>
    <n v="0"/>
    <n v="0"/>
    <n v="30.5"/>
    <n v="0"/>
    <n v="0"/>
    <n v="162.5"/>
    <n v="0"/>
    <n v="1"/>
    <s v="JAIPUR URBAN"/>
    <s v="JAIPUR URBAN"/>
    <s v="RJ-JAIPUR"/>
    <d v="2021-07-22T00:00:00"/>
  </r>
  <r>
    <s v="815646119261"/>
    <x v="1025"/>
    <s v="KHANDELWAL TRADERS"/>
    <n v="119261"/>
    <s v="DURGESH ENTERPRISES"/>
    <n v="0"/>
    <n v="0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95"/>
    <n v="0"/>
    <n v="0"/>
    <s v="JAIPUR URBAN"/>
    <s v="JAIPUR URBAN"/>
    <s v="RJ-JAIPUR"/>
    <d v="2021-07-26T00:00:00"/>
  </r>
  <r>
    <s v="815647119261"/>
    <x v="1026"/>
    <s v="KHANDELWAL AGENCY"/>
    <n v="119261"/>
    <s v="DURGESH ENTERPRISES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AIPUR URBAN"/>
    <s v="JAIPUR URBAN"/>
    <s v="RJ-JAIPUR"/>
    <d v="2021-07-26T00:00:00"/>
  </r>
  <r>
    <s v="815658119261"/>
    <x v="1027"/>
    <s v="SHASHI ENTERPRISES"/>
    <n v="119261"/>
    <s v="DURGESH ENTERPRISES"/>
    <n v="0"/>
    <n v="0"/>
    <n v="0"/>
    <n v="0"/>
    <n v="0"/>
    <n v="0"/>
    <n v="50"/>
    <n v="0"/>
    <n v="0"/>
    <n v="26"/>
    <n v="0"/>
    <n v="0"/>
    <n v="25"/>
    <n v="0"/>
    <n v="0"/>
    <n v="38.5"/>
    <n v="0"/>
    <n v="0"/>
    <n v="53"/>
    <n v="0"/>
    <n v="0"/>
    <n v="37.5"/>
    <n v="0"/>
    <n v="0"/>
    <n v="230"/>
    <n v="0"/>
    <n v="0"/>
    <s v="JAIPUR URBAN"/>
    <s v="JAIPUR URBAN"/>
    <s v="RJ-JAIPUR"/>
    <d v="2021-07-26T00:00:00"/>
  </r>
  <r>
    <s v="815672119261"/>
    <x v="1028"/>
    <s v="J KUMAR &amp; COMPANY"/>
    <n v="119261"/>
    <s v="DURGESH ENTERPRISES"/>
    <n v="0"/>
    <n v="0"/>
    <n v="0"/>
    <n v="55"/>
    <n v="0"/>
    <n v="0"/>
    <n v="35"/>
    <n v="0"/>
    <n v="0"/>
    <n v="35"/>
    <n v="0"/>
    <n v="0"/>
    <n v="0"/>
    <n v="0"/>
    <n v="0"/>
    <n v="39.5"/>
    <n v="0"/>
    <n v="0"/>
    <n v="34.5"/>
    <n v="0"/>
    <n v="0"/>
    <n v="25"/>
    <n v="0"/>
    <n v="0"/>
    <n v="224"/>
    <n v="0"/>
    <n v="0"/>
    <s v="JAIPUR URBAN"/>
    <s v="JAIPUR URBAN"/>
    <s v="RJ-JAIPUR"/>
    <d v="2021-07-27T00:00:00"/>
  </r>
  <r>
    <s v="816116206049"/>
    <x v="1029"/>
    <s v="CHOUHAN TRADERS"/>
    <n v="206049"/>
    <s v="VAIBHAV ENTERPRISES"/>
    <n v="0"/>
    <n v="0"/>
    <n v="0"/>
    <n v="0"/>
    <n v="0"/>
    <n v="0"/>
    <n v="0"/>
    <n v="0"/>
    <n v="0"/>
    <n v="0"/>
    <n v="0"/>
    <n v="0"/>
    <n v="40"/>
    <n v="0"/>
    <n v="0"/>
    <n v="9.5"/>
    <n v="0"/>
    <n v="0"/>
    <n v="3.5"/>
    <n v="0"/>
    <n v="0"/>
    <n v="7.5"/>
    <n v="0"/>
    <n v="0"/>
    <n v="60.5"/>
    <n v="0"/>
    <n v="0"/>
    <s v="JAIPUR URBAN"/>
    <s v="JAIPUR URBAN"/>
    <s v="RJ-JAIPUR"/>
    <d v="2021-08-25T00:00:00"/>
  </r>
  <r>
    <s v="816253201172"/>
    <x v="1030"/>
    <s v="ANAND SALES (ARM AGRI TRADE LL"/>
    <n v="201172"/>
    <s v="MAA TRADERS"/>
    <n v="7.5"/>
    <n v="0"/>
    <n v="0"/>
    <n v="7.5"/>
    <n v="0"/>
    <n v="0"/>
    <n v="5"/>
    <n v="0"/>
    <n v="0"/>
    <n v="12.5"/>
    <n v="0"/>
    <n v="0"/>
    <n v="2.5"/>
    <n v="0"/>
    <n v="0"/>
    <n v="2.5"/>
    <n v="0"/>
    <n v="0"/>
    <n v="0"/>
    <n v="0"/>
    <n v="0"/>
    <n v="0"/>
    <n v="0"/>
    <n v="0"/>
    <n v="37.5"/>
    <n v="0"/>
    <n v="0"/>
    <s v="JAIPUR URBAN"/>
    <s v="JAIPUR URBAN"/>
    <s v="RJ-JAIPUR"/>
    <d v="2021-09-03T00:00:00"/>
  </r>
  <r>
    <s v="816314179911"/>
    <x v="1031"/>
    <s v="SHREE NEELKHANT STEEL &amp; CEMENT"/>
    <n v="179911"/>
    <s v="DIPESH STEEL AND BUILDING MATE"/>
    <n v="8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9"/>
    <n v="0"/>
    <n v="0"/>
    <s v="JAIPUR URBAN"/>
    <s v="JAIPUR URBAN"/>
    <s v="RJ-JAIPUR"/>
    <d v="2021-09-11T00:00:00"/>
  </r>
  <r>
    <s v="816351145135"/>
    <x v="1032"/>
    <s v="PRIYANKA ENTERPRISES"/>
    <n v="145135"/>
    <s v="AHUJA CEMENT &amp; SANITARYWARE"/>
    <n v="202.75"/>
    <n v="13.75"/>
    <n v="0"/>
    <n v="173.95"/>
    <n v="0"/>
    <n v="0"/>
    <n v="231.1"/>
    <n v="0"/>
    <n v="2.5"/>
    <n v="203.15"/>
    <n v="0.1"/>
    <n v="2.5"/>
    <n v="185.5"/>
    <n v="25.25"/>
    <n v="12.25"/>
    <n v="64"/>
    <n v="0"/>
    <n v="2.5"/>
    <n v="18"/>
    <n v="0"/>
    <n v="0"/>
    <n v="38.5"/>
    <n v="0"/>
    <n v="0"/>
    <n v="1116.9499999999998"/>
    <n v="39.1"/>
    <n v="19.75"/>
    <s v="JAIPUR URBAN"/>
    <s v="JAIPUR URBAN"/>
    <s v="RJ-JAIPUR"/>
    <d v="2021-09-16T00:00:00"/>
  </r>
  <r>
    <s v="816529204307"/>
    <x v="1033"/>
    <s v="NEELKANTH SALES AGENCY"/>
    <n v="204307"/>
    <s v="JAI BAJRANG STEELS"/>
    <n v="37"/>
    <n v="0"/>
    <n v="0"/>
    <n v="17.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9.5"/>
    <n v="0"/>
    <n v="0"/>
    <s v="JAIPUR URBAN"/>
    <s v="JAIPUR URBAN"/>
    <s v="RJ-JAIPUR"/>
    <d v="2021-09-27T00:00:00"/>
  </r>
  <r>
    <s v="816685201172"/>
    <x v="1034"/>
    <s v="TRIVENI CEMENT SUPPLIERS"/>
    <n v="201172"/>
    <s v="MAA TRADERS"/>
    <n v="175.95"/>
    <n v="7.5"/>
    <n v="0"/>
    <n v="177.75"/>
    <n v="0"/>
    <n v="0"/>
    <n v="257.89999999999998"/>
    <n v="12.5"/>
    <n v="0"/>
    <n v="179.7"/>
    <n v="0"/>
    <n v="0"/>
    <n v="163.85"/>
    <n v="0"/>
    <n v="13.5"/>
    <n v="118.5"/>
    <n v="0"/>
    <n v="5"/>
    <n v="111.5"/>
    <n v="10"/>
    <n v="12.5"/>
    <n v="20"/>
    <n v="0"/>
    <n v="8.5"/>
    <n v="1205.1500000000001"/>
    <n v="30"/>
    <n v="31"/>
    <s v="JAIPUR URBAN"/>
    <s v="JAIPUR URBAN"/>
    <s v="RJ-JAIPUR"/>
    <d v="2021-10-09T00:00:00"/>
  </r>
  <r>
    <s v="816905204307"/>
    <x v="1035"/>
    <s v="HARSH STEELS"/>
    <n v="204307"/>
    <s v="JAI BAJRANG STEELS"/>
    <n v="33"/>
    <n v="0"/>
    <n v="0"/>
    <n v="17.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5.5"/>
    <n v="0"/>
    <n v="0"/>
    <s v="JAIPUR URBAN"/>
    <s v="JAIPUR URBAN"/>
    <s v="RJ-JAIPUR"/>
    <d v="2021-10-30T00:00:00"/>
  </r>
  <r>
    <s v="817029208976"/>
    <x v="1036"/>
    <s v="JAI SHREE RAM AGENCY"/>
    <n v="208976"/>
    <s v="SHREE BALAJI STEELS TRADERS"/>
    <n v="7.5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AIPUR URBAN"/>
    <s v="JAIPUR URBAN"/>
    <s v="RJ-JAIPUR"/>
    <d v="2021-11-16T00:00:00"/>
  </r>
  <r>
    <s v="817031208268"/>
    <x v="1037"/>
    <s v="RAMAVATAR BUILDING MATERIAL"/>
    <n v="208268"/>
    <s v="BADIWAL TRADERS"/>
    <n v="35.5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40.5"/>
    <n v="0"/>
    <n v="0"/>
    <s v="JAIPUR URBAN"/>
    <s v="JAIPUR URBAN"/>
    <s v="RJ-JAIPUR"/>
    <d v="2021-11-16T00:00:00"/>
  </r>
  <r>
    <s v="817031212409"/>
    <x v="1037"/>
    <s v="RAMAVATAR BUILDING MATERIAL"/>
    <n v="212409"/>
    <s v="HARE KRISHNA TRADERS"/>
    <n v="0"/>
    <n v="0"/>
    <n v="0"/>
    <n v="41.5"/>
    <n v="0"/>
    <n v="0"/>
    <n v="15"/>
    <n v="0"/>
    <n v="0"/>
    <n v="47.25"/>
    <n v="0"/>
    <n v="0"/>
    <n v="13.5"/>
    <n v="0"/>
    <n v="0"/>
    <n v="27.5"/>
    <n v="0"/>
    <n v="0"/>
    <n v="20"/>
    <n v="0"/>
    <n v="0"/>
    <n v="36"/>
    <n v="0"/>
    <n v="0"/>
    <n v="200.75"/>
    <n v="0"/>
    <n v="0"/>
    <s v="JAIPUR URBAN"/>
    <s v="JAIPUR URBAN"/>
    <s v="RJ-JAIPUR"/>
    <d v="2021-11-16T00:00:00"/>
  </r>
  <r>
    <s v="817032206049"/>
    <x v="1038"/>
    <s v="VAISHALI TRADING COMPANY"/>
    <n v="206049"/>
    <s v="VAIBHAV ENTERPRISES"/>
    <n v="0"/>
    <n v="0"/>
    <n v="0"/>
    <n v="0"/>
    <n v="0"/>
    <n v="0"/>
    <n v="0"/>
    <n v="0"/>
    <n v="0"/>
    <n v="0"/>
    <n v="0"/>
    <n v="0"/>
    <n v="40"/>
    <n v="0"/>
    <n v="0"/>
    <n v="9.5"/>
    <n v="0"/>
    <n v="0"/>
    <n v="0"/>
    <n v="0"/>
    <n v="0"/>
    <n v="8.5"/>
    <n v="0"/>
    <n v="0"/>
    <n v="58"/>
    <n v="0"/>
    <n v="0"/>
    <s v="JAIPUR URBAN"/>
    <s v="JAIPUR URBAN"/>
    <s v="RJ-JAIPUR"/>
    <d v="2021-11-16T00:00:00"/>
  </r>
  <r>
    <s v="817052206049"/>
    <x v="1039"/>
    <s v="R R MATERIAL SUPPLIER"/>
    <n v="206049"/>
    <s v="VAIBHAV ENTERPRISES"/>
    <n v="142"/>
    <n v="0"/>
    <n v="0"/>
    <n v="65"/>
    <n v="5"/>
    <n v="0"/>
    <n v="123.5"/>
    <n v="0"/>
    <n v="0"/>
    <n v="161.19999999999999"/>
    <n v="7.5"/>
    <n v="5"/>
    <n v="0"/>
    <n v="0"/>
    <n v="0"/>
    <n v="154.9"/>
    <n v="0"/>
    <n v="2.5"/>
    <n v="147.5"/>
    <n v="0"/>
    <n v="5"/>
    <n v="17"/>
    <n v="0"/>
    <n v="0"/>
    <n v="811.1"/>
    <n v="12.5"/>
    <n v="12.5"/>
    <s v="JAIPUR URBAN"/>
    <s v="JAIPUR URBAN"/>
    <s v="RJ-JAIPUR"/>
    <d v="2021-11-18T00:00:00"/>
  </r>
  <r>
    <s v="817053208268"/>
    <x v="1040"/>
    <s v="N R CEMENT AGENCY"/>
    <n v="208268"/>
    <s v="BADIWAL TRADERS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AIPUR URBAN"/>
    <s v="JAIPUR URBAN"/>
    <s v="RJ-JAIPUR"/>
    <d v="2021-11-18T00:00:00"/>
  </r>
  <r>
    <s v="817053212409"/>
    <x v="1040"/>
    <s v="N R CEMENT AGENCY"/>
    <n v="212409"/>
    <s v="HARE KRISHNA TRADERS"/>
    <n v="0"/>
    <n v="0"/>
    <n v="0"/>
    <n v="15"/>
    <n v="0"/>
    <n v="0"/>
    <n v="0"/>
    <n v="0"/>
    <n v="0"/>
    <n v="17.5"/>
    <n v="0"/>
    <n v="0"/>
    <n v="0"/>
    <n v="0"/>
    <n v="0"/>
    <n v="2.5"/>
    <n v="0"/>
    <n v="0"/>
    <n v="7.5"/>
    <n v="0"/>
    <n v="0"/>
    <n v="5"/>
    <n v="0"/>
    <n v="0"/>
    <n v="47.5"/>
    <n v="0"/>
    <n v="0"/>
    <s v="JAIPUR URBAN"/>
    <s v="JAIPUR URBAN"/>
    <s v="RJ-JAIPUR"/>
    <d v="2021-11-18T00:00:00"/>
  </r>
  <r>
    <s v="817127206049"/>
    <x v="1041"/>
    <s v="LOKESH TRADERS"/>
    <n v="206049"/>
    <s v="VAIBHAV ENTERPRISES"/>
    <n v="0"/>
    <n v="0"/>
    <n v="0"/>
    <n v="0"/>
    <n v="0"/>
    <n v="0"/>
    <n v="0"/>
    <n v="0"/>
    <n v="0"/>
    <n v="0"/>
    <n v="0"/>
    <n v="0"/>
    <n v="50"/>
    <n v="0"/>
    <n v="0"/>
    <n v="2"/>
    <n v="0"/>
    <n v="0"/>
    <n v="1"/>
    <n v="0"/>
    <n v="0"/>
    <n v="2"/>
    <n v="0"/>
    <n v="0"/>
    <n v="55"/>
    <n v="0"/>
    <n v="0"/>
    <s v="JAIPUR URBAN"/>
    <s v="JAIPUR URBAN"/>
    <s v="RJ-JAIPUR"/>
    <d v="2021-11-25T00:00:00"/>
  </r>
  <r>
    <s v="817136205225"/>
    <x v="1042"/>
    <s v="NAMO ENTERPRISES"/>
    <n v="205225"/>
    <s v="MAHAVEER ASSOCIATES"/>
    <n v="231.35"/>
    <n v="22.75"/>
    <n v="0"/>
    <n v="142.1"/>
    <n v="15"/>
    <n v="0"/>
    <n v="336.85"/>
    <n v="4"/>
    <n v="2.5499999999999998"/>
    <n v="252.75000000000003"/>
    <n v="2.4"/>
    <n v="7"/>
    <n v="56"/>
    <n v="0"/>
    <n v="0"/>
    <n v="138.15"/>
    <n v="7.5"/>
    <n v="12.5"/>
    <n v="67.2"/>
    <n v="5"/>
    <n v="10.5"/>
    <n v="135"/>
    <n v="0"/>
    <n v="0"/>
    <n v="1359.4"/>
    <n v="56.65"/>
    <n v="32.549999999999997"/>
    <s v="JAIPUR URBAN"/>
    <s v="JAIPUR URBAN"/>
    <s v="RJ-JAIPUR"/>
    <d v="2021-11-26T00:00:00"/>
  </r>
  <r>
    <s v="817152144868"/>
    <x v="1043"/>
    <s v="SHREE VINAYAK AGENCIES"/>
    <n v="144868"/>
    <s v="ASHISH SALES CORPORATION"/>
    <n v="0"/>
    <n v="0"/>
    <n v="0"/>
    <n v="5"/>
    <n v="0"/>
    <n v="0"/>
    <n v="20.5"/>
    <n v="0"/>
    <n v="0"/>
    <n v="17.5"/>
    <n v="0"/>
    <n v="0"/>
    <n v="20"/>
    <n v="0"/>
    <n v="0"/>
    <n v="5"/>
    <n v="0"/>
    <n v="0"/>
    <n v="12.5"/>
    <n v="0"/>
    <n v="0"/>
    <n v="5"/>
    <n v="0"/>
    <n v="0"/>
    <n v="85.5"/>
    <n v="0"/>
    <n v="0"/>
    <s v="JAIPUR URBAN"/>
    <s v="JAIPUR URBAN"/>
    <s v="RJ-JAIPUR"/>
    <d v="2021-11-27T00:00:00"/>
  </r>
  <r>
    <s v="817153119261"/>
    <x v="1044"/>
    <s v="MEENAKSHI BUILDING MATERIAL SU"/>
    <n v="119261"/>
    <s v="DURGESH ENTERPRISE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AIPUR URBAN"/>
    <s v="JAIPUR URBAN"/>
    <s v="RJ-JAIPUR"/>
    <d v="2021-11-27T00:00:00"/>
  </r>
  <r>
    <s v="817189119261"/>
    <x v="1045"/>
    <s v="VINAYAK BUILDERS AND SUPPLIERS"/>
    <n v="119261"/>
    <s v="DURGESH ENTERPRISES"/>
    <n v="0"/>
    <n v="1"/>
    <n v="0"/>
    <n v="126"/>
    <n v="0"/>
    <n v="0"/>
    <n v="110"/>
    <n v="0"/>
    <n v="0"/>
    <n v="50"/>
    <n v="0"/>
    <n v="0"/>
    <n v="50"/>
    <n v="0"/>
    <n v="0"/>
    <n v="81"/>
    <n v="0"/>
    <n v="0"/>
    <n v="111"/>
    <n v="0"/>
    <n v="0"/>
    <n v="113.5"/>
    <n v="0"/>
    <n v="0"/>
    <n v="641.5"/>
    <n v="1"/>
    <n v="0"/>
    <s v="JAIPUR URBAN"/>
    <s v="JAIPUR URBAN"/>
    <s v="RJ-JAIPUR"/>
    <d v="2021-12-02T00:00:00"/>
  </r>
  <r>
    <s v="817320178105"/>
    <x v="1046"/>
    <s v="ROHIT ENTERPRISES"/>
    <n v="178105"/>
    <s v="BALAJI TRADERS"/>
    <n v="72.599999999999994"/>
    <n v="0"/>
    <n v="0"/>
    <n v="66"/>
    <n v="0"/>
    <n v="0"/>
    <n v="62.5"/>
    <n v="0"/>
    <n v="0"/>
    <n v="37.5"/>
    <n v="0"/>
    <n v="0"/>
    <n v="15"/>
    <n v="0"/>
    <n v="0"/>
    <n v="23"/>
    <n v="2"/>
    <n v="1"/>
    <n v="12.5"/>
    <n v="0"/>
    <n v="0"/>
    <n v="33.5"/>
    <n v="0"/>
    <n v="0"/>
    <n v="322.60000000000002"/>
    <n v="2"/>
    <n v="1"/>
    <s v="JAIPUR URBAN"/>
    <s v="JAIPUR URBAN"/>
    <s v="RJ-JAIPUR"/>
    <d v="2021-12-15T00:00:00"/>
  </r>
  <r>
    <s v="817377178105"/>
    <x v="1047"/>
    <s v="SHREE SHYAM BUILDING MATERIAL"/>
    <n v="178105"/>
    <s v="BALAJI TRADERS"/>
    <n v="10"/>
    <n v="5"/>
    <n v="0"/>
    <n v="14"/>
    <n v="0"/>
    <n v="0"/>
    <n v="53.5"/>
    <n v="0"/>
    <n v="0"/>
    <n v="17.5"/>
    <n v="0"/>
    <n v="0"/>
    <n v="44.5"/>
    <n v="0"/>
    <n v="0"/>
    <n v="11.5"/>
    <n v="0"/>
    <n v="0"/>
    <n v="30.25"/>
    <n v="1.75"/>
    <n v="0"/>
    <n v="42.75"/>
    <n v="0"/>
    <n v="0"/>
    <n v="224"/>
    <n v="6.75"/>
    <n v="0"/>
    <s v="JAIPUR URBAN"/>
    <s v="JAIPUR URBAN"/>
    <s v="RJ-JAIPUR"/>
    <d v="2021-12-20T00:00:00"/>
  </r>
  <r>
    <s v="817382119065"/>
    <x v="1048"/>
    <s v="KRISHNA CONSTRUCTION"/>
    <n v="119065"/>
    <s v="AJMERA TRANSPORTER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JAIPUR URBAN"/>
    <s v="JAIPUR URBAN"/>
    <s v="RJ-JAIPUR"/>
    <d v="2021-12-20T00:00:00"/>
  </r>
  <r>
    <s v="817386179911"/>
    <x v="1049"/>
    <s v="PARAS STEEL"/>
    <n v="179911"/>
    <s v="DIPESH STEEL AND BUILDING MATE"/>
    <n v="10"/>
    <n v="0"/>
    <n v="0"/>
    <n v="4"/>
    <n v="0"/>
    <n v="0"/>
    <n v="0"/>
    <n v="0"/>
    <n v="0"/>
    <n v="0"/>
    <n v="0"/>
    <n v="0"/>
    <n v="0"/>
    <n v="0"/>
    <n v="0"/>
    <n v="0.5"/>
    <n v="0"/>
    <n v="0"/>
    <n v="0"/>
    <n v="0"/>
    <n v="0"/>
    <n v="0"/>
    <n v="0"/>
    <n v="0"/>
    <n v="14.5"/>
    <n v="0"/>
    <n v="0"/>
    <s v="JAIPUR URBAN"/>
    <s v="JAIPUR URBAN"/>
    <s v="RJ-JAIPUR"/>
    <d v="2021-12-20T00:00:00"/>
  </r>
  <r>
    <s v="817417119261"/>
    <x v="1050"/>
    <s v="KHANDELWAL TRADING COMPANY"/>
    <n v="119261"/>
    <s v="DURGESH ENTERPRISES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20"/>
    <n v="0"/>
    <n v="0"/>
    <s v="JAIPUR URBAN"/>
    <s v="JAIPUR URBAN"/>
    <s v="RJ-JAIPUR"/>
    <d v="2021-12-22T00:00:00"/>
  </r>
  <r>
    <s v="817514119261"/>
    <x v="1051"/>
    <s v="GUPTA CEMENT AGENCY"/>
    <n v="119261"/>
    <s v="DURGESH ENTERPRISES"/>
    <n v="0"/>
    <n v="0"/>
    <n v="0"/>
    <n v="0"/>
    <n v="0"/>
    <n v="0"/>
    <n v="75"/>
    <n v="0"/>
    <n v="0"/>
    <n v="13"/>
    <n v="0"/>
    <n v="0"/>
    <n v="0"/>
    <n v="0"/>
    <n v="0"/>
    <n v="37"/>
    <n v="0"/>
    <n v="0"/>
    <n v="69.5"/>
    <n v="0"/>
    <n v="0"/>
    <n v="27.75"/>
    <n v="1.25"/>
    <n v="0"/>
    <n v="222.25"/>
    <n v="0"/>
    <n v="0"/>
    <s v="JAIPUR URBAN"/>
    <s v="JAIPUR URBAN"/>
    <s v="RJ-JAIPUR"/>
    <d v="2021-12-28T00:00:00"/>
  </r>
  <r>
    <s v="817543210123"/>
    <x v="1052"/>
    <s v="BANDAWALA CEMENT AGENCY"/>
    <n v="210123"/>
    <s v="ANKIT TRADERS"/>
    <n v="50"/>
    <n v="0"/>
    <n v="0"/>
    <n v="27.5"/>
    <n v="5"/>
    <n v="0"/>
    <n v="25.5"/>
    <n v="0"/>
    <n v="5.5"/>
    <n v="44.25"/>
    <n v="0"/>
    <n v="0"/>
    <n v="45"/>
    <n v="0"/>
    <n v="0"/>
    <n v="52.5"/>
    <n v="0"/>
    <n v="11.5"/>
    <n v="76.5"/>
    <n v="0"/>
    <n v="0"/>
    <n v="35"/>
    <n v="0"/>
    <n v="0"/>
    <n v="356.25"/>
    <n v="5"/>
    <n v="17"/>
    <s v="JAIPUR URBAN"/>
    <s v="JAIPUR URBAN"/>
    <s v="RJ-JAIPUR"/>
    <d v="2021-12-30T00:00:00"/>
  </r>
  <r>
    <s v="817591119261"/>
    <x v="1053"/>
    <s v="JOSHI AGENCIES"/>
    <n v="119261"/>
    <s v="DURGESH ENTERPRISES"/>
    <n v="50"/>
    <n v="0"/>
    <n v="0"/>
    <n v="50"/>
    <n v="0"/>
    <n v="0"/>
    <n v="10"/>
    <n v="0"/>
    <n v="0"/>
    <n v="50"/>
    <n v="0"/>
    <n v="0"/>
    <n v="0"/>
    <n v="0"/>
    <n v="0"/>
    <n v="58.5"/>
    <n v="0"/>
    <n v="0"/>
    <n v="79.5"/>
    <n v="0"/>
    <n v="0"/>
    <n v="52.5"/>
    <n v="0"/>
    <n v="0"/>
    <n v="350.5"/>
    <n v="0"/>
    <n v="0"/>
    <s v="JAIPUR URBAN"/>
    <s v="JAIPUR URBAN"/>
    <s v="RJ-JAIPUR"/>
    <d v="2022-01-04T00:00:00"/>
  </r>
  <r>
    <s v="817742125022"/>
    <x v="1054"/>
    <s v="JAI BUILDING MATERIAL SUPPLIER"/>
    <n v="125022"/>
    <s v="SHIV CEMENT AGENCY"/>
    <n v="143"/>
    <n v="0"/>
    <n v="0"/>
    <n v="99.65"/>
    <n v="0"/>
    <n v="0"/>
    <n v="113.75"/>
    <n v="0"/>
    <n v="7.5"/>
    <n v="131.25"/>
    <n v="0"/>
    <n v="0"/>
    <n v="102"/>
    <n v="0"/>
    <n v="0"/>
    <n v="115.5"/>
    <n v="0"/>
    <n v="0"/>
    <n v="118"/>
    <n v="0"/>
    <n v="0"/>
    <n v="158.55000000000001"/>
    <n v="0"/>
    <n v="0"/>
    <n v="981.7"/>
    <n v="0"/>
    <n v="7.5"/>
    <s v="JAIPUR URBAN"/>
    <s v="JAIPUR URBAN"/>
    <s v="RJ-JAIPUR"/>
    <d v="2022-01-19T00:00:00"/>
  </r>
  <r>
    <s v="817915119261"/>
    <x v="1055"/>
    <s v="MURARI LAL GOYAL"/>
    <n v="119261"/>
    <s v="DURGESH ENTERPRISES"/>
    <n v="50"/>
    <n v="0"/>
    <n v="0"/>
    <n v="55"/>
    <n v="0"/>
    <n v="0"/>
    <n v="50"/>
    <n v="0"/>
    <n v="0"/>
    <n v="50"/>
    <n v="0"/>
    <n v="0"/>
    <n v="50"/>
    <n v="0"/>
    <n v="0"/>
    <n v="50"/>
    <n v="0"/>
    <n v="0"/>
    <n v="53"/>
    <n v="0"/>
    <n v="0"/>
    <n v="55"/>
    <n v="0"/>
    <n v="0"/>
    <n v="413"/>
    <n v="0"/>
    <n v="0"/>
    <s v="JAIPUR URBAN"/>
    <s v="JAIPUR URBAN"/>
    <s v="RJ-JAIPUR"/>
    <d v="2022-01-31T00:00:00"/>
  </r>
  <r>
    <s v="818066119261"/>
    <x v="1056"/>
    <s v="INDU JAIN"/>
    <n v="119261"/>
    <s v="DURGESH ENTERPRISES"/>
    <n v="0"/>
    <n v="0"/>
    <n v="0"/>
    <n v="55"/>
    <n v="0"/>
    <n v="0"/>
    <n v="50"/>
    <n v="0"/>
    <n v="0"/>
    <n v="35"/>
    <n v="0"/>
    <n v="0"/>
    <n v="25"/>
    <n v="0"/>
    <n v="0"/>
    <n v="53"/>
    <n v="7.5"/>
    <n v="0"/>
    <n v="79.5"/>
    <n v="10"/>
    <n v="3.25"/>
    <n v="37.5"/>
    <n v="0"/>
    <n v="0"/>
    <n v="335"/>
    <n v="17.5"/>
    <n v="3.25"/>
    <s v="JAIPUR URBAN"/>
    <s v="JAIPUR URBAN"/>
    <s v="RJ-JAIPUR"/>
    <d v="2022-02-17T00:00:00"/>
  </r>
  <r>
    <s v="818537119261"/>
    <x v="1057"/>
    <s v="ANIL GOYAL"/>
    <n v="119261"/>
    <s v="DURGESH ENTERPRISES"/>
    <n v="50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0"/>
    <n v="0"/>
    <s v="JAIPUR URBAN"/>
    <s v="JAIPUR URBAN"/>
    <s v="RJ-JAIPUR"/>
    <d v="2022-03-30T00:00:00"/>
  </r>
  <r>
    <s v="818661171947"/>
    <x v="1058"/>
    <s v="PUNJABI ENTERPRISES"/>
    <n v="171947"/>
    <s v="M.N.ASSOCIATES"/>
    <n v="65"/>
    <n v="0"/>
    <n v="0"/>
    <n v="150.69999999999999"/>
    <n v="0"/>
    <n v="0"/>
    <n v="183.75"/>
    <n v="0"/>
    <n v="0"/>
    <n v="217.75"/>
    <n v="0"/>
    <n v="0"/>
    <n v="200"/>
    <n v="0"/>
    <n v="0"/>
    <n v="200"/>
    <n v="0"/>
    <n v="2.5"/>
    <n v="215"/>
    <n v="0"/>
    <n v="0"/>
    <n v="190"/>
    <n v="0"/>
    <n v="0"/>
    <n v="1422.2"/>
    <n v="0"/>
    <n v="2.5"/>
    <s v="JAIPUR URBAN"/>
    <s v="JAIPUR URBAN"/>
    <s v="RJ-JAIPUR"/>
    <d v="2022-04-18T00:00:00"/>
  </r>
  <r>
    <s v="818731205270"/>
    <x v="1059"/>
    <s v="MANASVI SALES CORPORATION"/>
    <n v="205270"/>
    <s v="KARTIK ENTERPRISES"/>
    <n v="0"/>
    <n v="0"/>
    <n v="0"/>
    <n v="33.5"/>
    <n v="0"/>
    <n v="0"/>
    <n v="92"/>
    <n v="0"/>
    <n v="2.5"/>
    <n v="61.45"/>
    <n v="0"/>
    <n v="0"/>
    <n v="38.75"/>
    <n v="0"/>
    <n v="0"/>
    <n v="12.5"/>
    <n v="0"/>
    <n v="0"/>
    <n v="13.5"/>
    <n v="0"/>
    <n v="0"/>
    <n v="29"/>
    <n v="0"/>
    <n v="0"/>
    <n v="280.7"/>
    <n v="0"/>
    <n v="2.5"/>
    <s v="JAIPUR URBAN"/>
    <s v="JAIPUR URBAN"/>
    <s v="RJ-JAIPUR"/>
    <d v="2022-04-23T00:00:00"/>
  </r>
  <r>
    <s v="818908176276"/>
    <x v="1060"/>
    <s v="DURGA TRADING COMPANY"/>
    <n v="176276"/>
    <s v="LAXMI BUILDING MATERIAL STORE"/>
    <n v="0"/>
    <n v="0"/>
    <n v="0"/>
    <n v="12"/>
    <n v="0"/>
    <n v="0"/>
    <n v="5"/>
    <n v="0"/>
    <n v="0"/>
    <n v="15"/>
    <n v="0"/>
    <n v="0"/>
    <n v="45.5"/>
    <n v="0"/>
    <n v="0"/>
    <n v="42.5"/>
    <n v="0"/>
    <n v="0"/>
    <n v="10"/>
    <n v="0"/>
    <n v="0"/>
    <n v="12"/>
    <n v="0"/>
    <n v="0"/>
    <n v="142"/>
    <n v="0"/>
    <n v="0"/>
    <s v="JAIPUR URBAN"/>
    <s v="JAIPUR URBAN"/>
    <s v="RJ-JAIPUR"/>
    <d v="2022-05-11T00:00:00"/>
  </r>
  <r>
    <s v="818983212409"/>
    <x v="921"/>
    <s v="POOJA TRADERS"/>
    <n v="212409"/>
    <s v="HARE KRISHNA TRADERS"/>
    <n v="0"/>
    <n v="0"/>
    <n v="0"/>
    <n v="61"/>
    <n v="0"/>
    <n v="0"/>
    <n v="148.25"/>
    <n v="3.25"/>
    <n v="0"/>
    <n v="97"/>
    <n v="17.5"/>
    <n v="4"/>
    <n v="69"/>
    <n v="0"/>
    <n v="11"/>
    <n v="40"/>
    <n v="0"/>
    <n v="0"/>
    <n v="40"/>
    <n v="0"/>
    <n v="0"/>
    <n v="41"/>
    <n v="0"/>
    <n v="0"/>
    <n v="496.25"/>
    <n v="20.75"/>
    <n v="15"/>
    <s v="JAIPUR URBAN"/>
    <s v="JAIPUR URBAN"/>
    <s v="RJ-JAIPUR"/>
    <d v="2022-05-19T00:00:00"/>
  </r>
  <r>
    <s v="819023204307"/>
    <x v="1061"/>
    <s v="BHARAT RAJ &amp; COMPANY"/>
    <n v="204307"/>
    <s v="JAI BAJRANG STEELS"/>
    <n v="0"/>
    <n v="0"/>
    <n v="0"/>
    <n v="54.5"/>
    <n v="0"/>
    <n v="0"/>
    <n v="185.25"/>
    <n v="0"/>
    <n v="0"/>
    <n v="146.25"/>
    <n v="0"/>
    <n v="0"/>
    <n v="92.5"/>
    <n v="0"/>
    <n v="0"/>
    <n v="132"/>
    <n v="0"/>
    <n v="0"/>
    <n v="85"/>
    <n v="0"/>
    <n v="0"/>
    <n v="25"/>
    <n v="0"/>
    <n v="0"/>
    <n v="720.5"/>
    <n v="0"/>
    <n v="0"/>
    <s v="JAIPUR URBAN"/>
    <s v="JAIPUR URBAN"/>
    <s v="RJ-JAIPUR"/>
    <d v="2022-05-21T00:00:00"/>
  </r>
  <r>
    <s v="819453144868"/>
    <x v="1062"/>
    <s v="SHREE SHYAM BUILDING MATERIAL"/>
    <n v="144868"/>
    <s v="ASHISH SALES CORPORATION"/>
    <n v="0"/>
    <n v="0"/>
    <n v="0"/>
    <n v="0"/>
    <n v="0"/>
    <n v="0"/>
    <n v="47.5"/>
    <n v="8.5"/>
    <n v="0"/>
    <n v="119.25"/>
    <n v="0"/>
    <n v="0"/>
    <n v="102"/>
    <n v="2.5"/>
    <n v="0"/>
    <n v="123.75"/>
    <n v="1.25"/>
    <n v="0"/>
    <n v="54.5"/>
    <n v="0"/>
    <n v="0"/>
    <n v="151"/>
    <n v="0"/>
    <n v="0"/>
    <n v="598"/>
    <n v="12.25"/>
    <n v="0"/>
    <s v="JAIPUR URBAN"/>
    <s v="JAIPUR URBAN"/>
    <s v="RJ-JAIPUR"/>
    <d v="2022-06-23T00:00:00"/>
  </r>
  <r>
    <s v="819471204307"/>
    <x v="1063"/>
    <s v="GANPATI STEELS"/>
    <n v="204307"/>
    <s v="JAI BAJRANG STEELS"/>
    <n v="0"/>
    <n v="0"/>
    <n v="0"/>
    <n v="0"/>
    <n v="0"/>
    <n v="0"/>
    <n v="38.5"/>
    <n v="0"/>
    <n v="0"/>
    <n v="139.5"/>
    <n v="0"/>
    <n v="5"/>
    <n v="148.5"/>
    <n v="0"/>
    <n v="0"/>
    <n v="10"/>
    <n v="0"/>
    <n v="0"/>
    <n v="75"/>
    <n v="0"/>
    <n v="0"/>
    <n v="55"/>
    <n v="0"/>
    <n v="0"/>
    <n v="466.5"/>
    <n v="0"/>
    <n v="5"/>
    <s v="JAIPUR URBAN"/>
    <s v="JAIPUR URBAN"/>
    <s v="RJ-JAIPUR"/>
    <d v="2022-06-23T00:00:00"/>
  </r>
  <r>
    <s v="819473204307"/>
    <x v="1064"/>
    <s v="PANKAJ BUILDING MATERIAL SUPPL"/>
    <n v="204307"/>
    <s v="JAI BAJRANG STEELS"/>
    <n v="0"/>
    <n v="0"/>
    <n v="0"/>
    <n v="0"/>
    <n v="0"/>
    <n v="0"/>
    <n v="40"/>
    <n v="0"/>
    <n v="0"/>
    <n v="97.75"/>
    <n v="0"/>
    <n v="0"/>
    <n v="34"/>
    <n v="0"/>
    <n v="2.5"/>
    <n v="50"/>
    <n v="0"/>
    <n v="0"/>
    <n v="0"/>
    <n v="0"/>
    <n v="0"/>
    <n v="0"/>
    <n v="0"/>
    <n v="0"/>
    <n v="221.75"/>
    <n v="0"/>
    <n v="2.5"/>
    <s v="JAIPUR URBAN"/>
    <s v="JAIPUR URBAN"/>
    <s v="RJ-JAIPUR"/>
    <d v="2022-06-23T00:00:00"/>
  </r>
  <r>
    <s v="819832213301"/>
    <x v="1065"/>
    <s v="CHARBHUJA STEELS"/>
    <n v="213301"/>
    <s v="TAMBI CONSTRUCTION COMPANY"/>
    <n v="0"/>
    <n v="0"/>
    <n v="0"/>
    <n v="0"/>
    <n v="0"/>
    <n v="0"/>
    <n v="0"/>
    <n v="0"/>
    <n v="0"/>
    <n v="41.5"/>
    <n v="0"/>
    <n v="0"/>
    <n v="0"/>
    <n v="0"/>
    <n v="0"/>
    <n v="17"/>
    <n v="0"/>
    <n v="0"/>
    <n v="14.5"/>
    <n v="0"/>
    <n v="0"/>
    <n v="11.25"/>
    <n v="0"/>
    <n v="0"/>
    <n v="84.25"/>
    <n v="0"/>
    <n v="0"/>
    <s v="JAIPUR URBAN"/>
    <s v="JAIPUR URBAN"/>
    <s v="RJ-JAIPUR"/>
    <d v="2022-07-19T00:00:00"/>
  </r>
  <r>
    <s v="819853205225"/>
    <x v="1066"/>
    <s v="GOVINDAM CEMENT"/>
    <n v="205225"/>
    <s v="MAHAVEER ASSOCIATES"/>
    <n v="0"/>
    <n v="0"/>
    <n v="0"/>
    <n v="0"/>
    <n v="0"/>
    <n v="0"/>
    <n v="0"/>
    <n v="0"/>
    <n v="0"/>
    <n v="86.6"/>
    <n v="15.1"/>
    <n v="0"/>
    <n v="87.2"/>
    <n v="0"/>
    <n v="7.5"/>
    <n v="38.5"/>
    <n v="0"/>
    <n v="0"/>
    <n v="128.5"/>
    <n v="0"/>
    <n v="0"/>
    <n v="60"/>
    <n v="0"/>
    <n v="0"/>
    <n v="400.8"/>
    <n v="15.1"/>
    <n v="7.5"/>
    <s v="JAIPUR URBAN"/>
    <s v="JAIPUR URBAN"/>
    <s v="RJ-JAIPUR"/>
    <d v="2022-07-20T00:00:00"/>
  </r>
  <r>
    <s v="819913205225"/>
    <x v="1067"/>
    <s v="KUSHAL BUILDERS"/>
    <n v="205225"/>
    <s v="MAHAVEER ASSOCIATES"/>
    <n v="0"/>
    <n v="0"/>
    <n v="0"/>
    <n v="0"/>
    <n v="0"/>
    <n v="0"/>
    <n v="0"/>
    <n v="0"/>
    <n v="0"/>
    <n v="20"/>
    <n v="0"/>
    <n v="0"/>
    <n v="17.5"/>
    <n v="0"/>
    <n v="0"/>
    <n v="15"/>
    <n v="0"/>
    <n v="4"/>
    <n v="10"/>
    <n v="0"/>
    <n v="0"/>
    <n v="16"/>
    <n v="0"/>
    <n v="0.5"/>
    <n v="78.5"/>
    <n v="0"/>
    <n v="4"/>
    <s v="JAIPUR URBAN"/>
    <s v="JAIPUR URBAN"/>
    <s v="RJ-JAIPUR"/>
    <d v="2022-07-25T00:00:00"/>
  </r>
  <r>
    <s v="820030212409"/>
    <x v="1068"/>
    <s v="BALAJI CEMENT AGENCY"/>
    <n v="212409"/>
    <s v="HARE KRISHNA TRADERS"/>
    <n v="0"/>
    <n v="0"/>
    <n v="0"/>
    <n v="0"/>
    <n v="0"/>
    <n v="0"/>
    <n v="0"/>
    <n v="0"/>
    <n v="0"/>
    <n v="0"/>
    <n v="0"/>
    <n v="0"/>
    <n v="16"/>
    <n v="5"/>
    <n v="0"/>
    <n v="55"/>
    <n v="0"/>
    <n v="0"/>
    <n v="30"/>
    <n v="0"/>
    <n v="0"/>
    <n v="47.5"/>
    <n v="0"/>
    <n v="0"/>
    <n v="148.5"/>
    <n v="5"/>
    <n v="0"/>
    <s v="JAIPUR URBAN"/>
    <s v="JAIPUR URBAN"/>
    <s v="RJ-JAIPUR"/>
    <d v="2022-08-03T00:00:00"/>
  </r>
  <r>
    <s v="820031213301"/>
    <x v="1069"/>
    <s v="MANDYA TRADERS"/>
    <n v="213301"/>
    <s v="TAMBI CONSTRUCTION COMPANY"/>
    <n v="0"/>
    <n v="0"/>
    <n v="0"/>
    <n v="0"/>
    <n v="0"/>
    <n v="0"/>
    <n v="0"/>
    <n v="0"/>
    <n v="0"/>
    <n v="0"/>
    <n v="0"/>
    <n v="0"/>
    <n v="30"/>
    <n v="0"/>
    <n v="0"/>
    <n v="21.4"/>
    <n v="8.5"/>
    <n v="0"/>
    <n v="25"/>
    <n v="0"/>
    <n v="0"/>
    <n v="13.25"/>
    <n v="0"/>
    <n v="0"/>
    <n v="89.65"/>
    <n v="8.5"/>
    <n v="0"/>
    <s v="JAIPUR URBAN"/>
    <s v="JAIPUR URBAN"/>
    <s v="RJ-JAIPUR"/>
    <d v="2022-08-03T00:00:00"/>
  </r>
  <r>
    <s v="820032174445"/>
    <x v="1070"/>
    <s v="BALAJI BUILDING MATERIAL SUPPL"/>
    <n v="174445"/>
    <s v="RAM JI BUILDING MATERIAL SUPPL"/>
    <n v="0"/>
    <n v="0"/>
    <n v="0"/>
    <n v="0"/>
    <n v="0"/>
    <n v="0"/>
    <n v="0"/>
    <n v="0"/>
    <n v="0"/>
    <n v="0"/>
    <n v="0"/>
    <n v="0"/>
    <n v="23"/>
    <n v="0.5"/>
    <n v="0"/>
    <n v="34.25"/>
    <n v="0"/>
    <n v="0"/>
    <n v="15"/>
    <n v="0"/>
    <n v="0"/>
    <n v="13"/>
    <n v="0"/>
    <n v="0"/>
    <n v="85.25"/>
    <n v="0.5"/>
    <n v="0"/>
    <s v="JAIPUR URBAN"/>
    <s v="JAIPUR URBAN"/>
    <s v="RJ-JAIPUR"/>
    <d v="2022-08-03T00:00:00"/>
  </r>
  <r>
    <s v="820032212409"/>
    <x v="1070"/>
    <s v="BALAJI BUILDING MATERIAL SUPPL"/>
    <n v="212409"/>
    <s v="HARE KRISHNA TRADERS"/>
    <n v="0"/>
    <n v="0"/>
    <n v="0"/>
    <n v="0"/>
    <n v="0"/>
    <n v="0"/>
    <n v="0"/>
    <n v="0"/>
    <n v="0"/>
    <n v="0"/>
    <n v="0"/>
    <n v="0"/>
    <n v="14.5"/>
    <n v="0"/>
    <n v="0"/>
    <n v="0"/>
    <n v="0"/>
    <n v="0"/>
    <n v="0"/>
    <n v="0"/>
    <n v="0"/>
    <n v="0"/>
    <n v="0"/>
    <n v="0"/>
    <n v="14.5"/>
    <n v="0"/>
    <n v="0"/>
    <s v="JAIPUR URBAN"/>
    <s v="JAIPUR URBAN"/>
    <s v="RJ-JAIPUR"/>
    <d v="2022-08-03T00:00:00"/>
  </r>
  <r>
    <s v="820287204307"/>
    <x v="1071"/>
    <s v="GAURAV CEMENT AGENCY"/>
    <s v="204307"/>
    <s v="JAI BAJRANG STEELS"/>
    <n v="0"/>
    <n v="0"/>
    <n v="0"/>
    <n v="0"/>
    <n v="0"/>
    <n v="0"/>
    <n v="0"/>
    <n v="0"/>
    <n v="0"/>
    <n v="0"/>
    <n v="0"/>
    <n v="0"/>
    <n v="9"/>
    <n v="9"/>
    <n v="0"/>
    <n v="157"/>
    <n v="0"/>
    <n v="10"/>
    <n v="100"/>
    <n v="1.3"/>
    <n v="0"/>
    <n v="100"/>
    <n v="4.5"/>
    <n v="0"/>
    <n v="366"/>
    <n v="10.3"/>
    <n v="10"/>
    <s v="JAIPUR URBAN"/>
    <s v="JAIPUR URBAN"/>
    <s v="RJ-JAIPUR"/>
    <d v="2022-08-27T00:00:00"/>
  </r>
  <r>
    <s v="820286204307"/>
    <x v="1072"/>
    <s v="CHETAN BUILDING MATERIAL"/>
    <n v="204307"/>
    <s v="JAI BAJRANG STEELS"/>
    <n v="0"/>
    <n v="0"/>
    <n v="0"/>
    <n v="0"/>
    <n v="0"/>
    <n v="0"/>
    <n v="0"/>
    <n v="0"/>
    <n v="0"/>
    <n v="0"/>
    <n v="0"/>
    <n v="0"/>
    <n v="0"/>
    <n v="0"/>
    <n v="0"/>
    <n v="135"/>
    <n v="0"/>
    <n v="0"/>
    <n v="96"/>
    <n v="0"/>
    <n v="11"/>
    <n v="90"/>
    <n v="0"/>
    <n v="0"/>
    <n v="321"/>
    <n v="0"/>
    <n v="11"/>
    <s v="JAIPUR URBAN"/>
    <s v="JAIPUR URBAN"/>
    <s v="RJ-JAIPUR"/>
    <d v="2022-08-27T00:00:00"/>
  </r>
  <r>
    <s v="820380145135"/>
    <x v="1073"/>
    <s v="ASTHA ENTERPRISES"/>
    <n v="145135"/>
    <s v="AHUJA CEMENT &amp; SANITARYWARE"/>
    <n v="0"/>
    <n v="0"/>
    <n v="0"/>
    <n v="0"/>
    <n v="0"/>
    <n v="0"/>
    <n v="0"/>
    <n v="0"/>
    <n v="0"/>
    <n v="0"/>
    <n v="0"/>
    <n v="0"/>
    <n v="0"/>
    <n v="0"/>
    <n v="0"/>
    <n v="192.4"/>
    <n v="26.6"/>
    <n v="8.5"/>
    <n v="130.5"/>
    <n v="2.5"/>
    <n v="7.5"/>
    <n v="121.55"/>
    <n v="0"/>
    <n v="10"/>
    <n v="444.45"/>
    <n v="29.1"/>
    <n v="16"/>
    <s v="JAIPUR URBAN"/>
    <s v="JAIPUR URBAN"/>
    <s v="RJ-JAIPUR"/>
    <d v="2022-09-03T00:00:00"/>
  </r>
  <r>
    <s v="820621119261"/>
    <x v="1074"/>
    <s v="GARG BUILDING MATERIAL AND PRO"/>
    <n v="119261"/>
    <s v="DURGESH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n v="0"/>
    <n v="0"/>
    <n v="0"/>
    <n v="0"/>
    <n v="0"/>
    <n v="63"/>
    <n v="0"/>
    <n v="0"/>
    <s v="JAIPUR URBAN"/>
    <s v="JAIPUR URBAN"/>
    <s v="RJ-JAIPUR"/>
    <d v="2022-09-20T00:00:00"/>
  </r>
  <r>
    <s v="814651144868"/>
    <x v="1017"/>
    <s v="SHREE SHYAM BUILDING MATERIAL"/>
    <n v="144868"/>
    <s v="ASHISH SALES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5"/>
    <n v="0"/>
    <n v="0"/>
    <n v="0"/>
    <n v="0"/>
    <n v="0"/>
    <n v="17.5"/>
    <n v="0"/>
    <n v="0"/>
    <s v="JAIPUR URBAN"/>
    <s v="JAIPUR URBAN"/>
    <s v="RJ-JAIPUR"/>
    <d v="2021-02-26T00:00:00"/>
  </r>
  <r>
    <s v="820639204307"/>
    <x v="1075"/>
    <s v="AGRASEN BUILDING MATERIAL AND"/>
    <n v="204307"/>
    <s v="JAI BAJRANG STEE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25"/>
    <n v="0"/>
    <n v="0"/>
    <n v="75"/>
    <n v="0"/>
    <n v="0"/>
    <s v="JAIPUR URBAN"/>
    <s v="JAIPUR URBAN"/>
    <s v="RJ-JAIPUR"/>
    <d v="2022-09-20T00:00:00"/>
  </r>
  <r>
    <s v="821007206049"/>
    <x v="1076"/>
    <s v="SURENDRA ASSOCIATES"/>
    <n v="206049"/>
    <s v="VAIBHAV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82"/>
    <n v="0"/>
    <n v="0"/>
    <n v="97"/>
    <n v="0"/>
    <n v="0"/>
    <s v="JAIPUR URBAN"/>
    <s v="JAIPUR URBAN"/>
    <s v="RJ-JAIPUR"/>
    <d v="2022-10-19T00:00:00"/>
  </r>
  <r>
    <s v="821008206049"/>
    <x v="1077"/>
    <s v="MAHESH ASSOCIATES"/>
    <n v="206049"/>
    <s v="VAIBHAV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"/>
    <n v="0"/>
    <n v="10"/>
    <n v="193.5"/>
    <n v="0"/>
    <n v="0"/>
    <n v="304.5"/>
    <n v="0"/>
    <n v="10"/>
    <s v="JAIPUR URBAN"/>
    <s v="JAIPUR URBAN"/>
    <s v="RJ-JAIPUR"/>
    <d v="2022-10-19T00:00:00"/>
  </r>
  <r>
    <s v="821023206049"/>
    <x v="1078"/>
    <s v="SHREE LAXMI TRADERS"/>
    <n v="206049"/>
    <s v="VAIBHAV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"/>
    <n v="0"/>
    <n v="0"/>
    <n v="18"/>
    <n v="0"/>
    <n v="0"/>
    <s v="JAIPUR URBAN"/>
    <s v="JAIPUR URBAN"/>
    <s v="RJ-JAIPUR"/>
    <d v="2022-10-19T00:00:00"/>
  </r>
  <r>
    <s v="821184119261"/>
    <x v="1079"/>
    <s v="SHREE BALAJI TARDERS"/>
    <n v="119261"/>
    <s v="DURGESH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87"/>
    <n v="0"/>
    <n v="0"/>
    <n v="402"/>
    <n v="0"/>
    <n v="0"/>
    <s v="JAIPUR URBAN"/>
    <s v="JAIPUR URBAN"/>
    <s v="RJ-JAIPUR"/>
    <d v="2022-11-09T00:00:00"/>
  </r>
  <r>
    <s v="809918172150"/>
    <x v="981"/>
    <s v="SHRI LAXMI AGENCIES"/>
    <n v="172150"/>
    <s v="GHODELA BUILDING MATERIAL 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.5"/>
    <n v="2.5"/>
    <n v="0"/>
    <n v="17.5"/>
    <n v="0"/>
    <n v="0"/>
    <s v="JAIPUR URBAN"/>
    <s v="JAIPUR URBAN"/>
    <s v="RJ-JAIPUR"/>
    <d v="2019-07-13T00:00:00"/>
  </r>
  <r>
    <s v="821272119261"/>
    <x v="1080"/>
    <s v="GUPTA BUILDING MATERIAL SUPPLI"/>
    <n v="119261"/>
    <s v="DURGESH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7.5"/>
    <n v="0"/>
    <n v="0"/>
    <n v="92.5"/>
    <n v="0"/>
    <n v="0"/>
    <s v="JAIPUR URBAN"/>
    <s v="JAIPUR URBAN"/>
    <s v="RJ-JAIPUR"/>
    <d v="2022-11-18T00:00:00"/>
  </r>
  <r>
    <s v="821284205225"/>
    <x v="1081"/>
    <s v="SHREE BALAJI ENTERPRISES"/>
    <n v="205225"/>
    <s v="MAHAVEER ASSOCIAT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2"/>
    <n v="0"/>
    <n v="0"/>
    <n v="67"/>
    <n v="0"/>
    <n v="0"/>
    <s v="JAIPUR URBAN"/>
    <s v="JAIPUR URBAN"/>
    <s v="RJ-JAIPUR"/>
    <d v="2022-11-18T00:00:00"/>
  </r>
  <r>
    <s v="821349205225"/>
    <x v="1082"/>
    <s v="RAJDHANI PIPES"/>
    <n v="205225"/>
    <s v="MAHAVEER ASSOCIAT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40.5"/>
    <n v="0"/>
    <n v="2.5"/>
    <n v="55.5"/>
    <n v="0"/>
    <n v="0"/>
    <s v="JAIPUR URBAN"/>
    <s v="JAIPUR URBAN"/>
    <s v="RJ-JAIPUR"/>
    <d v="2022-11-23T00:00:00"/>
  </r>
  <r>
    <s v="821352204307"/>
    <x v="1083"/>
    <s v="DEEPAK TRADERS"/>
    <n v="204307"/>
    <s v="JAI BAJRANG STEE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JAIPUR URBAN"/>
    <s v="JAIPUR URBAN"/>
    <s v="RJ-JAIPUR"/>
    <d v="2022-11-24T00:00:00"/>
  </r>
  <r>
    <s v="806230146861"/>
    <x v="1084"/>
    <s v="SHRI VINAYAK WOOD TRADERS"/>
    <n v="146861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"/>
    <s v="BARMER"/>
    <s v="RJ-JODHPUR"/>
    <d v="2017-04-07T00:00:00"/>
  </r>
  <r>
    <s v="806230208289"/>
    <x v="1084"/>
    <s v="SHRI VINAYAK WOOD TRADERS"/>
    <n v="208289"/>
    <s v="CHAMUNDA BUILDING MATERIAL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20"/>
    <n v="0"/>
    <n v="0"/>
    <s v="BARMER"/>
    <s v="BARMER"/>
    <s v="RJ-JODHPUR"/>
    <d v="2017-04-07T00:00:00"/>
  </r>
  <r>
    <s v="806233146861"/>
    <x v="1085"/>
    <s v="RAWATA RAM"/>
    <n v="146861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"/>
    <s v="BARMER"/>
    <s v="RJ-JODHPUR"/>
    <d v="2017-04-07T00:00:00"/>
  </r>
  <r>
    <s v="806233208289"/>
    <x v="1085"/>
    <s v="RAWATA RAM"/>
    <n v="208289"/>
    <s v="CHAMUNDA BUILDING MATERIAL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BARMER"/>
    <s v="BARMER"/>
    <s v="RJ-JODHPUR"/>
    <d v="2017-04-07T00:00:00"/>
  </r>
  <r>
    <s v="809219176833"/>
    <x v="1086"/>
    <s v="DUNGAR MAL"/>
    <n v="176833"/>
    <s v="NAKORA CEMENT SUPPLIERS"/>
    <n v="105"/>
    <n v="0"/>
    <n v="0"/>
    <n v="30"/>
    <n v="0"/>
    <n v="0"/>
    <n v="41"/>
    <n v="0"/>
    <n v="16"/>
    <n v="15"/>
    <n v="5"/>
    <n v="0"/>
    <n v="25"/>
    <n v="0"/>
    <n v="0"/>
    <n v="20"/>
    <n v="0"/>
    <n v="0"/>
    <n v="10"/>
    <n v="0"/>
    <n v="0"/>
    <n v="35"/>
    <n v="0"/>
    <n v="10"/>
    <n v="281"/>
    <n v="5"/>
    <n v="16"/>
    <s v="BARMER"/>
    <s v="BARMER"/>
    <s v="RJ-JODHPUR"/>
    <d v="2019-03-02T00:00:00"/>
  </r>
  <r>
    <s v="809338119117"/>
    <x v="1087"/>
    <s v="DEEPA RAM PATA RAM"/>
    <n v="119117"/>
    <s v="RAHMATULLA CEMENT AGENCY"/>
    <n v="35"/>
    <n v="0"/>
    <n v="0"/>
    <n v="95"/>
    <n v="0"/>
    <n v="0"/>
    <n v="90"/>
    <n v="10"/>
    <n v="0"/>
    <n v="90"/>
    <n v="24"/>
    <n v="0"/>
    <n v="85"/>
    <n v="0"/>
    <n v="0"/>
    <n v="132"/>
    <n v="30"/>
    <n v="12"/>
    <n v="50"/>
    <n v="0"/>
    <n v="0"/>
    <n v="0"/>
    <n v="0"/>
    <n v="0"/>
    <n v="577"/>
    <n v="64"/>
    <n v="12"/>
    <s v="BARMER"/>
    <s v="BARMER"/>
    <s v="RJ-JODHPUR"/>
    <d v="2019-04-05T00:00:00"/>
  </r>
  <r>
    <s v="809459119117"/>
    <x v="1088"/>
    <s v="AAI MATA CEMENT SUPPLIERS"/>
    <n v="119117"/>
    <s v="RAHMATULLA CEMENT AGENCY"/>
    <n v="0"/>
    <n v="0"/>
    <n v="0"/>
    <n v="0"/>
    <n v="0"/>
    <n v="0"/>
    <n v="0"/>
    <n v="0"/>
    <n v="0"/>
    <n v="0"/>
    <n v="0"/>
    <n v="0"/>
    <n v="10"/>
    <n v="0"/>
    <n v="0"/>
    <n v="46"/>
    <n v="8"/>
    <n v="0"/>
    <n v="40"/>
    <n v="0"/>
    <n v="0"/>
    <n v="0"/>
    <n v="0"/>
    <n v="0"/>
    <n v="96"/>
    <n v="8"/>
    <n v="0"/>
    <s v="BARMER"/>
    <s v="BARMER"/>
    <s v="RJ-JODHPUR"/>
    <d v="2019-05-01T00:00:00"/>
  </r>
  <r>
    <s v="810225176833"/>
    <x v="1089"/>
    <s v="JAI SANTOSHI ENTERPRISES"/>
    <n v="176833"/>
    <s v="NAKORA CEMENT SUPPLIERS"/>
    <n v="94"/>
    <n v="0"/>
    <n v="0"/>
    <n v="27"/>
    <n v="0"/>
    <n v="0"/>
    <n v="10"/>
    <n v="0"/>
    <n v="10"/>
    <n v="10"/>
    <n v="0"/>
    <n v="0"/>
    <n v="15"/>
    <n v="0"/>
    <n v="0"/>
    <n v="55"/>
    <n v="0"/>
    <n v="0"/>
    <n v="13"/>
    <n v="0"/>
    <n v="0"/>
    <n v="35"/>
    <n v="15"/>
    <n v="0"/>
    <n v="259"/>
    <n v="0"/>
    <n v="10"/>
    <s v="BARMER"/>
    <s v="BARMER"/>
    <s v="RJ-JODHPUR"/>
    <d v="2019-08-12T00:00:00"/>
  </r>
  <r>
    <s v="810513176833"/>
    <x v="1090"/>
    <s v="HANUMAN RAM"/>
    <n v="176833"/>
    <s v="NAKORA CEMENT SUPPLIERS"/>
    <n v="62"/>
    <n v="0"/>
    <n v="0"/>
    <n v="65"/>
    <n v="0"/>
    <n v="0"/>
    <n v="70"/>
    <n v="0"/>
    <n v="25"/>
    <n v="25"/>
    <n v="0"/>
    <n v="0"/>
    <n v="20"/>
    <n v="0"/>
    <n v="0"/>
    <n v="37.5"/>
    <n v="7.5"/>
    <n v="0"/>
    <n v="0"/>
    <n v="0"/>
    <n v="0"/>
    <n v="95"/>
    <n v="0"/>
    <n v="0"/>
    <n v="374.5"/>
    <n v="7.5"/>
    <n v="25"/>
    <s v="BARMER"/>
    <s v="BARMER"/>
    <s v="RJ-JODHPUR"/>
    <d v="2019-09-18T00:00:00"/>
  </r>
  <r>
    <s v="810899177295"/>
    <x v="1091"/>
    <s v="KISHANA RAM GODARA"/>
    <n v="177295"/>
    <s v="ROHIT TRADERS"/>
    <n v="30"/>
    <n v="0"/>
    <n v="0"/>
    <n v="30"/>
    <n v="0"/>
    <n v="0"/>
    <n v="139"/>
    <n v="10"/>
    <n v="10"/>
    <n v="0"/>
    <n v="0"/>
    <n v="0"/>
    <n v="35"/>
    <n v="0"/>
    <n v="25"/>
    <n v="35"/>
    <n v="0"/>
    <n v="0"/>
    <n v="20"/>
    <n v="0"/>
    <n v="10"/>
    <n v="0"/>
    <n v="0"/>
    <n v="0"/>
    <n v="289"/>
    <n v="10"/>
    <n v="45"/>
    <s v="BARMER"/>
    <s v="BARMER"/>
    <s v="RJ-JODHPUR"/>
    <d v="2019-12-03T00:00:00"/>
  </r>
  <r>
    <s v="810901177295"/>
    <x v="1092"/>
    <s v="SATTA RAM SAU"/>
    <n v="177295"/>
    <s v="ROHIT TRADERS"/>
    <n v="80"/>
    <n v="0"/>
    <n v="0"/>
    <n v="60"/>
    <n v="0"/>
    <n v="0"/>
    <n v="177"/>
    <n v="0"/>
    <n v="30"/>
    <n v="5"/>
    <n v="0"/>
    <n v="0"/>
    <n v="236.5"/>
    <n v="84.5"/>
    <n v="22"/>
    <n v="34"/>
    <n v="20"/>
    <n v="0"/>
    <n v="58"/>
    <n v="30"/>
    <n v="18"/>
    <n v="50"/>
    <n v="0"/>
    <n v="0"/>
    <n v="700.5"/>
    <n v="134.5"/>
    <n v="70"/>
    <s v="BARMER"/>
    <s v="BARMER"/>
    <s v="RJ-JODHPUR"/>
    <d v="2019-12-03T00:00:00"/>
  </r>
  <r>
    <s v="810902177295"/>
    <x v="1093"/>
    <s v="SAD RAM"/>
    <n v="177295"/>
    <s v="ROHIT TRADERS"/>
    <n v="54"/>
    <n v="0"/>
    <n v="0"/>
    <n v="60"/>
    <n v="0"/>
    <n v="0"/>
    <n v="180"/>
    <n v="0"/>
    <n v="30"/>
    <n v="0"/>
    <n v="0"/>
    <n v="0"/>
    <n v="81"/>
    <n v="15"/>
    <n v="35"/>
    <n v="15"/>
    <n v="0"/>
    <n v="0"/>
    <n v="45"/>
    <n v="0"/>
    <n v="10"/>
    <n v="15"/>
    <n v="10"/>
    <n v="0"/>
    <n v="450"/>
    <n v="15"/>
    <n v="75"/>
    <s v="BARMER"/>
    <s v="BARMER"/>
    <s v="RJ-JODHPUR"/>
    <d v="2019-12-03T00:00:00"/>
  </r>
  <r>
    <s v="810920119109"/>
    <x v="1094"/>
    <s v="RAMLAL PRAJAPAT"/>
    <n v="119109"/>
    <s v="MAHENDRA KUMAR TEJARAM PRAJAPA"/>
    <n v="15"/>
    <n v="0"/>
    <n v="0"/>
    <n v="45"/>
    <n v="0"/>
    <n v="0"/>
    <n v="34"/>
    <n v="0"/>
    <n v="0"/>
    <n v="20"/>
    <n v="0"/>
    <n v="0"/>
    <n v="15"/>
    <n v="0"/>
    <n v="0"/>
    <n v="25"/>
    <n v="0"/>
    <n v="0"/>
    <n v="55"/>
    <n v="0"/>
    <n v="0"/>
    <n v="10"/>
    <n v="0"/>
    <n v="0"/>
    <n v="219"/>
    <n v="0"/>
    <n v="0"/>
    <s v="BARMER"/>
    <s v="BARMER"/>
    <s v="RJ-JODHPUR"/>
    <d v="2019-12-05T00:00:00"/>
  </r>
  <r>
    <s v="810951177295"/>
    <x v="1095"/>
    <s v="MANOHAR LAL"/>
    <n v="177295"/>
    <s v="ROHIT TRADERS"/>
    <n v="150"/>
    <n v="0"/>
    <n v="0"/>
    <n v="170"/>
    <n v="0"/>
    <n v="0"/>
    <n v="444"/>
    <n v="74"/>
    <n v="145"/>
    <n v="0"/>
    <n v="0"/>
    <n v="0"/>
    <n v="295"/>
    <n v="85"/>
    <n v="85"/>
    <n v="60"/>
    <n v="50"/>
    <n v="0"/>
    <n v="200"/>
    <n v="100"/>
    <n v="10"/>
    <n v="34"/>
    <n v="34"/>
    <n v="0"/>
    <n v="1353"/>
    <n v="309"/>
    <n v="240"/>
    <s v="BARMER"/>
    <s v="BARMER"/>
    <s v="RJ-JODHPUR"/>
    <d v="2019-12-09T00:00:00"/>
  </r>
  <r>
    <s v="811049119117"/>
    <x v="1096"/>
    <s v="HANUMAN SINGH DAIYA"/>
    <n v="119117"/>
    <s v="RAHMATULLA CEMENT AGENCY"/>
    <n v="0"/>
    <n v="0"/>
    <n v="0"/>
    <n v="10"/>
    <n v="0"/>
    <n v="0"/>
    <n v="20"/>
    <n v="0"/>
    <n v="0"/>
    <n v="25"/>
    <n v="5"/>
    <n v="0"/>
    <n v="47"/>
    <n v="0"/>
    <n v="0"/>
    <n v="40"/>
    <n v="0"/>
    <n v="0"/>
    <n v="58"/>
    <n v="8"/>
    <n v="0"/>
    <n v="0"/>
    <n v="0"/>
    <n v="0"/>
    <n v="200"/>
    <n v="13"/>
    <n v="0"/>
    <s v="BARMER"/>
    <s v="BARMER"/>
    <s v="RJ-JODHPUR"/>
    <d v="2019-12-23T00:00:00"/>
  </r>
  <r>
    <s v="811049178031"/>
    <x v="1096"/>
    <s v="HANUMAN SINGH DAIYA"/>
    <n v="178031"/>
    <s v="JAIN TRADERS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BARMER"/>
    <s v="BARMER"/>
    <s v="RJ-JODHPUR"/>
    <d v="2019-12-23T00:00:00"/>
  </r>
  <r>
    <s v="811189176833"/>
    <x v="1097"/>
    <s v="JAY RAM S/O RANA RAM"/>
    <n v="176833"/>
    <s v="NAKORA CEMENT SUPPLIERS"/>
    <n v="45"/>
    <n v="0"/>
    <n v="0"/>
    <n v="30"/>
    <n v="0"/>
    <n v="0"/>
    <n v="42.5"/>
    <n v="2.5"/>
    <n v="20"/>
    <n v="0"/>
    <n v="0"/>
    <n v="0"/>
    <n v="10"/>
    <n v="0"/>
    <n v="10"/>
    <n v="0"/>
    <n v="0"/>
    <n v="0"/>
    <n v="10"/>
    <n v="0"/>
    <n v="0"/>
    <n v="10"/>
    <n v="0"/>
    <n v="0"/>
    <n v="147.5"/>
    <n v="2.5"/>
    <n v="30"/>
    <s v="BARMER"/>
    <s v="BARMER"/>
    <s v="RJ-JODHPUR"/>
    <d v="2020-01-04T00:00:00"/>
  </r>
  <r>
    <s v="811256176833"/>
    <x v="1098"/>
    <s v="DURGA RAM"/>
    <n v="176833"/>
    <s v="NAKORA CEMENT SUPPLIERS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BARMER"/>
    <s v="BARMER"/>
    <s v="RJ-JODHPUR"/>
    <d v="2020-01-14T00:00:00"/>
  </r>
  <r>
    <s v="811256179879"/>
    <x v="1098"/>
    <s v="DURGA RAM"/>
    <n v="179879"/>
    <s v="JITENDRA &amp; COMPANY"/>
    <n v="0"/>
    <n v="0"/>
    <n v="0"/>
    <n v="45"/>
    <n v="0"/>
    <n v="0"/>
    <n v="20"/>
    <n v="0"/>
    <n v="0"/>
    <n v="15"/>
    <n v="0"/>
    <n v="0"/>
    <n v="0"/>
    <n v="0"/>
    <n v="0"/>
    <n v="25"/>
    <n v="0"/>
    <n v="0"/>
    <n v="0"/>
    <n v="0"/>
    <n v="0"/>
    <n v="0"/>
    <n v="0"/>
    <n v="0"/>
    <n v="105"/>
    <n v="0"/>
    <n v="0"/>
    <s v="BARMER"/>
    <s v="BARMER"/>
    <s v="RJ-JODHPUR"/>
    <d v="2020-01-14T00:00:00"/>
  </r>
  <r>
    <s v="811328176833"/>
    <x v="1099"/>
    <s v="HEM DAN CHARAN"/>
    <n v="176833"/>
    <s v="NAKORA CEMENT SUPPLIERS"/>
    <n v="30"/>
    <n v="0"/>
    <n v="0"/>
    <n v="67"/>
    <n v="0"/>
    <n v="0"/>
    <n v="80"/>
    <n v="0"/>
    <n v="45"/>
    <n v="45"/>
    <n v="0"/>
    <n v="25"/>
    <n v="35"/>
    <n v="0"/>
    <n v="20"/>
    <n v="55"/>
    <n v="0"/>
    <n v="15"/>
    <n v="15"/>
    <n v="0"/>
    <n v="15"/>
    <n v="55"/>
    <n v="0"/>
    <n v="0"/>
    <n v="382"/>
    <n v="0"/>
    <n v="120"/>
    <s v="BARMER"/>
    <s v="BARMER"/>
    <s v="RJ-JODHPUR"/>
    <d v="2020-01-25T00:00:00"/>
  </r>
  <r>
    <s v="811329177595"/>
    <x v="1100"/>
    <s v="DALPAT SINGH"/>
    <n v="177595"/>
    <s v="SHAH MITHA LAL SOHAN RAJ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"/>
    <s v="BARMER"/>
    <s v="RJ-JODHPUR"/>
    <d v="2020-01-25T00:00:00"/>
  </r>
  <r>
    <s v="811348119117"/>
    <x v="1101"/>
    <s v="JAYANT KUMAR"/>
    <n v="119117"/>
    <s v="RAHMATULLA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"/>
    <s v="BARMER"/>
    <s v="RJ-JODHPUR"/>
    <d v="2020-01-28T00:00:00"/>
  </r>
  <r>
    <s v="811419201578"/>
    <x v="1102"/>
    <s v="SUMAR KHAN"/>
    <n v="201578"/>
    <s v="RATHORE SUPPLIER &amp; CONSTRUCTI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"/>
    <s v="BARMER"/>
    <s v="RJ-JODHPUR"/>
    <d v="2020-02-05T00:00:00"/>
  </r>
  <r>
    <s v="811420176833"/>
    <x v="1103"/>
    <s v="SANTOSH KUMAR"/>
    <n v="176833"/>
    <s v="NAKORA CEMENT SUPPLIERS"/>
    <n v="30"/>
    <n v="0"/>
    <n v="0"/>
    <n v="25"/>
    <n v="0"/>
    <n v="0"/>
    <n v="42.5"/>
    <n v="0"/>
    <n v="7.5"/>
    <n v="15"/>
    <n v="0"/>
    <n v="15"/>
    <n v="15"/>
    <n v="0"/>
    <n v="0"/>
    <n v="35"/>
    <n v="0"/>
    <n v="0"/>
    <n v="17.5"/>
    <n v="0"/>
    <n v="0"/>
    <n v="25"/>
    <n v="10"/>
    <n v="0"/>
    <n v="205"/>
    <n v="0"/>
    <n v="22.5"/>
    <s v="BARMER"/>
    <s v="BARMER"/>
    <s v="RJ-JODHPUR"/>
    <d v="2020-02-05T00:00:00"/>
  </r>
  <r>
    <s v="811489179879"/>
    <x v="1104"/>
    <s v="RAJENDRA KUMAR CHAMPALAL JAIN"/>
    <n v="179879"/>
    <s v="JITENDRA &amp;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"/>
    <s v="BARMER"/>
    <s v="RJ-JODHPUR"/>
    <d v="2020-02-13T00:00:00"/>
  </r>
  <r>
    <s v="811777178031"/>
    <x v="1105"/>
    <s v="BALA RAM S/O GOMARAM GORA"/>
    <n v="178031"/>
    <s v="JAIN TRADERS"/>
    <n v="40"/>
    <n v="0"/>
    <n v="0"/>
    <n v="20"/>
    <n v="0"/>
    <n v="0"/>
    <n v="15"/>
    <n v="0"/>
    <n v="0"/>
    <n v="0"/>
    <n v="0"/>
    <n v="0"/>
    <n v="0"/>
    <n v="0"/>
    <n v="0"/>
    <n v="64"/>
    <n v="3.5"/>
    <n v="0"/>
    <n v="0"/>
    <n v="0"/>
    <n v="0"/>
    <n v="0"/>
    <n v="0"/>
    <n v="0"/>
    <n v="139"/>
    <n v="3.5"/>
    <n v="0"/>
    <s v="BARMER"/>
    <s v="BARMER"/>
    <s v="RJ-JODHPUR"/>
    <d v="2020-03-20T00:00:00"/>
  </r>
  <r>
    <s v="811778179879"/>
    <x v="1106"/>
    <s v="CHETAN RAM S/O HUKMA RAM"/>
    <n v="179879"/>
    <s v="JITENDRA &amp; COMPANY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15"/>
    <n v="0"/>
    <n v="0"/>
    <s v="BARMER"/>
    <s v="BARMER"/>
    <s v="RJ-JODHPUR"/>
    <d v="2020-03-20T00:00:00"/>
  </r>
  <r>
    <s v="812505146861"/>
    <x v="1107"/>
    <s v="RAJESHWAR CEMENT SUPPLIER"/>
    <n v="146861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"/>
    <s v="BARMER"/>
    <s v="RJ-JODHPUR"/>
    <d v="2020-08-12T00:00:00"/>
  </r>
  <r>
    <s v="812624176833"/>
    <x v="1108"/>
    <s v="SANJAY KUMAR HASTIMAL"/>
    <n v="176833"/>
    <s v="NAKORA CEMENT SUPPLIERS"/>
    <n v="35"/>
    <n v="0"/>
    <n v="0"/>
    <n v="30"/>
    <n v="0"/>
    <n v="0"/>
    <n v="35"/>
    <n v="0"/>
    <n v="0"/>
    <n v="10"/>
    <n v="0"/>
    <n v="10"/>
    <n v="0"/>
    <n v="0"/>
    <n v="0"/>
    <n v="30"/>
    <n v="0"/>
    <n v="0"/>
    <n v="20"/>
    <n v="0"/>
    <n v="0"/>
    <n v="52"/>
    <n v="0"/>
    <n v="0"/>
    <n v="212"/>
    <n v="0"/>
    <n v="10"/>
    <s v="BARMER"/>
    <s v="BARMER"/>
    <s v="RJ-JODHPUR"/>
    <d v="2020-08-24T00:00:00"/>
  </r>
  <r>
    <s v="812626176833"/>
    <x v="1109"/>
    <s v="SARDAR SINGH"/>
    <n v="176833"/>
    <s v="NAKORA CEMENT SUPPLIERS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7"/>
    <n v="7"/>
    <n v="0"/>
    <n v="15"/>
    <n v="0"/>
    <n v="0"/>
    <n v="57"/>
    <n v="7"/>
    <n v="0"/>
    <s v="BARMER"/>
    <s v="BARMER"/>
    <s v="RJ-JODHPUR"/>
    <d v="2020-08-24T00:00:00"/>
  </r>
  <r>
    <s v="812700119117"/>
    <x v="1110"/>
    <s v="SHREE DEVAL TRADERS"/>
    <n v="119117"/>
    <s v="RAHMATULLA CEMENT AGENCY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s v="BARMER"/>
    <s v="BARMER"/>
    <s v="RJ-JODHPUR"/>
    <d v="2020-08-29T00:00:00"/>
  </r>
  <r>
    <s v="812743202852"/>
    <x v="1111"/>
    <s v="MS. SHARWAN KUMAR"/>
    <n v="202852"/>
    <s v="BALAJI GENERAL STORE"/>
    <n v="32.5"/>
    <n v="0"/>
    <n v="0"/>
    <n v="0"/>
    <n v="2.5"/>
    <n v="0"/>
    <n v="0"/>
    <n v="0"/>
    <n v="0"/>
    <n v="23.15"/>
    <n v="3.15"/>
    <n v="15"/>
    <n v="16.75"/>
    <n v="0"/>
    <n v="1.75"/>
    <n v="10"/>
    <n v="5"/>
    <n v="0"/>
    <n v="0"/>
    <n v="0"/>
    <n v="0"/>
    <n v="30.5"/>
    <n v="5.5"/>
    <n v="0"/>
    <n v="112.9"/>
    <n v="10.65"/>
    <n v="16.75"/>
    <s v="BARMER"/>
    <s v="BARMER"/>
    <s v="RJ-JODHPUR"/>
    <d v="2020-09-01T00:00:00"/>
  </r>
  <r>
    <s v="812860202852"/>
    <x v="1112"/>
    <s v="SHREE BALAJI ENTERPRISE"/>
    <n v="202852"/>
    <s v="BALAJI GENERAL STORE"/>
    <n v="10"/>
    <n v="0"/>
    <n v="0"/>
    <n v="0"/>
    <n v="0"/>
    <n v="0"/>
    <n v="0"/>
    <n v="0"/>
    <n v="0"/>
    <n v="0"/>
    <n v="0"/>
    <n v="0"/>
    <n v="25.5"/>
    <n v="5.5"/>
    <n v="0"/>
    <n v="0"/>
    <n v="0"/>
    <n v="0"/>
    <n v="0"/>
    <n v="0"/>
    <n v="0"/>
    <n v="25.5"/>
    <n v="5.5"/>
    <n v="0"/>
    <n v="61"/>
    <n v="5.5"/>
    <n v="0"/>
    <s v="BARMER"/>
    <s v="BARMER"/>
    <s v="RJ-JODHPUR"/>
    <d v="2020-09-09T00:00:00"/>
  </r>
  <r>
    <s v="812861176833"/>
    <x v="1113"/>
    <s v="MOHANLAL SEJMAL KIRANA STORE"/>
    <n v="176833"/>
    <s v="NAKORA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0"/>
    <n v="0"/>
    <s v="BARMER"/>
    <s v="BARMER"/>
    <s v="RJ-JODHPUR"/>
    <d v="2020-09-09T00:00:00"/>
  </r>
  <r>
    <s v="813314177982"/>
    <x v="1114"/>
    <s v="HAYAT KHAN"/>
    <n v="177982"/>
    <s v="RACHANA CEMENT AGENCY"/>
    <n v="0"/>
    <n v="0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s v="BARMER"/>
    <s v="BARMER"/>
    <s v="RJ-JODHPUR"/>
    <d v="2020-10-17T00:00:00"/>
  </r>
  <r>
    <s v="813570202850"/>
    <x v="1115"/>
    <s v="HARIRAM S/O BHIYAJI"/>
    <n v="202850"/>
    <s v="SAMRATHAL BUILDING MATERIAL"/>
    <n v="135"/>
    <n v="25"/>
    <n v="0"/>
    <n v="100"/>
    <n v="0"/>
    <n v="0"/>
    <n v="188"/>
    <n v="25"/>
    <n v="20"/>
    <n v="85"/>
    <n v="0"/>
    <n v="20"/>
    <n v="55"/>
    <n v="20"/>
    <n v="0"/>
    <n v="60"/>
    <n v="20"/>
    <n v="0"/>
    <n v="96"/>
    <n v="15"/>
    <n v="0"/>
    <n v="20"/>
    <n v="10"/>
    <n v="0"/>
    <n v="739"/>
    <n v="105"/>
    <n v="40"/>
    <s v="BARMER"/>
    <s v="BARMER"/>
    <s v="RJ-JODHPUR"/>
    <d v="2020-11-18T00:00:00"/>
  </r>
  <r>
    <s v="813724202850"/>
    <x v="1116"/>
    <s v="JK TRADING COMPANY"/>
    <n v="202850"/>
    <s v="SAMRATHAL BUILDING MATERIAL"/>
    <n v="25"/>
    <n v="0"/>
    <n v="0"/>
    <n v="12"/>
    <n v="0"/>
    <n v="0"/>
    <n v="56"/>
    <n v="0"/>
    <n v="0"/>
    <n v="15"/>
    <n v="0"/>
    <n v="0"/>
    <n v="26"/>
    <n v="0"/>
    <n v="0"/>
    <n v="49"/>
    <n v="9"/>
    <n v="0"/>
    <n v="20"/>
    <n v="0"/>
    <n v="0"/>
    <n v="15"/>
    <n v="0"/>
    <n v="0"/>
    <n v="218"/>
    <n v="9"/>
    <n v="0"/>
    <s v="BARMER"/>
    <s v="BARMER"/>
    <s v="RJ-JODHPUR"/>
    <d v="2020-11-30T00:00:00"/>
  </r>
  <r>
    <s v="813799178031"/>
    <x v="1117"/>
    <s v="PARASMAL S/O HARDASMAL"/>
    <n v="178031"/>
    <s v="JAIN TRADERS"/>
    <n v="90"/>
    <n v="0"/>
    <n v="0"/>
    <n v="50"/>
    <n v="0"/>
    <n v="0"/>
    <n v="60"/>
    <n v="0"/>
    <n v="0"/>
    <n v="103"/>
    <n v="0"/>
    <n v="0"/>
    <n v="37"/>
    <n v="0"/>
    <n v="0"/>
    <n v="65"/>
    <n v="0"/>
    <n v="0"/>
    <n v="25"/>
    <n v="0"/>
    <n v="0"/>
    <n v="35"/>
    <n v="0"/>
    <n v="0"/>
    <n v="465"/>
    <n v="0"/>
    <n v="0"/>
    <s v="BARMER"/>
    <s v="BARMER"/>
    <s v="RJ-JODHPUR"/>
    <d v="2020-12-10T00:00:00"/>
  </r>
  <r>
    <s v="814079202850"/>
    <x v="1118"/>
    <s v="BHARAMAL RAM CHOUDHARY"/>
    <n v="202850"/>
    <s v="SAMRATHAL BUILDING MATERIAL"/>
    <n v="90"/>
    <n v="0"/>
    <n v="0"/>
    <n v="98"/>
    <n v="0"/>
    <n v="0"/>
    <n v="22"/>
    <n v="0"/>
    <n v="0"/>
    <n v="64"/>
    <n v="0"/>
    <n v="0"/>
    <n v="40"/>
    <n v="0"/>
    <n v="0"/>
    <n v="60"/>
    <n v="20"/>
    <n v="0"/>
    <n v="25"/>
    <n v="0"/>
    <n v="0"/>
    <n v="0"/>
    <n v="0"/>
    <n v="0"/>
    <n v="399"/>
    <n v="20"/>
    <n v="0"/>
    <s v="BARMER"/>
    <s v="BARMER"/>
    <s v="RJ-JODHPUR"/>
    <d v="2021-01-05T00:00:00"/>
  </r>
  <r>
    <s v="814115202850"/>
    <x v="1119"/>
    <s v="KISHNA RAM"/>
    <n v="202850"/>
    <s v="SAMRATHAL BUILDING MATERIAL"/>
    <n v="55"/>
    <n v="0"/>
    <n v="0"/>
    <n v="10"/>
    <n v="0"/>
    <n v="0"/>
    <n v="35"/>
    <n v="0"/>
    <n v="20"/>
    <n v="40"/>
    <n v="20"/>
    <n v="0"/>
    <n v="10"/>
    <n v="0"/>
    <n v="0"/>
    <n v="0"/>
    <n v="0"/>
    <n v="0"/>
    <n v="20"/>
    <n v="0"/>
    <n v="0"/>
    <n v="20"/>
    <n v="0"/>
    <n v="0"/>
    <n v="190"/>
    <n v="20"/>
    <n v="20"/>
    <s v="BARMER"/>
    <s v="BARMER"/>
    <s v="RJ-JODHPUR"/>
    <d v="2021-01-09T00:00:00"/>
  </r>
  <r>
    <s v="814514209702"/>
    <x v="1120"/>
    <s v="DALPAT SINGH"/>
    <n v="209702"/>
    <s v="ANNAPURNA DEVELOPERS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44"/>
    <n v="0"/>
    <n v="0"/>
    <s v="BARMER"/>
    <s v="BARMER"/>
    <s v="RJ-JODHPUR"/>
    <d v="2021-02-17T00:00:00"/>
  </r>
  <r>
    <s v="814690146861"/>
    <x v="1121"/>
    <s v="DAYA RAM"/>
    <n v="146861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"/>
    <s v="BARMER"/>
    <s v="RJ-JODHPUR"/>
    <d v="2021-03-04T00:00:00"/>
  </r>
  <r>
    <s v="814690205283"/>
    <x v="1121"/>
    <s v="DAYA RAM"/>
    <n v="205283"/>
    <s v="GOPALA MARKETING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BARMER"/>
    <s v="BARMER"/>
    <s v="RJ-JODHPUR"/>
    <d v="2021-03-04T00:00:00"/>
  </r>
  <r>
    <s v="814692177595"/>
    <x v="1122"/>
    <s v="RAMDEV ELECTRIC ELECTRONIC &amp; H"/>
    <n v="177595"/>
    <s v="SHAH MITHA LAL SOHAN RAJ"/>
    <n v="0"/>
    <n v="0"/>
    <n v="0"/>
    <n v="0"/>
    <n v="0"/>
    <n v="0"/>
    <n v="0"/>
    <n v="0"/>
    <n v="0"/>
    <n v="10"/>
    <n v="0"/>
    <n v="0"/>
    <n v="15"/>
    <n v="0"/>
    <n v="0"/>
    <n v="25"/>
    <n v="0"/>
    <n v="0"/>
    <n v="0"/>
    <n v="0"/>
    <n v="0"/>
    <n v="0"/>
    <n v="0"/>
    <n v="0"/>
    <n v="50"/>
    <n v="0"/>
    <n v="0"/>
    <s v="BARMER"/>
    <s v="BARMER"/>
    <s v="RJ-JODHPUR"/>
    <d v="2021-03-04T00:00:00"/>
  </r>
  <r>
    <s v="814769205283"/>
    <x v="1123"/>
    <s v="SHREE RAJESHWAR CONSTRUCTION C"/>
    <n v="205283"/>
    <s v="GOPALA MARKETING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20"/>
    <n v="0"/>
    <n v="0"/>
    <s v="BARMER"/>
    <s v="BARMER"/>
    <s v="RJ-JODHPUR"/>
    <d v="2021-03-16T00:00:00"/>
  </r>
  <r>
    <s v="815030202850"/>
    <x v="1124"/>
    <s v="SAVAND CEMENT AGENCY"/>
    <n v="202850"/>
    <s v="SAMRATHAL BUILDING MATERIAL"/>
    <n v="0"/>
    <n v="0"/>
    <n v="0"/>
    <n v="0"/>
    <n v="0"/>
    <n v="0"/>
    <n v="21"/>
    <n v="0"/>
    <n v="0"/>
    <n v="0"/>
    <n v="0"/>
    <n v="0"/>
    <n v="0"/>
    <n v="0"/>
    <n v="0"/>
    <n v="30"/>
    <n v="0"/>
    <n v="0"/>
    <n v="0"/>
    <n v="0"/>
    <n v="0"/>
    <n v="0"/>
    <n v="0"/>
    <n v="0"/>
    <n v="51"/>
    <n v="0"/>
    <n v="0"/>
    <s v="BARMER"/>
    <s v="BARMER"/>
    <s v="RJ-JODHPUR"/>
    <d v="2021-05-07T00:00:00"/>
  </r>
  <r>
    <s v="815155176833"/>
    <x v="1125"/>
    <s v="ARIHANT JAIN"/>
    <n v="176833"/>
    <s v="NAKORA CEMENT SUPPLIERS"/>
    <n v="55"/>
    <n v="0"/>
    <n v="0"/>
    <n v="30"/>
    <n v="0"/>
    <n v="0"/>
    <n v="32"/>
    <n v="0"/>
    <n v="0"/>
    <n v="20"/>
    <n v="0"/>
    <n v="0"/>
    <n v="10"/>
    <n v="0"/>
    <n v="0"/>
    <n v="25"/>
    <n v="0"/>
    <n v="0"/>
    <n v="0"/>
    <n v="0"/>
    <n v="0"/>
    <n v="35"/>
    <n v="0"/>
    <n v="0"/>
    <n v="207"/>
    <n v="0"/>
    <n v="0"/>
    <s v="BARMER"/>
    <s v="BARMER"/>
    <s v="RJ-JODHPUR"/>
    <d v="2021-06-14T00:00:00"/>
  </r>
  <r>
    <s v="816546209652"/>
    <x v="1126"/>
    <s v="RAMDEV CEMENT SUPPLIER"/>
    <n v="209652"/>
    <s v="RAJRUCHI CEMENT BHANDAR"/>
    <n v="40"/>
    <n v="0"/>
    <n v="0"/>
    <n v="20"/>
    <n v="0"/>
    <n v="0"/>
    <n v="20"/>
    <n v="10"/>
    <n v="10"/>
    <n v="50"/>
    <n v="10"/>
    <n v="10"/>
    <n v="0"/>
    <n v="0"/>
    <n v="0"/>
    <n v="0"/>
    <n v="0"/>
    <n v="0"/>
    <n v="0"/>
    <n v="0"/>
    <n v="0"/>
    <n v="0"/>
    <n v="0"/>
    <n v="0"/>
    <n v="130"/>
    <n v="20"/>
    <n v="20"/>
    <s v="BARMER"/>
    <s v="BARMER"/>
    <s v="RJ-JODHPUR"/>
    <d v="2021-09-27T00:00:00"/>
  </r>
  <r>
    <s v="816547209652"/>
    <x v="1127"/>
    <s v="OM GURUJI GENERAL STORE"/>
    <n v="209652"/>
    <s v="RAJRUCHI CEMENT BHANDAR"/>
    <n v="30"/>
    <n v="0"/>
    <n v="0"/>
    <n v="20"/>
    <n v="0"/>
    <n v="0"/>
    <n v="45"/>
    <n v="0"/>
    <n v="10"/>
    <n v="42"/>
    <n v="0"/>
    <n v="0"/>
    <n v="25"/>
    <n v="0"/>
    <n v="0"/>
    <n v="0"/>
    <n v="0"/>
    <n v="0"/>
    <n v="0"/>
    <n v="0"/>
    <n v="0"/>
    <n v="0"/>
    <n v="0"/>
    <n v="0"/>
    <n v="162"/>
    <n v="0"/>
    <n v="10"/>
    <s v="BARMER"/>
    <s v="BARMER"/>
    <s v="RJ-JODHPUR"/>
    <d v="2021-09-28T00:00:00"/>
  </r>
  <r>
    <s v="816547177595"/>
    <x v="1127"/>
    <s v="OM GURUJI GENERAL STORE"/>
    <n v="177595"/>
    <s v="SHAH MITHA LAL SOHAN RAJ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BARMER"/>
    <s v="BARMER"/>
    <s v="RJ-JODHPUR"/>
    <d v="2021-09-28T00:00:00"/>
  </r>
  <r>
    <s v="816566209652"/>
    <x v="1128"/>
    <s v="DINESH CEMENT SUPPLIERS"/>
    <n v="209652"/>
    <s v="RAJRUCHI CEMENT BHANDAR"/>
    <n v="20"/>
    <n v="0"/>
    <n v="0"/>
    <n v="30"/>
    <n v="0"/>
    <n v="0"/>
    <n v="30"/>
    <n v="0"/>
    <n v="30"/>
    <n v="22.5"/>
    <n v="12.5"/>
    <n v="10"/>
    <n v="10"/>
    <n v="0"/>
    <n v="10"/>
    <n v="0"/>
    <n v="0"/>
    <n v="0"/>
    <n v="0"/>
    <n v="0"/>
    <n v="0"/>
    <n v="0"/>
    <n v="0"/>
    <n v="0"/>
    <n v="112.5"/>
    <n v="12.5"/>
    <n v="50"/>
    <s v="BARMER"/>
    <s v="BARMER"/>
    <s v="RJ-JODHPUR"/>
    <d v="2021-09-28T00:00:00"/>
  </r>
  <r>
    <s v="816566177595"/>
    <x v="1128"/>
    <s v="DINESH CEMENT SUPPLIERS"/>
    <n v="177595"/>
    <s v="SHAH MITHA LAL SOHAN RAJ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BARMER"/>
    <s v="BARMER"/>
    <s v="RJ-JODHPUR"/>
    <d v="2021-09-28T00:00:00"/>
  </r>
  <r>
    <s v="816592202850"/>
    <x v="1129"/>
    <s v="CHHGAN LAL PINDEL"/>
    <n v="202850"/>
    <s v="SAMRATHAL BUILDING MATERIAL"/>
    <n v="0"/>
    <n v="0"/>
    <n v="0"/>
    <n v="19"/>
    <n v="0"/>
    <n v="0"/>
    <n v="5"/>
    <n v="0"/>
    <n v="0"/>
    <n v="15"/>
    <n v="15"/>
    <n v="0"/>
    <n v="10"/>
    <n v="0"/>
    <n v="0"/>
    <n v="0"/>
    <n v="0"/>
    <n v="0"/>
    <n v="25"/>
    <n v="0"/>
    <n v="0"/>
    <n v="35"/>
    <n v="0"/>
    <n v="0"/>
    <n v="109"/>
    <n v="15"/>
    <n v="0"/>
    <s v="BARMER"/>
    <s v="BARMER"/>
    <s v="RJ-JODHPUR"/>
    <d v="2021-09-30T00:00:00"/>
  </r>
  <r>
    <s v="817217209652"/>
    <x v="1130"/>
    <s v="JASNATH CEMENT SUPPLIERS"/>
    <n v="209652"/>
    <s v="RAJRUCHI CEMENT BHANDAR"/>
    <n v="70"/>
    <n v="0"/>
    <n v="0"/>
    <n v="50"/>
    <n v="0"/>
    <n v="0"/>
    <n v="110"/>
    <n v="0"/>
    <n v="30"/>
    <n v="10"/>
    <n v="0"/>
    <n v="0"/>
    <n v="30"/>
    <n v="0"/>
    <n v="15"/>
    <n v="0"/>
    <n v="0"/>
    <n v="0"/>
    <n v="0"/>
    <n v="0"/>
    <n v="0"/>
    <n v="0"/>
    <n v="0"/>
    <n v="0"/>
    <n v="270"/>
    <n v="0"/>
    <n v="45"/>
    <s v="BARMER"/>
    <s v="BARMER"/>
    <s v="RJ-JODHPUR"/>
    <d v="2021-12-07T00:00:00"/>
  </r>
  <r>
    <s v="817217177595"/>
    <x v="1130"/>
    <s v="JASNATH CEMENT SUPPLIERS"/>
    <n v="177595"/>
    <s v="SHAH MITHA LAL SOHAN RAJ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BARMER"/>
    <s v="BARMER"/>
    <s v="RJ-JODHPUR"/>
    <d v="2021-12-07T00:00:00"/>
  </r>
  <r>
    <s v="817218209652"/>
    <x v="1131"/>
    <s v="JASNATH CEMENT AGENCY"/>
    <n v="209652"/>
    <s v="RAJRUCHI CEMENT BHANDAR"/>
    <n v="60"/>
    <n v="0"/>
    <n v="0"/>
    <n v="85"/>
    <n v="0"/>
    <n v="0"/>
    <n v="50"/>
    <n v="0"/>
    <n v="20"/>
    <n v="10"/>
    <n v="10"/>
    <n v="0"/>
    <n v="25"/>
    <n v="0"/>
    <n v="10"/>
    <n v="0"/>
    <n v="0"/>
    <n v="0"/>
    <n v="0"/>
    <n v="0"/>
    <n v="0"/>
    <n v="0"/>
    <n v="0"/>
    <n v="0"/>
    <n v="230"/>
    <n v="10"/>
    <n v="30"/>
    <s v="BARMER"/>
    <s v="BARMER"/>
    <s v="RJ-JODHPUR"/>
    <d v="2021-12-07T00:00:00"/>
  </r>
  <r>
    <s v="817219209652"/>
    <x v="1132"/>
    <s v="GANPATI BUILDING MATERIAL"/>
    <n v="209652"/>
    <s v="RAJRUCHI CEMENT BHANDAR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20"/>
    <n v="0"/>
    <n v="0"/>
    <s v="BARMER"/>
    <s v="BARMER"/>
    <s v="RJ-JODHPUR"/>
    <d v="2021-12-07T00:00:00"/>
  </r>
  <r>
    <s v="817221209702"/>
    <x v="1133"/>
    <s v="ANNAPURNA SALES AGENCY"/>
    <n v="209702"/>
    <s v="ANNAPURNA DEVELOPERS"/>
    <n v="3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s v="BARMER"/>
    <s v="BARMER"/>
    <s v="RJ-JODHPUR"/>
    <d v="2021-12-07T00:00:00"/>
  </r>
  <r>
    <s v="817411177295"/>
    <x v="1134"/>
    <s v="DHARMA RAM"/>
    <n v="177295"/>
    <s v="ROHIT TRADERS"/>
    <n v="7"/>
    <n v="0"/>
    <n v="0"/>
    <n v="30"/>
    <n v="0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0"/>
    <n v="0"/>
    <s v="BARMER"/>
    <s v="BARMER"/>
    <s v="RJ-JODHPUR"/>
    <d v="2021-12-22T00:00:00"/>
  </r>
  <r>
    <s v="817412176833"/>
    <x v="1135"/>
    <s v="BARKAT ALI"/>
    <n v="176833"/>
    <s v="NAKORA CEMENT SUPPLIERS"/>
    <n v="48"/>
    <n v="0"/>
    <n v="0"/>
    <n v="0"/>
    <n v="0"/>
    <n v="0"/>
    <n v="10"/>
    <n v="0"/>
    <n v="10"/>
    <n v="20"/>
    <n v="0"/>
    <n v="10"/>
    <n v="0"/>
    <n v="0"/>
    <n v="0"/>
    <n v="30"/>
    <n v="0"/>
    <n v="0"/>
    <n v="15"/>
    <n v="0"/>
    <n v="0"/>
    <n v="5"/>
    <n v="0"/>
    <n v="0"/>
    <n v="128"/>
    <n v="0"/>
    <n v="20"/>
    <s v="BARMER"/>
    <s v="BARMER"/>
    <s v="RJ-JODHPUR"/>
    <d v="2021-12-22T00:00:00"/>
  </r>
  <r>
    <s v="817413177295"/>
    <x v="1136"/>
    <s v="RUPA RAM"/>
    <n v="177295"/>
    <s v="ROHIT TRADERS"/>
    <n v="10"/>
    <n v="0"/>
    <n v="0"/>
    <n v="20"/>
    <n v="0"/>
    <n v="0"/>
    <n v="70"/>
    <n v="0"/>
    <n v="10"/>
    <n v="0"/>
    <n v="0"/>
    <n v="0"/>
    <n v="80"/>
    <n v="15"/>
    <n v="25"/>
    <n v="10"/>
    <n v="10"/>
    <n v="0"/>
    <n v="30"/>
    <n v="0"/>
    <n v="10"/>
    <n v="0"/>
    <n v="0"/>
    <n v="0"/>
    <n v="220"/>
    <n v="25"/>
    <n v="45"/>
    <s v="BARMER"/>
    <s v="BARMER"/>
    <s v="RJ-JODHPUR"/>
    <d v="2021-12-22T00:00:00"/>
  </r>
  <r>
    <s v="817794202852"/>
    <x v="1137"/>
    <s v="SHREE BALAJI CEMENT AGENCY"/>
    <n v="202852"/>
    <s v="BALAJI GENERAL STORE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s v="BARMER"/>
    <s v="BARMER"/>
    <s v="RJ-JODHPUR"/>
    <d v="2022-01-24T00:00:00"/>
  </r>
  <r>
    <s v="817794207782"/>
    <x v="1137"/>
    <s v="SHREE BALAJI CEMENT AGENCY"/>
    <n v="207782"/>
    <s v="BALAJI ELECTRICALS AND HARDWAR"/>
    <n v="25"/>
    <n v="0"/>
    <n v="0"/>
    <n v="0"/>
    <n v="0"/>
    <n v="0"/>
    <n v="0"/>
    <n v="0"/>
    <n v="0"/>
    <n v="15"/>
    <n v="0"/>
    <n v="0"/>
    <n v="10"/>
    <n v="0"/>
    <n v="0"/>
    <n v="40"/>
    <n v="0"/>
    <n v="20"/>
    <n v="20"/>
    <n v="0"/>
    <n v="0"/>
    <n v="20"/>
    <n v="0"/>
    <n v="0"/>
    <n v="130"/>
    <n v="0"/>
    <n v="20"/>
    <s v="BARMER"/>
    <s v="BARMER"/>
    <s v="RJ-JODHPUR"/>
    <d v="2022-01-24T00:00:00"/>
  </r>
  <r>
    <s v="817795209652"/>
    <x v="1138"/>
    <s v="SHREE RAMDEV MARBLE AND GRANIT"/>
    <n v="209652"/>
    <s v="RAJRUCHI CEMENT BHANDAR"/>
    <n v="20"/>
    <n v="0"/>
    <n v="0"/>
    <n v="20"/>
    <n v="0"/>
    <n v="0"/>
    <n v="18"/>
    <n v="0"/>
    <n v="0"/>
    <n v="41"/>
    <n v="0"/>
    <n v="0"/>
    <n v="0"/>
    <n v="0"/>
    <n v="0"/>
    <n v="0"/>
    <n v="0"/>
    <n v="0"/>
    <n v="0"/>
    <n v="0"/>
    <n v="0"/>
    <n v="0"/>
    <n v="0"/>
    <n v="0"/>
    <n v="99"/>
    <n v="0"/>
    <n v="0"/>
    <s v="BARMER"/>
    <s v="BARMER"/>
    <s v="RJ-JODHPUR"/>
    <d v="2022-01-24T00:00:00"/>
  </r>
  <r>
    <s v="817795177595"/>
    <x v="1138"/>
    <s v="SHREE RAMDEV MARBLE AND GRANIT"/>
    <n v="177595"/>
    <s v="SHAH MITHA LAL SOHAN RAJ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BARMER"/>
    <s v="BARMER"/>
    <s v="RJ-JODHPUR"/>
    <d v="2022-01-24T00:00:00"/>
  </r>
  <r>
    <s v="817796176833"/>
    <x v="1139"/>
    <s v="MAGA RAM"/>
    <n v="176833"/>
    <s v="NAKORA CEMENT SUPPLIERS"/>
    <n v="110"/>
    <n v="0"/>
    <n v="0"/>
    <n v="104.5"/>
    <n v="0"/>
    <n v="0"/>
    <n v="95"/>
    <n v="0"/>
    <n v="30"/>
    <n v="124"/>
    <n v="0"/>
    <n v="45"/>
    <n v="5"/>
    <n v="0"/>
    <n v="5"/>
    <n v="80"/>
    <n v="0"/>
    <n v="0"/>
    <n v="55"/>
    <n v="0"/>
    <n v="0"/>
    <n v="40"/>
    <n v="0"/>
    <n v="0"/>
    <n v="613.5"/>
    <n v="0"/>
    <n v="80"/>
    <s v="BARMER"/>
    <s v="BARMER"/>
    <s v="RJ-JODHPUR"/>
    <d v="2022-01-24T00:00:00"/>
  </r>
  <r>
    <s v="817797209652"/>
    <x v="1140"/>
    <s v="MAHADEV ELECTRIC HARDWARE AND"/>
    <n v="209652"/>
    <s v="RAJRUCHI CEMENT BHANDAR"/>
    <n v="70"/>
    <n v="0"/>
    <n v="0"/>
    <n v="40"/>
    <n v="0"/>
    <n v="0"/>
    <n v="57"/>
    <n v="10"/>
    <n v="12"/>
    <n v="10"/>
    <n v="0"/>
    <n v="0"/>
    <n v="22"/>
    <n v="0"/>
    <n v="10"/>
    <n v="0"/>
    <n v="0"/>
    <n v="0"/>
    <n v="0"/>
    <n v="0"/>
    <n v="0"/>
    <n v="0"/>
    <n v="0"/>
    <n v="0"/>
    <n v="199"/>
    <n v="10"/>
    <n v="22"/>
    <s v="BARMER"/>
    <s v="BARMER"/>
    <s v="RJ-JODHPUR"/>
    <d v="2022-01-24T00:00:00"/>
  </r>
  <r>
    <s v="817799202850"/>
    <x v="1141"/>
    <s v="ALI HADER"/>
    <n v="202850"/>
    <s v="SAMRATHAL BUILDING MATERIAL"/>
    <n v="130"/>
    <n v="0"/>
    <n v="0"/>
    <n v="55"/>
    <n v="0"/>
    <n v="0"/>
    <n v="96"/>
    <n v="0"/>
    <n v="20"/>
    <n v="63"/>
    <n v="0"/>
    <n v="11"/>
    <n v="50"/>
    <n v="15"/>
    <n v="0"/>
    <n v="60"/>
    <n v="15"/>
    <n v="0"/>
    <n v="133"/>
    <n v="20"/>
    <n v="0"/>
    <n v="75"/>
    <n v="25"/>
    <n v="0"/>
    <n v="662"/>
    <n v="50"/>
    <n v="31"/>
    <s v="BARMER"/>
    <s v="BARMER"/>
    <s v="RJ-JODHPUR"/>
    <d v="2022-01-24T00:00:00"/>
  </r>
  <r>
    <s v="817812209652"/>
    <x v="1142"/>
    <s v="RAJESHWAR CEMENT SUPPLIERS"/>
    <n v="209652"/>
    <s v="RAJRUCHI CEMENT BHANDAR"/>
    <n v="88"/>
    <n v="0"/>
    <n v="0"/>
    <n v="55"/>
    <n v="0"/>
    <n v="0"/>
    <n v="15"/>
    <n v="0"/>
    <n v="0"/>
    <n v="35"/>
    <n v="5"/>
    <n v="20"/>
    <n v="10"/>
    <n v="0"/>
    <n v="10"/>
    <n v="0"/>
    <n v="0"/>
    <n v="0"/>
    <n v="0"/>
    <n v="0"/>
    <n v="0"/>
    <n v="0"/>
    <n v="0"/>
    <n v="0"/>
    <n v="203"/>
    <n v="5"/>
    <n v="30"/>
    <s v="BARMER"/>
    <s v="BARMER"/>
    <s v="RJ-JODHPUR"/>
    <d v="2022-01-25T00:00:00"/>
  </r>
  <r>
    <s v="817876209652"/>
    <x v="1143"/>
    <s v="MAA SACCHIYAY CONSTRUCTION COM"/>
    <n v="209652"/>
    <s v="RAJRUCHI CEMENT BHANDAR"/>
    <n v="40"/>
    <n v="0"/>
    <n v="0"/>
    <n v="23"/>
    <n v="10"/>
    <n v="0"/>
    <n v="60"/>
    <n v="0"/>
    <n v="0"/>
    <n v="25"/>
    <n v="15"/>
    <n v="0"/>
    <n v="0"/>
    <n v="0"/>
    <n v="0"/>
    <n v="0"/>
    <n v="0"/>
    <n v="0"/>
    <n v="0"/>
    <n v="0"/>
    <n v="0"/>
    <n v="0"/>
    <n v="0"/>
    <n v="0"/>
    <n v="148"/>
    <n v="25"/>
    <n v="0"/>
    <s v="BARMER"/>
    <s v="BARMER"/>
    <s v="RJ-JODHPUR"/>
    <d v="2022-01-28T00:00:00"/>
  </r>
  <r>
    <s v="817878141714"/>
    <x v="1144"/>
    <s v="BHAGYA LAKSHMI BUILDING MATERI"/>
    <n v="141714"/>
    <s v="AAI MATA KALI BHANDAR"/>
    <n v="55"/>
    <n v="15"/>
    <n v="0"/>
    <n v="40"/>
    <n v="20"/>
    <n v="0"/>
    <n v="60"/>
    <n v="0"/>
    <n v="0"/>
    <n v="0"/>
    <n v="0"/>
    <n v="0"/>
    <n v="14"/>
    <n v="0"/>
    <n v="0"/>
    <n v="30"/>
    <n v="0"/>
    <n v="10"/>
    <n v="60"/>
    <n v="0"/>
    <n v="0"/>
    <n v="75"/>
    <n v="0"/>
    <n v="0"/>
    <n v="334"/>
    <n v="35"/>
    <n v="10"/>
    <s v="BARMER"/>
    <s v="BARMER"/>
    <s v="RJ-JODHPUR"/>
    <d v="2022-01-28T00:00:00"/>
  </r>
  <r>
    <s v="817881176833"/>
    <x v="1145"/>
    <s v="HARUN SHAH"/>
    <n v="176833"/>
    <s v="NAKORA CEMENT SUPPLIERS"/>
    <n v="75"/>
    <n v="0"/>
    <n v="0"/>
    <n v="20"/>
    <n v="0"/>
    <n v="0"/>
    <n v="55"/>
    <n v="0"/>
    <n v="20"/>
    <n v="25"/>
    <n v="0"/>
    <n v="10"/>
    <n v="20"/>
    <n v="0"/>
    <n v="20"/>
    <n v="65"/>
    <n v="10"/>
    <n v="35"/>
    <n v="30"/>
    <n v="0"/>
    <n v="20"/>
    <n v="25"/>
    <n v="0"/>
    <n v="15"/>
    <n v="315"/>
    <n v="10"/>
    <n v="105"/>
    <s v="BARMER"/>
    <s v="BARMER"/>
    <s v="RJ-JODHPUR"/>
    <d v="2022-01-29T00:00:00"/>
  </r>
  <r>
    <s v="817891176833"/>
    <x v="1146"/>
    <s v="AKSHAY KUMAR SETHIYA"/>
    <n v="176833"/>
    <s v="NAKORA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RMER"/>
    <s v="BARMER"/>
    <s v="RJ-JODHPUR"/>
    <d v="2022-01-29T00:00:00"/>
  </r>
  <r>
    <s v="817979176833"/>
    <x v="1147"/>
    <s v="KARNI MATA CEMENT SUPPLIERS"/>
    <n v="176833"/>
    <s v="NAKORA CEMENT SUPPLIERS"/>
    <n v="0"/>
    <n v="0"/>
    <n v="0"/>
    <n v="0"/>
    <n v="0"/>
    <n v="0"/>
    <n v="5"/>
    <n v="0"/>
    <n v="5"/>
    <n v="10"/>
    <n v="0"/>
    <n v="10"/>
    <n v="7"/>
    <n v="0"/>
    <n v="0"/>
    <n v="10"/>
    <n v="0"/>
    <n v="0"/>
    <n v="0"/>
    <n v="0"/>
    <n v="0"/>
    <n v="30"/>
    <n v="0"/>
    <n v="0"/>
    <n v="62"/>
    <n v="0"/>
    <n v="15"/>
    <s v="BARMER"/>
    <s v="BARMER"/>
    <s v="RJ-JODHPUR"/>
    <d v="2022-02-05T00:00:00"/>
  </r>
  <r>
    <s v="818251208088"/>
    <x v="1148"/>
    <s v="RAMDEV TRADERS"/>
    <n v="208088"/>
    <s v="DEVENDRA  KUMAR  BABULAL"/>
    <n v="20"/>
    <n v="0"/>
    <n v="0"/>
    <n v="10"/>
    <n v="0"/>
    <n v="0"/>
    <n v="0"/>
    <n v="0"/>
    <n v="0"/>
    <n v="20"/>
    <n v="0"/>
    <n v="0"/>
    <n v="0"/>
    <n v="0"/>
    <n v="0"/>
    <n v="60"/>
    <n v="15"/>
    <n v="0"/>
    <n v="0"/>
    <n v="0"/>
    <n v="0"/>
    <n v="25"/>
    <n v="0"/>
    <n v="0"/>
    <n v="135"/>
    <n v="15"/>
    <n v="0"/>
    <s v="BARMER"/>
    <s v="BARMER"/>
    <s v="RJ-JODHPUR"/>
    <d v="2022-03-03T00:00:00"/>
  </r>
  <r>
    <s v="818252209652"/>
    <x v="1149"/>
    <s v="MAHADEV CEMENT SUPPLIER"/>
    <n v="209652"/>
    <s v="RAJRUCHI CEMENT BHANDAR"/>
    <n v="50"/>
    <n v="0"/>
    <n v="0"/>
    <n v="55"/>
    <n v="10"/>
    <n v="0"/>
    <n v="83"/>
    <n v="0"/>
    <n v="43"/>
    <n v="41"/>
    <n v="1"/>
    <n v="0"/>
    <n v="19"/>
    <n v="0"/>
    <n v="9"/>
    <n v="0"/>
    <n v="0"/>
    <n v="0"/>
    <n v="0"/>
    <n v="0"/>
    <n v="0"/>
    <n v="0"/>
    <n v="0"/>
    <n v="0"/>
    <n v="248"/>
    <n v="11"/>
    <n v="52"/>
    <s v="BARMER"/>
    <s v="BARMER"/>
    <s v="RJ-JODHPUR"/>
    <d v="2022-03-03T00:00:00"/>
  </r>
  <r>
    <s v="818252177595"/>
    <x v="1149"/>
    <s v="MAHADEV CEMENT SUPPLIER"/>
    <s v="177595"/>
    <s v="SHAH MITHA LAL SOHAN RAJ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BARMER"/>
    <s v="BARMER"/>
    <s v="RJ-JODHPUR"/>
    <d v="2022-03-03T00:00:00"/>
  </r>
  <r>
    <s v="818254209652"/>
    <x v="1150"/>
    <s v="RAJESHWAR HARDWARE"/>
    <n v="209652"/>
    <s v="RAJRUCHI CEMENT BHANDAR"/>
    <n v="65"/>
    <n v="15"/>
    <n v="0"/>
    <n v="65"/>
    <n v="10"/>
    <n v="0"/>
    <n v="108"/>
    <n v="8"/>
    <n v="20"/>
    <n v="64"/>
    <n v="12"/>
    <n v="22"/>
    <n v="20"/>
    <n v="0"/>
    <n v="10"/>
    <n v="0"/>
    <n v="0"/>
    <n v="0"/>
    <n v="0"/>
    <n v="0"/>
    <n v="0"/>
    <n v="0"/>
    <n v="0"/>
    <n v="0"/>
    <n v="322"/>
    <n v="45"/>
    <n v="52"/>
    <s v="BARMER"/>
    <s v="BARMER"/>
    <s v="RJ-JODHPUR"/>
    <d v="2022-03-03T00:00:00"/>
  </r>
  <r>
    <s v="818279210745"/>
    <x v="1151"/>
    <s v="DUNGAR BHARTI"/>
    <n v="210745"/>
    <s v="RAMDEV TRADERS"/>
    <n v="65"/>
    <n v="0"/>
    <n v="0"/>
    <n v="74"/>
    <n v="0"/>
    <n v="0"/>
    <n v="35"/>
    <n v="0"/>
    <n v="0"/>
    <n v="25"/>
    <n v="0"/>
    <n v="0"/>
    <n v="25"/>
    <n v="0"/>
    <n v="0"/>
    <n v="55"/>
    <n v="0"/>
    <n v="0"/>
    <n v="15"/>
    <n v="0"/>
    <n v="0"/>
    <n v="0"/>
    <n v="0"/>
    <n v="0"/>
    <n v="294"/>
    <n v="0"/>
    <n v="0"/>
    <s v="BARMER"/>
    <s v="BARMER"/>
    <s v="RJ-JODHPUR"/>
    <d v="2022-03-05T00:00:00"/>
  </r>
  <r>
    <s v="818287176833"/>
    <x v="1152"/>
    <s v="KARNI MATA CEMENT SUPPLIERS"/>
    <n v="176833"/>
    <s v="NAKORA CEMENT SUPPLIERS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45"/>
    <n v="0"/>
    <n v="0"/>
    <s v="BARMER"/>
    <s v="BARMER"/>
    <s v="RJ-JODHPUR"/>
    <d v="2022-03-07T00:00:00"/>
  </r>
  <r>
    <s v="818317176833"/>
    <x v="1153"/>
    <s v="JETHA RAM"/>
    <n v="176833"/>
    <s v="NAKORA CEMENT SUPPLIERS"/>
    <n v="130"/>
    <n v="0"/>
    <n v="0"/>
    <n v="30"/>
    <n v="0"/>
    <n v="0"/>
    <n v="30"/>
    <n v="0"/>
    <n v="10"/>
    <n v="51"/>
    <n v="10"/>
    <n v="11"/>
    <n v="20"/>
    <n v="0"/>
    <n v="0"/>
    <n v="25"/>
    <n v="0"/>
    <n v="15"/>
    <n v="10"/>
    <n v="0"/>
    <n v="0"/>
    <n v="10"/>
    <n v="0"/>
    <n v="0"/>
    <n v="306"/>
    <n v="10"/>
    <n v="36"/>
    <s v="BARMER"/>
    <s v="BARMER"/>
    <s v="RJ-JODHPUR"/>
    <d v="2022-03-09T00:00:00"/>
  </r>
  <r>
    <s v="818539208088"/>
    <x v="1154"/>
    <s v="SUKHDEV SINGH"/>
    <n v="208088"/>
    <s v="DEVENDRA  KUMAR  BABULAL"/>
    <n v="15"/>
    <n v="0"/>
    <n v="0"/>
    <n v="0"/>
    <n v="0"/>
    <n v="0"/>
    <n v="0"/>
    <n v="0"/>
    <n v="0"/>
    <n v="15"/>
    <n v="0"/>
    <n v="0"/>
    <n v="0"/>
    <n v="0"/>
    <n v="0"/>
    <n v="25"/>
    <n v="15"/>
    <n v="0"/>
    <n v="0"/>
    <n v="0"/>
    <n v="0"/>
    <n v="40"/>
    <n v="0"/>
    <n v="0"/>
    <n v="95"/>
    <n v="15"/>
    <n v="0"/>
    <s v="BARMER"/>
    <s v="BARMER"/>
    <s v="RJ-JODHPUR"/>
    <d v="2022-03-30T00:00:00"/>
  </r>
  <r>
    <s v="818634176833"/>
    <x v="1155"/>
    <s v="BABU LAL"/>
    <n v="176833"/>
    <s v="NAKORA CEMENT SUPPLIERS"/>
    <n v="110"/>
    <n v="0"/>
    <n v="0"/>
    <n v="25"/>
    <n v="0"/>
    <n v="0"/>
    <n v="20"/>
    <n v="0"/>
    <n v="0"/>
    <n v="10"/>
    <n v="0"/>
    <n v="0"/>
    <n v="10"/>
    <n v="0"/>
    <n v="0"/>
    <n v="20"/>
    <n v="0"/>
    <n v="0"/>
    <n v="5"/>
    <n v="0"/>
    <n v="0"/>
    <n v="0"/>
    <n v="0"/>
    <n v="0"/>
    <n v="200"/>
    <n v="0"/>
    <n v="0"/>
    <s v="BARMER"/>
    <s v="BARMER"/>
    <s v="RJ-JODHPUR"/>
    <d v="2022-04-13T00:00:00"/>
  </r>
  <r>
    <s v="818806211169"/>
    <x v="1156"/>
    <s v="JAI KISHAN"/>
    <n v="211169"/>
    <s v="VISHNU CONSTRUCTION COMPANY"/>
    <n v="0"/>
    <n v="0"/>
    <n v="0"/>
    <n v="30"/>
    <n v="0"/>
    <n v="0"/>
    <n v="10"/>
    <n v="0"/>
    <n v="0"/>
    <n v="35"/>
    <n v="0"/>
    <n v="20"/>
    <n v="55"/>
    <n v="0"/>
    <n v="0"/>
    <n v="0"/>
    <n v="0"/>
    <n v="0"/>
    <n v="30"/>
    <n v="0"/>
    <n v="0"/>
    <n v="0"/>
    <n v="0"/>
    <n v="0"/>
    <n v="160"/>
    <n v="0"/>
    <n v="20"/>
    <s v="BARMER"/>
    <s v="BARMER"/>
    <s v="RJ-JODHPUR"/>
    <d v="2022-04-29T00:00:00"/>
  </r>
  <r>
    <s v="818837176833"/>
    <x v="1157"/>
    <s v="PRAHLAD SINGH"/>
    <n v="176833"/>
    <s v="NAKORA CEMENT SUPPLIERS"/>
    <n v="0"/>
    <n v="0"/>
    <n v="0"/>
    <n v="67"/>
    <n v="0"/>
    <n v="0"/>
    <n v="0"/>
    <n v="0"/>
    <n v="0"/>
    <n v="10"/>
    <n v="0"/>
    <n v="0"/>
    <n v="10"/>
    <n v="0"/>
    <n v="0"/>
    <n v="10"/>
    <n v="0"/>
    <n v="10"/>
    <n v="8"/>
    <n v="0"/>
    <n v="0"/>
    <n v="7"/>
    <n v="0"/>
    <n v="0"/>
    <n v="112"/>
    <n v="0"/>
    <n v="10"/>
    <s v="BARMER"/>
    <s v="BARMER"/>
    <s v="RJ-JODHPUR"/>
    <d v="2022-05-02T00:00:00"/>
  </r>
  <r>
    <s v="818998177595"/>
    <x v="1158"/>
    <s v="PRAVEEN KUMAR"/>
    <n v="177595"/>
    <s v="SHAH MITHA LAL SOHAN RAJ"/>
    <n v="0"/>
    <n v="0"/>
    <n v="0"/>
    <n v="0"/>
    <n v="0"/>
    <n v="0"/>
    <n v="90"/>
    <n v="0"/>
    <n v="0"/>
    <n v="30"/>
    <n v="0"/>
    <n v="0"/>
    <n v="0"/>
    <n v="0"/>
    <n v="0"/>
    <n v="10"/>
    <n v="0"/>
    <n v="0"/>
    <n v="0"/>
    <n v="0"/>
    <n v="0"/>
    <n v="0"/>
    <n v="0"/>
    <n v="0"/>
    <n v="130"/>
    <n v="0"/>
    <n v="0"/>
    <s v="BARMER"/>
    <s v="BARMER"/>
    <s v="RJ-JODHPUR"/>
    <d v="2022-05-20T00:00:00"/>
  </r>
  <r>
    <s v="819004176833"/>
    <x v="1159"/>
    <s v="SAMPAT RAJ"/>
    <n v="176833"/>
    <s v="NAKORA CEMENT SUPPLIERS"/>
    <n v="0"/>
    <n v="0"/>
    <n v="0"/>
    <n v="24.5"/>
    <n v="0"/>
    <n v="0"/>
    <n v="0"/>
    <n v="0"/>
    <n v="0"/>
    <n v="15"/>
    <n v="0"/>
    <n v="15"/>
    <n v="17"/>
    <n v="0"/>
    <n v="0"/>
    <n v="0"/>
    <n v="0"/>
    <n v="0"/>
    <n v="0"/>
    <n v="0"/>
    <n v="0"/>
    <n v="25"/>
    <n v="0"/>
    <n v="0"/>
    <n v="81.5"/>
    <n v="0"/>
    <n v="15"/>
    <s v="BARMER"/>
    <s v="BARMER"/>
    <s v="RJ-JODHPUR"/>
    <d v="2022-05-20T00:00:00"/>
  </r>
  <r>
    <s v="819218211169"/>
    <x v="1160"/>
    <s v="HANUMANA RAM"/>
    <n v="211169"/>
    <s v="VISHNU CONSTRUCTION COMPANY"/>
    <n v="0"/>
    <n v="0"/>
    <n v="0"/>
    <n v="0"/>
    <n v="0"/>
    <n v="0"/>
    <n v="0"/>
    <n v="0"/>
    <n v="0"/>
    <n v="5"/>
    <n v="0"/>
    <n v="0"/>
    <n v="45"/>
    <n v="0"/>
    <n v="0"/>
    <n v="0"/>
    <n v="0"/>
    <n v="0"/>
    <n v="10"/>
    <n v="0"/>
    <n v="0"/>
    <n v="10"/>
    <n v="0"/>
    <n v="0"/>
    <n v="70"/>
    <n v="0"/>
    <n v="0"/>
    <s v="BARMER"/>
    <s v="BARMER"/>
    <s v="RJ-JODHPUR"/>
    <d v="2022-06-07T00:00:00"/>
  </r>
  <r>
    <s v="819388177295"/>
    <x v="1161"/>
    <s v="OM PRAKASH"/>
    <n v="177295"/>
    <s v="ROHIT TRADERS"/>
    <n v="0"/>
    <n v="0"/>
    <n v="0"/>
    <n v="0"/>
    <n v="0"/>
    <n v="0"/>
    <n v="64"/>
    <n v="4"/>
    <n v="20"/>
    <n v="0"/>
    <n v="0"/>
    <n v="0"/>
    <n v="10"/>
    <n v="0"/>
    <n v="10"/>
    <n v="15"/>
    <n v="0"/>
    <n v="0"/>
    <n v="45"/>
    <n v="0"/>
    <n v="25"/>
    <n v="0"/>
    <n v="0"/>
    <n v="0"/>
    <n v="134"/>
    <n v="4"/>
    <n v="55"/>
    <s v="BARMER"/>
    <s v="BARMER"/>
    <s v="RJ-JODHPUR"/>
    <d v="2022-06-17T00:00:00"/>
  </r>
  <r>
    <s v="819390209652"/>
    <x v="1162"/>
    <s v="NAVEEN BUILDING MATERIAL AND G"/>
    <n v="209652"/>
    <s v="RAJRUCHI CEMENT BHANDAR"/>
    <n v="0"/>
    <n v="0"/>
    <n v="0"/>
    <n v="0"/>
    <n v="0"/>
    <n v="0"/>
    <n v="65"/>
    <n v="0"/>
    <n v="10"/>
    <n v="10"/>
    <n v="0"/>
    <n v="10"/>
    <n v="10"/>
    <n v="0"/>
    <n v="10"/>
    <n v="0"/>
    <n v="0"/>
    <n v="0"/>
    <n v="0"/>
    <n v="0"/>
    <n v="0"/>
    <n v="0"/>
    <n v="0"/>
    <n v="0"/>
    <n v="85"/>
    <n v="0"/>
    <n v="30"/>
    <s v="BARMER"/>
    <s v="BARMER"/>
    <s v="RJ-JODHPUR"/>
    <d v="2022-06-17T00:00:00"/>
  </r>
  <r>
    <s v="819406176833"/>
    <x v="1163"/>
    <s v="SWROOP DAN"/>
    <n v="176833"/>
    <s v="NAKORA CEMENT SUPPLIERS"/>
    <n v="0"/>
    <n v="0"/>
    <n v="0"/>
    <n v="0"/>
    <n v="0"/>
    <n v="0"/>
    <n v="37"/>
    <n v="0"/>
    <n v="15"/>
    <n v="45"/>
    <n v="0"/>
    <n v="0"/>
    <n v="10"/>
    <n v="0"/>
    <n v="0"/>
    <n v="40"/>
    <n v="0"/>
    <n v="0"/>
    <n v="12.5"/>
    <n v="0"/>
    <n v="0"/>
    <n v="0"/>
    <n v="0"/>
    <n v="0"/>
    <n v="144.5"/>
    <n v="0"/>
    <n v="15"/>
    <s v="BARMER"/>
    <s v="BARMER"/>
    <s v="RJ-JODHPUR"/>
    <d v="2022-06-18T00:00:00"/>
  </r>
  <r>
    <s v="819710210745"/>
    <x v="1164"/>
    <s v="AMIT RATHI"/>
    <n v="210745"/>
    <s v="RAMDEV TRADERS"/>
    <n v="0"/>
    <n v="0"/>
    <n v="0"/>
    <n v="0"/>
    <n v="0"/>
    <n v="0"/>
    <n v="0"/>
    <n v="0"/>
    <n v="0"/>
    <n v="40"/>
    <n v="0"/>
    <n v="0"/>
    <n v="40"/>
    <n v="0"/>
    <n v="0"/>
    <n v="97"/>
    <n v="0"/>
    <n v="0"/>
    <n v="85"/>
    <n v="0"/>
    <n v="0"/>
    <n v="100"/>
    <n v="0"/>
    <n v="0"/>
    <n v="362"/>
    <n v="0"/>
    <n v="0"/>
    <s v="BARMER"/>
    <s v="BARMER"/>
    <s v="RJ-JODHPUR"/>
    <d v="2022-07-12T00:00:00"/>
  </r>
  <r>
    <s v="819743177295"/>
    <x v="1165"/>
    <s v="BHAJAN LAL"/>
    <n v="177295"/>
    <s v="ROHIT TRADERS"/>
    <n v="0"/>
    <n v="0"/>
    <n v="0"/>
    <n v="0"/>
    <n v="0"/>
    <n v="0"/>
    <n v="0"/>
    <n v="0"/>
    <n v="0"/>
    <n v="0"/>
    <n v="0"/>
    <n v="0"/>
    <n v="10"/>
    <n v="0"/>
    <n v="10"/>
    <n v="45"/>
    <n v="15"/>
    <n v="0"/>
    <n v="55"/>
    <n v="15"/>
    <n v="10"/>
    <n v="20"/>
    <n v="20"/>
    <n v="0"/>
    <n v="130"/>
    <n v="30"/>
    <n v="20"/>
    <s v="BARMER"/>
    <s v="BARMER"/>
    <s v="RJ-JODHPUR"/>
    <d v="2022-07-14T00:00:00"/>
  </r>
  <r>
    <s v="806230213945"/>
    <x v="1084"/>
    <s v="SHRI VINAYAK WOOD TRADERS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102.5"/>
    <n v="35"/>
    <n v="0"/>
    <n v="20"/>
    <n v="0"/>
    <n v="10"/>
    <n v="30"/>
    <n v="0"/>
    <n v="0"/>
    <n v="152.5"/>
    <n v="35"/>
    <n v="10"/>
    <s v="BARMER"/>
    <s v="BARMER"/>
    <s v="RJ-JODHPUR"/>
    <d v="2017-04-07T00:00:00"/>
  </r>
  <r>
    <s v="806233213945"/>
    <x v="1085"/>
    <s v="RAWATA RAM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55"/>
    <n v="0"/>
    <n v="0"/>
    <n v="70"/>
    <n v="10"/>
    <n v="25"/>
    <n v="50"/>
    <n v="0"/>
    <n v="0"/>
    <n v="175"/>
    <n v="10"/>
    <n v="25"/>
    <s v="BARMER"/>
    <s v="BARMER"/>
    <s v="RJ-JODHPUR"/>
    <d v="2017-04-07T00:00:00"/>
  </r>
  <r>
    <s v="811419211169"/>
    <x v="1102"/>
    <s v="SUMAR KHAN"/>
    <n v="211169"/>
    <s v="VISHNU CONSTRUCTION COMPANY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ARMER"/>
    <s v="BARMER"/>
    <s v="RJ-JODHPUR"/>
    <d v="2020-02-05T00:00:00"/>
  </r>
  <r>
    <s v="812860211169"/>
    <x v="1112"/>
    <s v="SHREE BALAJI ENTERPRISE"/>
    <n v="211169"/>
    <s v="VISHNU CONSTRUCTION COMPANY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ARMER"/>
    <s v="BARMER"/>
    <s v="RJ-JODHPUR"/>
    <d v="2020-09-09T00:00:00"/>
  </r>
  <r>
    <s v="812861177595"/>
    <x v="1113"/>
    <s v="MOHANLAL SEJMAL KIRANA STORE"/>
    <n v="177595"/>
    <s v="SHAH MITHA LAL SOHAN RAJ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BARMER"/>
    <s v="BARMER"/>
    <s v="RJ-JODHPUR"/>
    <d v="2020-09-09T00:00:00"/>
  </r>
  <r>
    <s v="814514211169"/>
    <x v="1120"/>
    <s v="DALPAT SINGH"/>
    <n v="211169"/>
    <s v="VISHNU CONSTRUCTION COMPANY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ARMER"/>
    <s v="BARMER"/>
    <s v="RJ-JODHPUR"/>
    <d v="2021-02-17T00:00:00"/>
  </r>
  <r>
    <s v="816547213945"/>
    <x v="1127"/>
    <s v="OM GURUJI GENERAL STORE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25"/>
    <n v="15"/>
    <n v="10"/>
    <n v="25"/>
    <n v="0"/>
    <n v="0"/>
    <n v="74"/>
    <n v="24"/>
    <n v="0"/>
    <n v="124"/>
    <n v="15"/>
    <n v="10"/>
    <s v="BARMER"/>
    <s v="BARMER"/>
    <s v="RJ-JODHPUR"/>
    <d v="2021-09-28T00:00:00"/>
  </r>
  <r>
    <s v="817797211169"/>
    <x v="1140"/>
    <s v="MAHADEV ELECTRIC HARDWARE AND"/>
    <n v="211169"/>
    <s v="VISHNU CONSTRUCTION COMPANY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ARMER"/>
    <s v="BARMER"/>
    <s v="RJ-JODHPUR"/>
    <d v="2022-01-24T00:00:00"/>
  </r>
  <r>
    <s v="817891177595"/>
    <x v="1146"/>
    <s v="AKSHAY KUMAR SETHIYA"/>
    <n v="177595"/>
    <s v="SHAH MITHA LAL SOHAN RAJ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BARMER"/>
    <s v="BARMER"/>
    <s v="RJ-JODHPUR"/>
    <d v="2022-01-29T00:00:00"/>
  </r>
  <r>
    <s v="818251211169"/>
    <x v="1148"/>
    <s v="RAMDEV TRADERS"/>
    <n v="211169"/>
    <s v="VISHNU CONSTRUCTION COMPANY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ARMER"/>
    <s v="BARMER"/>
    <s v="RJ-JODHPUR"/>
    <d v="2022-03-03T00:00:00"/>
  </r>
  <r>
    <s v="818254213945"/>
    <x v="1150"/>
    <s v="RAJESHWAR HARDWARE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60"/>
    <n v="0"/>
    <n v="10"/>
    <n v="45"/>
    <n v="25"/>
    <n v="0"/>
    <n v="0"/>
    <n v="0"/>
    <n v="0"/>
    <n v="105"/>
    <n v="25"/>
    <n v="10"/>
    <s v="BARMER"/>
    <s v="BARMER"/>
    <s v="RJ-JODHPUR"/>
    <d v="2022-03-03T00:00:00"/>
  </r>
  <r>
    <s v="818539177595"/>
    <x v="1154"/>
    <s v="SUKHDEV SINGH"/>
    <n v="177595"/>
    <s v="SHAH MITHA LAL SOHAN RAJ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ARMER"/>
    <s v="BARMER"/>
    <s v="RJ-JODHPUR"/>
    <d v="2022-03-30T00:00:00"/>
  </r>
  <r>
    <s v="819390213945"/>
    <x v="1162"/>
    <s v="NAVEEN BUILDING MATERIAL AND G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15"/>
    <n v="15"/>
    <n v="0"/>
    <n v="100"/>
    <n v="0"/>
    <n v="0"/>
    <n v="140"/>
    <n v="15"/>
    <n v="0"/>
    <s v="BARMER"/>
    <s v="BARMER"/>
    <s v="RJ-JODHPUR"/>
    <d v="2022-06-17T00:00:00"/>
  </r>
  <r>
    <s v="819406177595"/>
    <x v="1163"/>
    <s v="SWROOP DAN"/>
    <n v="177595"/>
    <s v="SHAH MITHA LAL SOHAN RAJ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ARMER"/>
    <s v="BARMER"/>
    <s v="RJ-JODHPUR"/>
    <d v="2022-06-18T00:00:00"/>
  </r>
  <r>
    <s v="811329209895"/>
    <x v="1100"/>
    <s v="DALPAT SINGH"/>
    <n v="209895"/>
    <s v="MANSUKH TRADERS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20"/>
    <n v="0"/>
    <n v="0"/>
    <s v="BARMER"/>
    <s v="BARMER"/>
    <s v="RJ-JODHPUR"/>
    <d v="2020-01-25T00:00:00"/>
  </r>
  <r>
    <s v="817812213945"/>
    <x v="1142"/>
    <s v="RAJESHWAR CEMENT SUPPLIERS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15"/>
    <n v="15"/>
    <n v="0"/>
    <n v="54"/>
    <n v="29"/>
    <n v="20"/>
    <n v="79"/>
    <n v="15"/>
    <n v="10"/>
    <s v="BARMER"/>
    <s v="BARMER"/>
    <s v="RJ-JODHPUR"/>
    <d v="2022-01-25T00:00:00"/>
  </r>
  <r>
    <s v="820420148935"/>
    <x v="1166"/>
    <s v="KAVARAN KANWAR"/>
    <n v="148935"/>
    <s v="SAWROOP CONSTRUCTION COMPANY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55"/>
    <n v="0"/>
    <n v="0"/>
    <n v="0"/>
    <n v="0"/>
    <n v="0"/>
    <n v="105"/>
    <n v="0"/>
    <n v="0"/>
    <s v="BARMER"/>
    <s v="BARMER"/>
    <s v="RJ-JODHPUR"/>
    <d v="2022-09-07T00:00:00"/>
  </r>
  <r>
    <s v="816546213945"/>
    <x v="1126"/>
    <s v="RAMDEV CEMENT SUPPLIER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25"/>
    <n v="0"/>
    <n v="0"/>
    <n v="35"/>
    <n v="0"/>
    <n v="0"/>
    <s v="BARMER"/>
    <s v="BARMER"/>
    <s v="RJ-JODHPUR"/>
    <d v="2021-09-27T00:00:00"/>
  </r>
  <r>
    <s v="818252213945"/>
    <x v="1149"/>
    <s v="MAHADEV CEMENT SUPPLIER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0"/>
    <n v="0"/>
    <n v="0"/>
    <n v="0"/>
    <n v="0"/>
    <n v="0"/>
    <n v="10"/>
    <n v="10"/>
    <n v="0"/>
    <s v="BARMER"/>
    <s v="BARMER"/>
    <s v="RJ-JODHPUR"/>
    <d v="2022-03-03T00:00:00"/>
  </r>
  <r>
    <s v="814690213945"/>
    <x v="1121"/>
    <s v="DAYA RAM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25"/>
    <n v="0"/>
    <n v="25"/>
    <n v="0"/>
    <n v="0"/>
    <n v="0"/>
    <n v="30"/>
    <n v="0"/>
    <n v="25"/>
    <s v="BARMER"/>
    <s v="BARMER"/>
    <s v="RJ-JODHPUR"/>
    <d v="2021-03-04T00:00:00"/>
  </r>
  <r>
    <s v="816566213945"/>
    <x v="1128"/>
    <s v="DINESH CEMENT SUPPLIERS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0"/>
    <n v="0"/>
    <n v="0"/>
    <n v="45"/>
    <n v="0"/>
    <n v="0"/>
    <s v="BARMER"/>
    <s v="BARMER"/>
    <s v="RJ-JODHPUR"/>
    <d v="2021-09-28T00:00:00"/>
  </r>
  <r>
    <s v="817218213945"/>
    <x v="1131"/>
    <s v="JASNATH CEMENT AGENCY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50"/>
    <n v="0"/>
    <n v="10"/>
    <n v="60"/>
    <n v="0"/>
    <n v="0"/>
    <s v="BARMER"/>
    <s v="BARMER"/>
    <s v="RJ-JODHPUR"/>
    <d v="2021-12-07T00:00:00"/>
  </r>
  <r>
    <s v="817219213945"/>
    <x v="1132"/>
    <s v="GANPATI BUILDING MATERIAL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5"/>
    <n v="0"/>
    <n v="0"/>
    <n v="0"/>
    <n v="0"/>
    <n v="15"/>
    <n v="15"/>
    <n v="0"/>
    <s v="BARMER"/>
    <s v="BARMER"/>
    <s v="RJ-JODHPUR"/>
    <d v="2021-12-07T00:00:00"/>
  </r>
  <r>
    <s v="820705177295"/>
    <x v="1167"/>
    <s v="MAHADEV HARDWARE"/>
    <n v="177295"/>
    <s v="ROHIT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20"/>
    <n v="10"/>
    <n v="10"/>
    <n v="10"/>
    <n v="0"/>
    <n v="70"/>
    <n v="20"/>
    <n v="10"/>
    <s v="BARMER"/>
    <s v="BARMER"/>
    <s v="RJ-JODHPUR"/>
    <d v="2022-09-24T00:00:00"/>
  </r>
  <r>
    <s v="817797213945"/>
    <x v="1140"/>
    <s v="MAHADEV ELECTRIC HARDWARE AND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49"/>
    <n v="24"/>
    <n v="0"/>
    <n v="64"/>
    <n v="0"/>
    <n v="0"/>
    <s v="BARMER"/>
    <s v="BARMER"/>
    <s v="RJ-JODHPUR"/>
    <d v="2022-01-24T00:00:00"/>
  </r>
  <r>
    <s v="814514209895"/>
    <x v="1120"/>
    <s v="DALPAT SINGH"/>
    <n v="209895"/>
    <s v="MANSUK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BARMER"/>
    <s v="BARMER"/>
    <s v="RJ-JODHPUR"/>
    <d v="2021-02-17T00:00:00"/>
  </r>
  <r>
    <s v="817795213945"/>
    <x v="1138"/>
    <s v="SHREE RAMDEV MARBLE AND GRANIT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.5"/>
    <n v="0"/>
    <n v="0"/>
    <n v="22.5"/>
    <n v="0"/>
    <n v="0"/>
    <s v="BARMER"/>
    <s v="BARMER"/>
    <s v="RJ-JODHPUR"/>
    <d v="2022-01-24T00:00:00"/>
  </r>
  <r>
    <s v="821285176833"/>
    <x v="1168"/>
    <s v="LALU PRASAD"/>
    <n v="176833"/>
    <s v="NAKORA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0"/>
    <n v="0"/>
    <n v="15"/>
    <n v="65"/>
    <n v="0"/>
    <n v="0"/>
    <s v="BARMER"/>
    <s v="BARMER"/>
    <s v="RJ-JODHPUR"/>
    <d v="2022-11-18T00:00:00"/>
  </r>
  <r>
    <s v="821287176833"/>
    <x v="1169"/>
    <s v="PRAFULBHAI ASHOKBHAI MAHESHVAR"/>
    <n v="176833"/>
    <s v="NAKORA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5"/>
    <n v="0"/>
    <n v="0"/>
    <n v="50"/>
    <n v="0"/>
    <n v="0"/>
    <s v="BARMER"/>
    <s v="BARMER"/>
    <s v="RJ-JODHPUR"/>
    <d v="2022-11-18T00:00:00"/>
  </r>
  <r>
    <s v="821274213945"/>
    <x v="1170"/>
    <s v="PRABHU RAM"/>
    <n v="213945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5"/>
    <n v="0"/>
    <n v="0"/>
    <n v="50"/>
    <n v="0"/>
    <n v="0"/>
    <s v="BARMER"/>
    <s v="BARMER"/>
    <s v="RJ-JODHPUR"/>
    <d v="2022-11-18T00:00:00"/>
  </r>
  <r>
    <s v="821457205591"/>
    <x v="1171"/>
    <s v="RATAN LAL BAIRWA"/>
    <n v="205591"/>
    <s v="ROOP RAJAT TRADING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"/>
    <n v="0"/>
    <n v="0"/>
    <n v="16"/>
    <n v="0"/>
    <n v="0"/>
    <s v="BHILWARA"/>
    <s v="BARMER"/>
    <s v="RJ-JODHPUR"/>
    <d v="2022-11-29T00:00:00"/>
  </r>
  <r>
    <s v="821479175049"/>
    <x v="1172"/>
    <s v="JASHWANT KUMAR NAYAK"/>
    <n v="175049"/>
    <s v="KASHISH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BHILWARA"/>
    <s v="BARMER"/>
    <s v="RJ-JODHPUR"/>
    <d v="2022-11-30T00:00:00"/>
  </r>
  <r>
    <s v="808182208955"/>
    <x v="1173"/>
    <s v="MOHD HASSAN"/>
    <n v="208955"/>
    <s v="MOHAMMAD MOHSIN BUILDING MATE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5"/>
    <n v="0"/>
    <n v="0"/>
    <n v="50"/>
    <n v="0"/>
    <n v="0"/>
    <s v="BIKANER"/>
    <s v="BARMER"/>
    <s v="RJ-JODHPUR"/>
    <d v="2018-03-30T00:00:00"/>
  </r>
  <r>
    <s v="820048119044"/>
    <x v="1174"/>
    <s v="BHANWAR LAL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.5"/>
    <n v="0"/>
    <n v="0"/>
    <n v="17.5"/>
    <n v="0"/>
    <n v="0"/>
    <s v="BIKANER"/>
    <s v="BARMER"/>
    <s v="RJ-JODHPUR"/>
    <d v="2022-08-04T00:00:00"/>
  </r>
  <r>
    <s v="821203174357"/>
    <x v="1175"/>
    <s v="AKBAR ALI"/>
    <n v="174357"/>
    <s v="M R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BIKANER"/>
    <s v="BARMER"/>
    <s v="RJ-JODHPUR"/>
    <d v="2022-11-12T00:00:00"/>
  </r>
  <r>
    <s v="821325210132"/>
    <x v="1176"/>
    <s v="KALIKA ENTERPRISES"/>
    <n v="210132"/>
    <s v="SHRI MATESHWARI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7.5"/>
    <n v="25"/>
    <n v="0"/>
    <n v="0"/>
    <s v="CHITTORGARH"/>
    <s v="BARMER"/>
    <s v="RJ-JODHPUR"/>
    <d v="2022-11-21T00:00:00"/>
  </r>
  <r>
    <s v="812396177559"/>
    <x v="1177"/>
    <s v="SHIVBHAGAWAN SHARMA"/>
    <n v="177559"/>
    <s v="BALAJI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CHURU"/>
    <s v="BARMER"/>
    <s v="RJ-JODHPUR"/>
    <d v="2020-07-29T00:00:00"/>
  </r>
  <r>
    <s v="803775144170"/>
    <x v="1178"/>
    <s v="CHAMUNDA BUILDING MATERIAL"/>
    <n v="144170"/>
    <s v="SHRI GULAB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ISALMER"/>
    <s v="BARMER"/>
    <s v="RJ-JODHPUR"/>
    <d v="2015-01-03T00:00:00"/>
  </r>
  <r>
    <s v="806864175547"/>
    <x v="1179"/>
    <s v="SHRI KARNI CEMENT AGENCY"/>
    <n v="175547"/>
    <s v="S.S.BHATI ENTERPRISES"/>
    <n v="205"/>
    <n v="0"/>
    <n v="0"/>
    <n v="86"/>
    <n v="0"/>
    <n v="0"/>
    <n v="30"/>
    <n v="0"/>
    <n v="0"/>
    <n v="92.5"/>
    <n v="0"/>
    <n v="37.5"/>
    <n v="15"/>
    <n v="0"/>
    <n v="0"/>
    <n v="35"/>
    <n v="0"/>
    <n v="0"/>
    <n v="25"/>
    <n v="0"/>
    <n v="0"/>
    <n v="31"/>
    <n v="0"/>
    <n v="0"/>
    <n v="519.5"/>
    <n v="0"/>
    <n v="37.5"/>
    <s v="JAISALMER"/>
    <s v="BARMER"/>
    <s v="RJ-JODHPUR"/>
    <d v="2017-09-07T00:00:00"/>
  </r>
  <r>
    <s v="811425175547"/>
    <x v="1180"/>
    <s v="JAI MALINATH ENTERPRISES"/>
    <n v="175547"/>
    <s v="S.S.BHATI ENTERPRISES"/>
    <n v="360"/>
    <n v="0"/>
    <n v="0"/>
    <n v="115"/>
    <n v="0"/>
    <n v="0"/>
    <n v="314.5"/>
    <n v="0"/>
    <n v="60"/>
    <n v="275"/>
    <n v="0"/>
    <n v="35"/>
    <n v="250"/>
    <n v="0"/>
    <n v="50"/>
    <n v="555"/>
    <n v="0"/>
    <n v="70"/>
    <n v="210"/>
    <n v="0"/>
    <n v="0"/>
    <n v="206"/>
    <n v="0"/>
    <n v="0"/>
    <n v="2285.5"/>
    <n v="0"/>
    <n v="215"/>
    <s v="JAISALMER"/>
    <s v="BARMER"/>
    <s v="RJ-JODHPUR"/>
    <d v="2020-02-05T00:00:00"/>
  </r>
  <r>
    <s v="813782175547"/>
    <x v="1181"/>
    <s v="SHREE ROOPAL MAA CEMENT AGENCY"/>
    <n v="175547"/>
    <s v="S.S.BHATI ENTERPRISES"/>
    <n v="20"/>
    <n v="0"/>
    <n v="0"/>
    <n v="160"/>
    <n v="0"/>
    <n v="0"/>
    <n v="194"/>
    <n v="0"/>
    <n v="1"/>
    <n v="97.5"/>
    <n v="0"/>
    <n v="17.5"/>
    <n v="120"/>
    <n v="0"/>
    <n v="0"/>
    <n v="70"/>
    <n v="0"/>
    <n v="0"/>
    <n v="217"/>
    <n v="0"/>
    <n v="35"/>
    <n v="62.5"/>
    <n v="0"/>
    <n v="0"/>
    <n v="941"/>
    <n v="0"/>
    <n v="53.5"/>
    <s v="JAISALMER"/>
    <s v="BARMER"/>
    <s v="RJ-JODHPUR"/>
    <d v="2020-12-08T00:00:00"/>
  </r>
  <r>
    <s v="815799175547"/>
    <x v="1182"/>
    <s v="SHREE LAL BANNA CEMENT AGENCY"/>
    <n v="175547"/>
    <s v="S.S.BHATI ENTERPRISES"/>
    <n v="105"/>
    <n v="0"/>
    <n v="0"/>
    <n v="65"/>
    <n v="0"/>
    <n v="0"/>
    <n v="60"/>
    <n v="0"/>
    <n v="10"/>
    <n v="50"/>
    <n v="0"/>
    <n v="0"/>
    <n v="10"/>
    <n v="0"/>
    <n v="10"/>
    <n v="70"/>
    <n v="0"/>
    <n v="0"/>
    <n v="0"/>
    <n v="0"/>
    <n v="0"/>
    <n v="15"/>
    <n v="0"/>
    <n v="0"/>
    <n v="375"/>
    <n v="0"/>
    <n v="20"/>
    <s v="JAISALMER"/>
    <s v="BARMER"/>
    <s v="RJ-JODHPUR"/>
    <d v="2021-07-31T00:00:00"/>
  </r>
  <r>
    <s v="817039175547"/>
    <x v="1183"/>
    <s v="DS INTERDECOR"/>
    <n v="175547"/>
    <s v="S.S.BHATI ENTERPRISES"/>
    <n v="55"/>
    <n v="0"/>
    <n v="0"/>
    <n v="20"/>
    <n v="0"/>
    <n v="0"/>
    <n v="35"/>
    <n v="0"/>
    <n v="0"/>
    <n v="17.5"/>
    <n v="0"/>
    <n v="0"/>
    <n v="0"/>
    <n v="0"/>
    <n v="0"/>
    <n v="0"/>
    <n v="0"/>
    <n v="0"/>
    <n v="0"/>
    <n v="0"/>
    <n v="0"/>
    <n v="0"/>
    <n v="0"/>
    <n v="0"/>
    <n v="127.5"/>
    <n v="0"/>
    <n v="0"/>
    <s v="JAISALMER"/>
    <s v="BARMER"/>
    <s v="RJ-JODHPUR"/>
    <d v="2021-11-17T00:00:00"/>
  </r>
  <r>
    <s v="817813175547"/>
    <x v="1184"/>
    <s v="NEW RAMDEV BUILDING MATERIAL"/>
    <n v="175547"/>
    <s v="S.S.BHATI ENTERPRISES"/>
    <n v="0"/>
    <n v="0"/>
    <n v="0"/>
    <n v="0"/>
    <n v="0"/>
    <n v="0"/>
    <n v="25"/>
    <n v="0"/>
    <n v="0"/>
    <n v="35"/>
    <n v="0"/>
    <n v="0"/>
    <n v="0"/>
    <n v="0"/>
    <n v="0"/>
    <n v="0"/>
    <n v="0"/>
    <n v="0"/>
    <n v="0"/>
    <n v="0"/>
    <n v="0"/>
    <n v="0"/>
    <n v="0"/>
    <n v="0"/>
    <n v="60"/>
    <n v="0"/>
    <n v="0"/>
    <s v="JAISALMER"/>
    <s v="BARMER"/>
    <s v="RJ-JODHPUR"/>
    <d v="2022-01-25T00:00:00"/>
  </r>
  <r>
    <s v="818142175547"/>
    <x v="1185"/>
    <s v="JANJ ENTERPRISES"/>
    <n v="175547"/>
    <s v="S.S.BHATI ENTERPRISES"/>
    <n v="75"/>
    <n v="0"/>
    <n v="0"/>
    <n v="0"/>
    <n v="0"/>
    <n v="0"/>
    <n v="80"/>
    <n v="0"/>
    <n v="10"/>
    <n v="17.5"/>
    <n v="0"/>
    <n v="0"/>
    <n v="20"/>
    <n v="0"/>
    <n v="0"/>
    <n v="50"/>
    <n v="0"/>
    <n v="0"/>
    <n v="10"/>
    <n v="0"/>
    <n v="0"/>
    <n v="0"/>
    <n v="0"/>
    <n v="0"/>
    <n v="252.5"/>
    <n v="0"/>
    <n v="10"/>
    <s v="JAISALMER"/>
    <s v="BARMER"/>
    <s v="RJ-JODHPUR"/>
    <d v="2022-02-24T00:00:00"/>
  </r>
  <r>
    <s v="819535175547"/>
    <x v="1186"/>
    <s v="MAHADEV ENTERPRISES"/>
    <n v="175547"/>
    <s v="S.S.BHATI ENTERPRISES"/>
    <n v="0"/>
    <n v="0"/>
    <n v="0"/>
    <n v="0"/>
    <n v="0"/>
    <n v="0"/>
    <n v="0"/>
    <n v="0"/>
    <n v="0"/>
    <n v="32.5"/>
    <n v="0"/>
    <n v="5"/>
    <n v="10"/>
    <n v="0"/>
    <n v="10"/>
    <n v="50"/>
    <n v="0"/>
    <n v="0"/>
    <n v="0"/>
    <n v="0"/>
    <n v="0"/>
    <n v="37.5"/>
    <n v="0"/>
    <n v="0"/>
    <n v="130"/>
    <n v="0"/>
    <n v="15"/>
    <s v="JAISALMER"/>
    <s v="BARMER"/>
    <s v="RJ-JODHPUR"/>
    <d v="2022-06-27T00:00:00"/>
  </r>
  <r>
    <s v="819712175547"/>
    <x v="1187"/>
    <s v="RANE KHAN"/>
    <n v="175547"/>
    <s v="S.S.BHATI ENTERPRISES"/>
    <n v="0"/>
    <n v="0"/>
    <n v="0"/>
    <n v="0"/>
    <n v="0"/>
    <n v="0"/>
    <n v="0"/>
    <n v="0"/>
    <n v="0"/>
    <n v="60.5"/>
    <n v="0"/>
    <n v="15"/>
    <n v="47.5"/>
    <n v="0"/>
    <n v="0"/>
    <n v="30"/>
    <n v="0"/>
    <n v="0"/>
    <n v="0"/>
    <n v="0"/>
    <n v="0"/>
    <n v="40"/>
    <n v="0"/>
    <n v="0"/>
    <n v="178"/>
    <n v="0"/>
    <n v="15"/>
    <s v="JAISALMER"/>
    <s v="BARMER"/>
    <s v="RJ-JODHPUR"/>
    <d v="2022-07-12T00:00:00"/>
  </r>
  <r>
    <s v="820003175547"/>
    <x v="1188"/>
    <s v="CHATARPAL SINGH"/>
    <n v="175547"/>
    <s v="S.S.BHATI ENTERPRISES"/>
    <n v="0"/>
    <n v="0"/>
    <n v="0"/>
    <n v="0"/>
    <n v="0"/>
    <n v="0"/>
    <n v="0"/>
    <n v="0"/>
    <n v="0"/>
    <n v="0"/>
    <n v="0"/>
    <n v="0"/>
    <n v="47.5"/>
    <n v="0"/>
    <n v="0"/>
    <n v="30"/>
    <n v="0"/>
    <n v="0"/>
    <n v="0"/>
    <n v="0"/>
    <n v="0"/>
    <n v="20"/>
    <n v="0"/>
    <n v="0"/>
    <n v="97.5"/>
    <n v="0"/>
    <n v="0"/>
    <s v="JAISALMER"/>
    <s v="BARMER"/>
    <s v="RJ-JODHPUR"/>
    <d v="2022-07-29T00:00:00"/>
  </r>
  <r>
    <s v="821263175547"/>
    <x v="1189"/>
    <s v="PAPPU KHAN"/>
    <n v="175547"/>
    <s v="S.S.BHAT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JAISALMER"/>
    <s v="BARMER"/>
    <s v="RJ-JODHPUR"/>
    <d v="2022-11-17T00:00:00"/>
  </r>
  <r>
    <s v="821265175547"/>
    <x v="1190"/>
    <s v="BALA RAM REVATA RAM SUTHAR"/>
    <n v="175547"/>
    <s v="S.S.BHAT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0"/>
    <n v="0"/>
    <n v="0"/>
    <n v="85"/>
    <n v="0"/>
    <n v="0"/>
    <s v="JAISALMER"/>
    <s v="BARMER"/>
    <s v="RJ-JODHPUR"/>
    <d v="2022-11-17T00:00:00"/>
  </r>
  <r>
    <s v="816546177595"/>
    <x v="1126"/>
    <s v="RAMDEV CEMENT SUPPLIER"/>
    <s v="177595"/>
    <s v="SHAH MITHA LAL SOHAN RAJ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BARMER"/>
    <s v="JODHPUR"/>
    <s v="RJ-JODHPUR"/>
    <d v="2021-09-27T00:00:00"/>
  </r>
  <r>
    <s v="818254177595"/>
    <x v="1150"/>
    <s v="RAJESHWAR HARDWARE"/>
    <s v="177595"/>
    <s v="SHAH MITHA LAL SOHAN RAJ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15"/>
    <n v="0"/>
    <n v="0"/>
    <s v="BARMER"/>
    <s v="JODHPUR"/>
    <s v="RJ-JODHPUR"/>
    <d v="2022-03-03T00:00:00"/>
  </r>
  <r>
    <s v="819702148935"/>
    <x v="1191"/>
    <s v="PAPU RAM"/>
    <n v="148935"/>
    <s v="SAWROOP CONSTRUCTION COMPANY"/>
    <n v="0"/>
    <n v="0"/>
    <n v="0"/>
    <n v="0"/>
    <n v="0"/>
    <n v="0"/>
    <n v="0"/>
    <n v="0"/>
    <n v="0"/>
    <n v="20"/>
    <n v="0"/>
    <n v="0"/>
    <n v="40"/>
    <n v="0"/>
    <n v="0"/>
    <n v="20"/>
    <n v="0"/>
    <n v="0"/>
    <n v="15"/>
    <n v="0"/>
    <n v="0"/>
    <n v="0"/>
    <n v="0"/>
    <n v="0"/>
    <n v="95"/>
    <n v="0"/>
    <n v="0"/>
    <s v="BARMER"/>
    <s v="JODHPUR"/>
    <s v="RJ-JODHPUR"/>
    <d v="2022-07-11T00:00:00"/>
  </r>
  <r>
    <s v="802838119038"/>
    <x v="1192"/>
    <s v="LAXMI TRADERS"/>
    <n v="119038"/>
    <s v="NAVEEN DISTRIBUTORS"/>
    <n v="181.5"/>
    <n v="0"/>
    <n v="0"/>
    <n v="70"/>
    <n v="0"/>
    <n v="0"/>
    <n v="77.849999999999994"/>
    <n v="10"/>
    <n v="0"/>
    <n v="64.650000000000006"/>
    <n v="0"/>
    <n v="10"/>
    <n v="55"/>
    <n v="0"/>
    <n v="0"/>
    <n v="108.35"/>
    <n v="13.35"/>
    <n v="5"/>
    <n v="106"/>
    <n v="5"/>
    <n v="0"/>
    <n v="70"/>
    <n v="0"/>
    <n v="0"/>
    <n v="733.35"/>
    <n v="28.35"/>
    <n v="15"/>
    <s v="JODHPUR"/>
    <s v="JODHPUR"/>
    <s v="RJ-JODHPUR"/>
    <d v="2013-08-17T00:00:00"/>
  </r>
  <r>
    <s v="802878119038"/>
    <x v="1193"/>
    <s v="HARI OM BUILDING MATERIAL"/>
    <n v="119038"/>
    <s v="NAVEEN DISTRIBUTORS"/>
    <n v="83"/>
    <n v="0"/>
    <n v="0"/>
    <n v="30"/>
    <n v="0"/>
    <n v="0"/>
    <n v="40"/>
    <n v="0"/>
    <n v="0"/>
    <n v="80"/>
    <n v="0"/>
    <n v="0"/>
    <n v="10"/>
    <n v="0"/>
    <n v="0"/>
    <n v="10"/>
    <n v="0"/>
    <n v="0"/>
    <n v="29"/>
    <n v="0"/>
    <n v="0"/>
    <n v="25"/>
    <n v="0"/>
    <n v="0"/>
    <n v="307"/>
    <n v="0"/>
    <n v="0"/>
    <s v="JODHPUR"/>
    <s v="JODHPUR"/>
    <s v="RJ-JODHPUR"/>
    <d v="2013-08-31T00:00:00"/>
  </r>
  <r>
    <s v="802964119038"/>
    <x v="1194"/>
    <s v="VIJAY TRADERS"/>
    <n v="119038"/>
    <s v="NAVEEN DISTRIBUTORS"/>
    <n v="20"/>
    <n v="0"/>
    <n v="0"/>
    <n v="90.5"/>
    <n v="0"/>
    <n v="0"/>
    <n v="19.5"/>
    <n v="0"/>
    <n v="0"/>
    <n v="25"/>
    <n v="0"/>
    <n v="10"/>
    <n v="65"/>
    <n v="0"/>
    <n v="0"/>
    <n v="55"/>
    <n v="0"/>
    <n v="0"/>
    <n v="77"/>
    <n v="0"/>
    <n v="0"/>
    <n v="47.5"/>
    <n v="0"/>
    <n v="0"/>
    <n v="399.5"/>
    <n v="0"/>
    <n v="10"/>
    <s v="JODHPUR"/>
    <s v="JODHPUR"/>
    <s v="RJ-JODHPUR"/>
    <d v="2013-10-18T00:00:00"/>
  </r>
  <r>
    <s v="802965119038"/>
    <x v="1195"/>
    <s v="SHIV SHAKTI TRADERS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3-10-18T00:00:00"/>
  </r>
  <r>
    <s v="803051119038"/>
    <x v="1196"/>
    <s v="MAGHA RAM HAJARI RAM"/>
    <n v="119038"/>
    <s v="NAVEEN DISTRIBUTORS"/>
    <n v="10"/>
    <n v="0"/>
    <n v="0"/>
    <n v="35"/>
    <n v="0"/>
    <n v="0"/>
    <n v="24"/>
    <n v="0"/>
    <n v="0"/>
    <n v="29.5"/>
    <n v="0"/>
    <n v="0"/>
    <n v="45"/>
    <n v="0"/>
    <n v="0"/>
    <n v="24.5"/>
    <n v="0"/>
    <n v="0"/>
    <n v="25"/>
    <n v="0"/>
    <n v="0"/>
    <n v="15"/>
    <n v="0"/>
    <n v="0"/>
    <n v="208"/>
    <n v="0"/>
    <n v="0"/>
    <s v="JODHPUR"/>
    <s v="JODHPUR"/>
    <s v="RJ-JODHPUR"/>
    <d v="2013-12-18T00:00:00"/>
  </r>
  <r>
    <s v="803352119038"/>
    <x v="1197"/>
    <s v="BALAJI BUILDERS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4-05-17T00:00:00"/>
  </r>
  <r>
    <s v="803425119038"/>
    <x v="1198"/>
    <s v="JASRAJ DHANRAJ PATEL"/>
    <n v="119038"/>
    <s v="NAVEEN DISTRIBUTORS"/>
    <n v="10"/>
    <n v="0"/>
    <n v="0"/>
    <n v="0"/>
    <n v="0"/>
    <n v="0"/>
    <n v="0"/>
    <n v="0"/>
    <n v="0"/>
    <n v="0"/>
    <n v="0"/>
    <n v="0"/>
    <n v="7.5"/>
    <n v="0"/>
    <n v="0"/>
    <n v="0"/>
    <n v="0"/>
    <n v="0"/>
    <n v="10"/>
    <n v="0"/>
    <n v="0"/>
    <n v="65"/>
    <n v="0"/>
    <n v="0"/>
    <n v="92.5"/>
    <n v="0"/>
    <n v="0"/>
    <s v="JODHPUR"/>
    <s v="JODHPUR"/>
    <s v="RJ-JODHPUR"/>
    <d v="2014-06-16T00:00:00"/>
  </r>
  <r>
    <s v="803578119038"/>
    <x v="1199"/>
    <s v="SHRI BHAKTESH CEMENT AGENCY"/>
    <n v="119038"/>
    <s v="NAVEEN DISTRIBUTORS"/>
    <n v="37"/>
    <n v="0"/>
    <n v="0"/>
    <n v="35"/>
    <n v="0"/>
    <n v="0"/>
    <n v="10"/>
    <n v="0"/>
    <n v="0"/>
    <n v="29.5"/>
    <n v="0"/>
    <n v="0"/>
    <n v="15"/>
    <n v="0"/>
    <n v="0"/>
    <n v="19.5"/>
    <n v="0"/>
    <n v="0"/>
    <n v="10"/>
    <n v="0"/>
    <n v="0"/>
    <n v="10"/>
    <n v="0"/>
    <n v="0"/>
    <n v="166"/>
    <n v="0"/>
    <n v="0"/>
    <s v="JODHPUR"/>
    <s v="JODHPUR"/>
    <s v="RJ-JODHPUR"/>
    <d v="2014-09-04T00:00:00"/>
  </r>
  <r>
    <s v="803579119038"/>
    <x v="1200"/>
    <s v="MEHODI BUILDING MATERIAL"/>
    <n v="119038"/>
    <s v="NAVEEN DISTRIBUTORS"/>
    <n v="73"/>
    <n v="0"/>
    <n v="0"/>
    <n v="80"/>
    <n v="0"/>
    <n v="0"/>
    <n v="69.5"/>
    <n v="0"/>
    <n v="0"/>
    <n v="45"/>
    <n v="0"/>
    <n v="0"/>
    <n v="75"/>
    <n v="0"/>
    <n v="0"/>
    <n v="30"/>
    <n v="0"/>
    <n v="0"/>
    <n v="50"/>
    <n v="0"/>
    <n v="0"/>
    <n v="90"/>
    <n v="0"/>
    <n v="0"/>
    <n v="512.5"/>
    <n v="0"/>
    <n v="0"/>
    <s v="JODHPUR"/>
    <s v="JODHPUR"/>
    <s v="RJ-JODHPUR"/>
    <d v="2014-09-04T00:00:00"/>
  </r>
  <r>
    <s v="803843119038"/>
    <x v="1201"/>
    <s v="SHREE KRISHNA KRISHI KENDRA"/>
    <n v="119038"/>
    <s v="NAVEEN DISTRIBUTORS"/>
    <n v="30"/>
    <n v="0"/>
    <n v="0"/>
    <n v="34.5"/>
    <n v="0"/>
    <n v="0"/>
    <n v="55"/>
    <n v="0"/>
    <n v="0"/>
    <n v="15"/>
    <n v="0"/>
    <n v="0"/>
    <n v="24"/>
    <n v="0"/>
    <n v="0"/>
    <n v="30"/>
    <n v="0"/>
    <n v="0"/>
    <n v="32"/>
    <n v="0"/>
    <n v="0"/>
    <n v="0"/>
    <n v="0"/>
    <n v="0"/>
    <n v="220.5"/>
    <n v="0"/>
    <n v="0"/>
    <s v="JODHPUR"/>
    <s v="JODHPUR"/>
    <s v="RJ-JODHPUR"/>
    <d v="2015-02-09T00:00:00"/>
  </r>
  <r>
    <s v="804023119038"/>
    <x v="1202"/>
    <s v="RATHORE BUILDING MATERIAL"/>
    <n v="119038"/>
    <s v="NAVEEN DISTRIBUTORS"/>
    <n v="0"/>
    <n v="0"/>
    <n v="0"/>
    <n v="10"/>
    <n v="0"/>
    <n v="0"/>
    <n v="30"/>
    <n v="0"/>
    <n v="0"/>
    <n v="10"/>
    <n v="0"/>
    <n v="0"/>
    <n v="0"/>
    <n v="0"/>
    <n v="0"/>
    <n v="5"/>
    <n v="0"/>
    <n v="0"/>
    <n v="0"/>
    <n v="0"/>
    <n v="0"/>
    <n v="22.5"/>
    <n v="0"/>
    <n v="0"/>
    <n v="77.5"/>
    <n v="0"/>
    <n v="0"/>
    <s v="JODHPUR"/>
    <s v="JODHPUR"/>
    <s v="RJ-JODHPUR"/>
    <d v="2018-09-29T00:00:00"/>
  </r>
  <r>
    <s v="804031119038"/>
    <x v="1203"/>
    <s v="SHANKAR TRADING COMPANY"/>
    <n v="119038"/>
    <s v="NAVEEN DISTRIBUTORS"/>
    <n v="0"/>
    <n v="0"/>
    <n v="0"/>
    <n v="10"/>
    <n v="0"/>
    <n v="0"/>
    <n v="0"/>
    <n v="0"/>
    <n v="0"/>
    <n v="15"/>
    <n v="0"/>
    <n v="0"/>
    <n v="10"/>
    <n v="0"/>
    <n v="0"/>
    <n v="10"/>
    <n v="0"/>
    <n v="0"/>
    <n v="10"/>
    <n v="0"/>
    <n v="0"/>
    <n v="15"/>
    <n v="0"/>
    <n v="0"/>
    <n v="70"/>
    <n v="0"/>
    <n v="0"/>
    <s v="JODHPUR"/>
    <s v="JODHPUR"/>
    <s v="RJ-JODHPUR"/>
    <d v="2018-09-29T00:00:00"/>
  </r>
  <r>
    <s v="804122119038"/>
    <x v="1204"/>
    <s v="RANIDHAN JASRAJ JAIN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5-07-08T00:00:00"/>
  </r>
  <r>
    <s v="804136119038"/>
    <x v="1205"/>
    <s v="NEHA KIRAN STORE"/>
    <n v="119038"/>
    <s v="NAVEEN DISTRIBUTORS"/>
    <n v="40"/>
    <n v="0"/>
    <n v="0"/>
    <n v="47.5"/>
    <n v="0"/>
    <n v="0"/>
    <n v="34"/>
    <n v="0"/>
    <n v="0"/>
    <n v="50"/>
    <n v="0"/>
    <n v="0"/>
    <n v="34"/>
    <n v="0"/>
    <n v="0"/>
    <n v="65"/>
    <n v="0"/>
    <n v="0"/>
    <n v="120"/>
    <n v="0"/>
    <n v="0"/>
    <n v="44.8"/>
    <n v="0"/>
    <n v="0"/>
    <n v="435.3"/>
    <n v="0"/>
    <n v="0"/>
    <s v="JODHPUR"/>
    <s v="JODHPUR"/>
    <s v="RJ-JODHPUR"/>
    <d v="2015-07-15T00:00:00"/>
  </r>
  <r>
    <s v="804220170775"/>
    <x v="1206"/>
    <s v="BHATI JK CEMENT"/>
    <n v="170775"/>
    <s v="GANPAT LAL MAROTHIYA AND SONS"/>
    <n v="45"/>
    <n v="0"/>
    <n v="0"/>
    <n v="80"/>
    <n v="0"/>
    <n v="0"/>
    <n v="114"/>
    <n v="0"/>
    <n v="0"/>
    <n v="122"/>
    <n v="0"/>
    <n v="0"/>
    <n v="45"/>
    <n v="0"/>
    <n v="0"/>
    <n v="125"/>
    <n v="15"/>
    <n v="0"/>
    <n v="45"/>
    <n v="0"/>
    <n v="0"/>
    <n v="95"/>
    <n v="15"/>
    <n v="0"/>
    <n v="671"/>
    <n v="15"/>
    <n v="0"/>
    <s v="JODHPUR"/>
    <s v="JODHPUR"/>
    <s v="RJ-JODHPUR"/>
    <d v="2015-08-20T00:00:00"/>
  </r>
  <r>
    <s v="804235119038"/>
    <x v="1207"/>
    <s v="RAMA SA TRADING COMPANY"/>
    <n v="119038"/>
    <s v="NAVEEN DISTRIBUTORS"/>
    <n v="20"/>
    <n v="0"/>
    <n v="0"/>
    <n v="33"/>
    <n v="0"/>
    <n v="0"/>
    <n v="34.5"/>
    <n v="0"/>
    <n v="0"/>
    <n v="20"/>
    <n v="0"/>
    <n v="0"/>
    <n v="15"/>
    <n v="0"/>
    <n v="0"/>
    <n v="0"/>
    <n v="0"/>
    <n v="0"/>
    <n v="10"/>
    <n v="0"/>
    <n v="0"/>
    <n v="20"/>
    <n v="0"/>
    <n v="0"/>
    <n v="152.5"/>
    <n v="0"/>
    <n v="0"/>
    <s v="JODHPUR"/>
    <s v="JODHPUR"/>
    <s v="RJ-JODHPUR"/>
    <d v="2015-08-26T00:00:00"/>
  </r>
  <r>
    <s v="804313119038"/>
    <x v="1208"/>
    <s v="SHRI BALAJI SANITORY &amp; HARDWAR"/>
    <n v="119038"/>
    <s v="NAVEEN DISTRIBUTORS"/>
    <n v="0"/>
    <n v="0"/>
    <n v="0"/>
    <n v="25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s v="JODHPUR"/>
    <s v="JODHPUR"/>
    <s v="RJ-JODHPUR"/>
    <d v="2015-09-25T00:00:00"/>
  </r>
  <r>
    <s v="804485119038"/>
    <x v="1209"/>
    <s v="MAHAVEER TRADERS"/>
    <n v="119038"/>
    <s v="NAVEEN DISTRIBUTORS"/>
    <n v="28"/>
    <n v="0"/>
    <n v="0"/>
    <n v="25"/>
    <n v="0"/>
    <n v="0"/>
    <n v="42"/>
    <n v="0"/>
    <n v="0"/>
    <n v="22.25"/>
    <n v="0"/>
    <n v="0"/>
    <n v="10"/>
    <n v="0"/>
    <n v="0"/>
    <n v="20"/>
    <n v="0"/>
    <n v="0"/>
    <n v="5"/>
    <n v="0"/>
    <n v="0"/>
    <n v="10"/>
    <n v="0"/>
    <n v="0"/>
    <n v="162.25"/>
    <n v="0"/>
    <n v="0"/>
    <s v="JODHPUR"/>
    <s v="JODHPUR"/>
    <s v="RJ-JODHPUR"/>
    <d v="2015-12-09T00:00:00"/>
  </r>
  <r>
    <s v="804863170775"/>
    <x v="1210"/>
    <s v="KAILASH BUILDING MATERIAL"/>
    <n v="170775"/>
    <s v="GANPAT LAL MAROTHIYA AND SON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ODHPUR"/>
    <s v="JODHPUR"/>
    <s v="RJ-JODHPUR"/>
    <d v="2016-02-26T00:00:00"/>
  </r>
  <r>
    <s v="804909170775"/>
    <x v="1211"/>
    <s v="DEV INDRA SAND STONE"/>
    <n v="170775"/>
    <s v="GANPAT LAL MAROTHIYA AND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6-03-16T00:00:00"/>
  </r>
  <r>
    <s v="804910119038"/>
    <x v="1212"/>
    <s v="BHAWANI TRADERS"/>
    <n v="119038"/>
    <s v="NAVEEN DISTRIBUTORS"/>
    <n v="65"/>
    <n v="0"/>
    <n v="0"/>
    <n v="87.5"/>
    <n v="0"/>
    <n v="0"/>
    <n v="88.5"/>
    <n v="0"/>
    <n v="5"/>
    <n v="80"/>
    <n v="0"/>
    <n v="0"/>
    <n v="69.5"/>
    <n v="0"/>
    <n v="0"/>
    <n v="40"/>
    <n v="0"/>
    <n v="0"/>
    <n v="84.8"/>
    <n v="0"/>
    <n v="0"/>
    <n v="90"/>
    <n v="0"/>
    <n v="0"/>
    <n v="605.29999999999995"/>
    <n v="0"/>
    <n v="5"/>
    <s v="JODHPUR"/>
    <s v="JODHPUR"/>
    <s v="RJ-JODHPUR"/>
    <d v="2016-03-16T00:00:00"/>
  </r>
  <r>
    <s v="804940119038"/>
    <x v="1213"/>
    <s v="SWAROOP CHAND KHIVRAJ TEWARI"/>
    <n v="119038"/>
    <s v="NAVEEN DISTRIBUTORS"/>
    <n v="0"/>
    <n v="0"/>
    <n v="0"/>
    <n v="35"/>
    <n v="0"/>
    <n v="0"/>
    <n v="0"/>
    <n v="0"/>
    <n v="0"/>
    <n v="49.5"/>
    <n v="0"/>
    <n v="0"/>
    <n v="0"/>
    <n v="0"/>
    <n v="0"/>
    <n v="0"/>
    <n v="0"/>
    <n v="0"/>
    <n v="0"/>
    <n v="0"/>
    <n v="0"/>
    <n v="0"/>
    <n v="0"/>
    <n v="0"/>
    <n v="84.5"/>
    <n v="0"/>
    <n v="0"/>
    <s v="JODHPUR"/>
    <s v="JODHPUR"/>
    <s v="RJ-JODHPUR"/>
    <d v="2016-04-05T00:00:00"/>
  </r>
  <r>
    <s v="805403119038"/>
    <x v="1214"/>
    <s v="RAJU KIRANA STORE"/>
    <n v="119038"/>
    <s v="NAVEEN DISTRIBUTORS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15"/>
    <n v="0"/>
    <n v="0"/>
    <s v="JODHPUR"/>
    <s v="JODHPUR"/>
    <s v="RJ-JODHPUR"/>
    <d v="2016-08-09T00:00:00"/>
  </r>
  <r>
    <s v="805432119038"/>
    <x v="1215"/>
    <s v="AARADHYA INDUSTRIES"/>
    <n v="119038"/>
    <s v="NAVEEN DISTRIBUTORS"/>
    <n v="0"/>
    <n v="0"/>
    <n v="0"/>
    <n v="0"/>
    <n v="0"/>
    <n v="0"/>
    <n v="0"/>
    <n v="0"/>
    <n v="0"/>
    <n v="10"/>
    <n v="0"/>
    <n v="0"/>
    <n v="5"/>
    <n v="0"/>
    <n v="5"/>
    <n v="30"/>
    <n v="0"/>
    <n v="0"/>
    <n v="0"/>
    <n v="0"/>
    <n v="0"/>
    <n v="20"/>
    <n v="0"/>
    <n v="0"/>
    <n v="65"/>
    <n v="0"/>
    <n v="5"/>
    <s v="JODHPUR"/>
    <s v="JODHPUR"/>
    <s v="RJ-JODHPUR"/>
    <d v="2016-08-18T00:00:00"/>
  </r>
  <r>
    <s v="805433119038"/>
    <x v="1216"/>
    <s v="JAIN BUILDING MATERIAL"/>
    <n v="119038"/>
    <s v="NAVEEN DISTRIBUTORS"/>
    <n v="139"/>
    <n v="0"/>
    <n v="0"/>
    <n v="113"/>
    <n v="0"/>
    <n v="0"/>
    <n v="109.5"/>
    <n v="0"/>
    <n v="0"/>
    <n v="124"/>
    <n v="0"/>
    <n v="0"/>
    <n v="95"/>
    <n v="0"/>
    <n v="0"/>
    <n v="104.3"/>
    <n v="0"/>
    <n v="0"/>
    <n v="100"/>
    <n v="0"/>
    <n v="0"/>
    <n v="125"/>
    <n v="0"/>
    <n v="0"/>
    <n v="909.8"/>
    <n v="0"/>
    <n v="0"/>
    <s v="JODHPUR"/>
    <s v="JODHPUR"/>
    <s v="RJ-JODHPUR"/>
    <d v="2016-08-18T00:00:00"/>
  </r>
  <r>
    <s v="805454119038"/>
    <x v="1217"/>
    <s v="GEHLOT AGENCIES"/>
    <n v="119038"/>
    <s v="NAVEEN DISTRIBUTORS"/>
    <n v="10"/>
    <n v="0"/>
    <n v="0"/>
    <n v="40"/>
    <n v="0"/>
    <n v="0"/>
    <n v="30"/>
    <n v="5"/>
    <n v="0"/>
    <n v="10"/>
    <n v="0"/>
    <n v="0"/>
    <n v="20"/>
    <n v="0"/>
    <n v="0"/>
    <n v="20"/>
    <n v="0"/>
    <n v="0"/>
    <n v="10"/>
    <n v="0"/>
    <n v="0"/>
    <n v="35"/>
    <n v="0"/>
    <n v="0"/>
    <n v="175"/>
    <n v="5"/>
    <n v="0"/>
    <s v="JODHPUR"/>
    <s v="JODHPUR"/>
    <s v="RJ-JODHPUR"/>
    <d v="2016-08-29T00:00:00"/>
  </r>
  <r>
    <s v="805544119038"/>
    <x v="1218"/>
    <s v="JAGDAMBA CEMENT AGENCY"/>
    <n v="119038"/>
    <s v="NAVEEN DISTRIBUTORS"/>
    <n v="35"/>
    <n v="0"/>
    <n v="0"/>
    <n v="75"/>
    <n v="0"/>
    <n v="0"/>
    <n v="70"/>
    <n v="0"/>
    <n v="0"/>
    <n v="60"/>
    <n v="0"/>
    <n v="0"/>
    <n v="39.5"/>
    <n v="0"/>
    <n v="0"/>
    <n v="145"/>
    <n v="0"/>
    <n v="0"/>
    <n v="89.8"/>
    <n v="0"/>
    <n v="0"/>
    <n v="95"/>
    <n v="0"/>
    <n v="0"/>
    <n v="609.29999999999995"/>
    <n v="0"/>
    <n v="0"/>
    <s v="JODHPUR"/>
    <s v="JODHPUR"/>
    <s v="RJ-JODHPUR"/>
    <d v="2016-09-21T00:00:00"/>
  </r>
  <r>
    <s v="805621119038"/>
    <x v="1219"/>
    <s v="PREM KIRANA STORE"/>
    <n v="119038"/>
    <s v="NAVEEN DISTRIBUTORS"/>
    <n v="20"/>
    <n v="0"/>
    <n v="0"/>
    <n v="45"/>
    <n v="0"/>
    <n v="0"/>
    <n v="50"/>
    <n v="0"/>
    <n v="0"/>
    <n v="60"/>
    <n v="0"/>
    <n v="0"/>
    <n v="15"/>
    <n v="0"/>
    <n v="0"/>
    <n v="20"/>
    <n v="0"/>
    <n v="0"/>
    <n v="10"/>
    <n v="0"/>
    <n v="0"/>
    <n v="20"/>
    <n v="0"/>
    <n v="0"/>
    <n v="240"/>
    <n v="0"/>
    <n v="0"/>
    <s v="JODHPUR"/>
    <s v="JODHPUR"/>
    <s v="RJ-JODHPUR"/>
    <d v="2016-10-10T00:00:00"/>
  </r>
  <r>
    <s v="805654119038"/>
    <x v="1220"/>
    <s v="HARI OM BUILDING MATERIAL"/>
    <n v="119038"/>
    <s v="NAVEEN DISTRIBUTORS"/>
    <n v="25"/>
    <n v="0"/>
    <n v="0"/>
    <n v="25"/>
    <n v="0"/>
    <n v="0"/>
    <n v="15"/>
    <n v="0"/>
    <n v="0"/>
    <n v="10"/>
    <n v="0"/>
    <n v="0"/>
    <n v="10"/>
    <n v="0"/>
    <n v="0"/>
    <n v="27"/>
    <n v="0"/>
    <n v="0"/>
    <n v="0"/>
    <n v="0"/>
    <n v="0"/>
    <n v="30"/>
    <n v="0"/>
    <n v="0"/>
    <n v="142"/>
    <n v="0"/>
    <n v="0"/>
    <s v="JODHPUR"/>
    <s v="JODHPUR"/>
    <s v="RJ-JODHPUR"/>
    <d v="2016-10-20T00:00:00"/>
  </r>
  <r>
    <s v="805677119038"/>
    <x v="1221"/>
    <s v="RAMA TRADERS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6-10-27T00:00:00"/>
  </r>
  <r>
    <s v="805822119038"/>
    <x v="1222"/>
    <s v="SHRI CHAMUNDA MAA TRADING"/>
    <n v="119038"/>
    <s v="NAVEEN DISTRIBUTORS"/>
    <n v="20"/>
    <n v="0"/>
    <n v="0"/>
    <n v="14"/>
    <n v="0"/>
    <n v="0"/>
    <n v="0"/>
    <n v="0"/>
    <n v="0"/>
    <n v="20"/>
    <n v="0"/>
    <n v="0"/>
    <n v="15"/>
    <n v="0"/>
    <n v="0"/>
    <n v="28.5"/>
    <n v="0"/>
    <n v="0"/>
    <n v="3"/>
    <n v="0"/>
    <n v="0"/>
    <n v="40"/>
    <n v="0"/>
    <n v="0"/>
    <n v="140.5"/>
    <n v="0"/>
    <n v="0"/>
    <s v="JODHPUR"/>
    <s v="JODHPUR"/>
    <s v="RJ-JODHPUR"/>
    <d v="2016-12-02T00:00:00"/>
  </r>
  <r>
    <s v="805921170775"/>
    <x v="1223"/>
    <s v="RAJ MARBLES"/>
    <n v="170775"/>
    <s v="GANPAT LAL MAROTHIYA AND SONS"/>
    <n v="37"/>
    <n v="0"/>
    <n v="0"/>
    <n v="95"/>
    <n v="0"/>
    <n v="0"/>
    <n v="70"/>
    <n v="0"/>
    <n v="0"/>
    <n v="55"/>
    <n v="0"/>
    <n v="0"/>
    <n v="65"/>
    <n v="10"/>
    <n v="0"/>
    <n v="30"/>
    <n v="0"/>
    <n v="0"/>
    <n v="20"/>
    <n v="0"/>
    <n v="0"/>
    <n v="45"/>
    <n v="0"/>
    <n v="0"/>
    <n v="417"/>
    <n v="10"/>
    <n v="0"/>
    <s v="JODHPUR"/>
    <s v="JODHPUR"/>
    <s v="RJ-JODHPUR"/>
    <d v="2017-01-04T00:00:00"/>
  </r>
  <r>
    <s v="806097173224"/>
    <x v="1224"/>
    <s v="VISHNU CEMENT AGENCY"/>
    <n v="173224"/>
    <s v="D.R.MARBLE &amp; SANITORY"/>
    <n v="40"/>
    <n v="0"/>
    <n v="0"/>
    <n v="16"/>
    <n v="0"/>
    <n v="0"/>
    <n v="60"/>
    <n v="0"/>
    <n v="0"/>
    <n v="15"/>
    <n v="0"/>
    <n v="0"/>
    <n v="20"/>
    <n v="0"/>
    <n v="0"/>
    <n v="10"/>
    <n v="0"/>
    <n v="0"/>
    <n v="15"/>
    <n v="0"/>
    <n v="0"/>
    <n v="15"/>
    <n v="0"/>
    <n v="0"/>
    <n v="191"/>
    <n v="0"/>
    <n v="0"/>
    <s v="JODHPUR"/>
    <s v="JODHPUR"/>
    <s v="RJ-JODHPUR"/>
    <d v="2017-02-23T00:00:00"/>
  </r>
  <r>
    <s v="806125119038"/>
    <x v="1225"/>
    <s v="DURGA CEMENT AGENCY"/>
    <n v="119038"/>
    <s v="NAVEEN DISTRIBUTORS"/>
    <n v="0"/>
    <n v="0"/>
    <n v="0"/>
    <n v="15"/>
    <n v="0"/>
    <n v="0"/>
    <n v="20"/>
    <n v="0"/>
    <n v="0"/>
    <n v="65"/>
    <n v="0"/>
    <n v="0"/>
    <n v="0"/>
    <n v="0"/>
    <n v="0"/>
    <n v="0"/>
    <n v="0"/>
    <n v="0"/>
    <n v="35"/>
    <n v="0"/>
    <n v="0"/>
    <n v="25"/>
    <n v="0"/>
    <n v="0"/>
    <n v="160"/>
    <n v="0"/>
    <n v="0"/>
    <s v="JODHPUR"/>
    <s v="JODHPUR"/>
    <s v="RJ-JODHPUR"/>
    <d v="2017-03-04T00:00:00"/>
  </r>
  <r>
    <s v="806155119038"/>
    <x v="1226"/>
    <s v="VIJAYLAXMI BUILDERS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7-03-16T00:00:00"/>
  </r>
  <r>
    <s v="806156119038"/>
    <x v="1227"/>
    <s v="SHREE BALAJI CEMENT AGENCY"/>
    <n v="119038"/>
    <s v="NAVEEN DISTRIBUTORS"/>
    <n v="45"/>
    <n v="0"/>
    <n v="0"/>
    <n v="55"/>
    <n v="0"/>
    <n v="0"/>
    <n v="33"/>
    <n v="0"/>
    <n v="0"/>
    <n v="10"/>
    <n v="0"/>
    <n v="0"/>
    <n v="35"/>
    <n v="0"/>
    <n v="0"/>
    <n v="20"/>
    <n v="0"/>
    <n v="0"/>
    <n v="35"/>
    <n v="0"/>
    <n v="0"/>
    <n v="50"/>
    <n v="0"/>
    <n v="0"/>
    <n v="283"/>
    <n v="0"/>
    <n v="0"/>
    <s v="JODHPUR"/>
    <s v="JODHPUR"/>
    <s v="RJ-JODHPUR"/>
    <d v="2017-03-16T00:00:00"/>
  </r>
  <r>
    <s v="806157119038"/>
    <x v="1228"/>
    <s v="SHRI GOGADEV BUILDING  MATERIA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7-03-16T00:00:00"/>
  </r>
  <r>
    <s v="806158119038"/>
    <x v="1229"/>
    <s v="JITENDRA BUILDING MATERIAL"/>
    <n v="119038"/>
    <s v="NAVEEN DISTRIBUTORS"/>
    <n v="54.5"/>
    <n v="0"/>
    <n v="0"/>
    <n v="49.5"/>
    <n v="0"/>
    <n v="0"/>
    <n v="40"/>
    <n v="0"/>
    <n v="0"/>
    <n v="70"/>
    <n v="0"/>
    <n v="0"/>
    <n v="7"/>
    <n v="0"/>
    <n v="0"/>
    <n v="85"/>
    <n v="0"/>
    <n v="0"/>
    <n v="15"/>
    <n v="0"/>
    <n v="0"/>
    <n v="25"/>
    <n v="0"/>
    <n v="0"/>
    <n v="346"/>
    <n v="0"/>
    <n v="0"/>
    <s v="JODHPUR"/>
    <s v="JODHPUR"/>
    <s v="RJ-JODHPUR"/>
    <d v="2017-03-16T00:00:00"/>
  </r>
  <r>
    <s v="806174119038"/>
    <x v="1230"/>
    <s v="K S BUILDING MATERIAL"/>
    <n v="119038"/>
    <s v="NAVEEN DISTRIBUTORS"/>
    <n v="35"/>
    <n v="0"/>
    <n v="0"/>
    <n v="49.5"/>
    <n v="0"/>
    <n v="0"/>
    <n v="0"/>
    <n v="0"/>
    <n v="0"/>
    <n v="25"/>
    <n v="0"/>
    <n v="0"/>
    <n v="35"/>
    <n v="0"/>
    <n v="0"/>
    <n v="29.5"/>
    <n v="0"/>
    <n v="0"/>
    <n v="10"/>
    <n v="0"/>
    <n v="0"/>
    <n v="35"/>
    <n v="0"/>
    <n v="0"/>
    <n v="219"/>
    <n v="0"/>
    <n v="0"/>
    <s v="JODHPUR"/>
    <s v="JODHPUR"/>
    <s v="RJ-JODHPUR"/>
    <d v="2017-03-22T00:00:00"/>
  </r>
  <r>
    <s v="806175178230"/>
    <x v="1231"/>
    <s v="LOONKARAN PANKAJ KUMAR SANCHET"/>
    <n v="178230"/>
    <s v="SHREE RADHEY BUILDING MATERIAL"/>
    <n v="50"/>
    <n v="0"/>
    <n v="0"/>
    <n v="20"/>
    <n v="0"/>
    <n v="0"/>
    <n v="50"/>
    <n v="0"/>
    <n v="0"/>
    <n v="20"/>
    <n v="0"/>
    <n v="0"/>
    <n v="0"/>
    <n v="0"/>
    <n v="0"/>
    <n v="15"/>
    <n v="0"/>
    <n v="0"/>
    <n v="10"/>
    <n v="0"/>
    <n v="0"/>
    <n v="0"/>
    <n v="0"/>
    <n v="0"/>
    <n v="165"/>
    <n v="0"/>
    <n v="0"/>
    <s v="JODHPUR"/>
    <s v="JODHPUR"/>
    <s v="RJ-JODHPUR"/>
    <d v="2017-03-22T00:00:00"/>
  </r>
  <r>
    <s v="806210170775"/>
    <x v="1232"/>
    <s v="SHRI CHAMUNDA KIRANA STORE"/>
    <n v="170775"/>
    <s v="GANPAT LAL MAROTHIYA AND SONS"/>
    <n v="25"/>
    <n v="0"/>
    <n v="0"/>
    <n v="50"/>
    <n v="0"/>
    <n v="0"/>
    <n v="30"/>
    <n v="0"/>
    <n v="0"/>
    <n v="40"/>
    <n v="0"/>
    <n v="0"/>
    <n v="0"/>
    <n v="0"/>
    <n v="0"/>
    <n v="25"/>
    <n v="0"/>
    <n v="0"/>
    <n v="0"/>
    <n v="0"/>
    <n v="0"/>
    <n v="45"/>
    <n v="0"/>
    <n v="0"/>
    <n v="215"/>
    <n v="0"/>
    <n v="0"/>
    <s v="JODHPUR"/>
    <s v="JODHPUR"/>
    <s v="RJ-JODHPUR"/>
    <d v="2017-04-03T00:00:00"/>
  </r>
  <r>
    <s v="806283119038"/>
    <x v="1233"/>
    <s v="JAI JASOL MAA BUILDING MATERIA"/>
    <n v="119038"/>
    <s v="NAVEEN DISTRIBUTORS"/>
    <n v="0"/>
    <n v="0"/>
    <n v="0"/>
    <n v="20"/>
    <n v="0"/>
    <n v="0"/>
    <n v="12.5"/>
    <n v="0"/>
    <n v="0"/>
    <n v="0"/>
    <n v="0"/>
    <n v="0"/>
    <n v="4.5"/>
    <n v="0"/>
    <n v="0"/>
    <n v="0"/>
    <n v="0"/>
    <n v="0"/>
    <n v="0"/>
    <n v="0"/>
    <n v="0"/>
    <n v="44.8"/>
    <n v="0"/>
    <n v="0"/>
    <n v="81.8"/>
    <n v="0"/>
    <n v="0"/>
    <s v="JODHPUR"/>
    <s v="JODHPUR"/>
    <s v="RJ-JODHPUR"/>
    <d v="2017-04-26T00:00:00"/>
  </r>
  <r>
    <s v="806288119038"/>
    <x v="1234"/>
    <s v="JAMBESHWAR KIRANA &amp; CEMENT AGE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7-04-27T00:00:00"/>
  </r>
  <r>
    <s v="806400119038"/>
    <x v="1235"/>
    <s v="JAWAHARMAL CHANDANMAL KHATRI"/>
    <n v="119038"/>
    <s v="NAVEEN DISTRIBUTORS"/>
    <n v="35"/>
    <n v="0"/>
    <n v="0"/>
    <n v="10"/>
    <n v="0"/>
    <n v="0"/>
    <n v="45"/>
    <n v="0"/>
    <n v="0"/>
    <n v="30"/>
    <n v="0"/>
    <n v="0"/>
    <n v="0"/>
    <n v="0"/>
    <n v="0"/>
    <n v="25"/>
    <n v="0"/>
    <n v="0"/>
    <n v="30"/>
    <n v="0"/>
    <n v="0"/>
    <n v="25"/>
    <n v="0"/>
    <n v="0"/>
    <n v="200"/>
    <n v="0"/>
    <n v="0"/>
    <s v="JODHPUR"/>
    <s v="JODHPUR"/>
    <s v="RJ-JODHPUR"/>
    <d v="2017-05-27T00:00:00"/>
  </r>
  <r>
    <s v="806401119038"/>
    <x v="1236"/>
    <s v="LALIT CEMENT AGENCY"/>
    <n v="119038"/>
    <s v="NAVEEN DISTRIBUTORS"/>
    <n v="134"/>
    <n v="0"/>
    <n v="0"/>
    <n v="70"/>
    <n v="0"/>
    <n v="0"/>
    <n v="82.5"/>
    <n v="0"/>
    <n v="0"/>
    <n v="115"/>
    <n v="0"/>
    <n v="0"/>
    <n v="35"/>
    <n v="0"/>
    <n v="0"/>
    <n v="110"/>
    <n v="0"/>
    <n v="0"/>
    <n v="60"/>
    <n v="0"/>
    <n v="0"/>
    <n v="80"/>
    <n v="0"/>
    <n v="0"/>
    <n v="686.5"/>
    <n v="0"/>
    <n v="0"/>
    <s v="JODHPUR"/>
    <s v="JODHPUR"/>
    <s v="RJ-JODHPUR"/>
    <d v="2017-05-27T00:00:00"/>
  </r>
  <r>
    <s v="806468119038"/>
    <x v="1237"/>
    <s v="JAMBHESHWAR KIRANA STORE"/>
    <n v="119038"/>
    <s v="NAVEEN DISTRIBUTORS"/>
    <n v="74"/>
    <n v="0"/>
    <n v="0"/>
    <n v="20"/>
    <n v="0"/>
    <n v="0"/>
    <n v="40"/>
    <n v="0"/>
    <n v="0"/>
    <n v="45"/>
    <n v="35"/>
    <n v="0"/>
    <n v="0"/>
    <n v="0"/>
    <n v="0"/>
    <n v="0"/>
    <n v="0"/>
    <n v="0"/>
    <n v="0"/>
    <n v="0"/>
    <n v="0"/>
    <n v="0"/>
    <n v="0"/>
    <n v="0"/>
    <n v="179"/>
    <n v="35"/>
    <n v="0"/>
    <s v="JODHPUR"/>
    <s v="JODHPUR"/>
    <s v="RJ-JODHPUR"/>
    <d v="2017-06-16T00:00:00"/>
  </r>
  <r>
    <s v="806469119038"/>
    <x v="1238"/>
    <s v="SHRI BALAJI BUILDING MATERIAL"/>
    <n v="119038"/>
    <s v="NAVEEN DISTRIBUTORS"/>
    <n v="20"/>
    <n v="0"/>
    <n v="0"/>
    <n v="20"/>
    <n v="0"/>
    <n v="0"/>
    <n v="75"/>
    <n v="0"/>
    <n v="0"/>
    <n v="15"/>
    <n v="0"/>
    <n v="0"/>
    <n v="34.5"/>
    <n v="0"/>
    <n v="0"/>
    <n v="7.5"/>
    <n v="0"/>
    <n v="0"/>
    <n v="0"/>
    <n v="0"/>
    <n v="0"/>
    <n v="50"/>
    <n v="0"/>
    <n v="0"/>
    <n v="222"/>
    <n v="0"/>
    <n v="0"/>
    <s v="JODHPUR"/>
    <s v="JODHPUR"/>
    <s v="RJ-JODHPUR"/>
    <d v="2017-06-16T00:00:00"/>
  </r>
  <r>
    <s v="806474119038"/>
    <x v="1239"/>
    <s v="SHIV BHOLE SHANKAR BUILDING MA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7-06-16T00:00:00"/>
  </r>
  <r>
    <s v="806565119038"/>
    <x v="1240"/>
    <s v="CHAMPA LAL PARIHAR"/>
    <n v="119038"/>
    <s v="NAVEEN DISTRIBUTORS"/>
    <n v="5"/>
    <n v="0"/>
    <n v="0"/>
    <n v="34.5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64.5"/>
    <n v="0"/>
    <n v="0"/>
    <s v="JODHPUR"/>
    <s v="JODHPUR"/>
    <s v="RJ-JODHPUR"/>
    <d v="2017-07-10T00:00:00"/>
  </r>
  <r>
    <s v="806830119038"/>
    <x v="1241"/>
    <s v="SHREE BHOMIA JI BUILDING MATER"/>
    <n v="119038"/>
    <s v="NAVEEN DISTRIBUTORS"/>
    <n v="17"/>
    <n v="0"/>
    <n v="0"/>
    <n v="24"/>
    <n v="0"/>
    <n v="0"/>
    <n v="0"/>
    <n v="0"/>
    <n v="0"/>
    <n v="10"/>
    <n v="0"/>
    <n v="0"/>
    <n v="35"/>
    <n v="0"/>
    <n v="0"/>
    <n v="15"/>
    <n v="0"/>
    <n v="0"/>
    <n v="0"/>
    <n v="0"/>
    <n v="0"/>
    <n v="10"/>
    <n v="0"/>
    <n v="0"/>
    <n v="111"/>
    <n v="0"/>
    <n v="0"/>
    <s v="JODHPUR"/>
    <s v="JODHPUR"/>
    <s v="RJ-JODHPUR"/>
    <d v="2017-09-02T00:00:00"/>
  </r>
  <r>
    <s v="806863119038"/>
    <x v="1242"/>
    <s v="HARI TRADERS"/>
    <n v="119038"/>
    <s v="NAVEEN DISTRIBUTORS"/>
    <n v="28.5"/>
    <n v="35"/>
    <n v="0"/>
    <n v="122"/>
    <n v="0"/>
    <n v="0"/>
    <n v="81.25"/>
    <n v="22.5"/>
    <n v="6.5"/>
    <n v="77.75"/>
    <n v="0"/>
    <n v="10"/>
    <n v="85"/>
    <n v="0"/>
    <n v="16"/>
    <n v="140"/>
    <n v="10"/>
    <n v="15"/>
    <n v="202.5"/>
    <n v="14.5"/>
    <n v="13"/>
    <n v="81.5"/>
    <n v="5"/>
    <n v="6.5"/>
    <n v="818.5"/>
    <n v="82"/>
    <n v="60.5"/>
    <s v="JODHPUR"/>
    <s v="JODHPUR"/>
    <s v="RJ-JODHPUR"/>
    <d v="2017-09-07T00:00:00"/>
  </r>
  <r>
    <s v="807105172338"/>
    <x v="1243"/>
    <s v="VISHNU TRADING COMPANY"/>
    <n v="172338"/>
    <s v="KHILJEE BUILDING MATERIAL"/>
    <n v="0"/>
    <n v="0"/>
    <n v="0"/>
    <n v="10"/>
    <n v="0"/>
    <n v="0"/>
    <n v="5"/>
    <n v="0"/>
    <n v="0"/>
    <n v="0"/>
    <n v="0"/>
    <n v="0"/>
    <n v="25"/>
    <n v="0"/>
    <n v="0"/>
    <n v="0"/>
    <n v="0"/>
    <n v="0"/>
    <n v="10"/>
    <n v="0"/>
    <n v="0"/>
    <n v="40"/>
    <n v="15"/>
    <n v="0"/>
    <n v="90"/>
    <n v="0"/>
    <n v="0"/>
    <s v="JODHPUR"/>
    <s v="JODHPUR"/>
    <s v="RJ-JODHPUR"/>
    <d v="2018-10-26T00:00:00"/>
  </r>
  <r>
    <s v="807112119038"/>
    <x v="1244"/>
    <s v="AJEET SINGH RANJIT SINGH CHOUH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8-10-27T00:00:00"/>
  </r>
  <r>
    <s v="807113119038"/>
    <x v="1245"/>
    <s v="BABA RAMDEV BUILDING MATERIAL"/>
    <n v="119038"/>
    <s v="NAVEEN DISTRIBUTORS"/>
    <n v="20"/>
    <n v="0"/>
    <n v="0"/>
    <n v="4"/>
    <n v="0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44"/>
    <n v="0"/>
    <n v="0"/>
    <s v="JODHPUR"/>
    <s v="JODHPUR"/>
    <s v="RJ-JODHPUR"/>
    <d v="2018-10-27T00:00:00"/>
  </r>
  <r>
    <s v="807577119038"/>
    <x v="1246"/>
    <s v="SHRI RAM HARDWARE AND BUILDING"/>
    <n v="119038"/>
    <s v="NAVEEN DISTRIBUTORS"/>
    <n v="0"/>
    <n v="0"/>
    <n v="0"/>
    <n v="0"/>
    <n v="0"/>
    <n v="0"/>
    <n v="17.5"/>
    <n v="0"/>
    <n v="0"/>
    <n v="30"/>
    <n v="0"/>
    <n v="0"/>
    <n v="0"/>
    <n v="0"/>
    <n v="0"/>
    <n v="30"/>
    <n v="0"/>
    <n v="0"/>
    <n v="0"/>
    <n v="0"/>
    <n v="0"/>
    <n v="10"/>
    <n v="0"/>
    <n v="0"/>
    <n v="87.5"/>
    <n v="0"/>
    <n v="0"/>
    <s v="JODHPUR"/>
    <s v="JODHPUR"/>
    <s v="RJ-JODHPUR"/>
    <d v="2017-11-27T00:00:00"/>
  </r>
  <r>
    <s v="807601119038"/>
    <x v="1247"/>
    <s v="LAXMI TRADERS"/>
    <n v="119038"/>
    <s v="NAVEEN DISTRIBUTORS"/>
    <n v="10"/>
    <n v="0"/>
    <n v="0"/>
    <n v="41"/>
    <n v="0"/>
    <n v="0"/>
    <n v="30"/>
    <n v="0"/>
    <n v="0"/>
    <n v="50"/>
    <n v="0"/>
    <n v="0"/>
    <n v="20"/>
    <n v="0"/>
    <n v="0"/>
    <n v="15"/>
    <n v="0"/>
    <n v="0"/>
    <n v="44.6"/>
    <n v="0"/>
    <n v="0"/>
    <n v="0"/>
    <n v="0"/>
    <n v="0"/>
    <n v="210.6"/>
    <n v="0"/>
    <n v="0"/>
    <s v="JODHPUR"/>
    <s v="JODHPUR"/>
    <s v="RJ-JODHPUR"/>
    <d v="2017-12-07T00:00:00"/>
  </r>
  <r>
    <s v="807609119038"/>
    <x v="1248"/>
    <s v="SHRI RAMDEV CONSTRUCTION COMPA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7-12-12T00:00:00"/>
  </r>
  <r>
    <s v="807629119038"/>
    <x v="1249"/>
    <s v="DILIP TRADING COMPANY"/>
    <n v="119038"/>
    <s v="NAVEEN DISTRIBUTORS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20"/>
    <n v="0"/>
    <n v="0"/>
    <s v="JODHPUR"/>
    <s v="JODHPUR"/>
    <s v="RJ-JODHPUR"/>
    <d v="2017-12-22T00:00:00"/>
  </r>
  <r>
    <s v="807643119038"/>
    <x v="1250"/>
    <s v="VISHNU BUILDING MATERIAL"/>
    <n v="119038"/>
    <s v="NAVEEN DISTRIBUTORS"/>
    <n v="30"/>
    <n v="0"/>
    <n v="0"/>
    <n v="0"/>
    <n v="0"/>
    <n v="0"/>
    <n v="45"/>
    <n v="5"/>
    <n v="10"/>
    <n v="48.2"/>
    <n v="0"/>
    <n v="0"/>
    <n v="0"/>
    <n v="0"/>
    <n v="0"/>
    <n v="15"/>
    <n v="0"/>
    <n v="0"/>
    <n v="35"/>
    <n v="0"/>
    <n v="0"/>
    <n v="15"/>
    <n v="0"/>
    <n v="0"/>
    <n v="188.2"/>
    <n v="5"/>
    <n v="10"/>
    <s v="JODHPUR"/>
    <s v="JODHPUR"/>
    <s v="RJ-JODHPUR"/>
    <d v="2017-12-23T00:00:00"/>
  </r>
  <r>
    <s v="807647172892"/>
    <x v="1251"/>
    <s v="MAHADEV J.K. CEMENT"/>
    <n v="172892"/>
    <s v="SHRIYAADE SANITERY &amp; BUILDING"/>
    <n v="0"/>
    <n v="0"/>
    <n v="0"/>
    <n v="0"/>
    <n v="0"/>
    <n v="0"/>
    <n v="50"/>
    <n v="0"/>
    <n v="0"/>
    <n v="40"/>
    <n v="0"/>
    <n v="0"/>
    <n v="25"/>
    <n v="0"/>
    <n v="0"/>
    <n v="100"/>
    <n v="0"/>
    <n v="0"/>
    <n v="40"/>
    <n v="0"/>
    <n v="0"/>
    <n v="50"/>
    <n v="0"/>
    <n v="0"/>
    <n v="305"/>
    <n v="0"/>
    <n v="0"/>
    <s v="JODHPUR"/>
    <s v="JODHPUR"/>
    <s v="RJ-JODHPUR"/>
    <d v="2017-12-25T00:00:00"/>
  </r>
  <r>
    <s v="807648119038"/>
    <x v="1252"/>
    <s v="BALAJI KIRANA &amp; CEMENT VIKRETA"/>
    <n v="119038"/>
    <s v="NAVEEN DISTRIBUTORS"/>
    <n v="0"/>
    <n v="0"/>
    <n v="0"/>
    <n v="0"/>
    <n v="0"/>
    <n v="0"/>
    <n v="0"/>
    <n v="0"/>
    <n v="0"/>
    <n v="54"/>
    <n v="0"/>
    <n v="0"/>
    <n v="49"/>
    <n v="0"/>
    <n v="0"/>
    <n v="45"/>
    <n v="0"/>
    <n v="0"/>
    <n v="0"/>
    <n v="0"/>
    <n v="0"/>
    <n v="84.399999999999991"/>
    <n v="0"/>
    <n v="0"/>
    <n v="232.39999999999998"/>
    <n v="0"/>
    <n v="0"/>
    <s v="JODHPUR"/>
    <s v="JODHPUR"/>
    <s v="RJ-JODHPUR"/>
    <d v="2017-12-25T00:00:00"/>
  </r>
  <r>
    <s v="807680119038"/>
    <x v="1253"/>
    <s v="MAHADEV BUILDING MATERIAL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35"/>
    <n v="0"/>
    <n v="0"/>
    <n v="0"/>
    <n v="0"/>
    <n v="0"/>
    <n v="45"/>
    <n v="0"/>
    <n v="0"/>
    <s v="JODHPUR"/>
    <s v="JODHPUR"/>
    <s v="RJ-JODHPUR"/>
    <d v="2017-12-30T00:00:00"/>
  </r>
  <r>
    <s v="807702173224"/>
    <x v="1254"/>
    <s v="MAJISA CEMENT AGENCY"/>
    <n v="173224"/>
    <s v="D.R.MARBLE &amp; SANITORY"/>
    <n v="20"/>
    <n v="0"/>
    <n v="0"/>
    <n v="10"/>
    <n v="0"/>
    <n v="0"/>
    <n v="100"/>
    <n v="0"/>
    <n v="0"/>
    <n v="60"/>
    <n v="0"/>
    <n v="0"/>
    <n v="50"/>
    <n v="0"/>
    <n v="0"/>
    <n v="17.5"/>
    <n v="0"/>
    <n v="0"/>
    <n v="25"/>
    <n v="0"/>
    <n v="0"/>
    <n v="65"/>
    <n v="0"/>
    <n v="0"/>
    <n v="347.5"/>
    <n v="0"/>
    <n v="0"/>
    <s v="JODHPUR"/>
    <s v="JODHPUR"/>
    <s v="RJ-JODHPUR"/>
    <d v="2018-10-18T00:00:00"/>
  </r>
  <r>
    <s v="807815170775"/>
    <x v="1255"/>
    <s v="BHAGWAN KIRANA STORE"/>
    <n v="170775"/>
    <s v="GANPAT LAL MAROTHIYA AND SONS"/>
    <n v="10"/>
    <n v="0"/>
    <n v="0"/>
    <n v="20"/>
    <n v="0"/>
    <n v="0"/>
    <n v="35"/>
    <n v="0"/>
    <n v="0"/>
    <n v="40"/>
    <n v="0"/>
    <n v="0"/>
    <n v="30"/>
    <n v="0"/>
    <n v="0"/>
    <n v="30"/>
    <n v="0"/>
    <n v="0"/>
    <n v="20"/>
    <n v="10"/>
    <n v="0"/>
    <n v="40"/>
    <n v="0"/>
    <n v="0"/>
    <n v="225"/>
    <n v="10"/>
    <n v="0"/>
    <s v="JODHPUR"/>
    <s v="JODHPUR"/>
    <s v="RJ-JODHPUR"/>
    <d v="2019-01-29T00:00:00"/>
  </r>
  <r>
    <s v="807817170775"/>
    <x v="1256"/>
    <s v="BALAJI CEMENT AGENCY"/>
    <n v="170775"/>
    <s v="GANPAT LAL MAROTHIYA AND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9-01-29T00:00:00"/>
  </r>
  <r>
    <s v="807819170775"/>
    <x v="1257"/>
    <s v="GANGA ELECTRONIC HARDWARE AND"/>
    <n v="170775"/>
    <s v="GANPAT LAL MAROTHIYA AND SONS"/>
    <n v="20"/>
    <n v="0"/>
    <n v="0"/>
    <n v="15"/>
    <n v="0"/>
    <n v="0"/>
    <n v="10"/>
    <n v="0"/>
    <n v="0"/>
    <n v="10"/>
    <n v="0"/>
    <n v="0"/>
    <n v="15"/>
    <n v="0"/>
    <n v="0"/>
    <n v="55"/>
    <n v="0"/>
    <n v="0"/>
    <n v="50"/>
    <n v="0"/>
    <n v="0"/>
    <n v="60"/>
    <n v="15"/>
    <n v="0"/>
    <n v="235"/>
    <n v="0"/>
    <n v="0"/>
    <s v="JODHPUR"/>
    <s v="JODHPUR"/>
    <s v="RJ-JODHPUR"/>
    <d v="2019-01-29T00:00:00"/>
  </r>
  <r>
    <s v="807861172855"/>
    <x v="1258"/>
    <s v="RAWAL MAL RATI"/>
    <n v="172855"/>
    <s v="BALAJI CEMENT AGENCY"/>
    <n v="25"/>
    <n v="0"/>
    <n v="0"/>
    <n v="50"/>
    <n v="0"/>
    <n v="0"/>
    <n v="65"/>
    <n v="0"/>
    <n v="0"/>
    <n v="40"/>
    <n v="0"/>
    <n v="0"/>
    <n v="30"/>
    <n v="0"/>
    <n v="0"/>
    <n v="55"/>
    <n v="0"/>
    <n v="0"/>
    <n v="25"/>
    <n v="0"/>
    <n v="0"/>
    <n v="45"/>
    <n v="0"/>
    <n v="0"/>
    <n v="335"/>
    <n v="0"/>
    <n v="0"/>
    <s v="JODHPUR"/>
    <s v="JODHPUR"/>
    <s v="RJ-JODHPUR"/>
    <d v="2019-02-01T00:00:00"/>
  </r>
  <r>
    <s v="807862172338"/>
    <x v="1259"/>
    <s v="MAHADEV HARDWARE ELECTRICALS &amp;"/>
    <n v="172338"/>
    <s v="KHILJEE BUILDING MATERIAL"/>
    <n v="30"/>
    <n v="0"/>
    <n v="0"/>
    <n v="10"/>
    <n v="0"/>
    <n v="0"/>
    <n v="60"/>
    <n v="0"/>
    <n v="0"/>
    <n v="30"/>
    <n v="0"/>
    <n v="0"/>
    <n v="110"/>
    <n v="0"/>
    <n v="0"/>
    <n v="35"/>
    <n v="0"/>
    <n v="0"/>
    <n v="0"/>
    <n v="0"/>
    <n v="0"/>
    <n v="66"/>
    <n v="0"/>
    <n v="0"/>
    <n v="341"/>
    <n v="0"/>
    <n v="0"/>
    <s v="JODHPUR"/>
    <s v="JODHPUR"/>
    <s v="RJ-JODHPUR"/>
    <d v="2019-02-01T00:00:00"/>
  </r>
  <r>
    <s v="807863172338"/>
    <x v="1260"/>
    <s v="MAA CHAMUNDA CEMENT AGENCY"/>
    <n v="172338"/>
    <s v="KHILJEE BUILDING MATERIAL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5"/>
    <n v="0"/>
    <n v="0"/>
    <s v="JODHPUR"/>
    <s v="JODHPUR"/>
    <s v="RJ-JODHPUR"/>
    <d v="2019-02-01T00:00:00"/>
  </r>
  <r>
    <s v="807864172338"/>
    <x v="1261"/>
    <s v="SHRI MAJISA TRADING COMPANY"/>
    <n v="172338"/>
    <s v="KHILJEE BUILDING MATERIAL"/>
    <n v="15"/>
    <n v="0"/>
    <n v="0"/>
    <n v="18.5"/>
    <n v="0"/>
    <n v="0"/>
    <n v="85"/>
    <n v="0"/>
    <n v="0"/>
    <n v="50"/>
    <n v="0"/>
    <n v="0"/>
    <n v="10"/>
    <n v="0"/>
    <n v="0"/>
    <n v="15"/>
    <n v="0"/>
    <n v="0"/>
    <n v="35"/>
    <n v="0"/>
    <n v="0"/>
    <n v="15"/>
    <n v="0"/>
    <n v="0"/>
    <n v="243.5"/>
    <n v="0"/>
    <n v="0"/>
    <s v="JODHPUR"/>
    <s v="JODHPUR"/>
    <s v="RJ-JODHPUR"/>
    <d v="2019-02-01T00:00:00"/>
  </r>
  <r>
    <s v="807865172855"/>
    <x v="1262"/>
    <s v="JAI KALKA HARDWARE"/>
    <n v="172855"/>
    <s v="BALAJI CEMENT AGENCY"/>
    <n v="35"/>
    <n v="0"/>
    <n v="0"/>
    <n v="30"/>
    <n v="0"/>
    <n v="0"/>
    <n v="65"/>
    <n v="0"/>
    <n v="0"/>
    <n v="30"/>
    <n v="0"/>
    <n v="0"/>
    <n v="25"/>
    <n v="0"/>
    <n v="0"/>
    <n v="90"/>
    <n v="0"/>
    <n v="0"/>
    <n v="0"/>
    <n v="0"/>
    <n v="0"/>
    <n v="70"/>
    <n v="0"/>
    <n v="0"/>
    <n v="345"/>
    <n v="0"/>
    <n v="0"/>
    <s v="JODHPUR"/>
    <s v="JODHPUR"/>
    <s v="RJ-JODHPUR"/>
    <d v="2019-02-01T00:00:00"/>
  </r>
  <r>
    <s v="807884172338"/>
    <x v="1263"/>
    <s v="G. R. KIRANA STORE"/>
    <n v="172338"/>
    <s v="KHILJEE BUILDING MATERIAL"/>
    <n v="10"/>
    <n v="0"/>
    <n v="0"/>
    <n v="30"/>
    <n v="0"/>
    <n v="0"/>
    <n v="102.5"/>
    <n v="0"/>
    <n v="10"/>
    <n v="55"/>
    <n v="0"/>
    <n v="0"/>
    <n v="50"/>
    <n v="10"/>
    <n v="0"/>
    <n v="70"/>
    <n v="0"/>
    <n v="0"/>
    <n v="50"/>
    <n v="15"/>
    <n v="0"/>
    <n v="100"/>
    <n v="15"/>
    <n v="0"/>
    <n v="467.5"/>
    <n v="25"/>
    <n v="10"/>
    <s v="JODHPUR"/>
    <s v="JODHPUR"/>
    <s v="RJ-JODHPUR"/>
    <d v="2018-01-09T00:00:00"/>
  </r>
  <r>
    <s v="807885172338"/>
    <x v="1264"/>
    <s v="HANUMANA RAM CHOUDHARY"/>
    <n v="172338"/>
    <s v="KHILJEE BUILDING MATERIAL"/>
    <n v="15"/>
    <n v="0"/>
    <n v="0"/>
    <n v="80"/>
    <n v="0"/>
    <n v="0"/>
    <n v="120"/>
    <n v="0"/>
    <n v="10"/>
    <n v="85"/>
    <n v="0"/>
    <n v="0"/>
    <n v="30"/>
    <n v="0"/>
    <n v="0"/>
    <n v="65"/>
    <n v="20"/>
    <n v="0"/>
    <n v="70"/>
    <n v="0"/>
    <n v="0"/>
    <n v="45"/>
    <n v="0"/>
    <n v="0"/>
    <n v="510"/>
    <n v="20"/>
    <n v="10"/>
    <s v="JODHPUR"/>
    <s v="JODHPUR"/>
    <s v="RJ-JODHPUR"/>
    <d v="2018-01-09T00:00:00"/>
  </r>
  <r>
    <s v="807886172338"/>
    <x v="1265"/>
    <s v="BHOMIYAJI TRADERS"/>
    <n v="172338"/>
    <s v="KHILJEE BUILDING MATERIAL"/>
    <n v="20"/>
    <n v="0"/>
    <n v="0"/>
    <n v="0"/>
    <n v="0"/>
    <n v="0"/>
    <n v="25"/>
    <n v="0"/>
    <n v="0"/>
    <n v="0"/>
    <n v="0"/>
    <n v="0"/>
    <n v="20"/>
    <n v="0"/>
    <n v="0"/>
    <n v="15"/>
    <n v="0"/>
    <n v="0"/>
    <n v="0"/>
    <n v="0"/>
    <n v="0"/>
    <n v="40"/>
    <n v="20"/>
    <n v="0"/>
    <n v="120"/>
    <n v="0"/>
    <n v="0"/>
    <s v="JODHPUR"/>
    <s v="JODHPUR"/>
    <s v="RJ-JODHPUR"/>
    <d v="2018-01-09T00:00:00"/>
  </r>
  <r>
    <s v="807908119038"/>
    <x v="1266"/>
    <s v="KISHAN BUILDING MATERIAL"/>
    <n v="119038"/>
    <s v="NAVEEN DISTRIBUTORS"/>
    <n v="0"/>
    <n v="0"/>
    <n v="0"/>
    <n v="10"/>
    <n v="0"/>
    <n v="0"/>
    <n v="0"/>
    <n v="0"/>
    <n v="0"/>
    <n v="5"/>
    <n v="0"/>
    <n v="0"/>
    <n v="0"/>
    <n v="0"/>
    <n v="0"/>
    <n v="10"/>
    <n v="0"/>
    <n v="0"/>
    <n v="25"/>
    <n v="0"/>
    <n v="0"/>
    <n v="7.5"/>
    <n v="0"/>
    <n v="0"/>
    <n v="57.5"/>
    <n v="0"/>
    <n v="0"/>
    <s v="JODHPUR"/>
    <s v="JODHPUR"/>
    <s v="RJ-JODHPUR"/>
    <d v="2018-01-18T00:00:00"/>
  </r>
  <r>
    <s v="807931119038"/>
    <x v="1267"/>
    <s v="ASHAPURA BUILDING MATERIAL"/>
    <n v="119038"/>
    <s v="NAVEEN DISTRIBUTORS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20"/>
    <n v="0"/>
    <n v="0"/>
    <s v="JODHPUR"/>
    <s v="JODHPUR"/>
    <s v="RJ-JODHPUR"/>
    <d v="2018-01-23T00:00:00"/>
  </r>
  <r>
    <s v="807940119038"/>
    <x v="1268"/>
    <s v="PURAN KIRANA STORE"/>
    <n v="119038"/>
    <s v="NAVEEN DISTRIBUTORS"/>
    <n v="0"/>
    <n v="0"/>
    <n v="0"/>
    <n v="1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20"/>
    <n v="0"/>
    <n v="0"/>
    <s v="JODHPUR"/>
    <s v="JODHPUR"/>
    <s v="RJ-JODHPUR"/>
    <d v="2018-01-25T00:00:00"/>
  </r>
  <r>
    <s v="807956172338"/>
    <x v="1269"/>
    <s v="KHILJI BARTAN AND HADWARE"/>
    <n v="172338"/>
    <s v="KHILJEE BUILDING MATERIAL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JODHPUR"/>
    <s v="JODHPUR"/>
    <s v="RJ-JODHPUR"/>
    <d v="2018-01-31T00:00:00"/>
  </r>
  <r>
    <s v="807958172338"/>
    <x v="1270"/>
    <s v="ARVIND KIRANA &amp; GENERAL STORE"/>
    <n v="172338"/>
    <s v="KHILJEE BUILDING MATERIAL"/>
    <n v="15"/>
    <n v="0"/>
    <n v="0"/>
    <n v="20"/>
    <n v="0"/>
    <n v="0"/>
    <n v="0"/>
    <n v="0"/>
    <n v="0"/>
    <n v="0"/>
    <n v="0"/>
    <n v="0"/>
    <n v="0"/>
    <n v="0"/>
    <n v="0"/>
    <n v="0"/>
    <n v="0"/>
    <n v="0"/>
    <n v="10"/>
    <n v="0"/>
    <n v="0"/>
    <n v="20"/>
    <n v="0"/>
    <n v="0"/>
    <n v="65"/>
    <n v="0"/>
    <n v="0"/>
    <s v="JODHPUR"/>
    <s v="JODHPUR"/>
    <s v="RJ-JODHPUR"/>
    <d v="2018-01-31T00:00:00"/>
  </r>
  <r>
    <s v="807998119038"/>
    <x v="1271"/>
    <s v="CHHAGANA RAM AND SONS"/>
    <n v="119038"/>
    <s v="NAVEEN DISTRIBUTORS"/>
    <n v="14.5"/>
    <n v="0"/>
    <n v="0"/>
    <n v="15"/>
    <n v="0"/>
    <n v="0"/>
    <n v="0"/>
    <n v="0"/>
    <n v="0"/>
    <n v="14.5"/>
    <n v="0"/>
    <n v="0"/>
    <n v="0"/>
    <n v="0"/>
    <n v="0"/>
    <n v="0"/>
    <n v="0"/>
    <n v="0"/>
    <n v="0"/>
    <n v="0"/>
    <n v="0"/>
    <n v="0"/>
    <n v="0"/>
    <n v="0"/>
    <n v="44"/>
    <n v="0"/>
    <n v="0"/>
    <s v="JODHPUR"/>
    <s v="JODHPUR"/>
    <s v="RJ-JODHPUR"/>
    <d v="2018-02-10T00:00:00"/>
  </r>
  <r>
    <s v="808151172338"/>
    <x v="1272"/>
    <s v="SHRI KHETESHWAR BUILDING MATER"/>
    <n v="172338"/>
    <s v="KHILJEE BUILDING MATERIAL"/>
    <n v="20"/>
    <n v="0"/>
    <n v="0"/>
    <n v="25"/>
    <n v="0"/>
    <n v="0"/>
    <n v="105"/>
    <n v="0"/>
    <n v="0"/>
    <n v="35"/>
    <n v="0"/>
    <n v="0"/>
    <n v="15"/>
    <n v="15"/>
    <n v="0"/>
    <n v="25"/>
    <n v="0"/>
    <n v="0"/>
    <n v="25"/>
    <n v="0"/>
    <n v="0"/>
    <n v="70"/>
    <n v="0"/>
    <n v="0"/>
    <n v="320"/>
    <n v="15"/>
    <n v="0"/>
    <s v="JODHPUR"/>
    <s v="JODHPUR"/>
    <s v="RJ-JODHPUR"/>
    <d v="2018-03-22T00:00:00"/>
  </r>
  <r>
    <s v="808206172338"/>
    <x v="1273"/>
    <s v="NAGANARAI BUILDING MATERIAL"/>
    <n v="172338"/>
    <s v="KHILJEE BUILDING MATERIAL"/>
    <n v="25"/>
    <n v="0"/>
    <n v="0"/>
    <n v="20"/>
    <n v="0"/>
    <n v="0"/>
    <n v="40"/>
    <n v="0"/>
    <n v="0"/>
    <n v="30"/>
    <n v="0"/>
    <n v="0"/>
    <n v="40"/>
    <n v="0"/>
    <n v="0"/>
    <n v="10"/>
    <n v="10"/>
    <n v="0"/>
    <n v="20"/>
    <n v="0"/>
    <n v="0"/>
    <n v="0"/>
    <n v="0"/>
    <n v="0"/>
    <n v="185"/>
    <n v="10"/>
    <n v="0"/>
    <s v="JODHPUR"/>
    <s v="JODHPUR"/>
    <s v="RJ-JODHPUR"/>
    <d v="2018-04-07T00:00:00"/>
  </r>
  <r>
    <s v="808372119038"/>
    <x v="1274"/>
    <s v="RAMDEV BUILDING MATERIAL"/>
    <n v="119038"/>
    <s v="NAVEEN DISTRIBUTORS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JODHPUR"/>
    <s v="JODHPUR"/>
    <s v="RJ-JODHPUR"/>
    <d v="2018-05-17T00:00:00"/>
  </r>
  <r>
    <s v="808424172338"/>
    <x v="1275"/>
    <s v="SHREE KHETESHWAR KRISHI SEVA"/>
    <n v="172338"/>
    <s v="KHILJEE BUILDING MATERIAL"/>
    <n v="0"/>
    <n v="0"/>
    <n v="0"/>
    <n v="0"/>
    <n v="0"/>
    <n v="0"/>
    <n v="0"/>
    <n v="0"/>
    <n v="0"/>
    <n v="0"/>
    <n v="0"/>
    <n v="0"/>
    <n v="20"/>
    <n v="0"/>
    <n v="0"/>
    <n v="10"/>
    <n v="0"/>
    <n v="0"/>
    <n v="25"/>
    <n v="0"/>
    <n v="0"/>
    <n v="20"/>
    <n v="0"/>
    <n v="0"/>
    <n v="75"/>
    <n v="0"/>
    <n v="0"/>
    <s v="JODHPUR"/>
    <s v="JODHPUR"/>
    <s v="RJ-JODHPUR"/>
    <d v="2018-05-26T00:00:00"/>
  </r>
  <r>
    <s v="808619173224"/>
    <x v="1276"/>
    <s v="SHRI PAWAN CEMENT SUPPLIERS"/>
    <n v="173224"/>
    <s v="D.R.MARBLE &amp; SANITORY"/>
    <n v="110"/>
    <n v="0"/>
    <n v="0"/>
    <n v="111"/>
    <n v="35"/>
    <n v="0"/>
    <n v="191"/>
    <n v="15"/>
    <n v="35"/>
    <n v="70"/>
    <n v="0"/>
    <n v="0"/>
    <n v="130"/>
    <n v="10"/>
    <n v="0"/>
    <n v="602.5"/>
    <n v="55"/>
    <n v="0"/>
    <n v="15"/>
    <n v="0"/>
    <n v="0"/>
    <n v="120"/>
    <n v="0"/>
    <n v="0"/>
    <n v="1349.5"/>
    <n v="115"/>
    <n v="35"/>
    <s v="JODHPUR"/>
    <s v="JODHPUR"/>
    <s v="RJ-JODHPUR"/>
    <d v="2018-06-20T00:00:00"/>
  </r>
  <r>
    <s v="808739119038"/>
    <x v="1277"/>
    <s v="JAGDAMBA ENTERPRISES"/>
    <n v="119038"/>
    <s v="NAVEEN DISTRIBUTORS"/>
    <n v="20"/>
    <n v="0"/>
    <n v="0"/>
    <n v="74.5"/>
    <n v="0"/>
    <n v="0"/>
    <n v="24.5"/>
    <n v="0"/>
    <n v="0"/>
    <n v="40"/>
    <n v="0"/>
    <n v="0"/>
    <n v="10"/>
    <n v="0"/>
    <n v="0"/>
    <n v="40"/>
    <n v="0"/>
    <n v="0"/>
    <n v="29.8"/>
    <n v="0"/>
    <n v="0"/>
    <n v="20"/>
    <n v="0"/>
    <n v="0"/>
    <n v="258.8"/>
    <n v="0"/>
    <n v="0"/>
    <s v="JODHPUR"/>
    <s v="JODHPUR"/>
    <s v="RJ-JODHPUR"/>
    <d v="2018-08-03T00:00:00"/>
  </r>
  <r>
    <s v="808749119038"/>
    <x v="1278"/>
    <s v="JAI SHREE KRISHNA"/>
    <n v="119038"/>
    <s v="NAVEEN DISTRIBUTORS"/>
    <n v="60"/>
    <n v="0"/>
    <n v="0"/>
    <n v="89"/>
    <n v="0"/>
    <n v="0"/>
    <n v="30"/>
    <n v="0"/>
    <n v="0"/>
    <n v="15"/>
    <n v="0"/>
    <n v="0"/>
    <n v="0"/>
    <n v="0"/>
    <n v="0"/>
    <n v="25"/>
    <n v="0"/>
    <n v="0"/>
    <n v="20"/>
    <n v="0"/>
    <n v="0"/>
    <n v="25"/>
    <n v="0"/>
    <n v="0"/>
    <n v="264"/>
    <n v="0"/>
    <n v="0"/>
    <s v="JODHPUR"/>
    <s v="JODHPUR"/>
    <s v="RJ-JODHPUR"/>
    <d v="2018-08-09T00:00:00"/>
  </r>
  <r>
    <s v="808750119038"/>
    <x v="1279"/>
    <s v="SHRI BALAJI CEMENT AGENCY"/>
    <n v="119038"/>
    <s v="NAVEEN DISTRIBUTORS"/>
    <n v="10"/>
    <n v="0"/>
    <n v="0"/>
    <n v="10"/>
    <n v="0"/>
    <n v="0"/>
    <n v="15"/>
    <n v="0"/>
    <n v="0"/>
    <n v="5"/>
    <n v="0"/>
    <n v="0"/>
    <n v="10"/>
    <n v="0"/>
    <n v="0"/>
    <n v="0"/>
    <n v="0"/>
    <n v="0"/>
    <n v="20"/>
    <n v="0"/>
    <n v="0"/>
    <n v="5"/>
    <n v="0"/>
    <n v="0"/>
    <n v="75"/>
    <n v="0"/>
    <n v="0"/>
    <s v="JODHPUR"/>
    <s v="JODHPUR"/>
    <s v="RJ-JODHPUR"/>
    <d v="2018-08-09T00:00:00"/>
  </r>
  <r>
    <s v="808823119038"/>
    <x v="1280"/>
    <s v="PREM MARBLE AND CHEAPS STORE"/>
    <n v="119038"/>
    <s v="NAVEEN DISTRIBUTORS"/>
    <n v="0"/>
    <n v="0"/>
    <n v="0"/>
    <n v="0"/>
    <n v="0"/>
    <n v="0"/>
    <n v="0"/>
    <n v="0"/>
    <n v="0"/>
    <n v="0"/>
    <n v="0"/>
    <n v="0"/>
    <n v="7.5"/>
    <n v="0"/>
    <n v="0"/>
    <n v="0"/>
    <n v="0"/>
    <n v="0"/>
    <n v="0"/>
    <n v="0"/>
    <n v="0"/>
    <n v="0"/>
    <n v="0"/>
    <n v="0"/>
    <n v="7.5"/>
    <n v="0"/>
    <n v="0"/>
    <s v="JODHPUR"/>
    <s v="JODHPUR"/>
    <s v="RJ-JODHPUR"/>
    <d v="2018-08-25T00:00:00"/>
  </r>
  <r>
    <s v="808890148233"/>
    <x v="1281"/>
    <s v="JAGDAMBA BUILDING MATERIAL"/>
    <n v="148233"/>
    <s v="NAGORA TRADERS"/>
    <n v="70"/>
    <n v="0"/>
    <n v="0"/>
    <n v="65"/>
    <n v="0"/>
    <n v="0"/>
    <n v="69"/>
    <n v="0"/>
    <n v="0"/>
    <n v="65"/>
    <n v="0"/>
    <n v="0"/>
    <n v="70"/>
    <n v="0"/>
    <n v="0"/>
    <n v="66"/>
    <n v="0"/>
    <n v="0"/>
    <n v="93.5"/>
    <n v="12.5"/>
    <n v="0"/>
    <n v="35"/>
    <n v="0"/>
    <n v="0"/>
    <n v="533.5"/>
    <n v="12.5"/>
    <n v="0"/>
    <s v="JODHPUR"/>
    <s v="JODHPUR"/>
    <s v="RJ-JODHPUR"/>
    <d v="2018-07-11T00:00:00"/>
  </r>
  <r>
    <s v="808902170775"/>
    <x v="1282"/>
    <s v="TAK STONE SUPPLIERS"/>
    <n v="170775"/>
    <s v="GANPAT LAL MAROTHIYA AND SONS"/>
    <n v="0"/>
    <n v="0"/>
    <n v="0"/>
    <n v="0"/>
    <n v="0"/>
    <n v="0"/>
    <n v="25"/>
    <n v="0"/>
    <n v="0"/>
    <n v="0"/>
    <n v="0"/>
    <n v="0"/>
    <n v="0"/>
    <n v="0"/>
    <n v="0"/>
    <n v="30"/>
    <n v="0"/>
    <n v="0"/>
    <n v="30"/>
    <n v="0"/>
    <n v="0"/>
    <n v="0"/>
    <n v="0"/>
    <n v="0"/>
    <n v="85"/>
    <n v="0"/>
    <n v="0"/>
    <s v="JODHPUR"/>
    <s v="JODHPUR"/>
    <s v="RJ-JODHPUR"/>
    <d v="2018-07-11T00:00:00"/>
  </r>
  <r>
    <s v="808903170775"/>
    <x v="1283"/>
    <s v="MAHADEV CEMENT SUPPLIERS"/>
    <n v="170775"/>
    <s v="GANPAT LAL MAROTHIYA AND SONS"/>
    <n v="0"/>
    <n v="0"/>
    <n v="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s v="JODHPUR"/>
    <s v="JODHPUR"/>
    <s v="RJ-JODHPUR"/>
    <d v="2018-07-11T00:00:00"/>
  </r>
  <r>
    <s v="809165119038"/>
    <x v="1284"/>
    <s v="SHRI BALAJI BUILDING MATERIAL"/>
    <n v="119038"/>
    <s v="NAVEEN DISTRIBUTORS"/>
    <n v="0"/>
    <n v="0"/>
    <n v="0"/>
    <n v="0"/>
    <n v="0"/>
    <n v="0"/>
    <n v="7.5"/>
    <n v="0"/>
    <n v="0"/>
    <n v="10"/>
    <n v="0"/>
    <n v="0"/>
    <n v="0"/>
    <n v="0"/>
    <n v="0"/>
    <n v="10"/>
    <n v="0"/>
    <n v="0"/>
    <n v="10"/>
    <n v="0"/>
    <n v="0"/>
    <n v="30"/>
    <n v="0"/>
    <n v="0"/>
    <n v="67.5"/>
    <n v="0"/>
    <n v="0"/>
    <s v="JODHPUR"/>
    <s v="JODHPUR"/>
    <s v="RJ-JODHPUR"/>
    <d v="2019-02-21T00:00:00"/>
  </r>
  <r>
    <s v="809168119038"/>
    <x v="1285"/>
    <s v="JAGDAMBA CEMENT AGENCY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9-02-21T00:00:00"/>
  </r>
  <r>
    <s v="809170119038"/>
    <x v="1286"/>
    <s v="BALAJI KIRANA STORE"/>
    <n v="119038"/>
    <s v="NAVEEN DISTRIBUTORS"/>
    <n v="10"/>
    <n v="0"/>
    <n v="0"/>
    <n v="14"/>
    <n v="0"/>
    <n v="0"/>
    <n v="0"/>
    <n v="0"/>
    <n v="0"/>
    <n v="0"/>
    <n v="0"/>
    <n v="0"/>
    <n v="10"/>
    <n v="0"/>
    <n v="0"/>
    <n v="10"/>
    <n v="0"/>
    <n v="0"/>
    <n v="0"/>
    <n v="0"/>
    <n v="0"/>
    <n v="10"/>
    <n v="0"/>
    <n v="0"/>
    <n v="54"/>
    <n v="0"/>
    <n v="0"/>
    <s v="JODHPUR"/>
    <s v="JODHPUR"/>
    <s v="RJ-JODHPUR"/>
    <d v="2019-02-21T00:00:00"/>
  </r>
  <r>
    <s v="809280170775"/>
    <x v="1287"/>
    <s v="HAKIM AND SONS"/>
    <n v="170775"/>
    <s v="GANPAT LAL MAROTHIYA AND SONS"/>
    <n v="0"/>
    <n v="0"/>
    <n v="0"/>
    <n v="15"/>
    <n v="0"/>
    <n v="0"/>
    <n v="40"/>
    <n v="0"/>
    <n v="0"/>
    <n v="30"/>
    <n v="0"/>
    <n v="0"/>
    <n v="25"/>
    <n v="0"/>
    <n v="0"/>
    <n v="25"/>
    <n v="0"/>
    <n v="0"/>
    <n v="0"/>
    <n v="0"/>
    <n v="0"/>
    <n v="30"/>
    <n v="0"/>
    <n v="0"/>
    <n v="165"/>
    <n v="0"/>
    <n v="0"/>
    <s v="JODHPUR"/>
    <s v="JODHPUR"/>
    <s v="RJ-JODHPUR"/>
    <d v="2019-03-19T00:00:00"/>
  </r>
  <r>
    <s v="809282170775"/>
    <x v="1288"/>
    <s v="JAI MAHADEV BUILDING MATERIAL"/>
    <n v="170775"/>
    <s v="GANPAT LAL MAROTHIYA AND SONS"/>
    <n v="65"/>
    <n v="0"/>
    <n v="0"/>
    <n v="60"/>
    <n v="0"/>
    <n v="0"/>
    <n v="55"/>
    <n v="0"/>
    <n v="0"/>
    <n v="30"/>
    <n v="0"/>
    <n v="0"/>
    <n v="10"/>
    <n v="0"/>
    <n v="0"/>
    <n v="80"/>
    <n v="0"/>
    <n v="0"/>
    <n v="95"/>
    <n v="0"/>
    <n v="0"/>
    <n v="70"/>
    <n v="0"/>
    <n v="0"/>
    <n v="465"/>
    <n v="0"/>
    <n v="0"/>
    <s v="JODHPUR"/>
    <s v="JODHPUR"/>
    <s v="RJ-JODHPUR"/>
    <d v="2019-03-19T00:00:00"/>
  </r>
  <r>
    <s v="809283119038"/>
    <x v="1289"/>
    <s v="DURGA CEMENT AND SANITARY"/>
    <n v="119038"/>
    <s v="NAVEEN DISTRIBUTORS"/>
    <n v="133"/>
    <n v="0"/>
    <n v="0"/>
    <n v="142.5"/>
    <n v="0"/>
    <n v="0"/>
    <n v="90"/>
    <n v="0"/>
    <n v="5"/>
    <n v="114.5"/>
    <n v="34.5"/>
    <n v="0"/>
    <n v="65"/>
    <n v="5"/>
    <n v="0"/>
    <n v="44"/>
    <n v="4"/>
    <n v="0"/>
    <n v="75"/>
    <n v="0"/>
    <n v="0"/>
    <n v="95"/>
    <n v="0"/>
    <n v="0"/>
    <n v="759"/>
    <n v="43.5"/>
    <n v="5"/>
    <s v="JODHPUR"/>
    <s v="JODHPUR"/>
    <s v="RJ-JODHPUR"/>
    <d v="2019-03-19T00:00:00"/>
  </r>
  <r>
    <s v="809350172338"/>
    <x v="1290"/>
    <s v="HINGLAJ MAA FANCY &amp; READYMADE"/>
    <n v="172338"/>
    <s v="KHILJEE BUILDING MATERIAL"/>
    <n v="20"/>
    <n v="0"/>
    <n v="0"/>
    <n v="0"/>
    <n v="0"/>
    <n v="0"/>
    <n v="10"/>
    <n v="0"/>
    <n v="0"/>
    <n v="15"/>
    <n v="0"/>
    <n v="0"/>
    <n v="10"/>
    <n v="0"/>
    <n v="0"/>
    <n v="0"/>
    <n v="0"/>
    <n v="0"/>
    <n v="25"/>
    <n v="0"/>
    <n v="0"/>
    <n v="0"/>
    <n v="0"/>
    <n v="0"/>
    <n v="80"/>
    <n v="0"/>
    <n v="0"/>
    <s v="JODHPUR"/>
    <s v="JODHPUR"/>
    <s v="RJ-JODHPUR"/>
    <d v="2019-04-09T00:00:00"/>
  </r>
  <r>
    <s v="809394119236"/>
    <x v="1291"/>
    <s v="PAWAN SUBH MANGLAM ENTERPRISES"/>
    <n v="119236"/>
    <s v="PATEL TRADERS"/>
    <n v="0"/>
    <n v="0"/>
    <n v="0"/>
    <n v="0"/>
    <n v="0"/>
    <n v="0"/>
    <n v="0"/>
    <n v="0"/>
    <n v="0"/>
    <n v="15"/>
    <n v="15"/>
    <n v="0"/>
    <n v="0"/>
    <n v="0"/>
    <n v="0"/>
    <n v="0"/>
    <n v="0"/>
    <n v="0"/>
    <n v="0"/>
    <n v="0"/>
    <n v="0"/>
    <n v="0"/>
    <n v="0"/>
    <n v="0"/>
    <n v="15"/>
    <n v="15"/>
    <n v="0"/>
    <s v="JODHPUR"/>
    <s v="JODHPUR"/>
    <s v="RJ-JODHPUR"/>
    <d v="2019-04-18T00:00:00"/>
  </r>
  <r>
    <s v="809622119038"/>
    <x v="1292"/>
    <s v="SHRI MEHOJI BUILDING MATERIAL"/>
    <n v="119038"/>
    <s v="NAVEEN DISTRIBUTORS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25"/>
    <n v="0"/>
    <n v="0"/>
    <s v="JODHPUR"/>
    <s v="JODHPUR"/>
    <s v="RJ-JODHPUR"/>
    <d v="2019-05-24T00:00:00"/>
  </r>
  <r>
    <s v="809643173224"/>
    <x v="1293"/>
    <s v="BHAGWATI KHAJDALA KIRANA STORE"/>
    <n v="173224"/>
    <s v="D.R.MARBLE &amp; SANITORY"/>
    <n v="10"/>
    <n v="0"/>
    <n v="0"/>
    <n v="15"/>
    <n v="0"/>
    <n v="0"/>
    <n v="5"/>
    <n v="0"/>
    <n v="0"/>
    <n v="0"/>
    <n v="0"/>
    <n v="0"/>
    <n v="7.5"/>
    <n v="0"/>
    <n v="0"/>
    <n v="0"/>
    <n v="0"/>
    <n v="0"/>
    <n v="0"/>
    <n v="0"/>
    <n v="0"/>
    <n v="15"/>
    <n v="0"/>
    <n v="0"/>
    <n v="52.5"/>
    <n v="0"/>
    <n v="0"/>
    <s v="JODHPUR"/>
    <s v="JODHPUR"/>
    <s v="RJ-JODHPUR"/>
    <d v="2019-05-29T00:00:00"/>
  </r>
  <r>
    <s v="809778172855"/>
    <x v="1294"/>
    <s v="RAMDEV CEMENT SUPPLIERS"/>
    <n v="172855"/>
    <s v="BALAJI CEMENT AGENCY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JODHPUR"/>
    <s v="JODHPUR"/>
    <s v="RJ-JODHPUR"/>
    <d v="2019-06-22T00:00:00"/>
  </r>
  <r>
    <s v="809778178230"/>
    <x v="1294"/>
    <s v="RAMDEV CEMENT SUPPLIERS"/>
    <n v="178230"/>
    <s v="SHREE RADHEY BUILDING MATERIAL"/>
    <n v="55"/>
    <n v="0"/>
    <n v="0"/>
    <n v="41"/>
    <n v="0"/>
    <n v="0"/>
    <n v="95"/>
    <n v="0"/>
    <n v="10"/>
    <n v="70"/>
    <n v="0"/>
    <n v="20"/>
    <n v="50"/>
    <n v="0"/>
    <n v="10"/>
    <n v="30"/>
    <n v="0"/>
    <n v="0"/>
    <n v="40"/>
    <n v="0"/>
    <n v="0"/>
    <n v="40"/>
    <n v="0"/>
    <n v="0"/>
    <n v="421"/>
    <n v="0"/>
    <n v="40"/>
    <s v="JODHPUR"/>
    <s v="JODHPUR"/>
    <s v="RJ-JODHPUR"/>
    <d v="2019-06-22T00:00:00"/>
  </r>
  <r>
    <s v="809983178230"/>
    <x v="1295"/>
    <s v="JAMBHESHWAR BUILDING MATERIAL"/>
    <n v="178230"/>
    <s v="SHREE RADHEY BUILDING MATERIAL"/>
    <n v="10"/>
    <n v="0"/>
    <n v="0"/>
    <n v="36"/>
    <n v="0"/>
    <n v="0"/>
    <n v="44"/>
    <n v="0"/>
    <n v="0"/>
    <n v="35"/>
    <n v="0"/>
    <n v="15"/>
    <n v="0"/>
    <n v="0"/>
    <n v="0"/>
    <n v="15"/>
    <n v="0"/>
    <n v="0"/>
    <n v="0"/>
    <n v="0"/>
    <n v="0"/>
    <n v="0"/>
    <n v="0"/>
    <n v="0"/>
    <n v="140"/>
    <n v="0"/>
    <n v="15"/>
    <s v="JODHPUR"/>
    <s v="JODHPUR"/>
    <s v="RJ-JODHPUR"/>
    <d v="2019-07-20T00:00:00"/>
  </r>
  <r>
    <s v="809984119038"/>
    <x v="1296"/>
    <s v="DUNGAR MAL JAIN"/>
    <n v="119038"/>
    <s v="NAVEEN DISTRIBUTORS"/>
    <n v="54.5"/>
    <n v="0"/>
    <n v="0"/>
    <n v="35"/>
    <n v="0"/>
    <n v="0"/>
    <n v="55"/>
    <n v="0"/>
    <n v="0"/>
    <n v="20"/>
    <n v="0"/>
    <n v="0"/>
    <n v="30"/>
    <n v="0"/>
    <n v="0"/>
    <n v="0"/>
    <n v="0"/>
    <n v="0"/>
    <n v="34.799999999999997"/>
    <n v="0"/>
    <n v="0"/>
    <n v="45"/>
    <n v="0"/>
    <n v="0"/>
    <n v="274.3"/>
    <n v="0"/>
    <n v="0"/>
    <s v="JODHPUR"/>
    <s v="JODHPUR"/>
    <s v="RJ-JODHPUR"/>
    <d v="2019-07-20T00:00:00"/>
  </r>
  <r>
    <s v="810377119038"/>
    <x v="1297"/>
    <s v="CHANDAN MAL JAIN"/>
    <n v="119038"/>
    <s v="NAVEEN DISTRIBUTORS"/>
    <n v="14"/>
    <n v="0"/>
    <n v="0"/>
    <n v="30"/>
    <n v="0"/>
    <n v="0"/>
    <n v="15"/>
    <n v="0"/>
    <n v="0"/>
    <n v="30"/>
    <n v="0"/>
    <n v="0"/>
    <n v="0"/>
    <n v="0"/>
    <n v="0"/>
    <n v="60"/>
    <n v="0"/>
    <n v="0"/>
    <n v="55"/>
    <n v="0"/>
    <n v="0"/>
    <n v="60"/>
    <n v="0"/>
    <n v="0"/>
    <n v="264"/>
    <n v="0"/>
    <n v="0"/>
    <s v="JODHPUR"/>
    <s v="JODHPUR"/>
    <s v="RJ-JODHPUR"/>
    <d v="2019-08-28T00:00:00"/>
  </r>
  <r>
    <s v="811066119038"/>
    <x v="1298"/>
    <s v="BABA RAMDEV PAINTS &amp; HARDWARE"/>
    <n v="119038"/>
    <s v="NAVEEN DISTRIBUTORS"/>
    <n v="0"/>
    <n v="0"/>
    <n v="0"/>
    <n v="0"/>
    <n v="0"/>
    <n v="0"/>
    <n v="0"/>
    <n v="0"/>
    <n v="0"/>
    <n v="10"/>
    <n v="0"/>
    <n v="0"/>
    <n v="0"/>
    <n v="0"/>
    <n v="0"/>
    <n v="20"/>
    <n v="0"/>
    <n v="0"/>
    <n v="41"/>
    <n v="0"/>
    <n v="0"/>
    <n v="35"/>
    <n v="0"/>
    <n v="0"/>
    <n v="106"/>
    <n v="0"/>
    <n v="0"/>
    <s v="JODHPUR"/>
    <s v="JODHPUR"/>
    <s v="RJ-JODHPUR"/>
    <d v="2019-12-26T00:00:00"/>
  </r>
  <r>
    <s v="811085178230"/>
    <x v="1299"/>
    <s v="SHREE BALAJI SAND STONE &amp; CUTT"/>
    <n v="178230"/>
    <s v="SHREE RADHEY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9-12-26T00:00:00"/>
  </r>
  <r>
    <s v="811086178230"/>
    <x v="1300"/>
    <s v="MAHADEV CEMENT AGENCY"/>
    <n v="178230"/>
    <s v="SHREE RADHEY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9-12-26T00:00:00"/>
  </r>
  <r>
    <s v="811098119038"/>
    <x v="1301"/>
    <s v="GOVIND CEMENT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19-12-27T00:00:00"/>
  </r>
  <r>
    <s v="811098179877"/>
    <x v="1301"/>
    <s v="GOVIND CEMENT"/>
    <n v="179877"/>
    <s v="HANUMANGARH  INT SUPPLIERS"/>
    <n v="0"/>
    <n v="0"/>
    <n v="0"/>
    <n v="0"/>
    <n v="0"/>
    <n v="0"/>
    <n v="0"/>
    <n v="0"/>
    <n v="0"/>
    <n v="0"/>
    <n v="0"/>
    <n v="0"/>
    <n v="17.5"/>
    <n v="0"/>
    <n v="2.5"/>
    <n v="0"/>
    <n v="0"/>
    <n v="0"/>
    <n v="0"/>
    <n v="0"/>
    <n v="0"/>
    <n v="0"/>
    <n v="0"/>
    <n v="0"/>
    <n v="17.5"/>
    <n v="0"/>
    <n v="2.5"/>
    <s v="JODHPUR"/>
    <s v="JODHPUR"/>
    <s v="RJ-JODHPUR"/>
    <d v="2019-12-27T00:00:00"/>
  </r>
  <r>
    <s v="811275179946"/>
    <x v="1302"/>
    <s v="PRITHVI BUILDING MATERIAL"/>
    <n v="179946"/>
    <s v="GAGAN STEEL"/>
    <n v="0"/>
    <n v="0"/>
    <n v="0"/>
    <n v="14"/>
    <n v="0"/>
    <n v="0"/>
    <n v="95"/>
    <n v="0"/>
    <n v="0"/>
    <n v="22"/>
    <n v="0"/>
    <n v="0"/>
    <n v="2"/>
    <n v="0"/>
    <n v="0"/>
    <n v="5"/>
    <n v="0"/>
    <n v="0"/>
    <n v="0"/>
    <n v="0"/>
    <n v="0"/>
    <n v="25"/>
    <n v="0"/>
    <n v="0"/>
    <n v="163"/>
    <n v="0"/>
    <n v="0"/>
    <s v="JODHPUR"/>
    <s v="JODHPUR"/>
    <s v="RJ-JODHPUR"/>
    <d v="2020-01-17T00:00:00"/>
  </r>
  <r>
    <s v="811316178230"/>
    <x v="1303"/>
    <s v="KADELA BUILDING MATERIAL"/>
    <n v="178230"/>
    <s v="SHREE RADHEY BUILDING MATERIAL"/>
    <n v="0"/>
    <n v="0"/>
    <n v="0"/>
    <n v="0"/>
    <n v="0"/>
    <n v="0"/>
    <n v="0"/>
    <n v="0"/>
    <n v="0"/>
    <n v="25"/>
    <n v="0"/>
    <n v="0"/>
    <n v="30"/>
    <n v="0"/>
    <n v="15"/>
    <n v="0"/>
    <n v="0"/>
    <n v="0"/>
    <n v="20"/>
    <n v="0"/>
    <n v="0"/>
    <n v="15"/>
    <n v="0"/>
    <n v="0"/>
    <n v="90"/>
    <n v="0"/>
    <n v="15"/>
    <s v="JODHPUR"/>
    <s v="JODHPUR"/>
    <s v="RJ-JODHPUR"/>
    <d v="2020-01-24T00:00:00"/>
  </r>
  <r>
    <s v="811349178230"/>
    <x v="1304"/>
    <s v="NEW MAHADEV CONSTRUCTION COMPA"/>
    <n v="178230"/>
    <s v="SHREE RADHEY BUILDING MATERIAL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0"/>
    <n v="0"/>
    <n v="0"/>
    <n v="0"/>
    <n v="0"/>
    <n v="0"/>
    <n v="30"/>
    <n v="0"/>
    <n v="0"/>
    <s v="JODHPUR"/>
    <s v="JODHPUR"/>
    <s v="RJ-JODHPUR"/>
    <d v="2020-01-28T00:00:00"/>
  </r>
  <r>
    <s v="811350177379"/>
    <x v="1305"/>
    <s v="BENIWAL CEMENT AGENCY"/>
    <n v="177379"/>
    <s v="MANGILAL &amp; SONS"/>
    <n v="50"/>
    <n v="0"/>
    <n v="0"/>
    <n v="15"/>
    <n v="0"/>
    <n v="0"/>
    <n v="70"/>
    <n v="0"/>
    <n v="0"/>
    <n v="20"/>
    <n v="0"/>
    <n v="0"/>
    <n v="75"/>
    <n v="0"/>
    <n v="0"/>
    <n v="35"/>
    <n v="0"/>
    <n v="0"/>
    <n v="25"/>
    <n v="0"/>
    <n v="0"/>
    <n v="60"/>
    <n v="0"/>
    <n v="0"/>
    <n v="350"/>
    <n v="0"/>
    <n v="0"/>
    <s v="JODHPUR"/>
    <s v="JODHPUR"/>
    <s v="RJ-JODHPUR"/>
    <d v="2020-01-28T00:00:00"/>
  </r>
  <r>
    <s v="811433119038"/>
    <x v="1306"/>
    <s v="RAM MARBEL TILE &amp; HARDWARE"/>
    <n v="119038"/>
    <s v="NAVEEN DISTRIBUTORS"/>
    <n v="15"/>
    <n v="0"/>
    <n v="0"/>
    <n v="15"/>
    <n v="0"/>
    <n v="0"/>
    <n v="113"/>
    <n v="15"/>
    <n v="0"/>
    <n v="113"/>
    <n v="0"/>
    <n v="0"/>
    <n v="25"/>
    <n v="0"/>
    <n v="0"/>
    <n v="25"/>
    <n v="0"/>
    <n v="0"/>
    <n v="15"/>
    <n v="0"/>
    <n v="0"/>
    <n v="10.8"/>
    <n v="0"/>
    <n v="0"/>
    <n v="331.8"/>
    <n v="15"/>
    <n v="0"/>
    <s v="JODHPUR"/>
    <s v="JODHPUR"/>
    <s v="RJ-JODHPUR"/>
    <d v="2020-02-05T00:00:00"/>
  </r>
  <r>
    <s v="811621173224"/>
    <x v="1307"/>
    <s v="ATARI MEHAR KIRANA STORE"/>
    <n v="173224"/>
    <s v="D.R.MARBLE &amp; SANITORY"/>
    <n v="70"/>
    <n v="0"/>
    <n v="0"/>
    <n v="46"/>
    <n v="0"/>
    <n v="0"/>
    <n v="75"/>
    <n v="0"/>
    <n v="0"/>
    <n v="30"/>
    <n v="0"/>
    <n v="0"/>
    <n v="35"/>
    <n v="0"/>
    <n v="0"/>
    <n v="15"/>
    <n v="0"/>
    <n v="0"/>
    <n v="15"/>
    <n v="0"/>
    <n v="0"/>
    <n v="32.5"/>
    <n v="0"/>
    <n v="0"/>
    <n v="318.5"/>
    <n v="0"/>
    <n v="0"/>
    <s v="JODHPUR"/>
    <s v="JODHPUR"/>
    <s v="RJ-JODHPUR"/>
    <d v="2020-02-27T00:00:00"/>
  </r>
  <r>
    <s v="811622173224"/>
    <x v="1308"/>
    <s v="TEJAS MARBLE GRANITE"/>
    <n v="173224"/>
    <s v="D.R.MARBLE &amp; SANITORY"/>
    <n v="26"/>
    <n v="0"/>
    <n v="0"/>
    <n v="41"/>
    <n v="0"/>
    <n v="0"/>
    <n v="60"/>
    <n v="0"/>
    <n v="0"/>
    <n v="60"/>
    <n v="0"/>
    <n v="0"/>
    <n v="57"/>
    <n v="0"/>
    <n v="0"/>
    <n v="30"/>
    <n v="0"/>
    <n v="0"/>
    <n v="19"/>
    <n v="0"/>
    <n v="0"/>
    <n v="35"/>
    <n v="0"/>
    <n v="0"/>
    <n v="328"/>
    <n v="0"/>
    <n v="0"/>
    <s v="JODHPUR"/>
    <s v="JODHPUR"/>
    <s v="RJ-JODHPUR"/>
    <d v="2020-02-27T00:00:00"/>
  </r>
  <r>
    <s v="811683178230"/>
    <x v="1309"/>
    <s v="MEHAR CEMENT AGENCY"/>
    <n v="178230"/>
    <s v="SHREE RADHEY BUILDING MATERIAL"/>
    <n v="80"/>
    <n v="0"/>
    <n v="0"/>
    <n v="69"/>
    <n v="0"/>
    <n v="0"/>
    <n v="85"/>
    <n v="0"/>
    <n v="35"/>
    <n v="90"/>
    <n v="0"/>
    <n v="30"/>
    <n v="25"/>
    <n v="0"/>
    <n v="10"/>
    <n v="45"/>
    <n v="0"/>
    <n v="15"/>
    <n v="40"/>
    <n v="0"/>
    <n v="0"/>
    <n v="125"/>
    <n v="0"/>
    <n v="0"/>
    <n v="559"/>
    <n v="0"/>
    <n v="90"/>
    <s v="JODHPUR"/>
    <s v="JODHPUR"/>
    <s v="RJ-JODHPUR"/>
    <d v="2020-03-05T00:00:00"/>
  </r>
  <r>
    <s v="811779178230"/>
    <x v="1310"/>
    <s v="BHAVYA CEMENT AGENCY"/>
    <n v="178230"/>
    <s v="SHREE RADHEY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20-03-20T00:00:00"/>
  </r>
  <r>
    <s v="812096173224"/>
    <x v="1311"/>
    <s v="MAHADEV MARBLE AND BUILDING MA"/>
    <n v="173224"/>
    <s v="D.R.MARBLE &amp; SANITORY"/>
    <n v="131"/>
    <n v="0"/>
    <n v="0"/>
    <n v="50"/>
    <n v="0"/>
    <n v="0"/>
    <n v="105"/>
    <n v="0"/>
    <n v="0"/>
    <n v="40"/>
    <n v="0"/>
    <n v="0"/>
    <n v="15"/>
    <n v="0"/>
    <n v="0"/>
    <n v="30"/>
    <n v="0"/>
    <n v="0"/>
    <n v="40"/>
    <n v="0"/>
    <n v="0"/>
    <n v="85"/>
    <n v="15"/>
    <n v="0"/>
    <n v="496"/>
    <n v="0"/>
    <n v="0"/>
    <s v="JODHPUR"/>
    <s v="JODHPUR"/>
    <s v="RJ-JODHPUR"/>
    <d v="2020-07-03T00:00:00"/>
  </r>
  <r>
    <s v="812097177379"/>
    <x v="1312"/>
    <s v="HARI DARSHAN GENERAL STORE KHI"/>
    <n v="177379"/>
    <s v="MANGILAL &amp; SONS"/>
    <n v="15"/>
    <n v="0"/>
    <n v="0"/>
    <n v="40"/>
    <n v="0"/>
    <n v="0"/>
    <n v="40"/>
    <n v="0"/>
    <n v="0"/>
    <n v="10"/>
    <n v="0"/>
    <n v="0"/>
    <n v="35"/>
    <n v="0"/>
    <n v="0"/>
    <n v="70"/>
    <n v="0"/>
    <n v="0"/>
    <n v="25"/>
    <n v="0"/>
    <n v="0"/>
    <n v="30"/>
    <n v="0"/>
    <n v="0"/>
    <n v="265"/>
    <n v="0"/>
    <n v="0"/>
    <s v="JODHPUR"/>
    <s v="JODHPUR"/>
    <s v="RJ-JODHPUR"/>
    <d v="2020-07-03T00:00:00"/>
  </r>
  <r>
    <s v="812110119038"/>
    <x v="1313"/>
    <s v="MAJISA KHAAD BEEJ BHANDAR"/>
    <n v="119038"/>
    <s v="NAVEEN DISTRIBUTORS"/>
    <n v="0"/>
    <n v="0"/>
    <n v="0"/>
    <n v="0"/>
    <n v="0"/>
    <n v="0"/>
    <n v="0"/>
    <n v="0"/>
    <n v="0"/>
    <n v="0"/>
    <n v="0"/>
    <n v="0"/>
    <n v="32.5"/>
    <n v="0"/>
    <n v="0"/>
    <n v="10"/>
    <n v="0"/>
    <n v="0"/>
    <n v="50"/>
    <n v="0"/>
    <n v="0"/>
    <n v="0"/>
    <n v="0"/>
    <n v="0"/>
    <n v="92.5"/>
    <n v="0"/>
    <n v="0"/>
    <s v="JODHPUR"/>
    <s v="JODHPUR"/>
    <s v="RJ-JODHPUR"/>
    <d v="2020-07-04T00:00:00"/>
  </r>
  <r>
    <s v="812360173224"/>
    <x v="1314"/>
    <s v="SHREE KARNI CEMENT AGENCY"/>
    <n v="173224"/>
    <s v="D.R.MARBLE &amp; SANITORY"/>
    <n v="30"/>
    <n v="0"/>
    <n v="0"/>
    <n v="15"/>
    <n v="0"/>
    <n v="0"/>
    <n v="25"/>
    <n v="0"/>
    <n v="0"/>
    <n v="10"/>
    <n v="0"/>
    <n v="0"/>
    <n v="20"/>
    <n v="0"/>
    <n v="0"/>
    <n v="10"/>
    <n v="0"/>
    <n v="0"/>
    <n v="15"/>
    <n v="0"/>
    <n v="0"/>
    <n v="30"/>
    <n v="0"/>
    <n v="0"/>
    <n v="155"/>
    <n v="0"/>
    <n v="0"/>
    <s v="JODHPUR"/>
    <s v="JODHPUR"/>
    <s v="RJ-JODHPUR"/>
    <d v="2020-07-25T00:00:00"/>
  </r>
  <r>
    <s v="812362173224"/>
    <x v="1315"/>
    <s v="NEW BALAJI BUILDING MATERIAL &amp;"/>
    <n v="173224"/>
    <s v="D.R.MARBLE &amp; SANITORY"/>
    <n v="20"/>
    <n v="0"/>
    <n v="0"/>
    <n v="0"/>
    <n v="0"/>
    <n v="0"/>
    <n v="0"/>
    <n v="0"/>
    <n v="0"/>
    <n v="10"/>
    <n v="0"/>
    <n v="0"/>
    <n v="0"/>
    <n v="0"/>
    <n v="0"/>
    <n v="5"/>
    <n v="0"/>
    <n v="0"/>
    <n v="0"/>
    <n v="0"/>
    <n v="0"/>
    <n v="5"/>
    <n v="0"/>
    <n v="0"/>
    <n v="40"/>
    <n v="0"/>
    <n v="0"/>
    <s v="JODHPUR"/>
    <s v="JODHPUR"/>
    <s v="RJ-JODHPUR"/>
    <d v="2020-07-27T00:00:00"/>
  </r>
  <r>
    <s v="812548172855"/>
    <x v="1316"/>
    <s v="OM PRAKASH"/>
    <n v="172855"/>
    <s v="BALAJI CEMENT AGENCY"/>
    <n v="50"/>
    <n v="0"/>
    <n v="0"/>
    <n v="15"/>
    <n v="0"/>
    <n v="0"/>
    <n v="65"/>
    <n v="0"/>
    <n v="0"/>
    <n v="85"/>
    <n v="0"/>
    <n v="0"/>
    <n v="55"/>
    <n v="0"/>
    <n v="0"/>
    <n v="100"/>
    <n v="0"/>
    <n v="0"/>
    <n v="25"/>
    <n v="0"/>
    <n v="0"/>
    <n v="100"/>
    <n v="0"/>
    <n v="0"/>
    <n v="495"/>
    <n v="0"/>
    <n v="0"/>
    <s v="JODHPUR"/>
    <s v="JODHPUR"/>
    <s v="RJ-JODHPUR"/>
    <d v="2020-08-17T00:00:00"/>
  </r>
  <r>
    <s v="812552170775"/>
    <x v="1317"/>
    <s v="BHATI CEMENT AND EIT SUPPLIERS"/>
    <n v="170775"/>
    <s v="GANPAT LAL MAROTHIYA AND SONS"/>
    <n v="20"/>
    <n v="0"/>
    <n v="0"/>
    <n v="75"/>
    <n v="0"/>
    <n v="0"/>
    <n v="15"/>
    <n v="0"/>
    <n v="0"/>
    <n v="20"/>
    <n v="0"/>
    <n v="0"/>
    <n v="35"/>
    <n v="0"/>
    <n v="0"/>
    <n v="45"/>
    <n v="0"/>
    <n v="0"/>
    <n v="55"/>
    <n v="0"/>
    <n v="0"/>
    <n v="35"/>
    <n v="0"/>
    <n v="0"/>
    <n v="300"/>
    <n v="0"/>
    <n v="0"/>
    <s v="JODHPUR"/>
    <s v="JODHPUR"/>
    <s v="RJ-JODHPUR"/>
    <d v="2020-08-17T00:00:00"/>
  </r>
  <r>
    <s v="812808172855"/>
    <x v="1318"/>
    <s v="LAXMI NARAYAN"/>
    <n v="172855"/>
    <s v="BALAJI CEMENT AGENCY"/>
    <n v="40"/>
    <n v="0"/>
    <n v="0"/>
    <n v="40"/>
    <n v="0"/>
    <n v="0"/>
    <n v="80"/>
    <n v="0"/>
    <n v="0"/>
    <n v="0"/>
    <n v="0"/>
    <n v="0"/>
    <n v="20"/>
    <n v="0"/>
    <n v="0"/>
    <n v="0"/>
    <n v="0"/>
    <n v="0"/>
    <n v="15"/>
    <n v="0"/>
    <n v="0"/>
    <n v="55"/>
    <n v="0"/>
    <n v="0"/>
    <n v="250"/>
    <n v="0"/>
    <n v="0"/>
    <s v="JODHPUR"/>
    <s v="JODHPUR"/>
    <s v="RJ-JODHPUR"/>
    <d v="2020-09-07T00:00:00"/>
  </r>
  <r>
    <s v="812984178230"/>
    <x v="1319"/>
    <s v="GEDAR BUILDING MATERIAL"/>
    <n v="178230"/>
    <s v="SHREE RADHEY BUILDING MATERIAL"/>
    <n v="25"/>
    <n v="0"/>
    <n v="0"/>
    <n v="14"/>
    <n v="0"/>
    <n v="0"/>
    <n v="115"/>
    <n v="0"/>
    <n v="0"/>
    <n v="60"/>
    <n v="0"/>
    <n v="0"/>
    <n v="10"/>
    <n v="0"/>
    <n v="0"/>
    <n v="15"/>
    <n v="0"/>
    <n v="0"/>
    <n v="70"/>
    <n v="0"/>
    <n v="35"/>
    <n v="60"/>
    <n v="0"/>
    <n v="0"/>
    <n v="369"/>
    <n v="0"/>
    <n v="35"/>
    <s v="JODHPUR"/>
    <s v="JODHPUR"/>
    <s v="RJ-JODHPUR"/>
    <d v="2020-09-19T00:00:00"/>
  </r>
  <r>
    <s v="812985173224"/>
    <x v="1320"/>
    <s v="M K CEMENT AGENCY"/>
    <n v="173224"/>
    <s v="D.R.MARBLE &amp; SANITORY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0"/>
    <n v="0"/>
    <n v="0"/>
    <n v="27.5"/>
    <n v="0"/>
    <n v="0"/>
    <n v="52.5"/>
    <n v="0"/>
    <n v="0"/>
    <s v="JODHPUR"/>
    <s v="JODHPUR"/>
    <s v="RJ-JODHPUR"/>
    <d v="2020-09-19T00:00:00"/>
  </r>
  <r>
    <s v="812986173224"/>
    <x v="1321"/>
    <s v="SHREE BAJRANG BALI BUILDING MA"/>
    <n v="173224"/>
    <s v="D.R.MARBLE &amp; SANITORY"/>
    <n v="7.5"/>
    <n v="0"/>
    <n v="0"/>
    <n v="23"/>
    <n v="0"/>
    <n v="0"/>
    <n v="20"/>
    <n v="0"/>
    <n v="0"/>
    <n v="0"/>
    <n v="0"/>
    <n v="0"/>
    <n v="15"/>
    <n v="0"/>
    <n v="0"/>
    <n v="15"/>
    <n v="0"/>
    <n v="0"/>
    <n v="10"/>
    <n v="0"/>
    <n v="0"/>
    <n v="15"/>
    <n v="0"/>
    <n v="0"/>
    <n v="105.5"/>
    <n v="0"/>
    <n v="0"/>
    <s v="JODHPUR"/>
    <s v="JODHPUR"/>
    <s v="RJ-JODHPUR"/>
    <d v="2020-09-19T00:00:00"/>
  </r>
  <r>
    <s v="812990119038"/>
    <x v="1322"/>
    <s v="BHOOMIYA JI CEMENT AGENCY"/>
    <n v="119038"/>
    <s v="NAVEEN DISTRIBUTORS"/>
    <n v="15"/>
    <n v="0"/>
    <n v="0"/>
    <n v="10"/>
    <n v="0"/>
    <n v="0"/>
    <n v="0"/>
    <n v="0"/>
    <n v="0"/>
    <n v="16.5"/>
    <n v="0"/>
    <n v="0"/>
    <n v="0"/>
    <n v="0"/>
    <n v="0"/>
    <n v="20"/>
    <n v="0"/>
    <n v="0"/>
    <n v="15"/>
    <n v="0"/>
    <n v="0"/>
    <n v="0"/>
    <n v="0"/>
    <n v="0"/>
    <n v="76.5"/>
    <n v="0"/>
    <n v="0"/>
    <s v="JODHPUR"/>
    <s v="JODHPUR"/>
    <s v="RJ-JODHPUR"/>
    <d v="2020-09-21T00:00:00"/>
  </r>
  <r>
    <s v="812992173224"/>
    <x v="1323"/>
    <s v="JAI SHREE AAI MAA SUPER MARKET"/>
    <n v="173224"/>
    <s v="D.R.MARBLE &amp; SANITORY"/>
    <n v="148.5"/>
    <n v="0"/>
    <n v="0"/>
    <n v="80"/>
    <n v="0"/>
    <n v="0"/>
    <n v="116"/>
    <n v="0"/>
    <n v="0"/>
    <n v="85"/>
    <n v="0"/>
    <n v="0"/>
    <n v="97.5"/>
    <n v="0"/>
    <n v="0"/>
    <n v="75"/>
    <n v="0"/>
    <n v="0"/>
    <n v="50"/>
    <n v="0"/>
    <n v="0"/>
    <n v="110"/>
    <n v="20"/>
    <n v="0"/>
    <n v="762"/>
    <n v="0"/>
    <n v="0"/>
    <s v="JODHPUR"/>
    <s v="JODHPUR"/>
    <s v="RJ-JODHPUR"/>
    <d v="2020-09-21T00:00:00"/>
  </r>
  <r>
    <s v="812994173224"/>
    <x v="1324"/>
    <s v="MAHADEV BUILDING MATERIAL"/>
    <n v="173224"/>
    <s v="D.R.MARBLE &amp; SANITORY"/>
    <n v="65"/>
    <n v="0"/>
    <n v="0"/>
    <n v="18.5"/>
    <n v="0"/>
    <n v="0"/>
    <n v="91"/>
    <n v="0"/>
    <n v="0"/>
    <n v="55"/>
    <n v="0"/>
    <n v="0"/>
    <n v="27"/>
    <n v="0"/>
    <n v="0"/>
    <n v="40"/>
    <n v="0"/>
    <n v="0"/>
    <n v="15"/>
    <n v="0"/>
    <n v="0"/>
    <n v="65"/>
    <n v="0"/>
    <n v="0"/>
    <n v="376.5"/>
    <n v="0"/>
    <n v="0"/>
    <s v="JODHPUR"/>
    <s v="JODHPUR"/>
    <s v="RJ-JODHPUR"/>
    <d v="2020-09-21T00:00:00"/>
  </r>
  <r>
    <s v="812999148233"/>
    <x v="1325"/>
    <s v="SHREE BALAJI CEMENT SUPPLIERS"/>
    <n v="148233"/>
    <s v="NAGOR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20-09-21T00:00:00"/>
  </r>
  <r>
    <s v="813006178230"/>
    <x v="1326"/>
    <s v="D R MARBLES"/>
    <n v="178230"/>
    <s v="SHREE RADHEY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s v="JODHPUR"/>
    <s v="JODHPUR"/>
    <s v="RJ-JODHPUR"/>
    <d v="2020-09-22T00:00:00"/>
  </r>
  <r>
    <s v="813031170775"/>
    <x v="1327"/>
    <s v="BHANWAR LAL UTAM CHAND"/>
    <n v="170775"/>
    <s v="GANPAT LAL MAROTHIYA AND SONS"/>
    <n v="0"/>
    <n v="0"/>
    <n v="0"/>
    <n v="0"/>
    <n v="0"/>
    <n v="0"/>
    <n v="25"/>
    <n v="0"/>
    <n v="0"/>
    <n v="0"/>
    <n v="0"/>
    <n v="0"/>
    <n v="20"/>
    <n v="0"/>
    <n v="0"/>
    <n v="45"/>
    <n v="0"/>
    <n v="0"/>
    <n v="0"/>
    <n v="0"/>
    <n v="0"/>
    <n v="25"/>
    <n v="0"/>
    <n v="0"/>
    <n v="115"/>
    <n v="0"/>
    <n v="0"/>
    <s v="JODHPUR"/>
    <s v="JODHPUR"/>
    <s v="RJ-JODHPUR"/>
    <d v="2020-09-23T00:00:00"/>
  </r>
  <r>
    <s v="813034170775"/>
    <x v="1328"/>
    <s v="LAXMI TAK CEMENT"/>
    <n v="170775"/>
    <s v="GANPAT LAL MAROTHIYA AND SONS"/>
    <n v="0"/>
    <n v="0"/>
    <n v="0"/>
    <n v="0"/>
    <n v="0"/>
    <n v="0"/>
    <n v="25"/>
    <n v="0"/>
    <n v="0"/>
    <n v="0"/>
    <n v="0"/>
    <n v="0"/>
    <n v="0"/>
    <n v="0"/>
    <n v="0"/>
    <n v="10"/>
    <n v="0"/>
    <n v="0"/>
    <n v="15"/>
    <n v="0"/>
    <n v="0"/>
    <n v="10"/>
    <n v="0"/>
    <n v="0"/>
    <n v="60"/>
    <n v="0"/>
    <n v="0"/>
    <s v="JODHPUR"/>
    <s v="JODHPUR"/>
    <s v="RJ-JODHPUR"/>
    <d v="2020-09-23T00:00:00"/>
  </r>
  <r>
    <s v="813787178230"/>
    <x v="1329"/>
    <s v="SHREE KARANI MARBLE"/>
    <n v="178230"/>
    <s v="SHREE RADHEY BUILDING MATERIAL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ODHPUR"/>
    <s v="JODHPUR"/>
    <s v="RJ-JODHPUR"/>
    <d v="2020-12-08T00:00:00"/>
  </r>
  <r>
    <s v="813832172338"/>
    <x v="1330"/>
    <s v="VIJAY CEMENT AGENCY"/>
    <n v="172338"/>
    <s v="KHILJEE BUILDING MATERIAL"/>
    <n v="1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s v="JODHPUR"/>
    <s v="JODHPUR"/>
    <s v="RJ-JODHPUR"/>
    <d v="2020-12-14T00:00:00"/>
  </r>
  <r>
    <s v="813928172338"/>
    <x v="1331"/>
    <s v="SHRI BAGTESH CONSTRUCTION COMP"/>
    <n v="172338"/>
    <s v="KHILJEE BUILDING MATERIAL"/>
    <n v="6"/>
    <n v="0"/>
    <n v="0"/>
    <n v="0"/>
    <n v="0"/>
    <n v="0"/>
    <n v="25"/>
    <n v="0"/>
    <n v="15"/>
    <n v="15"/>
    <n v="0"/>
    <n v="0"/>
    <n v="0"/>
    <n v="0"/>
    <n v="0"/>
    <n v="20"/>
    <n v="0"/>
    <n v="0"/>
    <n v="30"/>
    <n v="0"/>
    <n v="0"/>
    <n v="0"/>
    <n v="0"/>
    <n v="0"/>
    <n v="96"/>
    <n v="0"/>
    <n v="15"/>
    <s v="JODHPUR"/>
    <s v="JODHPUR"/>
    <s v="RJ-JODHPUR"/>
    <d v="2020-12-24T00:00:00"/>
  </r>
  <r>
    <s v="814047178230"/>
    <x v="1332"/>
    <s v="SHREE INATH TRADING COMPANY"/>
    <n v="178230"/>
    <s v="SHREE RADHEY BUILDING MATERIAL"/>
    <n v="1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s v="JODHPUR"/>
    <s v="JODHPUR"/>
    <s v="RJ-JODHPUR"/>
    <d v="2020-12-31T00:00:00"/>
  </r>
  <r>
    <s v="814058173224"/>
    <x v="1333"/>
    <s v="SHREE VISHNU CEMENT TILES"/>
    <n v="173224"/>
    <s v="D.R.MARBLE &amp; SANITORY"/>
    <n v="20"/>
    <n v="0"/>
    <n v="0"/>
    <n v="60"/>
    <n v="0"/>
    <n v="0"/>
    <n v="51"/>
    <n v="0"/>
    <n v="0"/>
    <n v="50"/>
    <n v="0"/>
    <n v="0"/>
    <n v="42.5"/>
    <n v="0"/>
    <n v="0"/>
    <n v="45"/>
    <n v="0"/>
    <n v="0"/>
    <n v="17.5"/>
    <n v="0"/>
    <n v="0"/>
    <n v="0"/>
    <n v="0"/>
    <n v="0"/>
    <n v="286"/>
    <n v="0"/>
    <n v="0"/>
    <s v="JODHPUR"/>
    <s v="JODHPUR"/>
    <s v="RJ-JODHPUR"/>
    <d v="2020-12-31T00:00:00"/>
  </r>
  <r>
    <s v="814110172338"/>
    <x v="1334"/>
    <s v="MARWAR CEMENT AGENCY"/>
    <n v="172338"/>
    <s v="KHILJEE BUILDING MATERIAL"/>
    <n v="0"/>
    <n v="0"/>
    <n v="0"/>
    <n v="10"/>
    <n v="0"/>
    <n v="0"/>
    <n v="60"/>
    <n v="0"/>
    <n v="0"/>
    <n v="10"/>
    <n v="0"/>
    <n v="0"/>
    <n v="20"/>
    <n v="0"/>
    <n v="0"/>
    <n v="0"/>
    <n v="0"/>
    <n v="0"/>
    <n v="20"/>
    <n v="0"/>
    <n v="0"/>
    <n v="20"/>
    <n v="0"/>
    <n v="0"/>
    <n v="140"/>
    <n v="0"/>
    <n v="0"/>
    <s v="JODHPUR"/>
    <s v="JODHPUR"/>
    <s v="RJ-JODHPUR"/>
    <d v="2021-01-08T00:00:00"/>
  </r>
  <r>
    <s v="814113170775"/>
    <x v="1335"/>
    <s v="BHATI ELECTRICALS"/>
    <n v="170775"/>
    <s v="GANPAT LAL MAROTHIYA AND SONS"/>
    <n v="0"/>
    <n v="0"/>
    <n v="0"/>
    <n v="0"/>
    <n v="0"/>
    <n v="0"/>
    <n v="20"/>
    <n v="0"/>
    <n v="0"/>
    <n v="0"/>
    <n v="0"/>
    <n v="0"/>
    <n v="0"/>
    <n v="0"/>
    <n v="0"/>
    <n v="35"/>
    <n v="0"/>
    <n v="0"/>
    <n v="0"/>
    <n v="0"/>
    <n v="0"/>
    <n v="0"/>
    <n v="0"/>
    <n v="0"/>
    <n v="55"/>
    <n v="0"/>
    <n v="0"/>
    <s v="JODHPUR"/>
    <s v="JODHPUR"/>
    <s v="RJ-JODHPUR"/>
    <d v="2021-01-09T00:00:00"/>
  </r>
  <r>
    <s v="814114172338"/>
    <x v="1336"/>
    <s v="ASHOK CEMENT AGENCY"/>
    <n v="172338"/>
    <s v="KHILJEE BUILDING MATERIAL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25"/>
    <n v="0"/>
    <n v="0"/>
    <n v="106"/>
    <n v="20"/>
    <n v="0"/>
    <n v="151"/>
    <n v="0"/>
    <n v="0"/>
    <s v="JODHPUR"/>
    <s v="JODHPUR"/>
    <s v="RJ-JODHPUR"/>
    <d v="2021-01-09T00:00:00"/>
  </r>
  <r>
    <s v="814279177379"/>
    <x v="1337"/>
    <s v="JAI AAYAL MAA CEMENT"/>
    <n v="177379"/>
    <s v="MANGILAL &amp; SONS"/>
    <n v="20"/>
    <n v="0"/>
    <n v="0"/>
    <n v="94.5"/>
    <n v="0"/>
    <n v="0"/>
    <n v="70"/>
    <n v="0"/>
    <n v="0"/>
    <n v="40"/>
    <n v="0"/>
    <n v="15"/>
    <n v="50"/>
    <n v="0"/>
    <n v="0"/>
    <n v="100"/>
    <n v="0"/>
    <n v="20"/>
    <n v="25"/>
    <n v="0"/>
    <n v="0"/>
    <n v="40"/>
    <n v="0"/>
    <n v="0"/>
    <n v="439.5"/>
    <n v="0"/>
    <n v="35"/>
    <s v="JODHPUR"/>
    <s v="JODHPUR"/>
    <s v="RJ-JODHPUR"/>
    <d v="2021-01-27T00:00:00"/>
  </r>
  <r>
    <s v="814280173224"/>
    <x v="1338"/>
    <s v="NEW SHREE KHETESHWAR BUILDING"/>
    <n v="173224"/>
    <s v="D.R.MARBLE &amp; SANITORY"/>
    <n v="37.5"/>
    <n v="0"/>
    <n v="0"/>
    <n v="50"/>
    <n v="0"/>
    <n v="0"/>
    <n v="55"/>
    <n v="0"/>
    <n v="0"/>
    <n v="45"/>
    <n v="0"/>
    <n v="0"/>
    <n v="60"/>
    <n v="0"/>
    <n v="0"/>
    <n v="20"/>
    <n v="0"/>
    <n v="0"/>
    <n v="0"/>
    <n v="0"/>
    <n v="0"/>
    <n v="30"/>
    <n v="0"/>
    <n v="0"/>
    <n v="297.5"/>
    <n v="0"/>
    <n v="0"/>
    <s v="JODHPUR"/>
    <s v="JODHPUR"/>
    <s v="RJ-JODHPUR"/>
    <d v="2021-01-27T00:00:00"/>
  </r>
  <r>
    <s v="814661173224"/>
    <x v="1339"/>
    <s v="JAI BHAWANI TENT HOUSE"/>
    <n v="173224"/>
    <s v="D.R.MARBLE &amp; SANITORY"/>
    <n v="25"/>
    <n v="0"/>
    <n v="0"/>
    <n v="40"/>
    <n v="20"/>
    <n v="0"/>
    <n v="50"/>
    <n v="0"/>
    <n v="0"/>
    <n v="15"/>
    <n v="0"/>
    <n v="0"/>
    <n v="15"/>
    <n v="0"/>
    <n v="0"/>
    <n v="40"/>
    <n v="0"/>
    <n v="0"/>
    <n v="0"/>
    <n v="0"/>
    <n v="0"/>
    <n v="15"/>
    <n v="0"/>
    <n v="0"/>
    <n v="200"/>
    <n v="20"/>
    <n v="0"/>
    <s v="JODHPUR"/>
    <s v="JODHPUR"/>
    <s v="RJ-JODHPUR"/>
    <d v="2021-02-27T00:00:00"/>
  </r>
  <r>
    <s v="814665178230"/>
    <x v="1340"/>
    <s v="BHURANI SMM TRADERS"/>
    <n v="178230"/>
    <s v="SHREE RADHEY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21-03-02T00:00:00"/>
  </r>
  <r>
    <s v="814667177379"/>
    <x v="1341"/>
    <s v="SHARDA BUILDING MATERIAL"/>
    <n v="177379"/>
    <s v="MANGILAL &amp; SONS"/>
    <n v="0"/>
    <n v="0"/>
    <n v="0"/>
    <n v="25.5"/>
    <n v="0"/>
    <n v="0"/>
    <n v="35"/>
    <n v="0"/>
    <n v="0"/>
    <n v="15"/>
    <n v="0"/>
    <n v="0"/>
    <n v="30"/>
    <n v="0"/>
    <n v="0"/>
    <n v="27"/>
    <n v="0"/>
    <n v="0"/>
    <n v="10"/>
    <n v="0"/>
    <n v="0"/>
    <n v="15"/>
    <n v="0"/>
    <n v="0"/>
    <n v="157.5"/>
    <n v="0"/>
    <n v="0"/>
    <s v="JODHPUR"/>
    <s v="JODHPUR"/>
    <s v="RJ-JODHPUR"/>
    <d v="2021-03-02T00:00:00"/>
  </r>
  <r>
    <s v="814689204810"/>
    <x v="1342"/>
    <s v="SHRI JAY BHAWANI BUILDING MATE"/>
    <n v="204810"/>
    <s v="MAA SANTOSHI CONSTRUCTION COM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21-03-04T00:00:00"/>
  </r>
  <r>
    <s v="814843119038"/>
    <x v="1343"/>
    <s v="SHRI MAHALAXMI TRADERS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21-03-25T00:00:00"/>
  </r>
  <r>
    <s v="814874173224"/>
    <x v="1344"/>
    <s v="SHREE BAGTESH BUILDING MATERIA"/>
    <n v="173224"/>
    <s v="D.R.MARBLE &amp; SANITORY"/>
    <n v="10"/>
    <n v="0"/>
    <n v="0"/>
    <n v="10"/>
    <n v="0"/>
    <n v="0"/>
    <n v="5"/>
    <n v="0"/>
    <n v="0"/>
    <n v="0"/>
    <n v="0"/>
    <n v="0"/>
    <n v="12.5"/>
    <n v="0"/>
    <n v="0"/>
    <n v="10"/>
    <n v="0"/>
    <n v="0"/>
    <n v="10"/>
    <n v="0"/>
    <n v="0"/>
    <n v="15"/>
    <n v="0"/>
    <n v="0"/>
    <n v="72.5"/>
    <n v="0"/>
    <n v="0"/>
    <s v="JODHPUR"/>
    <s v="JODHPUR"/>
    <s v="RJ-JODHPUR"/>
    <d v="2021-03-31T00:00:00"/>
  </r>
  <r>
    <s v="814886173098"/>
    <x v="1345"/>
    <s v="SHREE PABUJI TRADERS"/>
    <n v="173098"/>
    <s v="PABUJI BUILDING MATERIAL"/>
    <n v="20"/>
    <n v="0"/>
    <n v="0"/>
    <n v="56.5"/>
    <n v="0"/>
    <n v="0"/>
    <n v="38"/>
    <n v="0"/>
    <n v="0"/>
    <n v="53"/>
    <n v="0"/>
    <n v="0"/>
    <n v="88"/>
    <n v="0"/>
    <n v="0"/>
    <n v="70"/>
    <n v="0"/>
    <n v="0"/>
    <n v="40"/>
    <n v="0"/>
    <n v="0"/>
    <n v="65"/>
    <n v="0"/>
    <n v="0"/>
    <n v="430.5"/>
    <n v="0"/>
    <n v="0"/>
    <s v="JODHPUR"/>
    <s v="JODHPUR"/>
    <s v="RJ-JODHPUR"/>
    <d v="2021-03-31T00:00:00"/>
  </r>
  <r>
    <s v="814902119038"/>
    <x v="1346"/>
    <s v="SHREE KARANI KRIPA ENTERPRISES"/>
    <n v="119038"/>
    <s v="NAVEEN DISTRIBUTORS"/>
    <n v="60"/>
    <n v="0"/>
    <n v="0"/>
    <n v="15"/>
    <n v="20"/>
    <n v="0"/>
    <n v="27.5"/>
    <n v="0"/>
    <n v="0"/>
    <n v="64.5"/>
    <n v="0"/>
    <n v="0"/>
    <n v="0"/>
    <n v="0"/>
    <n v="0"/>
    <n v="0"/>
    <n v="0"/>
    <n v="0"/>
    <n v="0"/>
    <n v="0"/>
    <n v="0"/>
    <n v="0"/>
    <n v="0"/>
    <n v="0"/>
    <n v="167"/>
    <n v="20"/>
    <n v="0"/>
    <s v="JODHPUR"/>
    <s v="JODHPUR"/>
    <s v="RJ-JODHPUR"/>
    <d v="2021-04-06T00:00:00"/>
  </r>
  <r>
    <s v="814903119038"/>
    <x v="1347"/>
    <s v="GOSAI J K SUPER CEMENT"/>
    <n v="119038"/>
    <s v="NAVEEN DISTRIBUTORS"/>
    <n v="0"/>
    <n v="0"/>
    <n v="0"/>
    <n v="10"/>
    <n v="0"/>
    <n v="0"/>
    <n v="7"/>
    <n v="0"/>
    <n v="0"/>
    <n v="0"/>
    <n v="0"/>
    <n v="0"/>
    <n v="14.5"/>
    <n v="0"/>
    <n v="0"/>
    <n v="10"/>
    <n v="0"/>
    <n v="0"/>
    <n v="30"/>
    <n v="0"/>
    <n v="0"/>
    <n v="15"/>
    <n v="0"/>
    <n v="0"/>
    <n v="86.5"/>
    <n v="0"/>
    <n v="0"/>
    <s v="JODHPUR"/>
    <s v="JODHPUR"/>
    <s v="RJ-JODHPUR"/>
    <d v="2021-04-06T00:00:00"/>
  </r>
  <r>
    <s v="814962119038"/>
    <x v="1348"/>
    <s v="JAGDAMBA BUILDING MATERIAL"/>
    <n v="119038"/>
    <s v="NAVEEN DISTRIBUTOR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ODHPUR"/>
    <s v="JODHPUR"/>
    <s v="RJ-JODHPUR"/>
    <d v="2021-04-17T00:00:00"/>
  </r>
  <r>
    <s v="814993173224"/>
    <x v="1349"/>
    <s v="MAHAVEER BUILDING MATERIAL"/>
    <n v="173224"/>
    <s v="D.R.MARBLE &amp; SANITORY"/>
    <n v="140"/>
    <n v="0"/>
    <n v="0"/>
    <n v="106"/>
    <n v="35"/>
    <n v="0"/>
    <n v="180"/>
    <n v="30"/>
    <n v="15"/>
    <n v="100"/>
    <n v="0"/>
    <n v="0"/>
    <n v="135"/>
    <n v="15"/>
    <n v="0"/>
    <n v="280"/>
    <n v="15"/>
    <n v="0"/>
    <n v="748"/>
    <n v="35"/>
    <n v="0"/>
    <n v="110"/>
    <n v="0"/>
    <n v="0"/>
    <n v="1799"/>
    <n v="130"/>
    <n v="15"/>
    <s v="JODHPUR"/>
    <s v="JODHPUR"/>
    <s v="RJ-JODHPUR"/>
    <d v="2021-04-24T00:00:00"/>
  </r>
  <r>
    <s v="815031119038"/>
    <x v="1350"/>
    <s v="SHRI BHADARIYA RAI ENTERPRISES"/>
    <n v="119038"/>
    <s v="NAVEEN DISTRIBUTORS"/>
    <n v="20"/>
    <n v="0"/>
    <n v="0"/>
    <n v="15"/>
    <n v="0"/>
    <n v="0"/>
    <n v="15"/>
    <n v="0"/>
    <n v="0"/>
    <n v="20"/>
    <n v="0"/>
    <n v="0"/>
    <n v="0"/>
    <n v="0"/>
    <n v="0"/>
    <n v="0"/>
    <n v="0"/>
    <n v="0"/>
    <n v="0"/>
    <n v="0"/>
    <n v="0"/>
    <n v="0"/>
    <n v="0"/>
    <n v="0"/>
    <n v="70"/>
    <n v="0"/>
    <n v="0"/>
    <s v="JODHPUR"/>
    <s v="JODHPUR"/>
    <s v="RJ-JODHPUR"/>
    <d v="2021-05-07T00:00:00"/>
  </r>
  <r>
    <s v="815135172338"/>
    <x v="1351"/>
    <s v="HAPA DADA CEMENT AGENCY"/>
    <n v="172338"/>
    <s v="KHILJEE BUILDING MATERIAL"/>
    <n v="20"/>
    <n v="0"/>
    <n v="0"/>
    <n v="10"/>
    <n v="0"/>
    <n v="0"/>
    <n v="50"/>
    <n v="0"/>
    <n v="0"/>
    <n v="20"/>
    <n v="0"/>
    <n v="0"/>
    <n v="25"/>
    <n v="0"/>
    <n v="0"/>
    <n v="35"/>
    <n v="0"/>
    <n v="0"/>
    <n v="70"/>
    <n v="10"/>
    <n v="0"/>
    <n v="65"/>
    <n v="0"/>
    <n v="0"/>
    <n v="295"/>
    <n v="10"/>
    <n v="0"/>
    <s v="JODHPUR"/>
    <s v="JODHPUR"/>
    <s v="RJ-JODHPUR"/>
    <d v="2021-06-10T00:00:00"/>
  </r>
  <r>
    <s v="815152170775"/>
    <x v="1352"/>
    <s v="GAURI CEMENT SUPPLIERS"/>
    <n v="170775"/>
    <s v="GANPAT LAL MAROTHIYA AND SONS"/>
    <n v="0"/>
    <n v="0"/>
    <n v="0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20"/>
    <n v="0"/>
    <n v="0"/>
    <s v="JODHPUR"/>
    <s v="JODHPUR"/>
    <s v="RJ-JODHPUR"/>
    <d v="2021-06-12T00:00:00"/>
  </r>
  <r>
    <s v="815277170775"/>
    <x v="1353"/>
    <s v="GOPAL CEMENT SUPPLIERS"/>
    <n v="170775"/>
    <s v="GANPAT LAL MAROTHIYA AND SONS"/>
    <n v="0"/>
    <n v="0"/>
    <n v="0"/>
    <n v="10"/>
    <n v="0"/>
    <n v="0"/>
    <n v="40"/>
    <n v="0"/>
    <n v="0"/>
    <n v="0"/>
    <n v="0"/>
    <n v="0"/>
    <n v="25"/>
    <n v="0"/>
    <n v="0"/>
    <n v="30"/>
    <n v="0"/>
    <n v="0"/>
    <n v="10"/>
    <n v="0"/>
    <n v="0"/>
    <n v="15"/>
    <n v="0"/>
    <n v="0"/>
    <n v="130"/>
    <n v="0"/>
    <n v="0"/>
    <s v="JODHPUR"/>
    <s v="JODHPUR"/>
    <s v="RJ-JODHPUR"/>
    <d v="2021-06-26T00:00:00"/>
  </r>
  <r>
    <s v="815483178230"/>
    <x v="1354"/>
    <s v="DEVI KRIPA BUILDING MATERIAL"/>
    <n v="178230"/>
    <s v="SHREE RADHEY BUILDING MATERIAL"/>
    <n v="15"/>
    <n v="0"/>
    <n v="0"/>
    <n v="24.5"/>
    <n v="0"/>
    <n v="0"/>
    <n v="0"/>
    <n v="0"/>
    <n v="0"/>
    <n v="30"/>
    <n v="0"/>
    <n v="0"/>
    <n v="30"/>
    <n v="0"/>
    <n v="0"/>
    <n v="30"/>
    <n v="0"/>
    <n v="0"/>
    <n v="35"/>
    <n v="0"/>
    <n v="10"/>
    <n v="15"/>
    <n v="0"/>
    <n v="0"/>
    <n v="179.5"/>
    <n v="0"/>
    <n v="10"/>
    <s v="JODHPUR"/>
    <s v="JODHPUR"/>
    <s v="RJ-JODHPUR"/>
    <d v="2021-07-12T00:00:00"/>
  </r>
  <r>
    <s v="815484173224"/>
    <x v="1355"/>
    <s v="JAMBHESHWAR BUILDING MATERIAL"/>
    <n v="173224"/>
    <s v="D.R.MARBLE &amp; SANITORY"/>
    <n v="30"/>
    <n v="0"/>
    <n v="0"/>
    <n v="15"/>
    <n v="0"/>
    <n v="0"/>
    <n v="30"/>
    <n v="0"/>
    <n v="0"/>
    <n v="35"/>
    <n v="0"/>
    <n v="0"/>
    <n v="15"/>
    <n v="0"/>
    <n v="0"/>
    <n v="15"/>
    <n v="0"/>
    <n v="0"/>
    <n v="5"/>
    <n v="0"/>
    <n v="0"/>
    <n v="7.5"/>
    <n v="0"/>
    <n v="0"/>
    <n v="152.5"/>
    <n v="0"/>
    <n v="0"/>
    <s v="JODHPUR"/>
    <s v="JODHPUR"/>
    <s v="RJ-JODHPUR"/>
    <d v="2021-07-12T00:00:00"/>
  </r>
  <r>
    <s v="815485173224"/>
    <x v="1356"/>
    <s v="SHREE BALAJI CEMENT AGENCY"/>
    <n v="173224"/>
    <s v="D.R.MARBLE &amp; SANITORY"/>
    <n v="10"/>
    <n v="0"/>
    <n v="0"/>
    <n v="15"/>
    <n v="0"/>
    <n v="0"/>
    <n v="10"/>
    <n v="0"/>
    <n v="0"/>
    <n v="10"/>
    <n v="0"/>
    <n v="0"/>
    <n v="0"/>
    <n v="0"/>
    <n v="0"/>
    <n v="10"/>
    <n v="0"/>
    <n v="0"/>
    <n v="0"/>
    <n v="0"/>
    <n v="0"/>
    <n v="15"/>
    <n v="0"/>
    <n v="0"/>
    <n v="70"/>
    <n v="0"/>
    <n v="0"/>
    <s v="JODHPUR"/>
    <s v="JODHPUR"/>
    <s v="RJ-JODHPUR"/>
    <d v="2021-07-12T00:00:00"/>
  </r>
  <r>
    <s v="815486170775"/>
    <x v="1357"/>
    <s v="MAHADEV CEMENT SUPPLIERS"/>
    <n v="170775"/>
    <s v="GANPAT LAL MAROTHIYA AND SONS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0"/>
    <n v="0"/>
    <n v="0"/>
    <n v="0"/>
    <n v="0"/>
    <n v="22"/>
    <n v="0"/>
    <n v="0"/>
    <s v="JODHPUR"/>
    <s v="JODHPUR"/>
    <s v="RJ-JODHPUR"/>
    <d v="2021-07-12T00:00:00"/>
  </r>
  <r>
    <s v="815511170775"/>
    <x v="1358"/>
    <s v="HINDUSTAN BUILDING MATERIAL"/>
    <n v="170775"/>
    <s v="GANPAT LAL MAROTHIYA AND SONS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JODHPUR"/>
    <s v="JODHPUR"/>
    <s v="RJ-JODHPUR"/>
    <d v="2021-07-14T00:00:00"/>
  </r>
  <r>
    <s v="815557178230"/>
    <x v="1359"/>
    <s v="NAGANARAY CEMENT AGENCY"/>
    <n v="178230"/>
    <s v="SHREE RADHEY BUILDING MATERIAL"/>
    <n v="10"/>
    <n v="0"/>
    <n v="0"/>
    <n v="0"/>
    <n v="0"/>
    <n v="0"/>
    <n v="0"/>
    <n v="0"/>
    <n v="0"/>
    <n v="0"/>
    <n v="0"/>
    <n v="0"/>
    <n v="15"/>
    <n v="0"/>
    <n v="0"/>
    <n v="30"/>
    <n v="0"/>
    <n v="0"/>
    <n v="0"/>
    <n v="0"/>
    <n v="0"/>
    <n v="0"/>
    <n v="0"/>
    <n v="0"/>
    <n v="55"/>
    <n v="0"/>
    <n v="0"/>
    <s v="JODHPUR"/>
    <s v="JODHPUR"/>
    <s v="RJ-JODHPUR"/>
    <d v="2021-07-19T00:00:00"/>
  </r>
  <r>
    <s v="815558173224"/>
    <x v="1360"/>
    <s v="SHREE RAMDEV BUILDING MATERIAL"/>
    <n v="173224"/>
    <s v="D.R.MARBLE &amp; SANITORY"/>
    <n v="91.5"/>
    <n v="0"/>
    <n v="0"/>
    <n v="65"/>
    <n v="0"/>
    <n v="0"/>
    <n v="111"/>
    <n v="0"/>
    <n v="0"/>
    <n v="60"/>
    <n v="0"/>
    <n v="0"/>
    <n v="35"/>
    <n v="0"/>
    <n v="0"/>
    <n v="37"/>
    <n v="0"/>
    <n v="0"/>
    <n v="10"/>
    <n v="0"/>
    <n v="0"/>
    <n v="50"/>
    <n v="0"/>
    <n v="0"/>
    <n v="459.5"/>
    <n v="0"/>
    <n v="0"/>
    <s v="JODHPUR"/>
    <s v="JODHPUR"/>
    <s v="RJ-JODHPUR"/>
    <d v="2021-07-19T00:00:00"/>
  </r>
  <r>
    <s v="815797205742"/>
    <x v="1361"/>
    <s v="DURGA CEMENT AGENCY"/>
    <n v="205742"/>
    <s v="KISTURI TRADERS"/>
    <n v="20"/>
    <n v="0"/>
    <n v="0"/>
    <n v="10"/>
    <n v="0"/>
    <n v="0"/>
    <n v="10"/>
    <n v="0"/>
    <n v="0"/>
    <n v="31"/>
    <n v="0"/>
    <n v="0"/>
    <n v="0"/>
    <n v="0"/>
    <n v="0"/>
    <n v="15"/>
    <n v="0"/>
    <n v="0"/>
    <n v="0"/>
    <n v="0"/>
    <n v="0"/>
    <n v="15"/>
    <n v="0"/>
    <n v="0"/>
    <n v="101"/>
    <n v="0"/>
    <n v="0"/>
    <s v="JODHPUR"/>
    <s v="JODHPUR"/>
    <s v="RJ-JODHPUR"/>
    <d v="2021-07-31T00:00:00"/>
  </r>
  <r>
    <s v="815798173224"/>
    <x v="1362"/>
    <s v="SHREE SAMARATHAL CEMENT AGENCY"/>
    <n v="173224"/>
    <s v="D.R.MARBLE &amp; SANITORY"/>
    <n v="40"/>
    <n v="0"/>
    <n v="0"/>
    <n v="60"/>
    <n v="0"/>
    <n v="0"/>
    <n v="60"/>
    <n v="0"/>
    <n v="0"/>
    <n v="45"/>
    <n v="0"/>
    <n v="0"/>
    <n v="60"/>
    <n v="0"/>
    <n v="0"/>
    <n v="15"/>
    <n v="0"/>
    <n v="0"/>
    <n v="35"/>
    <n v="0"/>
    <n v="0"/>
    <n v="140"/>
    <n v="0"/>
    <n v="0"/>
    <n v="455"/>
    <n v="0"/>
    <n v="0"/>
    <s v="JODHPUR"/>
    <s v="JODHPUR"/>
    <s v="RJ-JODHPUR"/>
    <d v="2021-07-31T00:00:00"/>
  </r>
  <r>
    <s v="815845119038"/>
    <x v="1363"/>
    <s v="SHREE BALAJI ASSOCIATES"/>
    <n v="119038"/>
    <s v="NAVEEN DISTRIBUTORS"/>
    <n v="50"/>
    <n v="0"/>
    <n v="0"/>
    <n v="0"/>
    <n v="0"/>
    <n v="0"/>
    <n v="13"/>
    <n v="0"/>
    <n v="0"/>
    <n v="0"/>
    <n v="0"/>
    <n v="0"/>
    <n v="20"/>
    <n v="0"/>
    <n v="0"/>
    <n v="0"/>
    <n v="0"/>
    <n v="0"/>
    <n v="30"/>
    <n v="0"/>
    <n v="0"/>
    <n v="0"/>
    <n v="0"/>
    <n v="0"/>
    <n v="113"/>
    <n v="0"/>
    <n v="0"/>
    <s v="JODHPUR"/>
    <s v="JODHPUR"/>
    <s v="RJ-JODHPUR"/>
    <d v="2021-08-04T00:00:00"/>
  </r>
  <r>
    <s v="815865205343"/>
    <x v="1364"/>
    <s v="SHARAD CEMENT &amp; ADDEN SUPPLIER"/>
    <n v="205343"/>
    <s v="ARIHANT TRADERS"/>
    <n v="60"/>
    <n v="0"/>
    <n v="0"/>
    <n v="97"/>
    <n v="0"/>
    <n v="0"/>
    <n v="156"/>
    <n v="0"/>
    <n v="0"/>
    <n v="80.5"/>
    <n v="5.5"/>
    <n v="0"/>
    <n v="55"/>
    <n v="0"/>
    <n v="0"/>
    <n v="161"/>
    <n v="0"/>
    <n v="0"/>
    <n v="95.5"/>
    <n v="0"/>
    <n v="0"/>
    <n v="185"/>
    <n v="10"/>
    <n v="0"/>
    <n v="890"/>
    <n v="5.5"/>
    <n v="0"/>
    <s v="JODHPUR"/>
    <s v="JODHPUR"/>
    <s v="RJ-JODHPUR"/>
    <d v="2021-08-07T00:00:00"/>
  </r>
  <r>
    <s v="816056170775"/>
    <x v="1365"/>
    <s v="FAUJI CEMENT AGENCY"/>
    <n v="170775"/>
    <s v="GANPAT LAL MAROTHIYA AND SONS"/>
    <n v="25"/>
    <n v="0"/>
    <n v="0"/>
    <n v="0"/>
    <n v="0"/>
    <n v="0"/>
    <n v="55"/>
    <n v="0"/>
    <n v="0"/>
    <n v="30"/>
    <n v="0"/>
    <n v="0"/>
    <n v="0"/>
    <n v="0"/>
    <n v="0"/>
    <n v="40"/>
    <n v="0"/>
    <n v="0"/>
    <n v="10"/>
    <n v="0"/>
    <n v="0"/>
    <n v="65"/>
    <n v="0"/>
    <n v="0"/>
    <n v="225"/>
    <n v="0"/>
    <n v="0"/>
    <s v="JODHPUR"/>
    <s v="JODHPUR"/>
    <s v="RJ-JODHPUR"/>
    <d v="2021-08-21T00:00:00"/>
  </r>
  <r>
    <s v="816093172338"/>
    <x v="1366"/>
    <s v="VEER TEJA MOBILE AND SANITARY"/>
    <n v="172338"/>
    <s v="KHILJEE BUILDING MATERIAL"/>
    <n v="20"/>
    <n v="0"/>
    <n v="0"/>
    <n v="35"/>
    <n v="0"/>
    <n v="0"/>
    <n v="70"/>
    <n v="0"/>
    <n v="0"/>
    <n v="0"/>
    <n v="0"/>
    <n v="0"/>
    <n v="15"/>
    <n v="0"/>
    <n v="0"/>
    <n v="30"/>
    <n v="0"/>
    <n v="0"/>
    <n v="45"/>
    <n v="0"/>
    <n v="0"/>
    <n v="45"/>
    <n v="0"/>
    <n v="0"/>
    <n v="260"/>
    <n v="0"/>
    <n v="0"/>
    <s v="JODHPUR"/>
    <s v="JODHPUR"/>
    <s v="RJ-JODHPUR"/>
    <d v="2021-08-24T00:00:00"/>
  </r>
  <r>
    <s v="816363173374"/>
    <x v="1367"/>
    <s v="BALAJI CEMENT AGENCY"/>
    <n v="173374"/>
    <s v="SHREE BALAJI HARDWARE AND BART"/>
    <n v="30"/>
    <n v="0"/>
    <n v="0"/>
    <n v="0"/>
    <n v="0"/>
    <n v="0"/>
    <n v="0"/>
    <n v="0"/>
    <n v="0"/>
    <n v="70"/>
    <n v="0"/>
    <n v="0"/>
    <n v="0"/>
    <n v="0"/>
    <n v="0"/>
    <n v="70"/>
    <n v="0"/>
    <n v="0"/>
    <n v="70"/>
    <n v="0"/>
    <n v="0"/>
    <n v="0"/>
    <n v="0"/>
    <n v="0"/>
    <n v="240"/>
    <n v="0"/>
    <n v="0"/>
    <s v="JODHPUR"/>
    <s v="JODHPUR"/>
    <s v="RJ-JODHPUR"/>
    <d v="2021-09-16T00:00:00"/>
  </r>
  <r>
    <s v="816594205742"/>
    <x v="1368"/>
    <s v="SHREE RAM CEMENT AGENCY"/>
    <n v="205742"/>
    <s v="KISTURI TRADERS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JODHPUR"/>
    <s v="JODHPUR"/>
    <s v="RJ-JODHPUR"/>
    <d v="2021-09-30T00:00:00"/>
  </r>
  <r>
    <s v="816642173224"/>
    <x v="1369"/>
    <s v="BALAJI BUILDING MATERIAL"/>
    <n v="173224"/>
    <s v="D.R.MARBLE &amp; SANITORY"/>
    <n v="11"/>
    <n v="0"/>
    <n v="0"/>
    <n v="30"/>
    <n v="0"/>
    <n v="0"/>
    <n v="20"/>
    <n v="0"/>
    <n v="0"/>
    <n v="0"/>
    <n v="0"/>
    <n v="0"/>
    <n v="0"/>
    <n v="0"/>
    <n v="0"/>
    <n v="0"/>
    <n v="0"/>
    <n v="0"/>
    <n v="0"/>
    <n v="0"/>
    <n v="0"/>
    <n v="20"/>
    <n v="0"/>
    <n v="0"/>
    <n v="81"/>
    <n v="0"/>
    <n v="0"/>
    <s v="JODHPUR"/>
    <s v="JODHPUR"/>
    <s v="RJ-JODHPUR"/>
    <d v="2021-10-05T00:00:00"/>
  </r>
  <r>
    <s v="816760119038"/>
    <x v="1370"/>
    <s v="HITESH ENTERPRISES"/>
    <n v="119038"/>
    <s v="NAVEEN DISTRIBUTORS"/>
    <n v="0"/>
    <n v="0"/>
    <n v="0"/>
    <n v="0"/>
    <n v="0"/>
    <n v="0"/>
    <n v="0"/>
    <n v="0"/>
    <n v="0"/>
    <n v="0"/>
    <n v="0"/>
    <n v="0"/>
    <n v="22.5"/>
    <n v="0"/>
    <n v="0"/>
    <n v="0"/>
    <n v="0"/>
    <n v="0"/>
    <n v="0"/>
    <n v="0"/>
    <n v="0"/>
    <n v="0"/>
    <n v="0"/>
    <n v="0"/>
    <n v="22.5"/>
    <n v="0"/>
    <n v="0"/>
    <s v="JODHPUR"/>
    <s v="JODHPUR"/>
    <s v="RJ-JODHPUR"/>
    <d v="2021-10-18T00:00:00"/>
  </r>
  <r>
    <s v="816781173224"/>
    <x v="1371"/>
    <s v="SHREE MEHOJI CEMENT AGENCY"/>
    <n v="173224"/>
    <s v="D.R.MARBLE &amp; SANITORY"/>
    <n v="20"/>
    <n v="0"/>
    <n v="0"/>
    <n v="5"/>
    <n v="0"/>
    <n v="0"/>
    <n v="15"/>
    <n v="0"/>
    <n v="0"/>
    <n v="15"/>
    <n v="0"/>
    <n v="0"/>
    <n v="10"/>
    <n v="0"/>
    <n v="0"/>
    <n v="10"/>
    <n v="0"/>
    <n v="0"/>
    <n v="10"/>
    <n v="0"/>
    <n v="0"/>
    <n v="22.5"/>
    <n v="0"/>
    <n v="0"/>
    <n v="107.5"/>
    <n v="0"/>
    <n v="0"/>
    <s v="JODHPUR"/>
    <s v="JODHPUR"/>
    <s v="RJ-JODHPUR"/>
    <d v="2021-10-20T00:00:00"/>
  </r>
  <r>
    <s v="817106170775"/>
    <x v="1372"/>
    <s v="SHIV SHAKTI CEMENT"/>
    <n v="170775"/>
    <s v="GANPAT LAL MAROTHIYA AND SONS"/>
    <n v="15"/>
    <n v="0"/>
    <n v="0"/>
    <n v="15"/>
    <n v="0"/>
    <n v="0"/>
    <n v="70"/>
    <n v="0"/>
    <n v="0"/>
    <n v="12"/>
    <n v="0"/>
    <n v="0"/>
    <n v="0"/>
    <n v="0"/>
    <n v="0"/>
    <n v="40"/>
    <n v="0"/>
    <n v="0"/>
    <n v="25"/>
    <n v="0"/>
    <n v="0"/>
    <n v="45"/>
    <n v="0"/>
    <n v="0"/>
    <n v="222"/>
    <n v="0"/>
    <n v="0"/>
    <s v="JODHPUR"/>
    <s v="JODHPUR"/>
    <s v="RJ-JODHPUR"/>
    <d v="2021-11-25T00:00:00"/>
  </r>
  <r>
    <s v="817108119038"/>
    <x v="1373"/>
    <s v="HARSH BUILDING MATERIAL"/>
    <n v="119038"/>
    <s v="NAVEEN DISTRIBUTORS"/>
    <n v="45"/>
    <n v="0"/>
    <n v="0"/>
    <n v="65"/>
    <n v="0"/>
    <n v="0"/>
    <n v="111"/>
    <n v="0"/>
    <n v="10"/>
    <n v="40"/>
    <n v="0"/>
    <n v="0"/>
    <n v="55"/>
    <n v="0"/>
    <n v="0"/>
    <n v="55"/>
    <n v="20"/>
    <n v="0"/>
    <n v="68.25"/>
    <n v="5"/>
    <n v="15"/>
    <n v="91.75"/>
    <n v="0"/>
    <n v="10"/>
    <n v="531"/>
    <n v="25"/>
    <n v="25"/>
    <s v="JODHPUR"/>
    <s v="JODHPUR"/>
    <s v="RJ-JODHPUR"/>
    <d v="2021-11-25T00:00:00"/>
  </r>
  <r>
    <s v="817159119038"/>
    <x v="1374"/>
    <s v="SHREE MEHOJI CEMENT AGENCY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21-11-29T00:00:00"/>
  </r>
  <r>
    <s v="817337177379"/>
    <x v="1375"/>
    <s v="SHRI KRISHNA BUILDING MATERIAL"/>
    <n v="177379"/>
    <s v="MANGILAL &amp; SONS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JODHPUR"/>
    <s v="JODHPUR"/>
    <s v="RJ-JODHPUR"/>
    <d v="2021-12-16T00:00:00"/>
  </r>
  <r>
    <s v="817349205742"/>
    <x v="1376"/>
    <s v="BALAJI CEMENT UDYOG"/>
    <n v="205742"/>
    <s v="KISTUR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21-12-17T00:00:00"/>
  </r>
  <r>
    <s v="817372173224"/>
    <x v="1377"/>
    <s v="MAJISHA CONSTRUCTION COMPANY"/>
    <n v="173224"/>
    <s v="D.R.MARBLE &amp; SANITORY"/>
    <n v="25"/>
    <n v="0"/>
    <n v="0"/>
    <n v="45"/>
    <n v="0"/>
    <n v="0"/>
    <n v="45"/>
    <n v="0"/>
    <n v="0"/>
    <n v="20"/>
    <n v="0"/>
    <n v="0"/>
    <n v="10"/>
    <n v="0"/>
    <n v="0"/>
    <n v="7.5"/>
    <n v="0"/>
    <n v="0"/>
    <n v="5"/>
    <n v="0"/>
    <n v="0"/>
    <n v="7.5"/>
    <n v="0"/>
    <n v="0"/>
    <n v="165"/>
    <n v="0"/>
    <n v="0"/>
    <s v="JODHPUR"/>
    <s v="JODHPUR"/>
    <s v="RJ-JODHPUR"/>
    <d v="2021-12-20T00:00:00"/>
  </r>
  <r>
    <s v="817480119038"/>
    <x v="1378"/>
    <s v="KARNI KRIPA CEMENT AGENCY THOB"/>
    <n v="119038"/>
    <s v="NAVEEN DISTRIBUTORS"/>
    <n v="34.5"/>
    <n v="0"/>
    <n v="0"/>
    <n v="35"/>
    <n v="0"/>
    <n v="0"/>
    <n v="0"/>
    <n v="0"/>
    <n v="0"/>
    <n v="35"/>
    <n v="0"/>
    <n v="0"/>
    <n v="0"/>
    <n v="0"/>
    <n v="0"/>
    <n v="35"/>
    <n v="0"/>
    <n v="0"/>
    <n v="0"/>
    <n v="0"/>
    <n v="0"/>
    <n v="10"/>
    <n v="0"/>
    <n v="0"/>
    <n v="149.5"/>
    <n v="0"/>
    <n v="0"/>
    <s v="JODHPUR"/>
    <s v="JODHPUR"/>
    <s v="RJ-JODHPUR"/>
    <d v="2021-12-27T00:00:00"/>
  </r>
  <r>
    <s v="817489170775"/>
    <x v="1379"/>
    <s v="SENGAWA MARKET"/>
    <n v="170775"/>
    <s v="GANPAT LAL MAROTHIYA AND SONS"/>
    <n v="10"/>
    <n v="0"/>
    <n v="0"/>
    <n v="0"/>
    <n v="0"/>
    <n v="0"/>
    <n v="35"/>
    <n v="0"/>
    <n v="0"/>
    <n v="15"/>
    <n v="0"/>
    <n v="0"/>
    <n v="0"/>
    <n v="0"/>
    <n v="0"/>
    <n v="40"/>
    <n v="0"/>
    <n v="0"/>
    <n v="40"/>
    <n v="0"/>
    <n v="0"/>
    <n v="40"/>
    <n v="10"/>
    <n v="0"/>
    <n v="180"/>
    <n v="0"/>
    <n v="0"/>
    <s v="JODHPUR"/>
    <s v="JODHPUR"/>
    <s v="RJ-JODHPUR"/>
    <d v="2021-12-27T00:00:00"/>
  </r>
  <r>
    <s v="817588172338"/>
    <x v="1380"/>
    <s v="RINIYA BALAJI CEMENT AGENCY"/>
    <n v="172338"/>
    <s v="KHILJEE BUILDING MATERIAL"/>
    <n v="15"/>
    <n v="0"/>
    <n v="0"/>
    <n v="25"/>
    <n v="0"/>
    <n v="0"/>
    <n v="10"/>
    <n v="0"/>
    <n v="0"/>
    <n v="0"/>
    <n v="0"/>
    <n v="0"/>
    <n v="20"/>
    <n v="0"/>
    <n v="0"/>
    <n v="10"/>
    <n v="0"/>
    <n v="0"/>
    <n v="0"/>
    <n v="0"/>
    <n v="0"/>
    <n v="25"/>
    <n v="0"/>
    <n v="0"/>
    <n v="105"/>
    <n v="0"/>
    <n v="0"/>
    <s v="JODHPUR"/>
    <s v="JODHPUR"/>
    <s v="RJ-JODHPUR"/>
    <d v="2022-01-03T00:00:00"/>
  </r>
  <r>
    <s v="817589172338"/>
    <x v="1381"/>
    <s v="JAI SHREE NAGNARAI BUILDING MA"/>
    <n v="172338"/>
    <s v="KHILJEE BUILDING MATERIAL"/>
    <n v="20"/>
    <n v="0"/>
    <n v="0"/>
    <n v="10"/>
    <n v="0"/>
    <n v="0"/>
    <n v="10"/>
    <n v="0"/>
    <n v="0"/>
    <n v="0"/>
    <n v="0"/>
    <n v="0"/>
    <n v="0"/>
    <n v="0"/>
    <n v="0"/>
    <n v="5"/>
    <n v="0"/>
    <n v="0"/>
    <n v="15"/>
    <n v="0"/>
    <n v="0"/>
    <n v="60"/>
    <n v="0"/>
    <n v="0"/>
    <n v="120"/>
    <n v="0"/>
    <n v="0"/>
    <s v="JODHPUR"/>
    <s v="JODHPUR"/>
    <s v="RJ-JODHPUR"/>
    <d v="2022-01-03T00:00:00"/>
  </r>
  <r>
    <s v="817735173224"/>
    <x v="1382"/>
    <s v="MAHARISHI GAUTAM CEMENT AGENCY"/>
    <n v="173224"/>
    <s v="D.R.MARBLE &amp; SANITORY"/>
    <n v="15"/>
    <n v="0"/>
    <n v="0"/>
    <n v="10"/>
    <n v="0"/>
    <n v="0"/>
    <n v="25"/>
    <n v="0"/>
    <n v="0"/>
    <n v="50"/>
    <n v="0"/>
    <n v="0"/>
    <n v="10"/>
    <n v="0"/>
    <n v="0"/>
    <n v="10"/>
    <n v="0"/>
    <n v="0"/>
    <n v="10"/>
    <n v="0"/>
    <n v="0"/>
    <n v="15"/>
    <n v="0"/>
    <n v="0"/>
    <n v="145"/>
    <n v="0"/>
    <n v="0"/>
    <s v="JODHPUR"/>
    <s v="JODHPUR"/>
    <s v="RJ-JODHPUR"/>
    <d v="2022-01-19T00:00:00"/>
  </r>
  <r>
    <s v="817866174378"/>
    <x v="1383"/>
    <s v="SHREE YADE CEMENT AGENCY"/>
    <n v="174378"/>
    <s v="BELIM CEMENT AND BUILDING MA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ODHPUR"/>
    <s v="JODHPUR"/>
    <s v="RJ-JODHPUR"/>
    <d v="2022-01-28T00:00:00"/>
  </r>
  <r>
    <s v="817901119038"/>
    <x v="1384"/>
    <s v="SHRI ROOP SHREE BUILDING MATER"/>
    <n v="119038"/>
    <s v="NAVEEN DISTRIBUTORS"/>
    <n v="25"/>
    <n v="0"/>
    <n v="0"/>
    <n v="0"/>
    <n v="0"/>
    <n v="0"/>
    <n v="10"/>
    <n v="10"/>
    <n v="0"/>
    <n v="0"/>
    <n v="0"/>
    <n v="0"/>
    <n v="0"/>
    <n v="0"/>
    <n v="0"/>
    <n v="0"/>
    <n v="0"/>
    <n v="0"/>
    <n v="10"/>
    <n v="0"/>
    <n v="0"/>
    <n v="10"/>
    <n v="0"/>
    <n v="0"/>
    <n v="55"/>
    <n v="10"/>
    <n v="0"/>
    <s v="JODHPUR"/>
    <s v="JODHPUR"/>
    <s v="RJ-JODHPUR"/>
    <d v="2022-01-31T00:00:00"/>
  </r>
  <r>
    <s v="817902172706"/>
    <x v="1385"/>
    <s v="SUNIL CEMENT AGENCY"/>
    <n v="172706"/>
    <s v="KAMAL CONSTRUCTION COMPANY"/>
    <n v="0"/>
    <n v="0"/>
    <n v="0"/>
    <n v="30"/>
    <n v="0"/>
    <n v="0"/>
    <n v="45"/>
    <n v="0"/>
    <n v="0"/>
    <n v="20"/>
    <n v="0"/>
    <n v="0"/>
    <n v="10"/>
    <n v="0"/>
    <n v="0"/>
    <n v="0"/>
    <n v="0"/>
    <n v="0"/>
    <n v="0"/>
    <n v="0"/>
    <n v="0"/>
    <n v="0"/>
    <n v="0"/>
    <n v="0"/>
    <n v="105"/>
    <n v="0"/>
    <n v="0"/>
    <s v="JODHPUR"/>
    <s v="JODHPUR"/>
    <s v="RJ-JODHPUR"/>
    <d v="2022-01-31T00:00:00"/>
  </r>
  <r>
    <s v="818177170775"/>
    <x v="1386"/>
    <s v="MAHADEV STONE AND CEMENT SUPPL"/>
    <n v="170775"/>
    <s v="GANPAT LAL MAROTHIYA AND SONS"/>
    <n v="0"/>
    <n v="0"/>
    <n v="0"/>
    <n v="0"/>
    <n v="0"/>
    <n v="0"/>
    <n v="5"/>
    <n v="0"/>
    <n v="0"/>
    <n v="0"/>
    <n v="0"/>
    <n v="0"/>
    <n v="20"/>
    <n v="0"/>
    <n v="0"/>
    <n v="20"/>
    <n v="0"/>
    <n v="0"/>
    <n v="50"/>
    <n v="0"/>
    <n v="0"/>
    <n v="10"/>
    <n v="0"/>
    <n v="0"/>
    <n v="105"/>
    <n v="0"/>
    <n v="0"/>
    <s v="JODHPUR"/>
    <s v="JODHPUR"/>
    <s v="RJ-JODHPUR"/>
    <d v="2022-02-26T00:00:00"/>
  </r>
  <r>
    <s v="818181170775"/>
    <x v="1387"/>
    <s v="SHRI MAHADEV BUILDING MATERIAL"/>
    <n v="170775"/>
    <s v="GANPAT LAL MAROTHIYA AND SONS"/>
    <n v="75"/>
    <n v="0"/>
    <n v="0"/>
    <n v="80"/>
    <n v="0"/>
    <n v="0"/>
    <n v="68"/>
    <n v="0"/>
    <n v="0"/>
    <n v="20"/>
    <n v="0"/>
    <n v="0"/>
    <n v="140"/>
    <n v="0"/>
    <n v="0"/>
    <n v="75"/>
    <n v="15"/>
    <n v="0"/>
    <n v="125"/>
    <n v="30"/>
    <n v="0"/>
    <n v="35"/>
    <n v="0"/>
    <n v="0"/>
    <n v="618"/>
    <n v="45"/>
    <n v="0"/>
    <s v="JODHPUR"/>
    <s v="JODHPUR"/>
    <s v="RJ-JODHPUR"/>
    <d v="2022-02-26T00:00:00"/>
  </r>
  <r>
    <s v="818212119038"/>
    <x v="1388"/>
    <s v="NAGANA BUILDING MATERIAL AND S"/>
    <n v="119038"/>
    <s v="NAVEEN DISTRIBUTORS"/>
    <n v="14.5"/>
    <n v="0"/>
    <n v="0"/>
    <n v="15"/>
    <n v="0"/>
    <n v="0"/>
    <n v="0"/>
    <n v="0"/>
    <n v="0"/>
    <n v="22.5"/>
    <n v="0"/>
    <n v="0"/>
    <n v="10"/>
    <n v="0"/>
    <n v="0"/>
    <n v="12.5"/>
    <n v="0"/>
    <n v="0"/>
    <n v="10"/>
    <n v="0"/>
    <n v="0"/>
    <n v="10"/>
    <n v="0"/>
    <n v="0"/>
    <n v="94.5"/>
    <n v="0"/>
    <n v="0"/>
    <s v="JODHPUR"/>
    <s v="JODHPUR"/>
    <s v="RJ-JODHPUR"/>
    <d v="2022-02-28T00:00:00"/>
  </r>
  <r>
    <s v="818280172338"/>
    <x v="1389"/>
    <s v="SHREE YADE TRADERS"/>
    <n v="172338"/>
    <s v="KHILJEE BUILDING MATERIAL"/>
    <n v="35"/>
    <n v="0"/>
    <n v="0"/>
    <n v="75"/>
    <n v="0"/>
    <n v="0"/>
    <n v="60"/>
    <n v="0"/>
    <n v="0"/>
    <n v="70"/>
    <n v="0"/>
    <n v="0"/>
    <n v="65"/>
    <n v="0"/>
    <n v="0"/>
    <n v="560"/>
    <n v="15"/>
    <n v="0"/>
    <n v="55"/>
    <n v="10"/>
    <n v="0"/>
    <n v="15"/>
    <n v="0"/>
    <n v="0"/>
    <n v="935"/>
    <n v="25"/>
    <n v="0"/>
    <s v="JODHPUR"/>
    <s v="JODHPUR"/>
    <s v="RJ-JODHPUR"/>
    <d v="2022-03-05T00:00:00"/>
  </r>
  <r>
    <s v="818290173224"/>
    <x v="1390"/>
    <s v="BALAJI BUILDING MATERIAL"/>
    <n v="173224"/>
    <s v="D.R.MARBLE &amp; SANITORY"/>
    <n v="45"/>
    <n v="0"/>
    <n v="0"/>
    <n v="40"/>
    <n v="15"/>
    <n v="0"/>
    <n v="50"/>
    <n v="0"/>
    <n v="0"/>
    <n v="10"/>
    <n v="0"/>
    <n v="0"/>
    <n v="25"/>
    <n v="0"/>
    <n v="0"/>
    <n v="10"/>
    <n v="0"/>
    <n v="0"/>
    <n v="5"/>
    <n v="0"/>
    <n v="0"/>
    <n v="7.5"/>
    <n v="0"/>
    <n v="0"/>
    <n v="192.5"/>
    <n v="15"/>
    <n v="0"/>
    <s v="JODHPUR"/>
    <s v="JODHPUR"/>
    <s v="RJ-JODHPUR"/>
    <d v="2022-03-07T00:00:00"/>
  </r>
  <r>
    <s v="818293173224"/>
    <x v="1391"/>
    <s v="BHOMIYA JI KIRANA STORE"/>
    <n v="173224"/>
    <s v="D.R.MARBLE &amp; SANITORY"/>
    <n v="10"/>
    <n v="0"/>
    <n v="0"/>
    <n v="10"/>
    <n v="0"/>
    <n v="0"/>
    <n v="20"/>
    <n v="0"/>
    <n v="0"/>
    <n v="0"/>
    <n v="0"/>
    <n v="0"/>
    <n v="15"/>
    <n v="0"/>
    <n v="0"/>
    <n v="15"/>
    <n v="0"/>
    <n v="0"/>
    <n v="0"/>
    <n v="0"/>
    <n v="0"/>
    <n v="25"/>
    <n v="0"/>
    <n v="0"/>
    <n v="95"/>
    <n v="0"/>
    <n v="0"/>
    <s v="JODHPUR"/>
    <s v="JODHPUR"/>
    <s v="RJ-JODHPUR"/>
    <d v="2022-03-07T00:00:00"/>
  </r>
  <r>
    <s v="818342173098"/>
    <x v="1392"/>
    <s v="SHREE NAGANARAY CEMENT"/>
    <n v="173098"/>
    <s v="PABUJI BUILDING MATERIAL"/>
    <n v="70"/>
    <n v="0"/>
    <n v="0"/>
    <n v="18"/>
    <n v="0"/>
    <n v="0"/>
    <n v="50"/>
    <n v="0"/>
    <n v="0"/>
    <n v="17"/>
    <n v="0"/>
    <n v="0"/>
    <n v="0"/>
    <n v="0"/>
    <n v="0"/>
    <n v="0"/>
    <n v="0"/>
    <n v="0"/>
    <n v="20"/>
    <n v="0"/>
    <n v="0"/>
    <n v="25"/>
    <n v="0"/>
    <n v="0"/>
    <n v="200"/>
    <n v="0"/>
    <n v="0"/>
    <s v="JODHPUR"/>
    <s v="JODHPUR"/>
    <s v="RJ-JODHPUR"/>
    <d v="2022-03-12T00:00:00"/>
  </r>
  <r>
    <s v="818409119236"/>
    <x v="1393"/>
    <s v="ROOP SANITORY AND HARDWARE"/>
    <n v="119236"/>
    <s v="PATEL TRADERS"/>
    <n v="50"/>
    <n v="0"/>
    <n v="0"/>
    <n v="75"/>
    <n v="0"/>
    <n v="0"/>
    <n v="95"/>
    <n v="0"/>
    <n v="0"/>
    <n v="85"/>
    <n v="0"/>
    <n v="0"/>
    <n v="20"/>
    <n v="0"/>
    <n v="0"/>
    <n v="52.5"/>
    <n v="0"/>
    <n v="0"/>
    <n v="45"/>
    <n v="0"/>
    <n v="0"/>
    <n v="10"/>
    <n v="0"/>
    <n v="0"/>
    <n v="432.5"/>
    <n v="0"/>
    <n v="0"/>
    <s v="JODHPUR"/>
    <s v="JODHPUR"/>
    <s v="RJ-JODHPUR"/>
    <d v="2022-03-21T00:00:00"/>
  </r>
  <r>
    <s v="818477119038"/>
    <x v="1394"/>
    <s v="OM BALAJI BUILDING MATERIAL"/>
    <n v="119038"/>
    <s v="NAVEEN DISTRIBUTORS"/>
    <n v="188.5"/>
    <n v="0"/>
    <n v="0"/>
    <n v="5.5"/>
    <n v="0"/>
    <n v="0"/>
    <n v="0"/>
    <n v="0"/>
    <n v="0"/>
    <n v="0"/>
    <n v="0"/>
    <n v="0"/>
    <n v="85"/>
    <n v="0"/>
    <n v="0"/>
    <n v="0"/>
    <n v="0"/>
    <n v="0"/>
    <n v="0"/>
    <n v="0"/>
    <n v="0"/>
    <n v="0"/>
    <n v="0"/>
    <n v="0"/>
    <n v="279"/>
    <n v="0"/>
    <n v="0"/>
    <s v="JODHPUR"/>
    <s v="JODHPUR"/>
    <s v="RJ-JODHPUR"/>
    <d v="2022-03-26T00:00:00"/>
  </r>
  <r>
    <s v="818635172338"/>
    <x v="1395"/>
    <s v="SHREE AAIJI TRADERS"/>
    <n v="172338"/>
    <s v="KHILJEE BUILDING MATERIAL"/>
    <n v="60"/>
    <n v="0"/>
    <n v="0"/>
    <n v="0"/>
    <n v="0"/>
    <n v="0"/>
    <n v="27.5"/>
    <n v="0"/>
    <n v="0"/>
    <n v="20"/>
    <n v="0"/>
    <n v="0"/>
    <n v="0"/>
    <n v="0"/>
    <n v="0"/>
    <n v="20"/>
    <n v="0"/>
    <n v="0"/>
    <n v="0"/>
    <n v="0"/>
    <n v="0"/>
    <n v="15"/>
    <n v="0"/>
    <n v="0"/>
    <n v="142.5"/>
    <n v="0"/>
    <n v="0"/>
    <s v="JODHPUR"/>
    <s v="JODHPUR"/>
    <s v="RJ-JODHPUR"/>
    <d v="2022-04-13T00:00:00"/>
  </r>
  <r>
    <s v="818649177379"/>
    <x v="1396"/>
    <s v="BABA RAMDEV KIRANA STORE"/>
    <n v="177379"/>
    <s v="MANGILAL &amp; SONS"/>
    <n v="20"/>
    <n v="0"/>
    <n v="0"/>
    <n v="15"/>
    <n v="0"/>
    <n v="0"/>
    <n v="25"/>
    <n v="0"/>
    <n v="0"/>
    <n v="0"/>
    <n v="0"/>
    <n v="0"/>
    <n v="0"/>
    <n v="0"/>
    <n v="0"/>
    <n v="65"/>
    <n v="0"/>
    <n v="0"/>
    <n v="0"/>
    <n v="0"/>
    <n v="0"/>
    <n v="15"/>
    <n v="0"/>
    <n v="0"/>
    <n v="140"/>
    <n v="0"/>
    <n v="0"/>
    <s v="JODHPUR"/>
    <s v="JODHPUR"/>
    <s v="RJ-JODHPUR"/>
    <d v="2022-04-15T00:00:00"/>
  </r>
  <r>
    <s v="818736119038"/>
    <x v="1397"/>
    <s v="SHARMA TRADERS"/>
    <n v="119038"/>
    <s v="NAVEEN DISTRIBUTORS"/>
    <n v="0"/>
    <n v="0"/>
    <n v="0"/>
    <n v="34.5"/>
    <n v="0"/>
    <n v="0"/>
    <n v="15"/>
    <n v="0"/>
    <n v="0"/>
    <n v="20"/>
    <n v="0"/>
    <n v="0"/>
    <n v="0"/>
    <n v="0"/>
    <n v="0"/>
    <n v="0"/>
    <n v="0"/>
    <n v="0"/>
    <n v="0"/>
    <n v="0"/>
    <n v="0"/>
    <n v="0"/>
    <n v="0"/>
    <n v="0"/>
    <n v="69.5"/>
    <n v="0"/>
    <n v="0"/>
    <s v="JODHPUR"/>
    <s v="JODHPUR"/>
    <s v="RJ-JODHPUR"/>
    <d v="2022-04-25T00:00:00"/>
  </r>
  <r>
    <s v="818771119038"/>
    <x v="1398"/>
    <s v="NEW OM GEHLOT TRADERS"/>
    <n v="119038"/>
    <s v="NAVEEN DISTRIBUTORS"/>
    <n v="78"/>
    <n v="0"/>
    <n v="0"/>
    <n v="45"/>
    <n v="0"/>
    <n v="0"/>
    <n v="0"/>
    <n v="0"/>
    <n v="0"/>
    <n v="0"/>
    <n v="0"/>
    <n v="0"/>
    <n v="170"/>
    <n v="0"/>
    <n v="0"/>
    <n v="139"/>
    <n v="0"/>
    <n v="0"/>
    <n v="110"/>
    <n v="0"/>
    <n v="0"/>
    <n v="0"/>
    <n v="0"/>
    <n v="0"/>
    <n v="542"/>
    <n v="0"/>
    <n v="0"/>
    <s v="JODHPUR"/>
    <s v="JODHPUR"/>
    <s v="RJ-JODHPUR"/>
    <d v="2022-04-27T00:00:00"/>
  </r>
  <r>
    <s v="818902119236"/>
    <x v="1399"/>
    <s v="HAR HAR MAHADEV BUILDING MATER"/>
    <n v="119236"/>
    <s v="PATEL TRADERS"/>
    <n v="0"/>
    <n v="0"/>
    <n v="0"/>
    <n v="115"/>
    <n v="0"/>
    <n v="0"/>
    <n v="100"/>
    <n v="0"/>
    <n v="0"/>
    <n v="90"/>
    <n v="0"/>
    <n v="0"/>
    <n v="139"/>
    <n v="0"/>
    <n v="0"/>
    <n v="75"/>
    <n v="0"/>
    <n v="5"/>
    <n v="191.5"/>
    <n v="5.5"/>
    <n v="0"/>
    <n v="130"/>
    <n v="0"/>
    <n v="0"/>
    <n v="840.5"/>
    <n v="5.5"/>
    <n v="5"/>
    <s v="JODHPUR"/>
    <s v="JODHPUR"/>
    <s v="RJ-JODHPUR"/>
    <d v="2022-05-11T00:00:00"/>
  </r>
  <r>
    <s v="818970176644"/>
    <x v="1400"/>
    <s v="AMIT BUILDING MATERIAL"/>
    <n v="176644"/>
    <s v="MAHADEV TRADING COMPANY"/>
    <n v="0"/>
    <n v="0"/>
    <n v="0"/>
    <n v="35"/>
    <n v="0"/>
    <n v="0"/>
    <n v="20"/>
    <n v="0"/>
    <n v="0"/>
    <n v="40"/>
    <n v="0"/>
    <n v="0"/>
    <n v="55"/>
    <n v="0"/>
    <n v="0"/>
    <n v="60"/>
    <n v="0"/>
    <n v="0"/>
    <n v="0"/>
    <n v="0"/>
    <n v="0"/>
    <n v="30"/>
    <n v="0"/>
    <n v="0"/>
    <n v="240"/>
    <n v="0"/>
    <n v="0"/>
    <s v="JODHPUR"/>
    <s v="JODHPUR"/>
    <s v="RJ-JODHPUR"/>
    <d v="2022-05-17T00:00:00"/>
  </r>
  <r>
    <s v="819398173224"/>
    <x v="1401"/>
    <s v="JAGRTI CEMENT AGENCY"/>
    <n v="173224"/>
    <s v="D.R.MARBLE &amp; SANITORY"/>
    <n v="0"/>
    <n v="0"/>
    <n v="0"/>
    <n v="0"/>
    <n v="0"/>
    <n v="0"/>
    <n v="90"/>
    <n v="0"/>
    <n v="0"/>
    <n v="75"/>
    <n v="0"/>
    <n v="0"/>
    <n v="87"/>
    <n v="0"/>
    <n v="0"/>
    <n v="30"/>
    <n v="0"/>
    <n v="0"/>
    <n v="50"/>
    <n v="0"/>
    <n v="0"/>
    <n v="70"/>
    <n v="0"/>
    <n v="0"/>
    <n v="402"/>
    <n v="0"/>
    <n v="0"/>
    <s v="JODHPUR"/>
    <s v="JODHPUR"/>
    <s v="RJ-JODHPUR"/>
    <d v="2022-06-18T00:00:00"/>
  </r>
  <r>
    <s v="819503172338"/>
    <x v="1402"/>
    <s v="NAGANARAY KIRANA STORE"/>
    <n v="172338"/>
    <s v="KHILJEE BUILDING MATERIAL"/>
    <n v="0"/>
    <n v="0"/>
    <n v="0"/>
    <n v="0"/>
    <n v="0"/>
    <n v="0"/>
    <n v="0"/>
    <n v="0"/>
    <n v="0"/>
    <n v="35"/>
    <n v="0"/>
    <n v="0"/>
    <n v="0"/>
    <n v="0"/>
    <n v="0"/>
    <n v="0"/>
    <n v="0"/>
    <n v="0"/>
    <n v="0"/>
    <n v="0"/>
    <n v="0"/>
    <n v="15"/>
    <n v="0"/>
    <n v="0"/>
    <n v="50"/>
    <n v="0"/>
    <n v="0"/>
    <s v="JODHPUR"/>
    <s v="JODHPUR"/>
    <s v="RJ-JODHPUR"/>
    <d v="2022-06-24T00:00:00"/>
  </r>
  <r>
    <s v="819569210447"/>
    <x v="1403"/>
    <s v="ARIHANT TRADING COMPANY"/>
    <n v="210447"/>
    <s v="KOMAL TRADING CO"/>
    <n v="0"/>
    <n v="0"/>
    <n v="0"/>
    <n v="0"/>
    <n v="0"/>
    <n v="0"/>
    <n v="0"/>
    <n v="0"/>
    <n v="0"/>
    <n v="0"/>
    <n v="0"/>
    <n v="0"/>
    <n v="45"/>
    <n v="0"/>
    <n v="0"/>
    <n v="0"/>
    <n v="0"/>
    <n v="0"/>
    <n v="0"/>
    <n v="0"/>
    <n v="0"/>
    <n v="17.5"/>
    <n v="0"/>
    <n v="0"/>
    <n v="62.5"/>
    <n v="0"/>
    <n v="0"/>
    <s v="JODHPUR"/>
    <s v="JODHPUR"/>
    <s v="RJ-JODHPUR"/>
    <d v="2022-06-30T00:00:00"/>
  </r>
  <r>
    <s v="819607170775"/>
    <x v="1404"/>
    <s v="RAMDEV TILES AND SANITORY"/>
    <n v="170775"/>
    <s v="GANPAT LAL MAROTHIYA AND SONS"/>
    <n v="0"/>
    <n v="0"/>
    <n v="0"/>
    <n v="0"/>
    <n v="0"/>
    <n v="0"/>
    <n v="0"/>
    <n v="0"/>
    <n v="0"/>
    <n v="30"/>
    <n v="0"/>
    <n v="0"/>
    <n v="20"/>
    <n v="0"/>
    <n v="0"/>
    <n v="20"/>
    <n v="0"/>
    <n v="0"/>
    <n v="20"/>
    <n v="0"/>
    <n v="20"/>
    <n v="10"/>
    <n v="0"/>
    <n v="0"/>
    <n v="100"/>
    <n v="0"/>
    <n v="20"/>
    <s v="JODHPUR"/>
    <s v="JODHPUR"/>
    <s v="RJ-JODHPUR"/>
    <d v="2022-07-04T00:00:00"/>
  </r>
  <r>
    <s v="819744172338"/>
    <x v="1405"/>
    <s v="SHREE BAJRANG BALI KIRANA STOR"/>
    <n v="172338"/>
    <s v="KHILJEE BUILDING MATERIAL"/>
    <n v="0"/>
    <n v="0"/>
    <n v="0"/>
    <n v="0"/>
    <n v="0"/>
    <n v="0"/>
    <n v="0"/>
    <n v="0"/>
    <n v="0"/>
    <n v="50"/>
    <n v="0"/>
    <n v="0"/>
    <n v="20"/>
    <n v="0"/>
    <n v="0"/>
    <n v="20"/>
    <n v="0"/>
    <n v="0"/>
    <n v="15"/>
    <n v="0"/>
    <n v="0"/>
    <n v="25"/>
    <n v="0"/>
    <n v="0"/>
    <n v="130"/>
    <n v="0"/>
    <n v="0"/>
    <s v="JODHPUR"/>
    <s v="JODHPUR"/>
    <s v="RJ-JODHPUR"/>
    <d v="2022-07-14T00:00:00"/>
  </r>
  <r>
    <s v="820183119038"/>
    <x v="1406"/>
    <s v="SARAN TRADERS"/>
    <s v="119038"/>
    <s v="NAVEEN DISTRIBUTORS"/>
    <n v="0"/>
    <n v="0"/>
    <n v="0"/>
    <n v="0"/>
    <n v="0"/>
    <n v="0"/>
    <n v="0"/>
    <n v="0"/>
    <n v="0"/>
    <n v="0"/>
    <n v="0"/>
    <n v="0"/>
    <n v="20"/>
    <n v="0"/>
    <n v="0"/>
    <n v="4.8"/>
    <n v="0"/>
    <n v="0"/>
    <n v="24.5"/>
    <n v="0"/>
    <n v="0"/>
    <n v="0"/>
    <n v="0"/>
    <n v="0"/>
    <n v="49.3"/>
    <n v="0"/>
    <n v="0"/>
    <s v="JODHPUR"/>
    <s v="JODHPUR"/>
    <s v="RJ-JODHPUR"/>
    <d v="2022-08-20T00:00:00"/>
  </r>
  <r>
    <s v="820203173224"/>
    <x v="1407"/>
    <s v="BABA RAMDEV BUILDING MATERIAL"/>
    <n v="173224"/>
    <s v="D.R.MARBLE &amp; SANITORY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22.5"/>
    <n v="0"/>
    <n v="0"/>
    <n v="45"/>
    <n v="0"/>
    <n v="0"/>
    <n v="92.5"/>
    <n v="0"/>
    <n v="0"/>
    <s v="JODHPUR"/>
    <s v="JODHPUR"/>
    <s v="RJ-JODHPUR"/>
    <d v="2022-08-22T00:00:00"/>
  </r>
  <r>
    <s v="820229119236"/>
    <x v="1408"/>
    <s v="JAI SHREE RAM TRADERS"/>
    <n v="119236"/>
    <s v="PATEL TRADERS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n v="35"/>
    <n v="0"/>
    <n v="0"/>
    <n v="55"/>
    <n v="0"/>
    <n v="0"/>
    <s v="JODHPUR"/>
    <s v="JODHPUR"/>
    <s v="RJ-JODHPUR"/>
    <d v="2022-08-23T00:00:00"/>
  </r>
  <r>
    <s v="820266179946"/>
    <x v="1409"/>
    <s v="BHARTIYA BUILDERS AND CONTRACT"/>
    <s v="179946"/>
    <s v="GAGAN STEEL"/>
    <n v="0"/>
    <n v="0"/>
    <n v="0"/>
    <n v="0"/>
    <n v="0"/>
    <n v="0"/>
    <n v="0"/>
    <n v="0"/>
    <n v="0"/>
    <n v="0"/>
    <n v="0"/>
    <n v="0"/>
    <n v="25"/>
    <n v="0"/>
    <n v="0"/>
    <n v="42.75"/>
    <n v="7.75"/>
    <n v="0"/>
    <n v="17.5"/>
    <n v="0"/>
    <n v="0"/>
    <n v="35"/>
    <n v="0"/>
    <n v="0"/>
    <n v="120.25"/>
    <n v="7.75"/>
    <n v="0"/>
    <s v="JODHPUR"/>
    <s v="JODHPUR"/>
    <s v="RJ-JODHPUR"/>
    <d v="2022-08-25T00:00:00"/>
  </r>
  <r>
    <s v="820271173224"/>
    <x v="1410"/>
    <s v="BALAJI CEMENT AGENCY"/>
    <n v="173224"/>
    <s v="D.R.MARBLE &amp; SANITORY"/>
    <n v="0"/>
    <n v="0"/>
    <n v="0"/>
    <n v="0"/>
    <n v="0"/>
    <n v="0"/>
    <n v="0"/>
    <n v="0"/>
    <n v="0"/>
    <n v="0"/>
    <n v="0"/>
    <n v="0"/>
    <n v="20"/>
    <n v="0"/>
    <n v="0"/>
    <n v="15"/>
    <n v="0"/>
    <n v="0"/>
    <n v="0"/>
    <n v="0"/>
    <n v="0"/>
    <n v="7.5"/>
    <n v="0"/>
    <n v="0"/>
    <n v="42.5"/>
    <n v="0"/>
    <n v="0"/>
    <s v="JODHPUR"/>
    <s v="JODHPUR"/>
    <s v="RJ-JODHPUR"/>
    <d v="2022-08-25T00:00:00"/>
  </r>
  <r>
    <s v="820285170775"/>
    <x v="1411"/>
    <s v="BALAJI CEMENT AGENCY"/>
    <s v="170775"/>
    <s v="GANPAT LAL MAROTHIYA AND SONS"/>
    <n v="0"/>
    <n v="0"/>
    <n v="0"/>
    <n v="0"/>
    <n v="0"/>
    <n v="0"/>
    <n v="0"/>
    <n v="0"/>
    <n v="0"/>
    <n v="0"/>
    <n v="0"/>
    <n v="0"/>
    <n v="20"/>
    <n v="0"/>
    <n v="0"/>
    <n v="10"/>
    <n v="0"/>
    <n v="0"/>
    <n v="0"/>
    <n v="0"/>
    <n v="0"/>
    <n v="25"/>
    <n v="0"/>
    <n v="0"/>
    <n v="55"/>
    <n v="0"/>
    <n v="0"/>
    <s v="JODHPUR"/>
    <s v="JODHPUR"/>
    <s v="RJ-JODHPUR"/>
    <d v="2022-08-27T00:00:00"/>
  </r>
  <r>
    <s v="820395210447"/>
    <x v="1412"/>
    <s v="KANHAIYA LAL CEMENT AGENCY"/>
    <n v="210447"/>
    <s v="KOMAL TRADING CO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17.5"/>
    <n v="0"/>
    <n v="0"/>
    <n v="47.5"/>
    <n v="0"/>
    <n v="0"/>
    <s v="JODHPUR"/>
    <s v="JODHPUR"/>
    <s v="RJ-JODHPUR"/>
    <d v="2022-09-05T00:00:00"/>
  </r>
  <r>
    <s v="805980119038"/>
    <x v="1413"/>
    <s v="SHRI BHOMIYAJI BUILDINMG MATER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n v="0"/>
    <n v="0"/>
    <n v="0"/>
    <n v="20"/>
    <n v="0"/>
    <n v="0"/>
    <s v="JODHPUR"/>
    <s v="JODHPUR"/>
    <s v="RJ-JODHPUR"/>
    <d v="2017-01-24T00:00:00"/>
  </r>
  <r>
    <s v="820715170775"/>
    <x v="1414"/>
    <s v="GEHLOT BUILDING MATERIALS"/>
    <n v="170775"/>
    <s v="GANPAT LAL MAROTHIYA AND SON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30"/>
    <n v="0"/>
    <n v="0"/>
    <n v="45"/>
    <n v="0"/>
    <n v="0"/>
    <s v="JODHPUR"/>
    <s v="JODHPUR"/>
    <s v="RJ-JODHPUR"/>
    <d v="2022-09-24T00:00:00"/>
  </r>
  <r>
    <s v="820807212572"/>
    <x v="1415"/>
    <s v="OM CHANDRA BHOPAT RAM AND SONS"/>
    <n v="212572"/>
    <s v="SHREE RADHA KRISHNA TRADING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0"/>
    <n v="20"/>
    <n v="0"/>
    <n v="0"/>
    <n v="41"/>
    <n v="0"/>
    <n v="0"/>
    <s v="JODHPUR"/>
    <s v="JODHPUR"/>
    <s v="RJ-JODHPUR"/>
    <d v="2022-09-29T00:00:00"/>
  </r>
  <r>
    <s v="820810119038"/>
    <x v="1416"/>
    <s v="OM MARBLE AND BUILDING MATERIA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7.5"/>
    <n v="0"/>
    <n v="0"/>
    <n v="10"/>
    <n v="0"/>
    <n v="0"/>
    <n v="137.5"/>
    <n v="0"/>
    <n v="0"/>
    <s v="JODHPUR"/>
    <s v="JODHPUR"/>
    <s v="RJ-JODHPUR"/>
    <d v="2022-09-29T00:00:00"/>
  </r>
  <r>
    <s v="820918205343"/>
    <x v="1417"/>
    <s v="VEERPRABHU ASSOCIATES"/>
    <n v="205343"/>
    <s v="ARIHANT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15"/>
    <n v="0"/>
    <n v="0"/>
    <n v="22.5"/>
    <n v="0"/>
    <n v="0"/>
    <s v="JODHPUR"/>
    <s v="JODHPUR"/>
    <s v="RJ-JODHPUR"/>
    <d v="2022-10-12T00:00:00"/>
  </r>
  <r>
    <s v="820914204793"/>
    <x v="1418"/>
    <s v="MAMTA CEMENT AGENCY"/>
    <n v="204793"/>
    <s v="SHREE MAHADEV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60"/>
    <n v="0"/>
    <n v="0"/>
    <n v="105"/>
    <n v="0"/>
    <n v="0"/>
    <s v="JODHPUR"/>
    <s v="JODHPUR"/>
    <s v="RJ-JODHPUR"/>
    <d v="2022-10-11T00:00:00"/>
  </r>
  <r>
    <s v="820916173224"/>
    <x v="1419"/>
    <s v="ARUN KUMAR RATHI"/>
    <n v="173224"/>
    <s v="D.R.MARBLE &amp; SANITOR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35"/>
    <n v="0"/>
    <n v="0"/>
    <n v="70"/>
    <n v="0"/>
    <n v="0"/>
    <s v="JODHPUR"/>
    <s v="JODHPUR"/>
    <s v="RJ-JODHPUR"/>
    <d v="2022-10-11T00:00:00"/>
  </r>
  <r>
    <s v="818736213900"/>
    <x v="1397"/>
    <s v="SHARMA TRADERS"/>
    <n v="213900"/>
    <s v="BALAJI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10"/>
    <n v="0"/>
    <n v="0"/>
    <n v="45"/>
    <n v="0"/>
    <n v="0"/>
    <s v="JODHPUR"/>
    <s v="JODHPUR"/>
    <s v="RJ-JODHPUR"/>
    <d v="2022-04-25T00:00:00"/>
  </r>
  <r>
    <s v="820907148233"/>
    <x v="1420"/>
    <s v="NEELKANTH BRICKS SUPPLIERS"/>
    <n v="148233"/>
    <s v="NAGOR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s v="JODHPUR"/>
    <s v="JODHPUR"/>
    <s v="RJ-JODHPUR"/>
    <d v="2022-10-11T00:00:00"/>
  </r>
  <r>
    <s v="807095173224"/>
    <x v="1421"/>
    <s v="SHREE BALAJI HARDWARE &amp; ELECTR"/>
    <n v="173224"/>
    <s v="D.R.MARBLE &amp; SANITOR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60"/>
    <n v="0"/>
    <n v="0"/>
    <n v="75"/>
    <n v="0"/>
    <n v="0"/>
    <s v="JODHPUR"/>
    <s v="JODHPUR"/>
    <s v="RJ-JODHPUR"/>
    <d v="2018-10-25T00:00:00"/>
  </r>
  <r>
    <s v="808428172338"/>
    <x v="1422"/>
    <s v="MAJISA CEMENT SUPPLIERS"/>
    <n v="172338"/>
    <s v="KHILJEE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5"/>
    <n v="0"/>
    <n v="0"/>
    <n v="40"/>
    <n v="0"/>
    <n v="0"/>
    <s v="JODHPUR"/>
    <s v="JODHPUR"/>
    <s v="RJ-JODHPUR"/>
    <d v="2018-05-26T00:00:00"/>
  </r>
  <r>
    <s v="817901119236"/>
    <x v="1384"/>
    <s v="SHRI ROOP SHREE BUILDING MATER"/>
    <n v="119236"/>
    <s v="PATE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JODHPUR"/>
    <s v="JODHPUR"/>
    <s v="RJ-JODHPUR"/>
    <d v="2022-01-31T00:00:00"/>
  </r>
  <r>
    <s v="820427119038"/>
    <x v="1423"/>
    <s v="SHRI RAM CEMENT AGENCY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JODHPUR"/>
    <s v="JODHPUR"/>
    <s v="RJ-JODHPUR"/>
    <d v="2022-09-07T00:00:00"/>
  </r>
  <r>
    <s v="821276172855"/>
    <x v="1424"/>
    <s v="RAMESH CEMENT AGENCY"/>
    <n v="172855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0"/>
    <n v="0"/>
    <n v="0"/>
    <n v="85"/>
    <n v="0"/>
    <n v="0"/>
    <s v="JODHPUR"/>
    <s v="JODHPUR"/>
    <s v="RJ-JODHPUR"/>
    <d v="2022-11-18T00:00:00"/>
  </r>
  <r>
    <s v="821266119038"/>
    <x v="1425"/>
    <s v="NEW GOVIND TRADERS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0.75"/>
    <n v="0"/>
    <n v="0"/>
    <n v="85.75"/>
    <n v="0"/>
    <n v="0"/>
    <s v="JODHPUR"/>
    <s v="JODHPUR"/>
    <s v="RJ-JODHPUR"/>
    <d v="2022-11-18T00:00:00"/>
  </r>
  <r>
    <s v="803721206102"/>
    <x v="1426"/>
    <s v="GAJANAD CEMENT SUPPLIERS"/>
    <n v="206102"/>
    <s v="BABA RAMDEV CEMENT SUPPLIER"/>
    <n v="70"/>
    <n v="0"/>
    <n v="0"/>
    <n v="35"/>
    <n v="0"/>
    <n v="0"/>
    <n v="0"/>
    <n v="0"/>
    <n v="0"/>
    <n v="53"/>
    <n v="0"/>
    <n v="0"/>
    <n v="20"/>
    <n v="0"/>
    <n v="0"/>
    <n v="0"/>
    <n v="0"/>
    <n v="0"/>
    <n v="85"/>
    <n v="0"/>
    <n v="0"/>
    <n v="47"/>
    <n v="0"/>
    <n v="0"/>
    <n v="310"/>
    <n v="0"/>
    <n v="0"/>
    <s v="NAGAUR"/>
    <s v="JODHPUR"/>
    <s v="RJ-JODHPUR"/>
    <d v="2014-12-08T00:00:00"/>
  </r>
  <r>
    <s v="804966143530"/>
    <x v="1427"/>
    <s v="RAMNIWAS LAHOTI CEMENT AGENCY"/>
    <n v="143530"/>
    <s v="BHATI CEMENT AGENCY"/>
    <n v="30"/>
    <n v="0"/>
    <n v="0"/>
    <n v="65"/>
    <n v="0"/>
    <n v="0"/>
    <n v="39"/>
    <n v="0"/>
    <n v="0"/>
    <n v="25"/>
    <n v="0"/>
    <n v="0"/>
    <n v="20"/>
    <n v="0"/>
    <n v="0"/>
    <n v="30"/>
    <n v="0"/>
    <n v="0"/>
    <n v="39"/>
    <n v="0"/>
    <n v="0"/>
    <n v="15"/>
    <n v="0"/>
    <n v="0"/>
    <n v="263"/>
    <n v="0"/>
    <n v="0"/>
    <s v="NAGAUR"/>
    <s v="JODHPUR"/>
    <s v="RJ-JODHPUR"/>
    <d v="2016-04-21T00:00:00"/>
  </r>
  <r>
    <s v="805984203455"/>
    <x v="1428"/>
    <s v="SUFI TRADING COMPANY"/>
    <n v="203455"/>
    <s v="NARAYA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17-01-27T00:00:00"/>
  </r>
  <r>
    <s v="806232206102"/>
    <x v="1429"/>
    <s v="KADELA BUILDING MATERIAL"/>
    <n v="206102"/>
    <s v="BABA RAMDEV CEMENT SUPPLIER"/>
    <n v="0"/>
    <n v="0"/>
    <n v="0"/>
    <n v="0"/>
    <n v="0"/>
    <n v="0"/>
    <n v="0"/>
    <n v="0"/>
    <n v="0"/>
    <n v="60"/>
    <n v="0"/>
    <n v="0"/>
    <n v="30"/>
    <n v="0"/>
    <n v="0"/>
    <n v="0"/>
    <n v="0"/>
    <n v="0"/>
    <n v="0"/>
    <n v="0"/>
    <n v="0"/>
    <n v="0"/>
    <n v="0"/>
    <n v="0"/>
    <n v="90"/>
    <n v="0"/>
    <n v="0"/>
    <s v="NAGAUR"/>
    <s v="JODHPUR"/>
    <s v="RJ-JODHPUR"/>
    <d v="2017-04-07T00:00:00"/>
  </r>
  <r>
    <s v="807140170228"/>
    <x v="1430"/>
    <s v="VEER TEJA HARDWARE AND CEMENT"/>
    <n v="170228"/>
    <s v="SHRI RA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18-11-02T00:00:00"/>
  </r>
  <r>
    <s v="807140212336"/>
    <x v="1430"/>
    <s v="VEER TEJA HARDWARE AND CEMENT"/>
    <n v="212336"/>
    <s v="SHREE VEER TEJA TRADING COMPAN"/>
    <n v="0"/>
    <n v="0"/>
    <n v="0"/>
    <n v="0"/>
    <n v="0"/>
    <n v="0"/>
    <n v="0"/>
    <n v="0"/>
    <n v="0"/>
    <n v="10"/>
    <n v="0"/>
    <n v="0"/>
    <n v="22.5"/>
    <n v="0"/>
    <n v="0"/>
    <n v="35"/>
    <n v="0"/>
    <n v="0"/>
    <n v="0"/>
    <n v="0"/>
    <n v="0"/>
    <n v="5.5"/>
    <n v="0"/>
    <n v="0"/>
    <n v="73"/>
    <n v="0"/>
    <n v="0"/>
    <s v="NAGAUR"/>
    <s v="JODHPUR"/>
    <s v="RJ-JODHPUR"/>
    <d v="2018-11-02T00:00:00"/>
  </r>
  <r>
    <s v="807377176870"/>
    <x v="1431"/>
    <s v="PRAJAPATI BUILDING MATERIAL"/>
    <n v="176870"/>
    <s v="KHANDELWAL CEMENT AGENCY"/>
    <n v="33.5"/>
    <n v="0"/>
    <n v="0"/>
    <n v="50"/>
    <n v="3.5"/>
    <n v="0"/>
    <n v="60"/>
    <n v="0"/>
    <n v="35"/>
    <n v="20"/>
    <n v="0"/>
    <n v="0"/>
    <n v="35"/>
    <n v="0"/>
    <n v="0"/>
    <n v="30"/>
    <n v="0"/>
    <n v="0"/>
    <n v="17.5"/>
    <n v="0"/>
    <n v="0"/>
    <n v="34.65"/>
    <n v="0"/>
    <n v="0"/>
    <n v="280.64999999999998"/>
    <n v="3.5"/>
    <n v="35"/>
    <s v="NAGAUR"/>
    <s v="JODHPUR"/>
    <s v="RJ-JODHPUR"/>
    <d v="2018-12-21T00:00:00"/>
  </r>
  <r>
    <s v="808292206102"/>
    <x v="1432"/>
    <s v="ONKAR SINGH"/>
    <n v="206102"/>
    <s v="BABA RAMDEV CEMENT SUPPLIER"/>
    <n v="0"/>
    <n v="0"/>
    <n v="0"/>
    <n v="0"/>
    <n v="0"/>
    <n v="0"/>
    <n v="55"/>
    <n v="0"/>
    <n v="0"/>
    <n v="0"/>
    <n v="0"/>
    <n v="0"/>
    <n v="10"/>
    <n v="0"/>
    <n v="0"/>
    <n v="80"/>
    <n v="0"/>
    <n v="10"/>
    <n v="25"/>
    <n v="0"/>
    <n v="0"/>
    <n v="40"/>
    <n v="0"/>
    <n v="0"/>
    <n v="210"/>
    <n v="0"/>
    <n v="10"/>
    <s v="NAGAUR"/>
    <s v="JODHPUR"/>
    <s v="RJ-JODHPUR"/>
    <d v="2018-05-03T00:00:00"/>
  </r>
  <r>
    <s v="808345206102"/>
    <x v="1433"/>
    <s v="JAGDEVA RAM"/>
    <n v="206102"/>
    <s v="BABA RAMDEV CEMENT SUPPLIER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13"/>
    <n v="0"/>
    <n v="0"/>
    <s v="NAGAUR"/>
    <s v="JODHPUR"/>
    <s v="RJ-JODHPUR"/>
    <d v="2018-05-12T00:00:00"/>
  </r>
  <r>
    <s v="808390176457"/>
    <x v="1434"/>
    <s v="SHIVNATH  DHANI BUILDING MATER"/>
    <n v="176457"/>
    <s v="RAMA BUILDING MATERIA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18-05-21T00:00:00"/>
  </r>
  <r>
    <s v="808639208809"/>
    <x v="1435"/>
    <s v="MAHADEV SAND STONE"/>
    <n v="208809"/>
    <s v="MAHADEV 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s v="NAGAUR"/>
    <s v="JODHPUR"/>
    <s v="RJ-JODHPUR"/>
    <d v="2018-06-25T00:00:00"/>
  </r>
  <r>
    <s v="808924179877"/>
    <x v="1436"/>
    <s v="SHRI RAM BUILDING MATERIAL"/>
    <n v="179877"/>
    <s v="HANUMANGARH  INT SUPPLIERS"/>
    <n v="20"/>
    <n v="0"/>
    <n v="0"/>
    <n v="30"/>
    <n v="0"/>
    <n v="0"/>
    <n v="25"/>
    <n v="0"/>
    <n v="0"/>
    <n v="15"/>
    <n v="0"/>
    <n v="0"/>
    <n v="20"/>
    <n v="0"/>
    <n v="10"/>
    <n v="15"/>
    <n v="0"/>
    <n v="0"/>
    <n v="59"/>
    <n v="0"/>
    <n v="5"/>
    <n v="22.5"/>
    <n v="0"/>
    <n v="7.5"/>
    <n v="206.5"/>
    <n v="0"/>
    <n v="15"/>
    <s v="NAGAUR"/>
    <s v="JODHPUR"/>
    <s v="RJ-JODHPUR"/>
    <d v="2018-07-12T00:00:00"/>
  </r>
  <r>
    <s v="810348176870"/>
    <x v="1437"/>
    <s v="SOLANKI CEMENT SUPPLIERS"/>
    <n v="176870"/>
    <s v="KHANDELWAL CEMENT AGENCY"/>
    <n v="1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30"/>
    <n v="0"/>
    <n v="0"/>
    <s v="NAGAUR"/>
    <s v="JODHPUR"/>
    <s v="RJ-JODHPUR"/>
    <d v="2019-08-27T00:00:00"/>
  </r>
  <r>
    <s v="810533178724"/>
    <x v="1438"/>
    <s v="NAGNECHYA CEMENT SUPPLIERS"/>
    <n v="178724"/>
    <s v="NEELKANTH MAHADEV ENTERPRISES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29"/>
    <n v="0"/>
    <n v="0"/>
    <s v="NAGAUR"/>
    <s v="JODHPUR"/>
    <s v="RJ-JODHPUR"/>
    <d v="2019-09-23T00:00:00"/>
  </r>
  <r>
    <s v="810751176870"/>
    <x v="1439"/>
    <s v="JAGDAMBA CEMENT AND STONE SUPP"/>
    <n v="176870"/>
    <s v="KHANDELWAL CEMENT AGENCY"/>
    <n v="5"/>
    <n v="0"/>
    <n v="0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5"/>
    <n v="0"/>
    <s v="NAGAUR"/>
    <s v="JODHPUR"/>
    <s v="RJ-JODHPUR"/>
    <d v="2019-11-07T00:00:00"/>
  </r>
  <r>
    <s v="810958179877"/>
    <x v="1440"/>
    <s v="BALAJI TRADING COMPANY"/>
    <n v="179877"/>
    <s v="HANUMANGARH  INT SUPPLIERS"/>
    <n v="104.5"/>
    <n v="0"/>
    <n v="0"/>
    <n v="75.5"/>
    <n v="5"/>
    <n v="0"/>
    <n v="82"/>
    <n v="0"/>
    <n v="0"/>
    <n v="60"/>
    <n v="0"/>
    <n v="0"/>
    <n v="102"/>
    <n v="0"/>
    <n v="0"/>
    <n v="65"/>
    <n v="0"/>
    <n v="15"/>
    <n v="64.5"/>
    <n v="0"/>
    <n v="0"/>
    <n v="38.75"/>
    <n v="0"/>
    <n v="8.75"/>
    <n v="592.25"/>
    <n v="5"/>
    <n v="15"/>
    <s v="NAGAUR"/>
    <s v="JODHPUR"/>
    <s v="RJ-JODHPUR"/>
    <d v="2019-12-10T00:00:00"/>
  </r>
  <r>
    <s v="811033179877"/>
    <x v="1441"/>
    <s v="VEER TEJA BUILDING MATERIAL"/>
    <n v="179877"/>
    <s v="HANUMANGARH  INT SUPPLIERS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NAGAUR"/>
    <s v="JODHPUR"/>
    <s v="RJ-JODHPUR"/>
    <d v="2019-12-21T00:00:00"/>
  </r>
  <r>
    <s v="811089179877"/>
    <x v="1442"/>
    <s v="HANUMANGARH INT SUPPLIERS"/>
    <n v="179877"/>
    <s v="HANUMANGARH  INT SUPPLIERS"/>
    <n v="75"/>
    <n v="0"/>
    <n v="0"/>
    <n v="94"/>
    <n v="0"/>
    <n v="0"/>
    <n v="134"/>
    <n v="8"/>
    <n v="35"/>
    <n v="104"/>
    <n v="0"/>
    <n v="70"/>
    <n v="90"/>
    <n v="0"/>
    <n v="0"/>
    <n v="137"/>
    <n v="0"/>
    <n v="62"/>
    <n v="56"/>
    <n v="0"/>
    <n v="32"/>
    <n v="130"/>
    <n v="0"/>
    <n v="35"/>
    <n v="820"/>
    <n v="8"/>
    <n v="199"/>
    <s v="NAGAUR"/>
    <s v="JODHPUR"/>
    <s v="RJ-JODHPUR"/>
    <d v="2019-12-27T00:00:00"/>
  </r>
  <r>
    <s v="811181170228"/>
    <x v="1443"/>
    <s v="BALAJI MARBLE AND GRENIGHT"/>
    <n v="170228"/>
    <s v="SHRI RA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20-01-04T00:00:00"/>
  </r>
  <r>
    <s v="811910179877"/>
    <x v="1444"/>
    <s v="BALAJI CONSTRUCTION COMPANY"/>
    <n v="179877"/>
    <s v="HANUMANGARH  I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20"/>
    <n v="0"/>
    <n v="0"/>
    <n v="30"/>
    <n v="0"/>
    <n v="10"/>
    <s v="NAGAUR"/>
    <s v="JODHPUR"/>
    <s v="RJ-JODHPUR"/>
    <d v="2020-06-11T00:00:00"/>
  </r>
  <r>
    <s v="812346173100"/>
    <x v="1445"/>
    <s v="SHORYA INDUSTRIES"/>
    <n v="173100"/>
    <s v="BANSHI LAL BHATI AND SONS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20"/>
    <n v="0"/>
    <n v="0"/>
    <s v="NAGAUR"/>
    <s v="JODHPUR"/>
    <s v="RJ-JODHPUR"/>
    <d v="2020-07-24T00:00:00"/>
  </r>
  <r>
    <s v="812561179877"/>
    <x v="1446"/>
    <s v="LAXMI BUILDING MATERIAL"/>
    <n v="179877"/>
    <s v="HANUMANGARH  INT SUPPLIERS"/>
    <n v="42"/>
    <n v="0"/>
    <n v="0"/>
    <n v="30"/>
    <n v="0"/>
    <n v="0"/>
    <n v="0"/>
    <n v="0"/>
    <n v="0"/>
    <n v="10"/>
    <n v="0"/>
    <n v="0"/>
    <n v="45"/>
    <n v="0"/>
    <n v="10"/>
    <n v="0"/>
    <n v="0"/>
    <n v="0"/>
    <n v="90"/>
    <n v="0"/>
    <n v="0"/>
    <n v="0"/>
    <n v="0"/>
    <n v="0"/>
    <n v="217"/>
    <n v="0"/>
    <n v="10"/>
    <s v="NAGAUR"/>
    <s v="JODHPUR"/>
    <s v="RJ-JODHPUR"/>
    <d v="2020-08-18T00:00:00"/>
  </r>
  <r>
    <s v="812654172299"/>
    <x v="1447"/>
    <s v="SOLANKI ENTERPRISES"/>
    <n v="172299"/>
    <s v="SAFALATA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20-08-26T00:00:00"/>
  </r>
  <r>
    <s v="813656179877"/>
    <x v="1448"/>
    <s v="SHREE BALAJI BUILDING MATERIAL"/>
    <n v="179877"/>
    <s v="HANUMANGARH  INT SUPPLIERS"/>
    <n v="12.55"/>
    <n v="0"/>
    <n v="0"/>
    <n v="15"/>
    <n v="0"/>
    <n v="0"/>
    <n v="0"/>
    <n v="0"/>
    <n v="0"/>
    <n v="0"/>
    <n v="0"/>
    <n v="0"/>
    <n v="0"/>
    <n v="0"/>
    <n v="0"/>
    <n v="6.5"/>
    <n v="0"/>
    <n v="0"/>
    <n v="10"/>
    <n v="0"/>
    <n v="0"/>
    <n v="25"/>
    <n v="0"/>
    <n v="0"/>
    <n v="69.05"/>
    <n v="0"/>
    <n v="0"/>
    <s v="NAGAUR"/>
    <s v="JODHPUR"/>
    <s v="RJ-JODHPUR"/>
    <d v="2020-11-26T00:00:00"/>
  </r>
  <r>
    <s v="813806206980"/>
    <x v="1449"/>
    <s v="SHREE BALAJI BUILDING MATERIAL"/>
    <n v="206980"/>
    <s v="SHREE KARN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20-12-11T00:00:00"/>
  </r>
  <r>
    <s v="814067176870"/>
    <x v="1450"/>
    <s v="BALAJI CEMENT SUPPLIERS"/>
    <n v="176870"/>
    <s v="KHANDELWAL CEMENT AGENCY"/>
    <n v="0"/>
    <n v="0"/>
    <n v="0"/>
    <n v="17.5"/>
    <n v="0"/>
    <n v="0"/>
    <n v="10"/>
    <n v="0"/>
    <n v="0"/>
    <n v="7.5"/>
    <n v="0"/>
    <n v="0"/>
    <n v="10"/>
    <n v="0"/>
    <n v="0"/>
    <n v="10"/>
    <n v="0"/>
    <n v="0"/>
    <n v="25"/>
    <n v="0"/>
    <n v="0"/>
    <n v="55"/>
    <n v="0"/>
    <n v="0"/>
    <n v="135"/>
    <n v="0"/>
    <n v="0"/>
    <s v="NAGAUR"/>
    <s v="JODHPUR"/>
    <s v="RJ-JODHPUR"/>
    <d v="2021-01-04T00:00:00"/>
  </r>
  <r>
    <s v="814068170228"/>
    <x v="1451"/>
    <s v="BASANT KUMAR SHARMA"/>
    <n v="170228"/>
    <s v="SHRI RA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21-01-04T00:00:00"/>
  </r>
  <r>
    <s v="814069176870"/>
    <x v="1452"/>
    <s v="TEJA BUILDING MATERIAL"/>
    <n v="176870"/>
    <s v="KHANDELWAL CEMENT AGENCY"/>
    <n v="30"/>
    <n v="8.25"/>
    <n v="0"/>
    <n v="28.25"/>
    <n v="10"/>
    <n v="0"/>
    <n v="20"/>
    <n v="0"/>
    <n v="0"/>
    <n v="0"/>
    <n v="0"/>
    <n v="0"/>
    <n v="10"/>
    <n v="0"/>
    <n v="0"/>
    <n v="10"/>
    <n v="0"/>
    <n v="0"/>
    <n v="20"/>
    <n v="0"/>
    <n v="0"/>
    <n v="45.25"/>
    <n v="0"/>
    <n v="0"/>
    <n v="163.5"/>
    <n v="18.25"/>
    <n v="0"/>
    <s v="NAGAUR"/>
    <s v="JODHPUR"/>
    <s v="RJ-JODHPUR"/>
    <d v="2021-01-04T00:00:00"/>
  </r>
  <r>
    <s v="814330203455"/>
    <x v="1453"/>
    <s v="JAY SHREE HARDWARE"/>
    <n v="203455"/>
    <s v="NARAYA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21-01-30T00:00:00"/>
  </r>
  <r>
    <s v="814332143530"/>
    <x v="1454"/>
    <s v="BHATI TRADERS &amp; HARDWARE"/>
    <n v="143530"/>
    <s v="BHATI CEMENT AGENCY"/>
    <n v="10"/>
    <n v="0"/>
    <n v="0"/>
    <n v="45"/>
    <n v="0"/>
    <n v="0"/>
    <n v="55"/>
    <n v="0"/>
    <n v="0"/>
    <n v="55"/>
    <n v="0"/>
    <n v="0"/>
    <n v="25"/>
    <n v="0"/>
    <n v="0"/>
    <n v="75"/>
    <n v="0"/>
    <n v="0"/>
    <n v="65"/>
    <n v="0"/>
    <n v="0"/>
    <n v="45"/>
    <n v="0"/>
    <n v="0"/>
    <n v="375"/>
    <n v="0"/>
    <n v="0"/>
    <s v="NAGAUR"/>
    <s v="JODHPUR"/>
    <s v="RJ-JODHPUR"/>
    <d v="2021-01-30T00:00:00"/>
  </r>
  <r>
    <s v="814386205372"/>
    <x v="1455"/>
    <s v="SINDHAL BUILDING MATERIAL"/>
    <n v="205372"/>
    <s v="CHOUHAN BUILDING MATERIAL"/>
    <n v="30"/>
    <n v="0"/>
    <n v="0"/>
    <n v="35"/>
    <n v="0"/>
    <n v="0"/>
    <n v="77"/>
    <n v="0"/>
    <n v="0"/>
    <n v="0"/>
    <n v="0"/>
    <n v="0"/>
    <n v="20"/>
    <n v="0"/>
    <n v="0"/>
    <n v="20"/>
    <n v="0"/>
    <n v="0"/>
    <n v="35"/>
    <n v="0"/>
    <n v="0"/>
    <n v="0"/>
    <n v="0"/>
    <n v="0"/>
    <n v="217"/>
    <n v="0"/>
    <n v="0"/>
    <s v="NAGAUR"/>
    <s v="JODHPUR"/>
    <s v="RJ-JODHPUR"/>
    <d v="2021-02-04T00:00:00"/>
  </r>
  <r>
    <s v="814655179877"/>
    <x v="1456"/>
    <s v="JAI BHERUNATH BUILDING MATERIA"/>
    <n v="179877"/>
    <s v="HANUMANGARH  INT SUPPLIERS"/>
    <n v="0"/>
    <n v="0"/>
    <n v="0"/>
    <n v="8.5"/>
    <n v="0"/>
    <n v="0"/>
    <n v="0"/>
    <n v="0"/>
    <n v="0"/>
    <n v="0"/>
    <n v="0"/>
    <n v="0"/>
    <n v="0"/>
    <n v="0"/>
    <n v="0"/>
    <n v="10"/>
    <n v="0"/>
    <n v="0"/>
    <n v="0"/>
    <n v="0"/>
    <n v="0"/>
    <n v="20"/>
    <n v="0"/>
    <n v="0"/>
    <n v="38.5"/>
    <n v="0"/>
    <n v="0"/>
    <s v="NAGAUR"/>
    <s v="JODHPUR"/>
    <s v="RJ-JODHPUR"/>
    <d v="2021-02-27T00:00:00"/>
  </r>
  <r>
    <s v="814655206980"/>
    <x v="1456"/>
    <s v="JAI BHERUNATH BUILDING MATERIA"/>
    <n v="206980"/>
    <s v="SHREE KARN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21-02-27T00:00:00"/>
  </r>
  <r>
    <s v="815102176870"/>
    <x v="1457"/>
    <s v="MAHADEV STONE SUPPLIER"/>
    <n v="176870"/>
    <s v="KHANDELWAL CEMENT AGENCY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15"/>
    <n v="0"/>
    <n v="0"/>
    <n v="11"/>
    <n v="0"/>
    <n v="0"/>
    <n v="36"/>
    <n v="0"/>
    <n v="0"/>
    <s v="NAGAUR"/>
    <s v="JODHPUR"/>
    <s v="RJ-JODHPUR"/>
    <d v="2021-05-31T00:00:00"/>
  </r>
  <r>
    <s v="815133203455"/>
    <x v="1458"/>
    <s v="HANUVANT INDUSTRIES"/>
    <n v="203455"/>
    <s v="NARAYAN TRADERS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0"/>
    <n v="0"/>
    <s v="NAGAUR"/>
    <s v="JODHPUR"/>
    <s v="RJ-JODHPUR"/>
    <d v="2021-06-10T00:00:00"/>
  </r>
  <r>
    <s v="815202179877"/>
    <x v="1459"/>
    <s v="MAA JAGDAMBA BUILDING MATERIAL"/>
    <n v="179877"/>
    <s v="HANUMANGARH  I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21-06-21T00:00:00"/>
  </r>
  <r>
    <s v="815202207405"/>
    <x v="1459"/>
    <s v="MAA JAGDAMBA BUILDING MATERIAL"/>
    <n v="207405"/>
    <s v="SHERANI BUILDING MATERIAL SUPP"/>
    <n v="35"/>
    <n v="0"/>
    <n v="0"/>
    <n v="16.25"/>
    <n v="0"/>
    <n v="0"/>
    <n v="22.5"/>
    <n v="0"/>
    <n v="2.5"/>
    <n v="10"/>
    <n v="0"/>
    <n v="0"/>
    <n v="30"/>
    <n v="0"/>
    <n v="0"/>
    <n v="37"/>
    <n v="0"/>
    <n v="0"/>
    <n v="30"/>
    <n v="0"/>
    <n v="0"/>
    <n v="35"/>
    <n v="0"/>
    <n v="0"/>
    <n v="215.75"/>
    <n v="0"/>
    <n v="2.5"/>
    <s v="NAGAUR"/>
    <s v="JODHPUR"/>
    <s v="RJ-JODHPUR"/>
    <d v="2021-06-21T00:00:00"/>
  </r>
  <r>
    <s v="815838143530"/>
    <x v="1460"/>
    <s v="BHOMIYA JI CEMENT SUPPLIER"/>
    <n v="143530"/>
    <s v="BHATI CEMENT AGENCY"/>
    <n v="0"/>
    <n v="0"/>
    <n v="0"/>
    <n v="10"/>
    <n v="0"/>
    <n v="0"/>
    <n v="25"/>
    <n v="0"/>
    <n v="0"/>
    <n v="15"/>
    <n v="0"/>
    <n v="0"/>
    <n v="10"/>
    <n v="0"/>
    <n v="0"/>
    <n v="10"/>
    <n v="0"/>
    <n v="0"/>
    <n v="10"/>
    <n v="0"/>
    <n v="0"/>
    <n v="0"/>
    <n v="0"/>
    <n v="0"/>
    <n v="80"/>
    <n v="0"/>
    <n v="0"/>
    <s v="NAGAUR"/>
    <s v="JODHPUR"/>
    <s v="RJ-JODHPUR"/>
    <d v="2021-08-04T00:00:00"/>
  </r>
  <r>
    <s v="815839207379"/>
    <x v="1461"/>
    <s v="JAGDAMBA BUILDING MATERIALS"/>
    <n v="207379"/>
    <s v="BABA RAMDEV BUILDING MATERIAL"/>
    <n v="0"/>
    <n v="0"/>
    <n v="0"/>
    <n v="0"/>
    <n v="0"/>
    <n v="0"/>
    <n v="0"/>
    <n v="0"/>
    <n v="0"/>
    <n v="15"/>
    <n v="0"/>
    <n v="0"/>
    <n v="0"/>
    <n v="0"/>
    <n v="0"/>
    <n v="57.3"/>
    <n v="0"/>
    <n v="2.2999999999999998"/>
    <n v="10"/>
    <n v="0"/>
    <n v="0"/>
    <n v="0"/>
    <n v="0"/>
    <n v="0"/>
    <n v="82.3"/>
    <n v="0"/>
    <n v="2.2999999999999998"/>
    <s v="NAGAUR"/>
    <s v="JODHPUR"/>
    <s v="RJ-JODHPUR"/>
    <d v="2021-08-04T00:00:00"/>
  </r>
  <r>
    <s v="815839143530"/>
    <x v="1461"/>
    <s v="JAGDAMBA BUILDING MATERIALS"/>
    <n v="143530"/>
    <s v="BHATI CEMENT AGENCY"/>
    <n v="0"/>
    <n v="0"/>
    <n v="0"/>
    <n v="0"/>
    <n v="0"/>
    <n v="0"/>
    <n v="0"/>
    <n v="0"/>
    <n v="0"/>
    <n v="19.899999999999999"/>
    <n v="0"/>
    <n v="0"/>
    <n v="0"/>
    <n v="0"/>
    <n v="0"/>
    <n v="0"/>
    <n v="0"/>
    <n v="0"/>
    <n v="0"/>
    <n v="0"/>
    <n v="0"/>
    <n v="0"/>
    <n v="0"/>
    <n v="0"/>
    <n v="19.899999999999999"/>
    <n v="0"/>
    <n v="0"/>
    <s v="NAGAUR"/>
    <s v="JODHPUR"/>
    <s v="RJ-JODHPUR"/>
    <d v="2021-08-04T00:00:00"/>
  </r>
  <r>
    <s v="815935208809"/>
    <x v="1462"/>
    <s v="JASNATH BUILDING MATERIALS"/>
    <n v="208809"/>
    <s v="MAHADEV SALES"/>
    <n v="135"/>
    <n v="7.5"/>
    <n v="0"/>
    <n v="74"/>
    <n v="0"/>
    <n v="0"/>
    <n v="55"/>
    <n v="0"/>
    <n v="0"/>
    <n v="25"/>
    <n v="0"/>
    <n v="0"/>
    <n v="45"/>
    <n v="0"/>
    <n v="0"/>
    <n v="116.65"/>
    <n v="12.65"/>
    <n v="0"/>
    <n v="60"/>
    <n v="0"/>
    <n v="0"/>
    <n v="110"/>
    <n v="5"/>
    <n v="0"/>
    <n v="620.65"/>
    <n v="20.149999999999999"/>
    <n v="0"/>
    <s v="NAGAUR"/>
    <s v="JODHPUR"/>
    <s v="RJ-JODHPUR"/>
    <d v="2021-08-14T00:00:00"/>
  </r>
  <r>
    <s v="816356176870"/>
    <x v="1463"/>
    <s v="INDORIYA STONE"/>
    <n v="176870"/>
    <s v="KHANDELWAL CEMENT AGENCY"/>
    <n v="10"/>
    <n v="0"/>
    <n v="0"/>
    <n v="0"/>
    <n v="0"/>
    <n v="0"/>
    <n v="5"/>
    <n v="0"/>
    <n v="0"/>
    <n v="10"/>
    <n v="0"/>
    <n v="0"/>
    <n v="30"/>
    <n v="0"/>
    <n v="0"/>
    <n v="5"/>
    <n v="0"/>
    <n v="0"/>
    <n v="20"/>
    <n v="0"/>
    <n v="0"/>
    <n v="30"/>
    <n v="0"/>
    <n v="0"/>
    <n v="110"/>
    <n v="0"/>
    <n v="0"/>
    <s v="NAGAUR"/>
    <s v="JODHPUR"/>
    <s v="RJ-JODHPUR"/>
    <d v="2021-09-16T00:00:00"/>
  </r>
  <r>
    <s v="816785208809"/>
    <x v="1464"/>
    <s v="GAREEB NAWAZ BUILDING METERIAL"/>
    <n v="208809"/>
    <s v="MAHADEV SALES"/>
    <n v="0"/>
    <n v="0"/>
    <n v="0"/>
    <n v="0"/>
    <n v="0"/>
    <n v="0"/>
    <n v="0"/>
    <n v="0"/>
    <n v="0"/>
    <n v="0"/>
    <n v="0"/>
    <n v="0"/>
    <n v="50"/>
    <n v="0"/>
    <n v="0"/>
    <n v="20"/>
    <n v="0"/>
    <n v="0"/>
    <n v="0"/>
    <n v="0"/>
    <n v="0"/>
    <n v="0"/>
    <n v="0"/>
    <n v="0"/>
    <n v="70"/>
    <n v="0"/>
    <n v="0"/>
    <s v="NAGAUR"/>
    <s v="JODHPUR"/>
    <s v="RJ-JODHPUR"/>
    <d v="2021-10-21T00:00:00"/>
  </r>
  <r>
    <s v="816786208809"/>
    <x v="1465"/>
    <s v="MAHADEV TRADING COMPANY"/>
    <n v="208809"/>
    <s v="MAHADEV SALES"/>
    <n v="0"/>
    <n v="0"/>
    <n v="0"/>
    <n v="25"/>
    <n v="0"/>
    <n v="0"/>
    <n v="0"/>
    <n v="0"/>
    <n v="0"/>
    <n v="0"/>
    <n v="0"/>
    <n v="0"/>
    <n v="45"/>
    <n v="0"/>
    <n v="0"/>
    <n v="20"/>
    <n v="0"/>
    <n v="0"/>
    <n v="20"/>
    <n v="0"/>
    <n v="0"/>
    <n v="20"/>
    <n v="0"/>
    <n v="0"/>
    <n v="130"/>
    <n v="0"/>
    <n v="0"/>
    <s v="NAGAUR"/>
    <s v="JODHPUR"/>
    <s v="RJ-JODHPUR"/>
    <d v="2021-10-21T00:00:00"/>
  </r>
  <r>
    <s v="816787203455"/>
    <x v="1466"/>
    <s v="RAJ TRADING COMPANY"/>
    <n v="203455"/>
    <s v="NARAYAN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AGAUR"/>
    <s v="JODHPUR"/>
    <s v="RJ-JODHPUR"/>
    <d v="2021-10-21T00:00:00"/>
  </r>
  <r>
    <s v="817338206870"/>
    <x v="1467"/>
    <s v="THOLIYA CONSTRUCTION BILLU"/>
    <n v="206870"/>
    <s v="J D BAJARI SUPPLIERS"/>
    <n v="10"/>
    <n v="2.5"/>
    <n v="0"/>
    <n v="5"/>
    <n v="0"/>
    <n v="0"/>
    <n v="35"/>
    <n v="0"/>
    <n v="0"/>
    <n v="0"/>
    <n v="0"/>
    <n v="0"/>
    <n v="0"/>
    <n v="0"/>
    <n v="0"/>
    <n v="7.5"/>
    <n v="0"/>
    <n v="1.5"/>
    <n v="0"/>
    <n v="0"/>
    <n v="0"/>
    <n v="0"/>
    <n v="0"/>
    <n v="0"/>
    <n v="57.5"/>
    <n v="2.5"/>
    <n v="1.5"/>
    <s v="NAGAUR"/>
    <s v="JODHPUR"/>
    <s v="RJ-JODHPUR"/>
    <d v="2021-12-16T00:00:00"/>
  </r>
  <r>
    <s v="817730207379"/>
    <x v="1468"/>
    <s v="JAI JEEN MATA BUILDING MATERIA"/>
    <n v="207379"/>
    <s v="BABA RAMDEV BUILDING MATERIAL"/>
    <n v="75"/>
    <n v="3.55"/>
    <n v="0"/>
    <n v="7.55"/>
    <n v="0"/>
    <n v="0"/>
    <n v="0"/>
    <n v="0"/>
    <n v="0"/>
    <n v="20"/>
    <n v="0"/>
    <n v="0"/>
    <n v="36.25"/>
    <n v="0"/>
    <n v="0"/>
    <n v="35"/>
    <n v="0"/>
    <n v="0"/>
    <n v="25"/>
    <n v="0"/>
    <n v="0"/>
    <n v="0"/>
    <n v="0"/>
    <n v="0"/>
    <n v="198.8"/>
    <n v="3.55"/>
    <n v="0"/>
    <s v="NAGAUR"/>
    <s v="JODHPUR"/>
    <s v="RJ-JODHPUR"/>
    <d v="2022-01-19T00:00:00"/>
  </r>
  <r>
    <s v="817732207379"/>
    <x v="1469"/>
    <s v="GAJAND BUILDING MATERIAL"/>
    <n v="207379"/>
    <s v="BABA RAMDEV BUILDING MATERIAL"/>
    <n v="0"/>
    <n v="0"/>
    <n v="0"/>
    <n v="0"/>
    <n v="0"/>
    <n v="0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0"/>
    <n v="0"/>
    <s v="NAGAUR"/>
    <s v="JODHPUR"/>
    <s v="RJ-JODHPUR"/>
    <d v="2022-01-19T00:00:00"/>
  </r>
  <r>
    <s v="817732208628"/>
    <x v="1469"/>
    <s v="GAJAND BUILDING MATERIAL"/>
    <n v="208628"/>
    <s v="J.B BUILDING MATERIAL"/>
    <n v="0"/>
    <n v="0"/>
    <n v="0"/>
    <n v="20.100000000000001"/>
    <n v="0"/>
    <n v="0"/>
    <n v="55"/>
    <n v="0"/>
    <n v="0"/>
    <n v="20"/>
    <n v="0"/>
    <n v="0"/>
    <n v="70"/>
    <n v="0"/>
    <n v="0"/>
    <n v="45"/>
    <n v="0"/>
    <n v="0"/>
    <n v="40"/>
    <n v="0"/>
    <n v="0"/>
    <n v="50"/>
    <n v="0"/>
    <n v="0"/>
    <n v="300.10000000000002"/>
    <n v="0"/>
    <n v="0"/>
    <s v="NAGAUR"/>
    <s v="JODHPUR"/>
    <s v="RJ-JODHPUR"/>
    <d v="2022-01-19T00:00:00"/>
  </r>
  <r>
    <s v="817763203520"/>
    <x v="1470"/>
    <s v="GAURI STEEL TRADERS"/>
    <n v="203520"/>
    <s v="MOHAMMED YUSUF MOHAMMED RIZWAN"/>
    <n v="35"/>
    <n v="0"/>
    <n v="0"/>
    <n v="0"/>
    <n v="35"/>
    <n v="0"/>
    <n v="18.100000000000001"/>
    <n v="2.1"/>
    <n v="0"/>
    <n v="62.25"/>
    <n v="9.25"/>
    <n v="0"/>
    <n v="40"/>
    <n v="0"/>
    <n v="0"/>
    <n v="83.25"/>
    <n v="9.25"/>
    <n v="0"/>
    <n v="31.5"/>
    <n v="1.5"/>
    <n v="0"/>
    <n v="60.95"/>
    <n v="5.5"/>
    <n v="0"/>
    <n v="331.05"/>
    <n v="57.1"/>
    <n v="0"/>
    <s v="NAGAUR"/>
    <s v="JODHPUR"/>
    <s v="RJ-JODHPUR"/>
    <d v="2022-01-20T00:00:00"/>
  </r>
  <r>
    <s v="818662176870"/>
    <x v="1471"/>
    <s v="MEHBUB KHAN MOYAL"/>
    <n v="176870"/>
    <s v="KHANDELWAL CEMENT AGENCY"/>
    <n v="45"/>
    <n v="0"/>
    <n v="0"/>
    <n v="52.5"/>
    <n v="0"/>
    <n v="0"/>
    <n v="20"/>
    <n v="0"/>
    <n v="0"/>
    <n v="40"/>
    <n v="0"/>
    <n v="0"/>
    <n v="25"/>
    <n v="0"/>
    <n v="0"/>
    <n v="20"/>
    <n v="0"/>
    <n v="0"/>
    <n v="50"/>
    <n v="0"/>
    <n v="0"/>
    <n v="5"/>
    <n v="0"/>
    <n v="0"/>
    <n v="257.5"/>
    <n v="0"/>
    <n v="0"/>
    <s v="NAGAUR"/>
    <s v="JODHPUR"/>
    <s v="RJ-JODHPUR"/>
    <d v="2022-04-18T00:00:00"/>
  </r>
  <r>
    <s v="818748210583"/>
    <x v="1472"/>
    <s v="OMPRAKASH"/>
    <n v="210583"/>
    <s v="BALAJI CEMENT AGENCY"/>
    <n v="7.5"/>
    <n v="0"/>
    <n v="0"/>
    <n v="33.75"/>
    <n v="0"/>
    <n v="0"/>
    <n v="54"/>
    <n v="5"/>
    <n v="0"/>
    <n v="5"/>
    <n v="0"/>
    <n v="0"/>
    <n v="20"/>
    <n v="0"/>
    <n v="0"/>
    <n v="20"/>
    <n v="0"/>
    <n v="0"/>
    <n v="10"/>
    <n v="0"/>
    <n v="0"/>
    <n v="20"/>
    <n v="0"/>
    <n v="0"/>
    <n v="170.25"/>
    <n v="5"/>
    <n v="0"/>
    <s v="NAGAUR"/>
    <s v="JODHPUR"/>
    <s v="RJ-JODHPUR"/>
    <d v="2022-04-25T00:00:00"/>
  </r>
  <r>
    <s v="818750210583"/>
    <x v="1473"/>
    <s v="NAHAR SINGH GURJAR"/>
    <n v="210583"/>
    <s v="BALAJI CEMENT AGENCY"/>
    <n v="7.5"/>
    <n v="0.5"/>
    <n v="0"/>
    <n v="18.5"/>
    <n v="0"/>
    <n v="0"/>
    <n v="34"/>
    <n v="4"/>
    <n v="0"/>
    <n v="0"/>
    <n v="0"/>
    <n v="0"/>
    <n v="20"/>
    <n v="0"/>
    <n v="0"/>
    <n v="18"/>
    <n v="0"/>
    <n v="0"/>
    <n v="0"/>
    <n v="0"/>
    <n v="0"/>
    <n v="10"/>
    <n v="0"/>
    <n v="0"/>
    <n v="108"/>
    <n v="4.5"/>
    <n v="0"/>
    <s v="NAGAUR"/>
    <s v="JODHPUR"/>
    <s v="RJ-JODHPUR"/>
    <d v="2022-04-25T00:00:00"/>
  </r>
  <r>
    <s v="819356206102"/>
    <x v="1474"/>
    <s v="KAILASH RAM PINDEL"/>
    <n v="206102"/>
    <s v="BABA RAMDEV CEMENT SUPPLIER"/>
    <n v="0"/>
    <n v="0"/>
    <n v="0"/>
    <n v="0"/>
    <n v="0"/>
    <n v="0"/>
    <n v="20"/>
    <n v="0"/>
    <n v="0"/>
    <n v="0"/>
    <n v="0"/>
    <n v="0"/>
    <n v="35"/>
    <n v="0"/>
    <n v="0"/>
    <n v="0"/>
    <n v="0"/>
    <n v="0"/>
    <n v="0"/>
    <n v="0"/>
    <n v="0"/>
    <n v="35"/>
    <n v="0"/>
    <n v="0"/>
    <n v="90"/>
    <n v="0"/>
    <n v="0"/>
    <s v="NAGAUR"/>
    <s v="JODHPUR"/>
    <s v="RJ-JODHPUR"/>
    <d v="2022-06-15T00:00:00"/>
  </r>
  <r>
    <s v="819490208628"/>
    <x v="1475"/>
    <s v="MOHAMMED IQBAL BUILDING MATERI"/>
    <n v="208628"/>
    <s v="J.B BUILDING MATERIAL"/>
    <n v="0"/>
    <n v="0"/>
    <n v="0"/>
    <n v="0"/>
    <n v="0"/>
    <n v="0"/>
    <n v="10"/>
    <n v="0"/>
    <n v="0"/>
    <n v="35"/>
    <n v="0"/>
    <n v="0"/>
    <n v="86"/>
    <n v="0"/>
    <n v="0"/>
    <n v="45"/>
    <n v="0"/>
    <n v="0"/>
    <n v="0"/>
    <n v="0"/>
    <n v="0"/>
    <n v="0"/>
    <n v="0"/>
    <n v="0"/>
    <n v="176"/>
    <n v="0"/>
    <n v="0"/>
    <s v="NAGAUR"/>
    <s v="JODHPUR"/>
    <s v="RJ-JODHPUR"/>
    <d v="2022-06-24T00:00:00"/>
  </r>
  <r>
    <s v="819545207379"/>
    <x v="1476"/>
    <s v="SHIV SHAKTI BUILDING MATERIAL"/>
    <n v="207379"/>
    <s v="BABA RAMDEV BUILDING MATERIAL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0"/>
    <n v="0"/>
    <n v="0"/>
    <n v="0"/>
    <n v="0"/>
    <n v="0"/>
    <n v="25"/>
    <n v="0"/>
    <n v="0"/>
    <s v="NAGAUR"/>
    <s v="JODHPUR"/>
    <s v="RJ-JODHPUR"/>
    <d v="2022-06-28T00:00:00"/>
  </r>
  <r>
    <s v="819688210583"/>
    <x v="1477"/>
    <s v="MANOHAR SINGH"/>
    <n v="210583"/>
    <s v="BALAJI CEMENT AGENCY"/>
    <n v="0"/>
    <n v="0"/>
    <n v="0"/>
    <n v="0"/>
    <n v="0"/>
    <n v="0"/>
    <n v="0"/>
    <n v="0"/>
    <n v="0"/>
    <n v="20"/>
    <n v="0"/>
    <n v="0"/>
    <n v="12.5"/>
    <n v="0"/>
    <n v="2.5"/>
    <n v="25"/>
    <n v="0"/>
    <n v="0"/>
    <n v="40"/>
    <n v="0"/>
    <n v="0"/>
    <n v="5"/>
    <n v="0"/>
    <n v="0"/>
    <n v="102.5"/>
    <n v="0"/>
    <n v="2.5"/>
    <s v="NAGAUR"/>
    <s v="JODHPUR"/>
    <s v="RJ-JODHPUR"/>
    <d v="2022-07-09T00:00:00"/>
  </r>
  <r>
    <s v="820377207442"/>
    <x v="1478"/>
    <s v="RENU JOSHI"/>
    <n v="207442"/>
    <s v="SHARMA STONE SUPPLIERS"/>
    <n v="0"/>
    <n v="0"/>
    <n v="0"/>
    <n v="0"/>
    <n v="0"/>
    <n v="0"/>
    <n v="0"/>
    <n v="0"/>
    <n v="0"/>
    <n v="0"/>
    <n v="0"/>
    <n v="0"/>
    <n v="0"/>
    <n v="0"/>
    <n v="0"/>
    <n v="97.5"/>
    <n v="0"/>
    <n v="47.5"/>
    <n v="85.5"/>
    <n v="0"/>
    <n v="28.5"/>
    <n v="81"/>
    <n v="0"/>
    <n v="30"/>
    <n v="264"/>
    <n v="0"/>
    <n v="76"/>
    <s v="NAGAUR"/>
    <s v="JODHPUR"/>
    <s v="RJ-JODHPUR"/>
    <d v="2022-09-03T00:00:00"/>
  </r>
  <r>
    <s v="815935208628"/>
    <x v="1462"/>
    <s v="JASNATH BUILDING MATERIALS"/>
    <n v="208628"/>
    <s v="J.B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s v="NAGAUR"/>
    <s v="JODHPUR"/>
    <s v="RJ-JODHPUR"/>
    <d v="2021-08-14T00:00:00"/>
  </r>
  <r>
    <s v="810551207442"/>
    <x v="1479"/>
    <s v="MAHESH ENTERPRISES"/>
    <n v="207442"/>
    <s v="SHARMA STONE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10"/>
    <n v="0"/>
    <n v="10"/>
    <n v="35"/>
    <n v="0"/>
    <n v="0"/>
    <s v="NAGAUR"/>
    <s v="JODHPUR"/>
    <s v="RJ-JODHPUR"/>
    <d v="2019-09-25T00:00:00"/>
  </r>
  <r>
    <s v="803721143530"/>
    <x v="1426"/>
    <s v="GAJANAD CEMENT SUPPLIERS"/>
    <n v="143530"/>
    <s v="BHAT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30"/>
    <n v="0"/>
    <n v="0"/>
    <s v="NAGAUR"/>
    <s v="JODHPUR"/>
    <s v="RJ-JODHPUR"/>
    <d v="2014-12-08T00:00:00"/>
  </r>
  <r>
    <s v="819152174166"/>
    <x v="1480"/>
    <s v="PRADEEP TRADERS"/>
    <n v="174166"/>
    <s v="NAMOKAR STONE TRADERS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10"/>
    <n v="0"/>
    <n v="0"/>
    <s v="KOTA"/>
    <s v="KOTA"/>
    <s v="RJ-JODHPUR"/>
    <d v="2022-05-31T00:00:00"/>
  </r>
  <r>
    <s v="804744206066"/>
    <x v="1481"/>
    <s v="MAHALAXMI STEEL TRADERS"/>
    <n v="206066"/>
    <s v="GAJANAND CEMENT AGENCY"/>
    <n v="25"/>
    <n v="0"/>
    <n v="0"/>
    <n v="0"/>
    <n v="0"/>
    <n v="0"/>
    <n v="0"/>
    <n v="0"/>
    <n v="0"/>
    <n v="0"/>
    <n v="0"/>
    <n v="0"/>
    <n v="7.5"/>
    <n v="0"/>
    <n v="0"/>
    <n v="0"/>
    <n v="0"/>
    <n v="0"/>
    <n v="0"/>
    <n v="0"/>
    <n v="0"/>
    <n v="0"/>
    <n v="0"/>
    <n v="0"/>
    <n v="32.5"/>
    <n v="0"/>
    <n v="0"/>
    <s v="JALORE"/>
    <s v="PALI"/>
    <s v="RJ-JODHPUR"/>
    <d v="2016-01-27T00:00:00"/>
  </r>
  <r>
    <s v="804864206066"/>
    <x v="1482"/>
    <s v="SHREE BAJRANG BALI HARDWARE"/>
    <n v="206066"/>
    <s v="GAJANAND CEMENT AGENCY"/>
    <n v="30"/>
    <n v="0"/>
    <n v="0"/>
    <n v="15"/>
    <n v="15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85"/>
    <n v="15"/>
    <n v="0"/>
    <s v="JALORE"/>
    <s v="PALI"/>
    <s v="RJ-JODHPUR"/>
    <d v="2016-02-26T00:00:00"/>
  </r>
  <r>
    <s v="805870206441"/>
    <x v="1483"/>
    <s v="SURESH KUMAR PUKHRAJ"/>
    <n v="206441"/>
    <s v="SHREE AMBIKA CEMENT COMPANY"/>
    <n v="75"/>
    <n v="4"/>
    <n v="0"/>
    <n v="56.5"/>
    <n v="0"/>
    <n v="0"/>
    <n v="82"/>
    <n v="2"/>
    <n v="0"/>
    <n v="10"/>
    <n v="0"/>
    <n v="0"/>
    <n v="17"/>
    <n v="10"/>
    <n v="0"/>
    <n v="50"/>
    <n v="0"/>
    <n v="0"/>
    <n v="35"/>
    <n v="0"/>
    <n v="0"/>
    <n v="65"/>
    <n v="0"/>
    <n v="0"/>
    <n v="390.5"/>
    <n v="16"/>
    <n v="0"/>
    <s v="JALORE"/>
    <s v="PALI"/>
    <s v="RJ-JODHPUR"/>
    <d v="2016-12-20T00:00:00"/>
  </r>
  <r>
    <s v="806754177450"/>
    <x v="1484"/>
    <s v="KHANDELWAL TIMBER MART"/>
    <n v="177450"/>
    <s v="J.K. CEMENT AGENCY"/>
    <n v="20"/>
    <n v="0"/>
    <n v="0"/>
    <n v="0"/>
    <n v="0"/>
    <n v="0"/>
    <n v="0"/>
    <n v="0"/>
    <n v="0"/>
    <n v="8"/>
    <n v="0"/>
    <n v="8"/>
    <n v="0"/>
    <n v="0"/>
    <n v="0"/>
    <n v="0"/>
    <n v="0"/>
    <n v="0"/>
    <n v="0"/>
    <n v="0"/>
    <n v="0"/>
    <n v="0"/>
    <n v="0"/>
    <n v="0"/>
    <n v="28"/>
    <n v="0"/>
    <n v="8"/>
    <s v="JALORE"/>
    <s v="PALI"/>
    <s v="RJ-JODHPUR"/>
    <d v="2017-06-09T00:00:00"/>
  </r>
  <r>
    <s v="806885206441"/>
    <x v="1485"/>
    <s v="NEW RAMDEV KIRANA STORE"/>
    <n v="206441"/>
    <s v="SHREE AMBIKA CEMENT COMPANY"/>
    <n v="0"/>
    <n v="0"/>
    <n v="0"/>
    <n v="0"/>
    <n v="0"/>
    <n v="0"/>
    <n v="20"/>
    <n v="0"/>
    <n v="0"/>
    <n v="0"/>
    <n v="0"/>
    <n v="0"/>
    <n v="30"/>
    <n v="0"/>
    <n v="0"/>
    <n v="10"/>
    <n v="0"/>
    <n v="0"/>
    <n v="35"/>
    <n v="0"/>
    <n v="0"/>
    <n v="40"/>
    <n v="0"/>
    <n v="0"/>
    <n v="135"/>
    <n v="0"/>
    <n v="0"/>
    <s v="JALORE"/>
    <s v="PALI"/>
    <s v="RJ-JODHPUR"/>
    <d v="2017-09-15T00:00:00"/>
  </r>
  <r>
    <s v="807683206066"/>
    <x v="1486"/>
    <s v="KANAK PRABHU TRADING CO"/>
    <n v="206066"/>
    <s v="GAJANAND CEMENT AGENCY"/>
    <n v="25"/>
    <n v="0"/>
    <n v="0"/>
    <n v="30"/>
    <n v="0"/>
    <n v="0"/>
    <n v="14"/>
    <n v="0"/>
    <n v="0"/>
    <n v="21"/>
    <n v="0"/>
    <n v="11"/>
    <n v="18"/>
    <n v="0"/>
    <n v="0"/>
    <n v="10"/>
    <n v="0"/>
    <n v="0"/>
    <n v="10"/>
    <n v="0"/>
    <n v="0"/>
    <n v="30"/>
    <n v="0"/>
    <n v="0"/>
    <n v="158"/>
    <n v="0"/>
    <n v="11"/>
    <s v="JALORE"/>
    <s v="PALI"/>
    <s v="RJ-JODHPUR"/>
    <d v="2017-12-30T00:00:00"/>
  </r>
  <r>
    <s v="808575206066"/>
    <x v="1487"/>
    <s v="DHANLAXMI TRADING COMPANY"/>
    <n v="206066"/>
    <s v="GAJANAND CEMENT AGENCY"/>
    <n v="40"/>
    <n v="0"/>
    <n v="0"/>
    <n v="0"/>
    <n v="0"/>
    <n v="0"/>
    <n v="25"/>
    <n v="0"/>
    <n v="0"/>
    <n v="0"/>
    <n v="0"/>
    <n v="0"/>
    <n v="10"/>
    <n v="0"/>
    <n v="0"/>
    <n v="0"/>
    <n v="0"/>
    <n v="0"/>
    <n v="0"/>
    <n v="0"/>
    <n v="0"/>
    <n v="0"/>
    <n v="0"/>
    <n v="0"/>
    <n v="75"/>
    <n v="0"/>
    <n v="0"/>
    <s v="JALORE"/>
    <s v="PALI"/>
    <s v="RJ-JODHPUR"/>
    <d v="2018-06-12T00:00:00"/>
  </r>
  <r>
    <s v="808708206066"/>
    <x v="1488"/>
    <s v="SHERUKHAN GANIKHAN VALI"/>
    <n v="206066"/>
    <s v="GAJANAND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ORE"/>
    <s v="PALI"/>
    <s v="RJ-JODHPUR"/>
    <d v="2018-07-27T00:00:00"/>
  </r>
  <r>
    <s v="810104177947"/>
    <x v="1489"/>
    <s v="GAJANAND HARDWARE STORE"/>
    <n v="177947"/>
    <s v="BHARAT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ORE"/>
    <s v="PALI"/>
    <s v="RJ-JODHPUR"/>
    <d v="2019-07-31T00:00:00"/>
  </r>
  <r>
    <s v="811051173849"/>
    <x v="1490"/>
    <s v="JAI AAI MATAJI"/>
    <n v="173849"/>
    <s v="MAHADEV HARDWARE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15"/>
    <n v="0"/>
    <n v="0"/>
    <s v="JALORE"/>
    <s v="PALI"/>
    <s v="RJ-JODHPUR"/>
    <d v="2019-12-23T00:00:00"/>
  </r>
  <r>
    <s v="811052178219"/>
    <x v="1491"/>
    <s v="DEVASI TRADING COMPANY"/>
    <n v="178219"/>
    <s v="BALAJI CEMENT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0"/>
    <n v="0"/>
    <s v="JALORE"/>
    <s v="PALI"/>
    <s v="RJ-JODHPUR"/>
    <d v="2019-12-23T00:00:00"/>
  </r>
  <r>
    <s v="811513206066"/>
    <x v="1492"/>
    <s v="SHREE DHANLAXMI TRADING COMPAN"/>
    <n v="206066"/>
    <s v="GAJANAND CEMENT AGENCY"/>
    <n v="0"/>
    <n v="20"/>
    <n v="0"/>
    <n v="98"/>
    <n v="0"/>
    <n v="0"/>
    <n v="70"/>
    <n v="0"/>
    <n v="0"/>
    <n v="35"/>
    <n v="0"/>
    <n v="0"/>
    <n v="57.5"/>
    <n v="0"/>
    <n v="0"/>
    <n v="20"/>
    <n v="0"/>
    <n v="0"/>
    <n v="45"/>
    <n v="0"/>
    <n v="0"/>
    <n v="46"/>
    <n v="0"/>
    <n v="0"/>
    <n v="371.5"/>
    <n v="20"/>
    <n v="0"/>
    <s v="JALORE"/>
    <s v="PALI"/>
    <s v="RJ-JODHPUR"/>
    <d v="2020-02-14T00:00:00"/>
  </r>
  <r>
    <s v="811545178460"/>
    <x v="1493"/>
    <s v="SHREE KULETI CEMENT SUPPLIERS"/>
    <n v="178460"/>
    <s v="BHARAT KUMAR PREMJI MAL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ORE"/>
    <s v="PALI"/>
    <s v="RJ-JODHPUR"/>
    <d v="2020-02-20T00:00:00"/>
  </r>
  <r>
    <s v="811868206066"/>
    <x v="1494"/>
    <s v="MAHADEV STEEL"/>
    <n v="206066"/>
    <s v="GAJANAND CEMENT AGENCY"/>
    <n v="0"/>
    <n v="0"/>
    <n v="0"/>
    <n v="0"/>
    <n v="0"/>
    <n v="0"/>
    <n v="0"/>
    <n v="0"/>
    <n v="0"/>
    <n v="0"/>
    <n v="0"/>
    <n v="0"/>
    <n v="7.5"/>
    <n v="0"/>
    <n v="0"/>
    <n v="0"/>
    <n v="0"/>
    <n v="0"/>
    <n v="10"/>
    <n v="0"/>
    <n v="0"/>
    <n v="0"/>
    <n v="0"/>
    <n v="0"/>
    <n v="17.5"/>
    <n v="0"/>
    <n v="0"/>
    <s v="JALORE"/>
    <s v="PALI"/>
    <s v="RJ-JODHPUR"/>
    <d v="2020-06-08T00:00:00"/>
  </r>
  <r>
    <s v="813146206066"/>
    <x v="1495"/>
    <s v="SHREE ASHAPURA BUILDING MATERI"/>
    <n v="206066"/>
    <s v="GAJANAND CEMENT AGENCY"/>
    <n v="15"/>
    <n v="15"/>
    <n v="0"/>
    <n v="91"/>
    <n v="0"/>
    <n v="0"/>
    <n v="52"/>
    <n v="0"/>
    <n v="0"/>
    <n v="35"/>
    <n v="0"/>
    <n v="0"/>
    <n v="47.5"/>
    <n v="0"/>
    <n v="0"/>
    <n v="78"/>
    <n v="0"/>
    <n v="0"/>
    <n v="30"/>
    <n v="0"/>
    <n v="0"/>
    <n v="40"/>
    <n v="0"/>
    <n v="0"/>
    <n v="388.5"/>
    <n v="15"/>
    <n v="0"/>
    <s v="JALORE"/>
    <s v="PALI"/>
    <s v="RJ-JODHPUR"/>
    <d v="2020-09-30T00:00:00"/>
  </r>
  <r>
    <s v="813621206441"/>
    <x v="1496"/>
    <s v="DHANLAXMI CEMENT AGENCY"/>
    <n v="206441"/>
    <s v="SHREE AMBIKA CEMENT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ORE"/>
    <s v="PALI"/>
    <s v="RJ-JODHPUR"/>
    <d v="2020-11-24T00:00:00"/>
  </r>
  <r>
    <s v="814805206956"/>
    <x v="1497"/>
    <s v="SHOKAT KHAN"/>
    <n v="206956"/>
    <s v="KHETESHWAR DATA CONTRACTOR"/>
    <n v="27"/>
    <n v="10.5"/>
    <n v="0"/>
    <n v="46.5"/>
    <n v="0"/>
    <n v="0"/>
    <n v="47"/>
    <n v="0"/>
    <n v="0"/>
    <n v="15"/>
    <n v="0"/>
    <n v="0"/>
    <n v="20"/>
    <n v="0"/>
    <n v="0"/>
    <n v="12"/>
    <n v="0"/>
    <n v="0"/>
    <n v="0"/>
    <n v="0"/>
    <n v="0"/>
    <n v="37"/>
    <n v="0"/>
    <n v="0"/>
    <n v="204.5"/>
    <n v="10.5"/>
    <n v="0"/>
    <s v="JALORE"/>
    <s v="PALI"/>
    <s v="RJ-JODHPUR"/>
    <d v="2021-03-20T00:00:00"/>
  </r>
  <r>
    <s v="814839206441"/>
    <x v="1498"/>
    <s v="VIKRAM KUMAR PRAJAPAT"/>
    <n v="206441"/>
    <s v="SHREE AMBIKA CEMENT COMPANY"/>
    <n v="0"/>
    <n v="0"/>
    <n v="0"/>
    <n v="45"/>
    <n v="0"/>
    <n v="0"/>
    <n v="90"/>
    <n v="0"/>
    <n v="0"/>
    <n v="100"/>
    <n v="0"/>
    <n v="0"/>
    <n v="70"/>
    <n v="0"/>
    <n v="0"/>
    <n v="57"/>
    <n v="0"/>
    <n v="7"/>
    <n v="35"/>
    <n v="0"/>
    <n v="0"/>
    <n v="85"/>
    <n v="0"/>
    <n v="10"/>
    <n v="482"/>
    <n v="0"/>
    <n v="7"/>
    <s v="JALORE"/>
    <s v="PALI"/>
    <s v="RJ-JODHPUR"/>
    <d v="2021-03-25T00:00:00"/>
  </r>
  <r>
    <s v="814901206441"/>
    <x v="1499"/>
    <s v="SURESH KUMAR HEMAJI PRAJAPAT"/>
    <n v="206441"/>
    <s v="SHREE AMBIKA CEMENT COMPANY"/>
    <n v="207"/>
    <n v="0"/>
    <n v="0"/>
    <n v="84"/>
    <n v="0"/>
    <n v="0"/>
    <n v="55"/>
    <n v="0"/>
    <n v="0"/>
    <n v="48"/>
    <n v="0"/>
    <n v="10"/>
    <n v="50"/>
    <n v="0"/>
    <n v="0"/>
    <n v="30"/>
    <n v="0"/>
    <n v="0"/>
    <n v="45"/>
    <n v="0"/>
    <n v="0"/>
    <n v="75"/>
    <n v="0"/>
    <n v="0"/>
    <n v="594"/>
    <n v="0"/>
    <n v="10"/>
    <s v="JALORE"/>
    <s v="PALI"/>
    <s v="RJ-JODHPUR"/>
    <d v="2021-04-06T00:00:00"/>
  </r>
  <r>
    <s v="814910206066"/>
    <x v="1500"/>
    <s v="BHANWAR LAL"/>
    <n v="206066"/>
    <s v="GAJANAND CEMENT AGENCY"/>
    <n v="35"/>
    <n v="0"/>
    <n v="0"/>
    <n v="15"/>
    <n v="0"/>
    <n v="0"/>
    <n v="75"/>
    <n v="0"/>
    <n v="0"/>
    <n v="20"/>
    <n v="0"/>
    <n v="0"/>
    <n v="7.5"/>
    <n v="0"/>
    <n v="0"/>
    <n v="0"/>
    <n v="0"/>
    <n v="0"/>
    <n v="10"/>
    <n v="0"/>
    <n v="0"/>
    <n v="50"/>
    <n v="0"/>
    <n v="0"/>
    <n v="212.5"/>
    <n v="0"/>
    <n v="0"/>
    <s v="JALORE"/>
    <s v="PALI"/>
    <s v="RJ-JODHPUR"/>
    <d v="2021-04-06T00:00:00"/>
  </r>
  <r>
    <s v="815508179928"/>
    <x v="1501"/>
    <s v="ASHAPURA CEMENT AGENCY"/>
    <n v="179928"/>
    <s v="BHAIRAV BUILDING MATERIAL SUPP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ALORE"/>
    <s v="PALI"/>
    <s v="RJ-JODHPUR"/>
    <d v="2021-07-14T00:00:00"/>
  </r>
  <r>
    <s v="815508206066"/>
    <x v="1501"/>
    <s v="ASHAPURA CEMENT AGENCY"/>
    <n v="206066"/>
    <s v="GAJANAND CEMENT AGENCY"/>
    <n v="60"/>
    <n v="0"/>
    <n v="0"/>
    <n v="97"/>
    <n v="0"/>
    <n v="0"/>
    <n v="102"/>
    <n v="0"/>
    <n v="0"/>
    <n v="34"/>
    <n v="0"/>
    <n v="0"/>
    <n v="45"/>
    <n v="0"/>
    <n v="0"/>
    <n v="35"/>
    <n v="0"/>
    <n v="0"/>
    <n v="30"/>
    <n v="0"/>
    <n v="0"/>
    <n v="40"/>
    <n v="0"/>
    <n v="0"/>
    <n v="443"/>
    <n v="0"/>
    <n v="0"/>
    <s v="JALORE"/>
    <s v="PALI"/>
    <s v="RJ-JODHPUR"/>
    <d v="2021-07-14T00:00:00"/>
  </r>
  <r>
    <s v="815509203651"/>
    <x v="1502"/>
    <s v="GALABA RAM S/O MEGHA RAM CHOUD"/>
    <n v="203651"/>
    <s v="VINAYAK STEEL TRADERS"/>
    <n v="105"/>
    <n v="0"/>
    <n v="0"/>
    <n v="60"/>
    <n v="0"/>
    <n v="0"/>
    <n v="48"/>
    <n v="0"/>
    <n v="0"/>
    <n v="45"/>
    <n v="0"/>
    <n v="0"/>
    <n v="27.5"/>
    <n v="0"/>
    <n v="0"/>
    <n v="106.5"/>
    <n v="35"/>
    <n v="0"/>
    <n v="72.5"/>
    <n v="0"/>
    <n v="45"/>
    <n v="77"/>
    <n v="0"/>
    <n v="15"/>
    <n v="541.5"/>
    <n v="35"/>
    <n v="45"/>
    <s v="JALORE"/>
    <s v="PALI"/>
    <s v="RJ-JODHPUR"/>
    <d v="2021-07-14T00:00:00"/>
  </r>
  <r>
    <s v="815510206066"/>
    <x v="1503"/>
    <s v="SHANTI LAL"/>
    <n v="206066"/>
    <s v="GAJANAND CEMENT AGENCY"/>
    <n v="91"/>
    <n v="0"/>
    <n v="0"/>
    <n v="35"/>
    <n v="0"/>
    <n v="0"/>
    <n v="124"/>
    <n v="0"/>
    <n v="0"/>
    <n v="10"/>
    <n v="0"/>
    <n v="0"/>
    <n v="0"/>
    <n v="0"/>
    <n v="0"/>
    <n v="20"/>
    <n v="0"/>
    <n v="0"/>
    <n v="10"/>
    <n v="0"/>
    <n v="0"/>
    <n v="40"/>
    <n v="0"/>
    <n v="0"/>
    <n v="330"/>
    <n v="0"/>
    <n v="0"/>
    <s v="JALORE"/>
    <s v="PALI"/>
    <s v="RJ-JODHPUR"/>
    <d v="2021-07-14T00:00:00"/>
  </r>
  <r>
    <s v="816427173849"/>
    <x v="1504"/>
    <s v="KHEEM SINGH"/>
    <n v="173849"/>
    <s v="MAHADEV HARDWARE"/>
    <n v="30"/>
    <n v="0"/>
    <n v="0"/>
    <n v="51"/>
    <n v="0"/>
    <n v="0"/>
    <n v="37"/>
    <n v="0"/>
    <n v="0"/>
    <n v="25"/>
    <n v="0"/>
    <n v="0"/>
    <n v="0"/>
    <n v="0"/>
    <n v="0"/>
    <n v="61"/>
    <n v="0"/>
    <n v="10"/>
    <n v="20"/>
    <n v="0"/>
    <n v="0"/>
    <n v="32.25"/>
    <n v="0"/>
    <n v="7.25"/>
    <n v="256.25"/>
    <n v="0"/>
    <n v="10"/>
    <s v="JALORE"/>
    <s v="PALI"/>
    <s v="RJ-JODHPUR"/>
    <d v="2021-09-21T00:00:00"/>
  </r>
  <r>
    <s v="816764206066"/>
    <x v="1505"/>
    <s v="JAGDISH S/O SADRAM"/>
    <n v="206066"/>
    <s v="GAJANAND CEMENT AGENCY"/>
    <n v="70"/>
    <n v="21"/>
    <n v="0"/>
    <n v="56"/>
    <n v="0"/>
    <n v="0"/>
    <n v="89"/>
    <n v="10"/>
    <n v="35"/>
    <n v="35"/>
    <n v="0"/>
    <n v="0"/>
    <n v="35"/>
    <n v="0"/>
    <n v="0"/>
    <n v="152"/>
    <n v="0"/>
    <n v="0"/>
    <n v="99.5"/>
    <n v="33.5"/>
    <n v="0"/>
    <n v="72"/>
    <n v="12"/>
    <n v="0"/>
    <n v="608.5"/>
    <n v="64.5"/>
    <n v="35"/>
    <s v="JALORE"/>
    <s v="PALI"/>
    <s v="RJ-JODHPUR"/>
    <d v="2021-10-18T00:00:00"/>
  </r>
  <r>
    <s v="816765206066"/>
    <x v="1506"/>
    <s v="POONMA RAM"/>
    <n v="206066"/>
    <s v="GAJANAND CEMENT AGENCY"/>
    <n v="40"/>
    <n v="0"/>
    <n v="0"/>
    <n v="45"/>
    <n v="15"/>
    <n v="0"/>
    <n v="50"/>
    <n v="0"/>
    <n v="0"/>
    <n v="30"/>
    <n v="10"/>
    <n v="0"/>
    <n v="32.5"/>
    <n v="0"/>
    <n v="0"/>
    <n v="30"/>
    <n v="0"/>
    <n v="0"/>
    <n v="59"/>
    <n v="10"/>
    <n v="0"/>
    <n v="50"/>
    <n v="0"/>
    <n v="0"/>
    <n v="336.5"/>
    <n v="35"/>
    <n v="0"/>
    <s v="JALORE"/>
    <s v="PALI"/>
    <s v="RJ-JODHPUR"/>
    <d v="2021-10-18T00:00:00"/>
  </r>
  <r>
    <s v="816859206956"/>
    <x v="1507"/>
    <s v="JODHA RAM DEVASI"/>
    <n v="206956"/>
    <s v="KHETESHWAR DATA CONTRACTOR"/>
    <n v="77"/>
    <n v="0"/>
    <n v="0"/>
    <n v="50"/>
    <n v="0"/>
    <n v="0"/>
    <n v="69"/>
    <n v="0"/>
    <n v="0"/>
    <n v="15"/>
    <n v="0"/>
    <n v="0"/>
    <n v="56.5"/>
    <n v="14.5"/>
    <n v="0"/>
    <n v="50"/>
    <n v="0"/>
    <n v="0"/>
    <n v="0"/>
    <n v="0"/>
    <n v="0"/>
    <n v="20"/>
    <n v="0"/>
    <n v="0"/>
    <n v="337.5"/>
    <n v="14.5"/>
    <n v="0"/>
    <s v="JALORE"/>
    <s v="PALI"/>
    <s v="RJ-JODHPUR"/>
    <d v="2021-10-27T00:00:00"/>
  </r>
  <r>
    <s v="817055206066"/>
    <x v="1508"/>
    <s v="SANVALA RAM"/>
    <n v="206066"/>
    <s v="GAJANAND CEMENT AGENCY"/>
    <n v="127"/>
    <n v="0"/>
    <n v="0"/>
    <n v="45"/>
    <n v="12"/>
    <n v="0"/>
    <n v="46"/>
    <n v="0"/>
    <n v="0"/>
    <n v="50"/>
    <n v="0"/>
    <n v="15"/>
    <n v="17.5"/>
    <n v="0"/>
    <n v="0"/>
    <n v="35"/>
    <n v="0"/>
    <n v="0"/>
    <n v="72"/>
    <n v="22"/>
    <n v="0"/>
    <n v="55"/>
    <n v="15"/>
    <n v="0"/>
    <n v="447.5"/>
    <n v="34"/>
    <n v="15"/>
    <s v="JALORE"/>
    <s v="PALI"/>
    <s v="RJ-JODHPUR"/>
    <d v="2021-11-19T00:00:00"/>
  </r>
  <r>
    <s v="817056206066"/>
    <x v="1509"/>
    <s v="UDA RAM"/>
    <n v="206066"/>
    <s v="GAJANAND CEMENT AGENCY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ALORE"/>
    <s v="PALI"/>
    <s v="RJ-JODHPUR"/>
    <d v="2021-11-19T00:00:00"/>
  </r>
  <r>
    <s v="817057206066"/>
    <x v="1510"/>
    <s v="OB SINGH"/>
    <n v="206066"/>
    <s v="GAJANAND CEMENT AGENCY"/>
    <n v="10"/>
    <n v="0"/>
    <n v="0"/>
    <n v="16"/>
    <n v="0"/>
    <n v="0"/>
    <n v="92"/>
    <n v="0"/>
    <n v="0"/>
    <n v="90"/>
    <n v="15"/>
    <n v="10"/>
    <n v="35"/>
    <n v="0"/>
    <n v="0"/>
    <n v="91"/>
    <n v="25"/>
    <n v="0"/>
    <n v="64"/>
    <n v="0"/>
    <n v="0"/>
    <n v="65"/>
    <n v="15"/>
    <n v="10"/>
    <n v="463"/>
    <n v="40"/>
    <n v="10"/>
    <s v="JALORE"/>
    <s v="PALI"/>
    <s v="RJ-JODHPUR"/>
    <d v="2021-11-19T00:00:00"/>
  </r>
  <r>
    <s v="817057209036"/>
    <x v="1510"/>
    <s v="OB SINGH"/>
    <n v="209036"/>
    <s v="ASHAPURA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JALORE"/>
    <s v="PALI"/>
    <s v="RJ-JODHPUR"/>
    <d v="2021-11-19T00:00:00"/>
  </r>
  <r>
    <s v="817188178219"/>
    <x v="1511"/>
    <s v="GAJENDRA SINGH"/>
    <n v="178219"/>
    <s v="BALAJI CEMENT COMPANY"/>
    <n v="20"/>
    <n v="0"/>
    <n v="0"/>
    <n v="44"/>
    <n v="0"/>
    <n v="0"/>
    <n v="52.5"/>
    <n v="0"/>
    <n v="0"/>
    <n v="45"/>
    <n v="0"/>
    <n v="0"/>
    <n v="0"/>
    <n v="0"/>
    <n v="0"/>
    <n v="20"/>
    <n v="0"/>
    <n v="0"/>
    <n v="15"/>
    <n v="0"/>
    <n v="0"/>
    <n v="40"/>
    <n v="0"/>
    <n v="0"/>
    <n v="236.5"/>
    <n v="0"/>
    <n v="0"/>
    <s v="JALORE"/>
    <s v="PALI"/>
    <s v="RJ-JODHPUR"/>
    <d v="2021-12-02T00:00:00"/>
  </r>
  <r>
    <s v="817270176929"/>
    <x v="1512"/>
    <s v="MANOHAR SINGH"/>
    <n v="176929"/>
    <s v="BHARAT TRADERS"/>
    <n v="17"/>
    <n v="0"/>
    <n v="0"/>
    <n v="21"/>
    <n v="0"/>
    <n v="0"/>
    <n v="40"/>
    <n v="0"/>
    <n v="0"/>
    <n v="0"/>
    <n v="0"/>
    <n v="0"/>
    <n v="15"/>
    <n v="0"/>
    <n v="0"/>
    <n v="10"/>
    <n v="0"/>
    <n v="0"/>
    <n v="27"/>
    <n v="0"/>
    <n v="7"/>
    <n v="20"/>
    <n v="0"/>
    <n v="0"/>
    <n v="150"/>
    <n v="0"/>
    <n v="7"/>
    <s v="JALORE"/>
    <s v="PALI"/>
    <s v="RJ-JODHPUR"/>
    <d v="2021-12-11T00:00:00"/>
  </r>
  <r>
    <s v="818131206066"/>
    <x v="1513"/>
    <s v="RANCHHODA RAM"/>
    <n v="206066"/>
    <s v="GAJANAND CEMENT AGENCY"/>
    <n v="35"/>
    <n v="0"/>
    <n v="0"/>
    <n v="55"/>
    <n v="0"/>
    <n v="0"/>
    <n v="20"/>
    <n v="0"/>
    <n v="0"/>
    <n v="36.799999999999997"/>
    <n v="6.8"/>
    <n v="0"/>
    <n v="36.5"/>
    <n v="0"/>
    <n v="12"/>
    <n v="72"/>
    <n v="12"/>
    <n v="0"/>
    <n v="20"/>
    <n v="0"/>
    <n v="0"/>
    <n v="45"/>
    <n v="15"/>
    <n v="0"/>
    <n v="320.3"/>
    <n v="18.8"/>
    <n v="12"/>
    <s v="JALORE"/>
    <s v="PALI"/>
    <s v="RJ-JODHPUR"/>
    <d v="2022-02-24T00:00:00"/>
  </r>
  <r>
    <s v="818132206066"/>
    <x v="1514"/>
    <s v="DAMRA RAM"/>
    <n v="206066"/>
    <s v="GAJANAND CEMENT AGENCY"/>
    <n v="40"/>
    <n v="0"/>
    <n v="0"/>
    <n v="55"/>
    <n v="0"/>
    <n v="0"/>
    <n v="80"/>
    <n v="0"/>
    <n v="0"/>
    <n v="25"/>
    <n v="15"/>
    <n v="0"/>
    <n v="30"/>
    <n v="0"/>
    <n v="15"/>
    <n v="45"/>
    <n v="15"/>
    <n v="0"/>
    <n v="20"/>
    <n v="0"/>
    <n v="0"/>
    <n v="50"/>
    <n v="0"/>
    <n v="0"/>
    <n v="345"/>
    <n v="30"/>
    <n v="15"/>
    <s v="JALORE"/>
    <s v="PALI"/>
    <s v="RJ-JODHPUR"/>
    <d v="2022-02-24T00:00:00"/>
  </r>
  <r>
    <s v="818133206066"/>
    <x v="1515"/>
    <s v="KAPUR NATH LAL NATH"/>
    <n v="206066"/>
    <s v="GAJANAND CEMENT AGENCY"/>
    <n v="25"/>
    <n v="0"/>
    <n v="0"/>
    <n v="55"/>
    <n v="0"/>
    <n v="0"/>
    <n v="49"/>
    <n v="0"/>
    <n v="0"/>
    <n v="45"/>
    <n v="15"/>
    <n v="0"/>
    <n v="31"/>
    <n v="0"/>
    <n v="15"/>
    <n v="54.75"/>
    <n v="0"/>
    <n v="0"/>
    <n v="50"/>
    <n v="0"/>
    <n v="0"/>
    <n v="60"/>
    <n v="0"/>
    <n v="0"/>
    <n v="369.75"/>
    <n v="15"/>
    <n v="15"/>
    <s v="JALORE"/>
    <s v="PALI"/>
    <s v="RJ-JODHPUR"/>
    <d v="2022-02-24T00:00:00"/>
  </r>
  <r>
    <s v="818164206066"/>
    <x v="1516"/>
    <s v="SHANKARA RAM MALI"/>
    <n v="206066"/>
    <s v="GAJANAND CEMENT AGENCY"/>
    <n v="55"/>
    <n v="0"/>
    <n v="0"/>
    <n v="55"/>
    <n v="0"/>
    <n v="0"/>
    <n v="80"/>
    <n v="5"/>
    <n v="0"/>
    <n v="40"/>
    <n v="10"/>
    <n v="0"/>
    <n v="51"/>
    <n v="15"/>
    <n v="0"/>
    <n v="60"/>
    <n v="0"/>
    <n v="0"/>
    <n v="76"/>
    <n v="10"/>
    <n v="10"/>
    <n v="80"/>
    <n v="0"/>
    <n v="0"/>
    <n v="497"/>
    <n v="40"/>
    <n v="10"/>
    <s v="JALORE"/>
    <s v="PALI"/>
    <s v="RJ-JODHPUR"/>
    <d v="2022-02-26T00:00:00"/>
  </r>
  <r>
    <s v="818164178219"/>
    <x v="1516"/>
    <s v="SHANKARA RAM MALI"/>
    <n v="178219"/>
    <s v="BALAJI CEMENT COMPANY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10"/>
    <n v="0"/>
    <n v="0"/>
    <s v="JALORE"/>
    <s v="PALI"/>
    <s v="RJ-JODHPUR"/>
    <d v="2022-02-26T00:00:00"/>
  </r>
  <r>
    <s v="818213210210"/>
    <x v="1517"/>
    <s v="JITENDRA KUMAR"/>
    <n v="210210"/>
    <s v="SHREE BRAHMANI BUILDING MATERI"/>
    <n v="0"/>
    <n v="0"/>
    <n v="0"/>
    <n v="50"/>
    <n v="0"/>
    <n v="0"/>
    <n v="45"/>
    <n v="0"/>
    <n v="0"/>
    <n v="25"/>
    <n v="0"/>
    <n v="0"/>
    <n v="40"/>
    <n v="0"/>
    <n v="0"/>
    <n v="71.150000000000006"/>
    <n v="0"/>
    <n v="0"/>
    <n v="45"/>
    <n v="0"/>
    <n v="0"/>
    <n v="52"/>
    <n v="0"/>
    <n v="0"/>
    <n v="328.15"/>
    <n v="0"/>
    <n v="0"/>
    <s v="JALORE"/>
    <s v="PALI"/>
    <s v="RJ-JODHPUR"/>
    <d v="2022-02-28T00:00:00"/>
  </r>
  <r>
    <s v="818250203651"/>
    <x v="1518"/>
    <s v="GOPA RAM"/>
    <n v="203651"/>
    <s v="VINAYAK STEEL TRADERS"/>
    <n v="18"/>
    <n v="0"/>
    <n v="0"/>
    <n v="50"/>
    <n v="0"/>
    <n v="0"/>
    <n v="20"/>
    <n v="0"/>
    <n v="0"/>
    <n v="70"/>
    <n v="0"/>
    <n v="0"/>
    <n v="7.5"/>
    <n v="0"/>
    <n v="0"/>
    <n v="32.5"/>
    <n v="0"/>
    <n v="0"/>
    <n v="17.5"/>
    <n v="0"/>
    <n v="0"/>
    <n v="34"/>
    <n v="0"/>
    <n v="0"/>
    <n v="249.5"/>
    <n v="0"/>
    <n v="0"/>
    <s v="JALORE"/>
    <s v="PALI"/>
    <s v="RJ-JODHPUR"/>
    <d v="2022-03-03T00:00:00"/>
  </r>
  <r>
    <s v="818408147429"/>
    <x v="1519"/>
    <s v="PANNA RAM"/>
    <n v="147429"/>
    <s v="RAJASTHAN TRADING COMPANY"/>
    <n v="31.85"/>
    <n v="0"/>
    <n v="0"/>
    <n v="0"/>
    <n v="1.85"/>
    <n v="0"/>
    <n v="58.8"/>
    <n v="0"/>
    <n v="0"/>
    <n v="0"/>
    <n v="0"/>
    <n v="0"/>
    <n v="41"/>
    <n v="15"/>
    <n v="0"/>
    <n v="113.2"/>
    <n v="0"/>
    <n v="0"/>
    <n v="15.5"/>
    <n v="0"/>
    <n v="0"/>
    <n v="30"/>
    <n v="10"/>
    <n v="0"/>
    <n v="290.35000000000002"/>
    <n v="16.850000000000001"/>
    <n v="0"/>
    <s v="JALORE"/>
    <s v="PALI"/>
    <s v="RJ-JODHPUR"/>
    <d v="2022-03-21T00:00:00"/>
  </r>
  <r>
    <s v="818602206066"/>
    <x v="1520"/>
    <s v="SHANKAR MAHADEV TRADERS"/>
    <n v="206066"/>
    <s v="GAJANAND CEMENT AGENCY"/>
    <n v="97"/>
    <n v="12"/>
    <n v="0"/>
    <n v="111"/>
    <n v="0"/>
    <n v="0"/>
    <n v="82"/>
    <n v="0"/>
    <n v="0"/>
    <n v="87"/>
    <n v="0"/>
    <n v="0"/>
    <n v="52.5"/>
    <n v="15"/>
    <n v="0"/>
    <n v="88.9"/>
    <n v="6.9"/>
    <n v="0"/>
    <n v="50"/>
    <n v="10"/>
    <n v="0"/>
    <n v="40"/>
    <n v="0"/>
    <n v="0"/>
    <n v="608.4"/>
    <n v="43.9"/>
    <n v="0"/>
    <s v="JALORE"/>
    <s v="PALI"/>
    <s v="RJ-JODHPUR"/>
    <d v="2022-04-09T00:00:00"/>
  </r>
  <r>
    <s v="818851206066"/>
    <x v="1521"/>
    <s v="NARSI RAM"/>
    <n v="206066"/>
    <s v="GAJANAND CEMENT AGENCY"/>
    <n v="0"/>
    <n v="0"/>
    <n v="0"/>
    <n v="30"/>
    <n v="0"/>
    <n v="0"/>
    <n v="165"/>
    <n v="30"/>
    <n v="15"/>
    <n v="45"/>
    <n v="0"/>
    <n v="0"/>
    <n v="22"/>
    <n v="12"/>
    <n v="0"/>
    <n v="35"/>
    <n v="0"/>
    <n v="0"/>
    <n v="30"/>
    <n v="0"/>
    <n v="0"/>
    <n v="52"/>
    <n v="0"/>
    <n v="0"/>
    <n v="379"/>
    <n v="42"/>
    <n v="15"/>
    <s v="JALORE"/>
    <s v="PALI"/>
    <s v="RJ-JODHPUR"/>
    <d v="2022-05-05T00:00:00"/>
  </r>
  <r>
    <s v="818870177450"/>
    <x v="1522"/>
    <s v="ALKA"/>
    <n v="177450"/>
    <s v="J.K. CEMENT AGENCY"/>
    <n v="0"/>
    <n v="0"/>
    <n v="0"/>
    <n v="50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0"/>
    <n v="0"/>
    <s v="JALORE"/>
    <s v="PALI"/>
    <s v="RJ-JODHPUR"/>
    <d v="2022-05-09T00:00:00"/>
  </r>
  <r>
    <s v="818899210582"/>
    <x v="1523"/>
    <s v="RATAN LAL"/>
    <n v="210582"/>
    <s v="SHREE ARBUDA STEEL"/>
    <n v="0"/>
    <n v="35"/>
    <n v="0"/>
    <n v="35"/>
    <n v="0"/>
    <n v="0"/>
    <n v="85"/>
    <n v="15"/>
    <n v="35"/>
    <n v="49"/>
    <n v="0"/>
    <n v="0"/>
    <n v="35"/>
    <n v="0"/>
    <n v="0"/>
    <n v="83.5"/>
    <n v="7.5"/>
    <n v="11"/>
    <n v="50"/>
    <n v="0"/>
    <n v="0"/>
    <n v="68"/>
    <n v="0"/>
    <n v="0"/>
    <n v="405.5"/>
    <n v="57.5"/>
    <n v="46"/>
    <s v="JALORE"/>
    <s v="PALI"/>
    <s v="RJ-JODHPUR"/>
    <d v="2022-05-11T00:00:00"/>
  </r>
  <r>
    <s v="818901206954"/>
    <x v="1524"/>
    <s v="MAHENDRA KUMAR"/>
    <n v="206954"/>
    <s v="SWAMI NARAYAN ENTERPRISES"/>
    <n v="0"/>
    <n v="0"/>
    <n v="0"/>
    <n v="30"/>
    <n v="0"/>
    <n v="0"/>
    <n v="42"/>
    <n v="0"/>
    <n v="42"/>
    <n v="42"/>
    <n v="0"/>
    <n v="0"/>
    <n v="0"/>
    <n v="0"/>
    <n v="0"/>
    <n v="0"/>
    <n v="0"/>
    <n v="0"/>
    <n v="0"/>
    <n v="0"/>
    <n v="0"/>
    <n v="0"/>
    <n v="0"/>
    <n v="0"/>
    <n v="114"/>
    <n v="0"/>
    <n v="42"/>
    <s v="JALORE"/>
    <s v="PALI"/>
    <s v="RJ-JODHPUR"/>
    <d v="2022-05-11T00:00:00"/>
  </r>
  <r>
    <s v="819392206066"/>
    <x v="1525"/>
    <s v="HEMA RAM JIVA"/>
    <n v="206066"/>
    <s v="GAJANAND CEMENT AGENCY"/>
    <n v="0"/>
    <n v="0"/>
    <n v="0"/>
    <n v="0"/>
    <n v="0"/>
    <n v="0"/>
    <n v="122"/>
    <n v="0"/>
    <n v="10"/>
    <n v="20"/>
    <n v="10"/>
    <n v="10"/>
    <n v="30"/>
    <n v="30"/>
    <n v="0"/>
    <n v="40"/>
    <n v="0"/>
    <n v="0"/>
    <n v="30"/>
    <n v="0"/>
    <n v="0"/>
    <n v="30"/>
    <n v="0"/>
    <n v="0"/>
    <n v="272"/>
    <n v="40"/>
    <n v="20"/>
    <s v="JALORE"/>
    <s v="PALI"/>
    <s v="RJ-JODHPUR"/>
    <d v="2022-06-17T00:00:00"/>
  </r>
  <r>
    <s v="819444206066"/>
    <x v="1526"/>
    <s v="MAHUDA CEMENT PRODUCTS"/>
    <n v="206066"/>
    <s v="GAJANAND CEMENT AGENCY"/>
    <n v="0"/>
    <n v="0"/>
    <n v="0"/>
    <n v="0"/>
    <n v="0"/>
    <n v="0"/>
    <n v="15"/>
    <n v="0"/>
    <n v="0"/>
    <n v="50"/>
    <n v="10"/>
    <n v="0"/>
    <n v="17.5"/>
    <n v="0"/>
    <n v="0"/>
    <n v="10"/>
    <n v="0"/>
    <n v="0"/>
    <n v="10"/>
    <n v="0"/>
    <n v="0"/>
    <n v="0"/>
    <n v="0"/>
    <n v="0"/>
    <n v="102.5"/>
    <n v="10"/>
    <n v="0"/>
    <s v="JALORE"/>
    <s v="PALI"/>
    <s v="RJ-JODHPUR"/>
    <d v="2022-06-22T00:00:00"/>
  </r>
  <r>
    <s v="819446206066"/>
    <x v="1527"/>
    <s v="KHETA RAM"/>
    <n v="206066"/>
    <s v="GAJANAND CEMENT AGENCY"/>
    <n v="0"/>
    <n v="0"/>
    <n v="0"/>
    <n v="0"/>
    <n v="0"/>
    <n v="0"/>
    <n v="35"/>
    <n v="0"/>
    <n v="0"/>
    <n v="48"/>
    <n v="28"/>
    <n v="0"/>
    <n v="29.5"/>
    <n v="12"/>
    <n v="0"/>
    <n v="33.950000000000003"/>
    <n v="0"/>
    <n v="0"/>
    <n v="40"/>
    <n v="0"/>
    <n v="0"/>
    <n v="50"/>
    <n v="0"/>
    <n v="0"/>
    <n v="236.45"/>
    <n v="40"/>
    <n v="0"/>
    <s v="JALORE"/>
    <s v="PALI"/>
    <s v="RJ-JODHPUR"/>
    <d v="2022-06-22T00:00:00"/>
  </r>
  <r>
    <s v="819468206066"/>
    <x v="1528"/>
    <s v="SUJANA RAM"/>
    <n v="206066"/>
    <s v="GAJANAND CEMENT AGENCY"/>
    <n v="0"/>
    <n v="0"/>
    <n v="0"/>
    <n v="0"/>
    <n v="0"/>
    <n v="0"/>
    <n v="0"/>
    <n v="0"/>
    <n v="0"/>
    <n v="35"/>
    <n v="0"/>
    <n v="0"/>
    <n v="20"/>
    <n v="0"/>
    <n v="0"/>
    <n v="40"/>
    <n v="0"/>
    <n v="0"/>
    <n v="40"/>
    <n v="0"/>
    <n v="0"/>
    <n v="45"/>
    <n v="0"/>
    <n v="0"/>
    <n v="180"/>
    <n v="0"/>
    <n v="0"/>
    <s v="JALORE"/>
    <s v="PALI"/>
    <s v="RJ-JODHPUR"/>
    <d v="2022-06-23T00:00:00"/>
  </r>
  <r>
    <s v="819771206066"/>
    <x v="1529"/>
    <s v="VANARAM CHOUDHARY"/>
    <n v="206066"/>
    <s v="GAJANAND CEMENT AGENCY"/>
    <n v="0"/>
    <n v="0"/>
    <n v="0"/>
    <n v="0"/>
    <n v="0"/>
    <n v="0"/>
    <n v="0"/>
    <n v="0"/>
    <n v="0"/>
    <n v="0"/>
    <n v="0"/>
    <n v="0"/>
    <n v="0"/>
    <n v="0"/>
    <n v="0"/>
    <n v="52"/>
    <n v="10"/>
    <n v="0"/>
    <n v="60"/>
    <n v="0"/>
    <n v="0"/>
    <n v="52"/>
    <n v="12"/>
    <n v="0"/>
    <n v="164"/>
    <n v="10"/>
    <n v="0"/>
    <s v="JALORE"/>
    <s v="PALI"/>
    <s v="RJ-JODHPUR"/>
    <d v="2022-07-15T00:00:00"/>
  </r>
  <r>
    <s v="820813206066"/>
    <x v="1530"/>
    <s v="ASHOK KUMAR PARMAR"/>
    <n v="206066"/>
    <s v="GAJANAND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50"/>
    <n v="0"/>
    <n v="0"/>
    <n v="70"/>
    <n v="0"/>
    <n v="0"/>
    <s v="JALORE"/>
    <s v="PALI"/>
    <s v="RJ-JODHPUR"/>
    <d v="2022-09-29T00:00:00"/>
  </r>
  <r>
    <s v="801727170904"/>
    <x v="1531"/>
    <s v="RAMESH KUMAR DHAN RAJ JI"/>
    <n v="170904"/>
    <s v="ASHAPURA CEMENT 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I"/>
    <s v="PALI"/>
    <s v="RJ-JODHPUR"/>
    <d v="2013-02-18T00:00:00"/>
  </r>
  <r>
    <s v="804429201280"/>
    <x v="1532"/>
    <s v="LACKY CEMENT AGENCY"/>
    <n v="201280"/>
    <s v="SIDDHI VINAYAK CEMENT DISTRIBU"/>
    <n v="10"/>
    <n v="0"/>
    <n v="0"/>
    <n v="8"/>
    <n v="0"/>
    <n v="0"/>
    <n v="5"/>
    <n v="0"/>
    <n v="0"/>
    <n v="0"/>
    <n v="0"/>
    <n v="0"/>
    <n v="23"/>
    <n v="0"/>
    <n v="0"/>
    <n v="8"/>
    <n v="0"/>
    <n v="0"/>
    <n v="8"/>
    <n v="0"/>
    <n v="0"/>
    <n v="9"/>
    <n v="0"/>
    <n v="0"/>
    <n v="71"/>
    <n v="0"/>
    <n v="0"/>
    <s v="PALI"/>
    <s v="PALI"/>
    <s v="RJ-JODHPUR"/>
    <d v="2015-11-19T00:00:00"/>
  </r>
  <r>
    <s v="807258170904"/>
    <x v="1533"/>
    <s v="SHREE BALAJI CEMENT SALES"/>
    <n v="170904"/>
    <s v="ASHAPURA CEMENT SALES"/>
    <n v="39"/>
    <n v="0"/>
    <n v="0"/>
    <n v="20"/>
    <n v="0"/>
    <n v="0"/>
    <n v="32"/>
    <n v="0"/>
    <n v="0"/>
    <n v="30"/>
    <n v="0"/>
    <n v="0"/>
    <n v="0"/>
    <n v="0"/>
    <n v="0"/>
    <n v="0"/>
    <n v="0"/>
    <n v="0"/>
    <n v="0"/>
    <n v="0"/>
    <n v="0"/>
    <n v="0"/>
    <n v="0"/>
    <n v="0"/>
    <n v="121"/>
    <n v="0"/>
    <n v="0"/>
    <s v="PALI"/>
    <s v="PALI"/>
    <s v="RJ-JODHPUR"/>
    <d v="2018-11-27T00:00:00"/>
  </r>
  <r>
    <s v="807259176929"/>
    <x v="1534"/>
    <s v="MAHADEV AGENCIES"/>
    <n v="176929"/>
    <s v="BHARAT TRADERS"/>
    <n v="32"/>
    <n v="0"/>
    <n v="0"/>
    <n v="15"/>
    <n v="0"/>
    <n v="0"/>
    <n v="29.9"/>
    <n v="0"/>
    <n v="0"/>
    <n v="0"/>
    <n v="0"/>
    <n v="0"/>
    <n v="12.5"/>
    <n v="7.5"/>
    <n v="0"/>
    <n v="19"/>
    <n v="0"/>
    <n v="0"/>
    <n v="17"/>
    <n v="0"/>
    <n v="7"/>
    <n v="10"/>
    <n v="0"/>
    <n v="0"/>
    <n v="135.4"/>
    <n v="7.5"/>
    <n v="7"/>
    <s v="PALI"/>
    <s v="PALI"/>
    <s v="RJ-JODHPUR"/>
    <d v="2018-11-27T00:00:00"/>
  </r>
  <r>
    <s v="807704201280"/>
    <x v="1535"/>
    <s v="SANWARIYA MARBLE AND STONE"/>
    <n v="201280"/>
    <s v="SIDDHI VINAYAK CEMENT DISTRIBU"/>
    <n v="24"/>
    <n v="0"/>
    <n v="0"/>
    <n v="16"/>
    <n v="0"/>
    <n v="0"/>
    <n v="23"/>
    <n v="0"/>
    <n v="0"/>
    <n v="0"/>
    <n v="0"/>
    <n v="0"/>
    <n v="11"/>
    <n v="0"/>
    <n v="0"/>
    <n v="0"/>
    <n v="0"/>
    <n v="0"/>
    <n v="0"/>
    <n v="0"/>
    <n v="0"/>
    <n v="0"/>
    <n v="0"/>
    <n v="0"/>
    <n v="74"/>
    <n v="0"/>
    <n v="0"/>
    <s v="PALI"/>
    <s v="PALI"/>
    <s v="RJ-JODHPUR"/>
    <d v="2018-10-18T00:00:00"/>
  </r>
  <r>
    <s v="807826201280"/>
    <x v="1536"/>
    <s v="BHAIRAV TRADING COMPANY"/>
    <n v="201280"/>
    <s v="SIDDHI VINAYAK CEMENT DISTRIBU"/>
    <n v="0"/>
    <n v="13.7"/>
    <n v="0"/>
    <n v="13.7"/>
    <n v="0"/>
    <n v="0"/>
    <n v="20"/>
    <n v="0"/>
    <n v="0"/>
    <n v="46"/>
    <n v="10"/>
    <n v="0"/>
    <n v="20"/>
    <n v="0"/>
    <n v="8"/>
    <n v="26"/>
    <n v="0"/>
    <n v="0"/>
    <n v="8"/>
    <n v="0"/>
    <n v="0"/>
    <n v="62.75"/>
    <n v="22.5"/>
    <n v="21.25"/>
    <n v="196.45"/>
    <n v="23.7"/>
    <n v="8"/>
    <s v="PALI"/>
    <s v="PALI"/>
    <s v="RJ-JODHPUR"/>
    <d v="2019-01-29T00:00:00"/>
  </r>
  <r>
    <s v="808413170904"/>
    <x v="1537"/>
    <s v="SHREE BAJRANG HARDWARE"/>
    <n v="170904"/>
    <s v="ASHAPURA CEMENT SALES"/>
    <n v="27"/>
    <n v="0"/>
    <n v="0"/>
    <n v="10"/>
    <n v="0"/>
    <n v="0"/>
    <n v="56"/>
    <n v="0"/>
    <n v="5"/>
    <n v="50.15"/>
    <n v="0"/>
    <n v="2.15"/>
    <n v="0"/>
    <n v="0"/>
    <n v="0"/>
    <n v="0"/>
    <n v="0"/>
    <n v="0"/>
    <n v="0"/>
    <n v="0"/>
    <n v="0"/>
    <n v="0"/>
    <n v="0"/>
    <n v="0"/>
    <n v="143.15"/>
    <n v="0"/>
    <n v="7.15"/>
    <s v="PALI"/>
    <s v="PALI"/>
    <s v="RJ-JODHPUR"/>
    <d v="2018-05-24T00:00:00"/>
  </r>
  <r>
    <s v="808578179928"/>
    <x v="1538"/>
    <s v="KANTI LAL"/>
    <n v="179928"/>
    <s v="BHAIRAV BUILDING MATERIAL SUPP"/>
    <n v="33.5"/>
    <n v="0"/>
    <n v="0"/>
    <n v="34"/>
    <n v="0"/>
    <n v="0"/>
    <n v="65"/>
    <n v="7.5"/>
    <n v="7.5"/>
    <n v="50"/>
    <n v="0"/>
    <n v="2.5"/>
    <n v="42"/>
    <n v="0"/>
    <n v="0"/>
    <n v="15"/>
    <n v="0"/>
    <n v="0"/>
    <n v="10"/>
    <n v="0"/>
    <n v="0"/>
    <n v="0"/>
    <n v="0"/>
    <n v="0"/>
    <n v="249.5"/>
    <n v="7.5"/>
    <n v="10"/>
    <s v="PALI"/>
    <s v="PALI"/>
    <s v="RJ-JODHPUR"/>
    <d v="2018-06-12T00:00:00"/>
  </r>
  <r>
    <s v="809212170904"/>
    <x v="1539"/>
    <s v="SAMA RAM"/>
    <n v="170904"/>
    <s v="ASHAPURA CEMENT SALES"/>
    <n v="27"/>
    <n v="0"/>
    <n v="0"/>
    <n v="0"/>
    <n v="0"/>
    <n v="0"/>
    <n v="27"/>
    <n v="0"/>
    <n v="7"/>
    <n v="20"/>
    <n v="0"/>
    <n v="0"/>
    <n v="0"/>
    <n v="0"/>
    <n v="0"/>
    <n v="0"/>
    <n v="0"/>
    <n v="0"/>
    <n v="0"/>
    <n v="0"/>
    <n v="0"/>
    <n v="0"/>
    <n v="0"/>
    <n v="0"/>
    <n v="74"/>
    <n v="0"/>
    <n v="7"/>
    <s v="PALI"/>
    <s v="PALI"/>
    <s v="RJ-JODHPUR"/>
    <d v="2019-02-28T00:00:00"/>
  </r>
  <r>
    <s v="809279173288"/>
    <x v="1540"/>
    <s v="AAI JI CEMENT"/>
    <n v="173288"/>
    <s v="BHAGWATI STEE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I"/>
    <s v="PALI"/>
    <s v="RJ-JODHPUR"/>
    <d v="2019-03-19T00:00:00"/>
  </r>
  <r>
    <s v="809421170904"/>
    <x v="1541"/>
    <s v="KALA RAM CHOUDHARY"/>
    <n v="170904"/>
    <s v="ASHAPURA CEMENT SALES"/>
    <n v="0"/>
    <n v="0"/>
    <n v="0"/>
    <n v="0"/>
    <n v="0"/>
    <n v="0"/>
    <n v="10"/>
    <n v="0"/>
    <n v="0"/>
    <n v="20"/>
    <n v="0"/>
    <n v="0"/>
    <n v="0"/>
    <n v="0"/>
    <n v="0"/>
    <n v="0"/>
    <n v="0"/>
    <n v="0"/>
    <n v="0"/>
    <n v="0"/>
    <n v="0"/>
    <n v="0"/>
    <n v="0"/>
    <n v="0"/>
    <n v="30"/>
    <n v="0"/>
    <n v="0"/>
    <s v="PALI"/>
    <s v="PALI"/>
    <s v="RJ-JODHPUR"/>
    <d v="2019-04-22T00:00:00"/>
  </r>
  <r>
    <s v="809421213868"/>
    <x v="1541"/>
    <s v="KALA RAM CHOUDHARY"/>
    <n v="213868"/>
    <s v="R M TRADERS"/>
    <n v="0"/>
    <n v="0"/>
    <n v="0"/>
    <n v="0"/>
    <n v="0"/>
    <n v="0"/>
    <n v="0"/>
    <n v="0"/>
    <n v="0"/>
    <n v="0"/>
    <n v="0"/>
    <n v="0"/>
    <n v="20"/>
    <n v="0"/>
    <n v="0"/>
    <n v="27.5"/>
    <n v="0"/>
    <n v="0"/>
    <n v="55"/>
    <n v="0"/>
    <n v="0"/>
    <n v="72"/>
    <n v="0"/>
    <n v="0"/>
    <n v="174.5"/>
    <n v="0"/>
    <n v="0"/>
    <s v="PALI"/>
    <s v="PALI"/>
    <s v="RJ-JODHPUR"/>
    <d v="2019-04-22T00:00:00"/>
  </r>
  <r>
    <s v="809552176929"/>
    <x v="1542"/>
    <s v="PRAGATI CEMENT BHANDAR"/>
    <n v="176929"/>
    <s v="BHARAT TRADERS"/>
    <n v="22"/>
    <n v="0"/>
    <n v="0"/>
    <n v="47"/>
    <n v="0"/>
    <n v="0"/>
    <n v="85"/>
    <n v="0"/>
    <n v="10"/>
    <n v="28.75"/>
    <n v="8.5"/>
    <n v="0"/>
    <n v="74.7"/>
    <n v="0"/>
    <n v="23.7"/>
    <n v="135"/>
    <n v="0"/>
    <n v="0"/>
    <n v="146.5"/>
    <n v="6.5"/>
    <n v="0"/>
    <n v="80"/>
    <n v="0"/>
    <n v="0"/>
    <n v="618.95000000000005"/>
    <n v="15"/>
    <n v="33.700000000000003"/>
    <s v="PALI"/>
    <s v="PALI"/>
    <s v="RJ-JODHPUR"/>
    <d v="2019-05-15T00:00:00"/>
  </r>
  <r>
    <s v="810304176929"/>
    <x v="1543"/>
    <s v="MATESHWARI CEMENT AGENCY"/>
    <n v="176929"/>
    <s v="BHARAT TRADERS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s v="PALI"/>
    <s v="PALI"/>
    <s v="RJ-JODHPUR"/>
    <d v="2019-08-22T00:00:00"/>
  </r>
  <r>
    <s v="810894201280"/>
    <x v="1544"/>
    <s v="SHRI KHETLAJI HARDWARE"/>
    <n v="201280"/>
    <s v="SIDDHI VINAYAK CEMENT DISTRIBU"/>
    <n v="42"/>
    <n v="3"/>
    <n v="0"/>
    <n v="121"/>
    <n v="0"/>
    <n v="0"/>
    <n v="0"/>
    <n v="0"/>
    <n v="0"/>
    <n v="55"/>
    <n v="0"/>
    <n v="0"/>
    <n v="106.95"/>
    <n v="0.95"/>
    <n v="0"/>
    <n v="30"/>
    <n v="0"/>
    <n v="0"/>
    <n v="68"/>
    <n v="0"/>
    <n v="0"/>
    <n v="10"/>
    <n v="0"/>
    <n v="10"/>
    <n v="432.95"/>
    <n v="3.95"/>
    <n v="0"/>
    <s v="PALI"/>
    <s v="PALI"/>
    <s v="RJ-JODHPUR"/>
    <d v="2019-12-03T00:00:00"/>
  </r>
  <r>
    <s v="811071173288"/>
    <x v="1545"/>
    <s v="MAA ASHAPURA CEMENT DEPOT"/>
    <n v="173288"/>
    <s v="BHAGWATI STEE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I"/>
    <s v="PALI"/>
    <s v="RJ-JODHPUR"/>
    <d v="2019-12-26T00:00:00"/>
  </r>
  <r>
    <s v="811214173288"/>
    <x v="1546"/>
    <s v="BHAGWATI BUILDING MATERIAL"/>
    <n v="173288"/>
    <s v="BHAGWATI STEELS"/>
    <n v="10"/>
    <n v="0"/>
    <n v="0"/>
    <n v="11"/>
    <n v="0"/>
    <n v="0"/>
    <n v="35"/>
    <n v="0"/>
    <n v="0"/>
    <n v="21"/>
    <n v="0"/>
    <n v="0"/>
    <n v="17"/>
    <n v="0"/>
    <n v="0"/>
    <n v="46"/>
    <n v="0"/>
    <n v="0"/>
    <n v="17.5"/>
    <n v="0"/>
    <n v="0"/>
    <n v="17"/>
    <n v="0"/>
    <n v="0"/>
    <n v="174.5"/>
    <n v="0"/>
    <n v="0"/>
    <s v="PALI"/>
    <s v="PALI"/>
    <s v="RJ-JODHPUR"/>
    <d v="2020-01-08T00:00:00"/>
  </r>
  <r>
    <s v="811685201280"/>
    <x v="1547"/>
    <s v="SHREE CHAMUNDA STONE"/>
    <n v="201280"/>
    <s v="SIDDHI VINAYAK CEMENT DISTRIBU"/>
    <n v="0"/>
    <n v="0"/>
    <n v="0"/>
    <n v="35"/>
    <n v="0"/>
    <n v="0"/>
    <n v="37"/>
    <n v="0"/>
    <n v="0"/>
    <n v="70.8"/>
    <n v="0.3"/>
    <n v="7.5"/>
    <n v="71"/>
    <n v="4"/>
    <n v="0"/>
    <n v="68.5"/>
    <n v="6"/>
    <n v="0"/>
    <n v="16"/>
    <n v="0"/>
    <n v="0"/>
    <n v="80"/>
    <n v="0"/>
    <n v="0"/>
    <n v="378.3"/>
    <n v="10.3"/>
    <n v="7.5"/>
    <s v="PALI"/>
    <s v="PALI"/>
    <s v="RJ-JODHPUR"/>
    <d v="2020-03-05T00:00:00"/>
  </r>
  <r>
    <s v="811735201280"/>
    <x v="1548"/>
    <s v="FARHAN AHMED"/>
    <n v="201280"/>
    <s v="SIDDHI VINAYAK CEMENT DISTRIBU"/>
    <n v="50"/>
    <n v="0"/>
    <n v="0"/>
    <n v="92"/>
    <n v="0"/>
    <n v="0"/>
    <n v="66"/>
    <n v="0"/>
    <n v="0"/>
    <n v="57"/>
    <n v="0"/>
    <n v="0"/>
    <n v="74"/>
    <n v="1"/>
    <n v="0"/>
    <n v="36"/>
    <n v="0"/>
    <n v="0"/>
    <n v="32"/>
    <n v="0"/>
    <n v="0"/>
    <n v="41.9"/>
    <n v="0"/>
    <n v="10.9"/>
    <n v="448.9"/>
    <n v="1"/>
    <n v="0"/>
    <s v="PALI"/>
    <s v="PALI"/>
    <s v="RJ-JODHPUR"/>
    <d v="2020-03-14T00:00:00"/>
  </r>
  <r>
    <s v="812178201280"/>
    <x v="1549"/>
    <s v="SHAKTI CEMENT BHANDAR"/>
    <n v="201280"/>
    <s v="SIDDHI VINAYAK CEMENT DISTRIBU"/>
    <n v="94"/>
    <n v="0"/>
    <n v="0"/>
    <n v="138"/>
    <n v="0"/>
    <n v="0"/>
    <n v="239.4"/>
    <n v="0"/>
    <n v="0"/>
    <n v="204"/>
    <n v="0"/>
    <n v="0"/>
    <n v="213"/>
    <n v="9"/>
    <n v="0"/>
    <n v="235"/>
    <n v="15"/>
    <n v="0"/>
    <n v="344"/>
    <n v="0"/>
    <n v="16"/>
    <n v="442"/>
    <n v="0"/>
    <n v="6"/>
    <n v="1909.4"/>
    <n v="24"/>
    <n v="16"/>
    <s v="PALI"/>
    <s v="PALI"/>
    <s v="RJ-JODHPUR"/>
    <d v="2020-07-10T00:00:00"/>
  </r>
  <r>
    <s v="812178179928"/>
    <x v="1549"/>
    <s v="SHAKTI CEMENT BHANDAR"/>
    <n v="179928"/>
    <s v="BHAIRAV BUILDING MATERIAL SUPP"/>
    <n v="0"/>
    <n v="0"/>
    <n v="0"/>
    <n v="0"/>
    <n v="0"/>
    <n v="0"/>
    <n v="0"/>
    <n v="0"/>
    <n v="0"/>
    <n v="0"/>
    <n v="0"/>
    <n v="0"/>
    <n v="7.5"/>
    <n v="0"/>
    <n v="0"/>
    <n v="0"/>
    <n v="0"/>
    <n v="0"/>
    <n v="0"/>
    <n v="0"/>
    <n v="0"/>
    <n v="0"/>
    <n v="0"/>
    <n v="0"/>
    <n v="7.5"/>
    <n v="0"/>
    <n v="0"/>
    <s v="PALI"/>
    <s v="PALI"/>
    <s v="RJ-JODHPUR"/>
    <d v="2020-07-10T00:00:00"/>
  </r>
  <r>
    <s v="812664179928"/>
    <x v="1550"/>
    <s v="SHAKTI SINGH"/>
    <n v="179928"/>
    <s v="BHAIRAV BUILDING MATERIAL SUPP"/>
    <n v="30"/>
    <n v="0"/>
    <n v="0"/>
    <n v="32"/>
    <n v="0"/>
    <n v="0"/>
    <n v="40"/>
    <n v="0"/>
    <n v="5"/>
    <n v="37.5"/>
    <n v="0"/>
    <n v="0"/>
    <n v="31"/>
    <n v="0"/>
    <n v="0"/>
    <n v="25"/>
    <n v="0"/>
    <n v="0"/>
    <n v="18"/>
    <n v="0"/>
    <n v="0"/>
    <n v="31"/>
    <n v="0"/>
    <n v="0"/>
    <n v="244.5"/>
    <n v="0"/>
    <n v="5"/>
    <s v="PALI"/>
    <s v="PALI"/>
    <s v="RJ-JODHPUR"/>
    <d v="2020-08-27T00:00:00"/>
  </r>
  <r>
    <s v="812666179928"/>
    <x v="1551"/>
    <s v="JAI ASHAPURA MARBLE GRANITE &amp;"/>
    <n v="179928"/>
    <s v="BHAIRAV BUILDING MATERIAL SUPP"/>
    <n v="83.5"/>
    <n v="0"/>
    <n v="0"/>
    <n v="85"/>
    <n v="0"/>
    <n v="0"/>
    <n v="57.5"/>
    <n v="0"/>
    <n v="5"/>
    <n v="75.5"/>
    <n v="4"/>
    <n v="14"/>
    <n v="90"/>
    <n v="8"/>
    <n v="6"/>
    <n v="94.75"/>
    <n v="0"/>
    <n v="14.75"/>
    <n v="94"/>
    <n v="0"/>
    <n v="10"/>
    <n v="40"/>
    <n v="0"/>
    <n v="0"/>
    <n v="620.25"/>
    <n v="12"/>
    <n v="49.75"/>
    <s v="PALI"/>
    <s v="PALI"/>
    <s v="RJ-JODHPUR"/>
    <d v="2020-08-27T00:00:00"/>
  </r>
  <r>
    <s v="812667201280"/>
    <x v="1552"/>
    <s v="JAGDISH LOHA UDHYOG"/>
    <n v="201280"/>
    <s v="SIDDHI VINAYAK CEMENT DISTRIBU"/>
    <n v="47"/>
    <n v="0"/>
    <n v="0"/>
    <n v="71"/>
    <n v="0"/>
    <n v="0"/>
    <n v="205"/>
    <n v="0"/>
    <n v="0"/>
    <n v="254"/>
    <n v="0"/>
    <n v="7.5"/>
    <n v="171"/>
    <n v="0"/>
    <n v="20"/>
    <n v="162"/>
    <n v="12"/>
    <n v="0"/>
    <n v="113"/>
    <n v="0"/>
    <n v="0"/>
    <n v="48"/>
    <n v="0"/>
    <n v="0"/>
    <n v="1071"/>
    <n v="12"/>
    <n v="27.5"/>
    <s v="PALI"/>
    <s v="PALI"/>
    <s v="RJ-JODHPUR"/>
    <d v="2020-08-27T00:00:00"/>
  </r>
  <r>
    <s v="812668201280"/>
    <x v="1553"/>
    <s v="SAILANI CEMENT AGENCY"/>
    <n v="201280"/>
    <s v="SIDDHI VINAYAK CEMENT DISTRIBU"/>
    <n v="10"/>
    <n v="10.5"/>
    <n v="0"/>
    <n v="36.5"/>
    <n v="0"/>
    <n v="0"/>
    <n v="65.5"/>
    <n v="0"/>
    <n v="0"/>
    <n v="135"/>
    <n v="11"/>
    <n v="6"/>
    <n v="47.5"/>
    <n v="0"/>
    <n v="7.5"/>
    <n v="61"/>
    <n v="0"/>
    <n v="0"/>
    <n v="16"/>
    <n v="0"/>
    <n v="0"/>
    <n v="54"/>
    <n v="0"/>
    <n v="5"/>
    <n v="425.5"/>
    <n v="21.5"/>
    <n v="13.5"/>
    <s v="PALI"/>
    <s v="PALI"/>
    <s v="RJ-JODHPUR"/>
    <d v="2020-08-27T00:00:00"/>
  </r>
  <r>
    <s v="812792201280"/>
    <x v="1554"/>
    <s v="VINAYAK CEMENT AGENCY"/>
    <n v="201280"/>
    <s v="SIDDHI VINAYAK CEMENT DISTRIBU"/>
    <n v="70"/>
    <n v="0"/>
    <n v="0"/>
    <n v="37"/>
    <n v="0"/>
    <n v="0"/>
    <n v="116"/>
    <n v="0"/>
    <n v="0"/>
    <n v="0"/>
    <n v="0"/>
    <n v="0"/>
    <n v="8"/>
    <n v="0"/>
    <n v="0"/>
    <n v="0"/>
    <n v="0"/>
    <n v="0"/>
    <n v="0"/>
    <n v="0"/>
    <n v="0"/>
    <n v="0"/>
    <n v="0"/>
    <n v="0"/>
    <n v="231"/>
    <n v="0"/>
    <n v="0"/>
    <s v="PALI"/>
    <s v="PALI"/>
    <s v="RJ-JODHPUR"/>
    <d v="2020-09-04T00:00:00"/>
  </r>
  <r>
    <s v="812996201280"/>
    <x v="1555"/>
    <s v="MAHESH KUMAR BHIKAM CHAND CEME"/>
    <n v="201280"/>
    <s v="SIDDHI VINAYAK CEMENT DISTRIBU"/>
    <n v="45"/>
    <n v="6.75"/>
    <n v="0"/>
    <n v="52.75"/>
    <n v="0"/>
    <n v="0"/>
    <n v="86"/>
    <n v="0"/>
    <n v="0"/>
    <n v="26"/>
    <n v="0"/>
    <n v="11"/>
    <n v="26"/>
    <n v="0"/>
    <n v="0"/>
    <n v="5"/>
    <n v="0"/>
    <n v="0"/>
    <n v="8"/>
    <n v="0"/>
    <n v="0"/>
    <n v="19"/>
    <n v="0"/>
    <n v="0"/>
    <n v="267.75"/>
    <n v="6.75"/>
    <n v="11"/>
    <s v="PALI"/>
    <s v="PALI"/>
    <s v="RJ-JODHPUR"/>
    <d v="2020-09-21T00:00:00"/>
  </r>
  <r>
    <s v="813001201280"/>
    <x v="1556"/>
    <s v="MANROOP TARACHAND AGARWAL"/>
    <n v="201280"/>
    <s v="SIDDHI VINAYAK CEMENT DISTRIB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ALI"/>
    <s v="PALI"/>
    <s v="RJ-JODHPUR"/>
    <d v="2020-09-21T00:00:00"/>
  </r>
  <r>
    <s v="813002201280"/>
    <x v="1557"/>
    <s v="NIKHIL CHANDANI"/>
    <n v="201280"/>
    <s v="SIDDHI VINAYAK CEMENT DISTRIBU"/>
    <n v="90"/>
    <n v="0"/>
    <n v="0"/>
    <n v="0"/>
    <n v="0"/>
    <n v="0"/>
    <n v="126"/>
    <n v="0"/>
    <n v="8"/>
    <n v="239.5"/>
    <n v="0"/>
    <n v="0"/>
    <n v="308.5"/>
    <n v="21"/>
    <n v="14.5"/>
    <n v="669"/>
    <n v="6"/>
    <n v="0"/>
    <n v="762.9"/>
    <n v="0"/>
    <n v="3.9"/>
    <n v="716.25"/>
    <n v="0"/>
    <n v="5"/>
    <n v="2912.15"/>
    <n v="27"/>
    <n v="26.4"/>
    <s v="PALI"/>
    <s v="PALI"/>
    <s v="RJ-JODHPUR"/>
    <d v="2020-09-22T00:00:00"/>
  </r>
  <r>
    <s v="813192179928"/>
    <x v="1558"/>
    <s v="THANA RAM PRAJAPATI"/>
    <n v="179928"/>
    <s v="BHAIRAV BUILDING MATERIAL SUPP"/>
    <n v="28.5"/>
    <n v="0"/>
    <n v="0"/>
    <n v="7"/>
    <n v="0"/>
    <n v="0"/>
    <n v="40.5"/>
    <n v="0"/>
    <n v="5"/>
    <n v="22.5"/>
    <n v="0"/>
    <n v="0"/>
    <n v="20"/>
    <n v="0"/>
    <n v="0"/>
    <n v="10"/>
    <n v="0"/>
    <n v="0"/>
    <n v="7.5"/>
    <n v="0"/>
    <n v="0"/>
    <n v="0"/>
    <n v="0"/>
    <n v="0"/>
    <n v="136"/>
    <n v="0"/>
    <n v="5"/>
    <s v="PALI"/>
    <s v="PALI"/>
    <s v="RJ-JODHPUR"/>
    <d v="2020-10-06T00:00:00"/>
  </r>
  <r>
    <s v="813983170904"/>
    <x v="1559"/>
    <s v="RAMESH KUMAR"/>
    <n v="170904"/>
    <s v="ASHAPURA CEMENT SALES"/>
    <n v="37"/>
    <n v="0"/>
    <n v="0"/>
    <n v="20"/>
    <n v="0"/>
    <n v="0"/>
    <n v="20"/>
    <n v="0"/>
    <n v="0"/>
    <n v="10"/>
    <n v="0"/>
    <n v="0"/>
    <n v="0"/>
    <n v="0"/>
    <n v="0"/>
    <n v="0"/>
    <n v="0"/>
    <n v="0"/>
    <n v="0"/>
    <n v="0"/>
    <n v="0"/>
    <n v="0"/>
    <n v="0"/>
    <n v="0"/>
    <n v="87"/>
    <n v="0"/>
    <n v="0"/>
    <s v="PALI"/>
    <s v="PALI"/>
    <s v="RJ-JODHPUR"/>
    <d v="2020-12-28T00:00:00"/>
  </r>
  <r>
    <s v="813983213868"/>
    <x v="1559"/>
    <s v="RAMESH KUMAR"/>
    <s v="213868"/>
    <s v="R M TRADERS"/>
    <n v="0"/>
    <n v="0"/>
    <n v="0"/>
    <n v="0"/>
    <n v="0"/>
    <n v="0"/>
    <n v="0"/>
    <n v="0"/>
    <n v="0"/>
    <n v="0"/>
    <n v="0"/>
    <n v="0"/>
    <n v="20"/>
    <n v="0"/>
    <n v="0"/>
    <n v="47.5"/>
    <n v="0"/>
    <n v="0"/>
    <n v="35"/>
    <n v="0"/>
    <n v="0"/>
    <n v="13.5"/>
    <n v="0"/>
    <n v="0"/>
    <n v="116"/>
    <n v="0"/>
    <n v="0"/>
    <s v="PALI"/>
    <s v="PALI"/>
    <s v="RJ-JODHPUR"/>
    <d v="2020-12-28T00:00:00"/>
  </r>
  <r>
    <s v="814130201280"/>
    <x v="1560"/>
    <s v="AMIR SOHIL"/>
    <n v="201280"/>
    <s v="SIDDHI VINAYAK CEMENT DISTRIBU"/>
    <n v="82"/>
    <n v="0"/>
    <n v="0"/>
    <n v="106"/>
    <n v="0"/>
    <n v="0"/>
    <n v="92.5"/>
    <n v="0"/>
    <n v="0"/>
    <n v="40"/>
    <n v="10"/>
    <n v="0"/>
    <n v="87"/>
    <n v="16"/>
    <n v="0"/>
    <n v="51"/>
    <n v="0"/>
    <n v="0"/>
    <n v="75"/>
    <n v="0"/>
    <n v="0"/>
    <n v="58"/>
    <n v="5.5"/>
    <n v="0"/>
    <n v="591.5"/>
    <n v="26"/>
    <n v="0"/>
    <s v="PALI"/>
    <s v="PALI"/>
    <s v="RJ-JODHPUR"/>
    <d v="2021-01-12T00:00:00"/>
  </r>
  <r>
    <s v="814891201280"/>
    <x v="1561"/>
    <s v="SHANTI  LAL JAIN"/>
    <n v="201280"/>
    <s v="SIDDHI VINAYAK CEMENT DISTRIBU"/>
    <n v="25"/>
    <n v="0"/>
    <n v="0"/>
    <n v="0"/>
    <n v="0"/>
    <n v="0"/>
    <n v="10"/>
    <n v="0"/>
    <n v="0"/>
    <n v="0"/>
    <n v="0"/>
    <n v="0"/>
    <n v="15.5"/>
    <n v="2"/>
    <n v="7.5"/>
    <n v="8"/>
    <n v="0"/>
    <n v="0"/>
    <n v="16"/>
    <n v="0"/>
    <n v="0"/>
    <n v="8"/>
    <n v="0"/>
    <n v="0"/>
    <n v="82.5"/>
    <n v="2"/>
    <n v="7.5"/>
    <s v="PALI"/>
    <s v="PALI"/>
    <s v="RJ-JODHPUR"/>
    <d v="2021-04-03T00:00:00"/>
  </r>
  <r>
    <s v="814905170904"/>
    <x v="1562"/>
    <s v="PRAVEEN CHOUDHARY"/>
    <n v="170904"/>
    <s v="ASHAPURA CEMENT SALES"/>
    <n v="38"/>
    <n v="0"/>
    <n v="0"/>
    <n v="31"/>
    <n v="0"/>
    <n v="0"/>
    <n v="60"/>
    <n v="0"/>
    <n v="0"/>
    <n v="11.25"/>
    <n v="0"/>
    <n v="11.25"/>
    <n v="0"/>
    <n v="0"/>
    <n v="0"/>
    <n v="0"/>
    <n v="0"/>
    <n v="0"/>
    <n v="0"/>
    <n v="0"/>
    <n v="0"/>
    <n v="0"/>
    <n v="0"/>
    <n v="0"/>
    <n v="140.25"/>
    <n v="0"/>
    <n v="11.25"/>
    <s v="PALI"/>
    <s v="PALI"/>
    <s v="RJ-JODHPUR"/>
    <d v="2021-04-06T00:00:00"/>
  </r>
  <r>
    <s v="815271170904"/>
    <x v="1563"/>
    <s v="VAGTA RAM SIRVI"/>
    <n v="170904"/>
    <s v="ASHAPURA CEMENT SALES"/>
    <n v="28"/>
    <n v="0"/>
    <n v="0"/>
    <n v="20"/>
    <n v="0"/>
    <n v="0"/>
    <n v="30"/>
    <n v="0"/>
    <n v="0"/>
    <n v="50"/>
    <n v="0"/>
    <n v="0"/>
    <n v="0"/>
    <n v="0"/>
    <n v="0"/>
    <n v="0"/>
    <n v="0"/>
    <n v="0"/>
    <n v="0"/>
    <n v="0"/>
    <n v="0"/>
    <n v="0"/>
    <n v="0"/>
    <n v="0"/>
    <n v="128"/>
    <n v="0"/>
    <n v="0"/>
    <s v="PALI"/>
    <s v="PALI"/>
    <s v="RJ-JODHPUR"/>
    <d v="2021-06-26T00:00:00"/>
  </r>
  <r>
    <s v="815869179928"/>
    <x v="1564"/>
    <s v="SHARIF KHAN"/>
    <n v="179928"/>
    <s v="BHAIRAV BUILDING MATERIAL SUPP"/>
    <n v="27"/>
    <n v="0"/>
    <n v="0"/>
    <n v="27"/>
    <n v="0"/>
    <n v="0"/>
    <n v="54.5"/>
    <n v="0"/>
    <n v="7.5"/>
    <n v="41"/>
    <n v="0"/>
    <n v="0"/>
    <n v="44.5"/>
    <n v="8"/>
    <n v="0"/>
    <n v="20"/>
    <n v="0"/>
    <n v="0"/>
    <n v="44"/>
    <n v="0"/>
    <n v="10"/>
    <n v="60"/>
    <n v="0"/>
    <n v="0"/>
    <n v="318"/>
    <n v="8"/>
    <n v="17.5"/>
    <s v="PALI"/>
    <s v="PALI"/>
    <s v="RJ-JODHPUR"/>
    <d v="2021-08-07T00:00:00"/>
  </r>
  <r>
    <s v="815946179928"/>
    <x v="1565"/>
    <s v="PARKA RAM PATEL"/>
    <n v="179928"/>
    <s v="BHAIRAV BUILDING MATERIAL SUPP"/>
    <n v="12"/>
    <n v="0"/>
    <n v="0"/>
    <n v="5"/>
    <n v="0"/>
    <n v="0"/>
    <n v="7"/>
    <n v="0"/>
    <n v="0"/>
    <n v="12.5"/>
    <n v="0"/>
    <n v="0"/>
    <n v="10"/>
    <n v="0"/>
    <n v="0"/>
    <n v="10"/>
    <n v="0"/>
    <n v="0"/>
    <n v="7.5"/>
    <n v="0"/>
    <n v="0"/>
    <n v="20"/>
    <n v="0"/>
    <n v="0"/>
    <n v="84"/>
    <n v="0"/>
    <n v="0"/>
    <s v="PALI"/>
    <s v="PALI"/>
    <s v="RJ-JODHPUR"/>
    <d v="2021-08-16T00:00:00"/>
  </r>
  <r>
    <s v="816829201280"/>
    <x v="1566"/>
    <s v="MALAM SINGH RAJPUROHIT"/>
    <n v="201280"/>
    <s v="SIDDHI VINAYAK CEMENT DISTRIBU"/>
    <n v="15"/>
    <n v="0"/>
    <n v="0"/>
    <n v="10"/>
    <n v="0"/>
    <n v="0"/>
    <n v="67"/>
    <n v="0"/>
    <n v="0"/>
    <n v="40"/>
    <n v="0"/>
    <n v="0"/>
    <n v="43.5"/>
    <n v="7.5"/>
    <n v="0"/>
    <n v="0"/>
    <n v="0"/>
    <n v="0"/>
    <n v="8"/>
    <n v="0"/>
    <n v="0"/>
    <n v="9"/>
    <n v="0"/>
    <n v="0"/>
    <n v="192.5"/>
    <n v="7.5"/>
    <n v="0"/>
    <s v="PALI"/>
    <s v="PALI"/>
    <s v="RJ-JODHPUR"/>
    <d v="2021-10-23T00:00:00"/>
  </r>
  <r>
    <s v="816941178268"/>
    <x v="1567"/>
    <s v="SADAT ALI"/>
    <n v="178268"/>
    <s v="VISHNU KHAD BEEZ BHANDAR"/>
    <n v="15"/>
    <n v="0"/>
    <n v="0"/>
    <n v="39.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64.5"/>
    <n v="0"/>
    <n v="0"/>
    <s v="PALI"/>
    <s v="PALI"/>
    <s v="RJ-JODHPUR"/>
    <d v="2021-11-01T00:00:00"/>
  </r>
  <r>
    <s v="817268202867"/>
    <x v="1568"/>
    <s v="PITRA KRIPA CEMENT AGENCY"/>
    <n v="202867"/>
    <s v="DEV NAKODA CEMENT AGENCY"/>
    <n v="20"/>
    <n v="2.7"/>
    <n v="0"/>
    <n v="47.7"/>
    <n v="0"/>
    <n v="0"/>
    <n v="58"/>
    <n v="0"/>
    <n v="5"/>
    <n v="84"/>
    <n v="8"/>
    <n v="0"/>
    <n v="98"/>
    <n v="12"/>
    <n v="0"/>
    <n v="55"/>
    <n v="0"/>
    <n v="0"/>
    <n v="41"/>
    <n v="21"/>
    <n v="0"/>
    <n v="55"/>
    <n v="0"/>
    <n v="0"/>
    <n v="458.7"/>
    <n v="43.7"/>
    <n v="5"/>
    <s v="PALI"/>
    <s v="PALI"/>
    <s v="RJ-JODHPUR"/>
    <d v="2021-12-11T00:00:00"/>
  </r>
  <r>
    <s v="817268176773"/>
    <x v="1568"/>
    <s v="PITRA KRIPA CEMENT AGENCY"/>
    <n v="176773"/>
    <s v="MANIK CHAND LAKHMI CHAND"/>
    <n v="0"/>
    <n v="0"/>
    <n v="0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20"/>
    <n v="0"/>
    <n v="0"/>
    <s v="PALI"/>
    <s v="PALI"/>
    <s v="RJ-JODHPUR"/>
    <d v="2021-12-11T00:00:00"/>
  </r>
  <r>
    <s v="817364148934"/>
    <x v="1569"/>
    <s v="CHARBHUJA ELECTRONIC HARDWARE"/>
    <n v="148934"/>
    <s v="VIDHATA CEMENT DISTRIBUTORS"/>
    <n v="66"/>
    <n v="5"/>
    <n v="0"/>
    <n v="72"/>
    <n v="7.5"/>
    <n v="0"/>
    <n v="90"/>
    <n v="8"/>
    <n v="0"/>
    <n v="84.5"/>
    <n v="0"/>
    <n v="0"/>
    <n v="68.5"/>
    <n v="0"/>
    <n v="18"/>
    <n v="107"/>
    <n v="0"/>
    <n v="0"/>
    <n v="45"/>
    <n v="0"/>
    <n v="0"/>
    <n v="61"/>
    <n v="0"/>
    <n v="0"/>
    <n v="594"/>
    <n v="20.5"/>
    <n v="18"/>
    <s v="PALI"/>
    <s v="PALI"/>
    <s v="RJ-JODHPUR"/>
    <d v="2021-12-18T00:00:00"/>
  </r>
  <r>
    <s v="817365148934"/>
    <x v="1570"/>
    <s v="MAJISHA AGENCY"/>
    <n v="148934"/>
    <s v="VIDHATA CEMENT DISTRIBUTORS"/>
    <n v="55"/>
    <n v="5"/>
    <n v="0"/>
    <n v="62"/>
    <n v="0"/>
    <n v="0"/>
    <n v="78"/>
    <n v="0"/>
    <n v="0"/>
    <n v="62"/>
    <n v="0"/>
    <n v="0"/>
    <n v="20"/>
    <n v="0"/>
    <n v="0"/>
    <n v="0"/>
    <n v="0"/>
    <n v="0"/>
    <n v="28"/>
    <n v="0"/>
    <n v="0"/>
    <n v="27"/>
    <n v="0"/>
    <n v="0"/>
    <n v="332"/>
    <n v="5"/>
    <n v="0"/>
    <s v="PALI"/>
    <s v="PALI"/>
    <s v="RJ-JODHPUR"/>
    <d v="2021-12-18T00:00:00"/>
  </r>
  <r>
    <s v="817454178268"/>
    <x v="1571"/>
    <s v="JUGARAM"/>
    <n v="178268"/>
    <s v="VISHNU KHAD BEEZ BHANDAR"/>
    <n v="10"/>
    <n v="0"/>
    <n v="0"/>
    <n v="35.5"/>
    <n v="0"/>
    <n v="0"/>
    <n v="42"/>
    <n v="0"/>
    <n v="0"/>
    <n v="78.5"/>
    <n v="0"/>
    <n v="0"/>
    <n v="70"/>
    <n v="0"/>
    <n v="0"/>
    <n v="56"/>
    <n v="0"/>
    <n v="0"/>
    <n v="0"/>
    <n v="0"/>
    <n v="0"/>
    <n v="57.5"/>
    <n v="0"/>
    <n v="7.5"/>
    <n v="349.5"/>
    <n v="0"/>
    <n v="0"/>
    <s v="PALI"/>
    <s v="PALI"/>
    <s v="RJ-JODHPUR"/>
    <d v="2021-12-24T00:00:00"/>
  </r>
  <r>
    <s v="817972201280"/>
    <x v="1572"/>
    <s v="MOSHIN KHAN"/>
    <n v="201280"/>
    <s v="SIDDHI VINAYAK CEMENT DISTRIBU"/>
    <n v="20"/>
    <n v="0"/>
    <n v="0"/>
    <n v="20"/>
    <n v="0"/>
    <n v="0"/>
    <n v="0"/>
    <n v="0"/>
    <n v="0"/>
    <n v="5"/>
    <n v="0"/>
    <n v="0"/>
    <n v="20"/>
    <n v="0"/>
    <n v="0"/>
    <n v="0"/>
    <n v="0"/>
    <n v="0"/>
    <n v="8.5"/>
    <n v="0"/>
    <n v="0"/>
    <n v="0"/>
    <n v="0"/>
    <n v="0"/>
    <n v="73.5"/>
    <n v="0"/>
    <n v="0"/>
    <s v="PALI"/>
    <s v="PALI"/>
    <s v="RJ-JODHPUR"/>
    <d v="2022-02-04T00:00:00"/>
  </r>
  <r>
    <s v="817980170904"/>
    <x v="1573"/>
    <s v="ASHOK KUMAR"/>
    <n v="170904"/>
    <s v="ASHAPURA CEMENT SALES"/>
    <n v="30"/>
    <n v="10"/>
    <n v="0"/>
    <n v="47.5"/>
    <n v="0"/>
    <n v="0"/>
    <n v="75.45"/>
    <n v="0"/>
    <n v="9"/>
    <n v="39.200000000000003"/>
    <n v="1.7"/>
    <n v="17.5"/>
    <n v="0"/>
    <n v="0"/>
    <n v="0"/>
    <n v="0"/>
    <n v="0"/>
    <n v="0"/>
    <n v="0"/>
    <n v="0"/>
    <n v="0"/>
    <n v="0"/>
    <n v="0"/>
    <n v="0"/>
    <n v="192.14999999999998"/>
    <n v="11.7"/>
    <n v="26.5"/>
    <s v="PALI"/>
    <s v="PALI"/>
    <s v="RJ-JODHPUR"/>
    <d v="2022-02-05T00:00:00"/>
  </r>
  <r>
    <s v="818288170904"/>
    <x v="1574"/>
    <s v="RAJESH CHOUDHARY"/>
    <n v="170904"/>
    <s v="ASHAPURA CEMENT SALES"/>
    <n v="0"/>
    <n v="0"/>
    <n v="0"/>
    <n v="0"/>
    <n v="0"/>
    <n v="0"/>
    <n v="85"/>
    <n v="0"/>
    <n v="5"/>
    <n v="56"/>
    <n v="0"/>
    <n v="6"/>
    <n v="0"/>
    <n v="0"/>
    <n v="0"/>
    <n v="0"/>
    <n v="0"/>
    <n v="0"/>
    <n v="0"/>
    <n v="0"/>
    <n v="0"/>
    <n v="0"/>
    <n v="0"/>
    <n v="0"/>
    <n v="141"/>
    <n v="0"/>
    <n v="11"/>
    <s v="PALI"/>
    <s v="PALI"/>
    <s v="RJ-JODHPUR"/>
    <d v="2022-03-07T00:00:00"/>
  </r>
  <r>
    <s v="818997170904"/>
    <x v="1575"/>
    <s v="NEMARAM CHOUDHARY"/>
    <n v="170904"/>
    <s v="ASHAPURA CEMENT SALES"/>
    <n v="0"/>
    <n v="0"/>
    <n v="0"/>
    <n v="10"/>
    <n v="0"/>
    <n v="0"/>
    <n v="30"/>
    <n v="0"/>
    <n v="0"/>
    <n v="41"/>
    <n v="0"/>
    <n v="0"/>
    <n v="0"/>
    <n v="0"/>
    <n v="0"/>
    <n v="0"/>
    <n v="0"/>
    <n v="0"/>
    <n v="0"/>
    <n v="0"/>
    <n v="0"/>
    <n v="0"/>
    <n v="0"/>
    <n v="0"/>
    <n v="81"/>
    <n v="0"/>
    <n v="0"/>
    <s v="PALI"/>
    <s v="PALI"/>
    <s v="RJ-JODHPUR"/>
    <d v="2022-05-20T00:00:00"/>
  </r>
  <r>
    <s v="818997213868"/>
    <x v="1575"/>
    <s v="NEMARAM CHOUDHARY"/>
    <n v="213868"/>
    <s v="R M TRADERS"/>
    <n v="0"/>
    <n v="0"/>
    <n v="0"/>
    <n v="0"/>
    <n v="0"/>
    <n v="0"/>
    <n v="0"/>
    <n v="0"/>
    <n v="0"/>
    <n v="0"/>
    <n v="0"/>
    <n v="0"/>
    <n v="10"/>
    <n v="0"/>
    <n v="0"/>
    <n v="40"/>
    <n v="0"/>
    <n v="0"/>
    <n v="55"/>
    <n v="0"/>
    <n v="0"/>
    <n v="80.5"/>
    <n v="0"/>
    <n v="5"/>
    <n v="185.5"/>
    <n v="0"/>
    <n v="0"/>
    <s v="PALI"/>
    <s v="PALI"/>
    <s v="RJ-JODHPUR"/>
    <d v="2022-05-20T00:00:00"/>
  </r>
  <r>
    <s v="819025209784"/>
    <x v="1576"/>
    <s v="BHARAT SANIATRY"/>
    <n v="209784"/>
    <s v="MANROOP TARACHAND AGARWAL"/>
    <n v="0"/>
    <n v="0"/>
    <n v="0"/>
    <n v="15"/>
    <n v="0"/>
    <n v="0"/>
    <n v="30"/>
    <n v="0"/>
    <n v="0"/>
    <n v="27.5"/>
    <n v="0"/>
    <n v="0"/>
    <n v="55.7"/>
    <n v="4.7"/>
    <n v="0"/>
    <n v="45"/>
    <n v="0"/>
    <n v="0"/>
    <n v="30"/>
    <n v="0"/>
    <n v="0"/>
    <n v="46"/>
    <n v="0"/>
    <n v="0"/>
    <n v="249.2"/>
    <n v="4.7"/>
    <n v="0"/>
    <s v="PALI"/>
    <s v="PALI"/>
    <s v="RJ-JODHPUR"/>
    <d v="2022-05-21T00:00:00"/>
  </r>
  <r>
    <s v="819441176929"/>
    <x v="1577"/>
    <s v="KAVERI HARDWARE"/>
    <n v="176929"/>
    <s v="BHARAT TRADERS"/>
    <n v="0"/>
    <n v="0"/>
    <n v="0"/>
    <n v="0"/>
    <n v="0"/>
    <n v="0"/>
    <n v="25"/>
    <n v="0"/>
    <n v="0"/>
    <n v="56"/>
    <n v="0"/>
    <n v="5"/>
    <n v="34"/>
    <n v="0"/>
    <n v="0"/>
    <n v="8"/>
    <n v="0"/>
    <n v="0"/>
    <n v="0"/>
    <n v="0"/>
    <n v="0"/>
    <n v="20"/>
    <n v="0"/>
    <n v="0"/>
    <n v="143"/>
    <n v="0"/>
    <n v="5"/>
    <s v="PALI"/>
    <s v="PALI"/>
    <s v="RJ-JODHPUR"/>
    <d v="2022-06-22T00:00:00"/>
  </r>
  <r>
    <s v="807258213868"/>
    <x v="1533"/>
    <s v="SHREE BALAJI CEMENT SALES"/>
    <n v="213868"/>
    <s v="R M TRADERS"/>
    <n v="0"/>
    <n v="0"/>
    <n v="0"/>
    <n v="0"/>
    <n v="0"/>
    <n v="0"/>
    <n v="0"/>
    <n v="0"/>
    <n v="0"/>
    <n v="0"/>
    <n v="0"/>
    <n v="0"/>
    <n v="0"/>
    <n v="0"/>
    <n v="0"/>
    <n v="20"/>
    <n v="0"/>
    <n v="10"/>
    <n v="20"/>
    <n v="0"/>
    <n v="0"/>
    <n v="0"/>
    <n v="0"/>
    <n v="0"/>
    <n v="40"/>
    <n v="0"/>
    <n v="10"/>
    <s v="PALI"/>
    <s v="PALI"/>
    <s v="RJ-JODHPUR"/>
    <d v="2018-11-27T00:00:00"/>
  </r>
  <r>
    <s v="818288213868"/>
    <x v="1574"/>
    <s v="RAJESH CHOUDHARY"/>
    <n v="213868"/>
    <s v="R M TRADERS"/>
    <n v="0"/>
    <n v="0"/>
    <n v="0"/>
    <n v="0"/>
    <n v="0"/>
    <n v="0"/>
    <n v="0"/>
    <n v="0"/>
    <n v="0"/>
    <n v="0"/>
    <n v="0"/>
    <n v="0"/>
    <n v="0"/>
    <n v="0"/>
    <n v="0"/>
    <n v="50"/>
    <n v="0"/>
    <n v="11"/>
    <n v="10"/>
    <n v="0"/>
    <n v="0"/>
    <n v="0"/>
    <n v="0"/>
    <n v="0"/>
    <n v="60"/>
    <n v="0"/>
    <n v="11"/>
    <s v="PALI"/>
    <s v="PALI"/>
    <s v="RJ-JODHPUR"/>
    <d v="2022-03-07T00:00:00"/>
  </r>
  <r>
    <s v="820318206993"/>
    <x v="1578"/>
    <s v="GAJAN MATA GENERAL STORE"/>
    <n v="206993"/>
    <s v="ISWAR LOHA UDHYOG"/>
    <n v="0"/>
    <n v="0"/>
    <n v="0"/>
    <n v="0"/>
    <n v="0"/>
    <n v="0"/>
    <n v="0"/>
    <n v="0"/>
    <n v="0"/>
    <n v="0"/>
    <n v="0"/>
    <n v="0"/>
    <n v="0"/>
    <n v="0"/>
    <n v="0"/>
    <n v="45.5"/>
    <n v="0"/>
    <n v="0"/>
    <n v="0"/>
    <n v="0"/>
    <n v="0"/>
    <n v="46"/>
    <n v="0"/>
    <n v="0"/>
    <n v="91.5"/>
    <n v="0"/>
    <n v="0"/>
    <s v="PALI"/>
    <s v="PALI"/>
    <s v="RJ-JODHPUR"/>
    <d v="2022-08-30T00:00:00"/>
  </r>
  <r>
    <s v="808413213868"/>
    <x v="1537"/>
    <s v="SHREE BAJRANG HARDWARE"/>
    <n v="213868"/>
    <s v="R M TRADE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57.5"/>
    <n v="0"/>
    <n v="10"/>
    <n v="72"/>
    <n v="0"/>
    <n v="0"/>
    <n v="139.5"/>
    <n v="0"/>
    <n v="10"/>
    <s v="PALI"/>
    <s v="PALI"/>
    <s v="RJ-JODHPUR"/>
    <d v="2018-05-24T00:00:00"/>
  </r>
  <r>
    <s v="820939148934"/>
    <x v="1579"/>
    <s v="PANKAJ SHARMA"/>
    <n v="148934"/>
    <s v="VIDHATA CEMENT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51"/>
    <n v="0"/>
    <n v="0"/>
    <n v="96"/>
    <n v="0"/>
    <n v="0"/>
    <s v="PALI"/>
    <s v="PALI"/>
    <s v="RJ-JODHPUR"/>
    <d v="2022-10-14T00:00:00"/>
  </r>
  <r>
    <s v="820941179928"/>
    <x v="1580"/>
    <s v="BHANWAR LAL DEWASI"/>
    <n v="179928"/>
    <s v="BHAIRAV BUILDING MATERIAL SUP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20"/>
    <n v="0"/>
    <n v="0"/>
    <n v="55"/>
    <n v="0"/>
    <n v="0"/>
    <s v="PALI"/>
    <s v="PALI"/>
    <s v="RJ-JODHPUR"/>
    <d v="2022-10-14T00:00:00"/>
  </r>
  <r>
    <s v="820953176744"/>
    <x v="1581"/>
    <s v="DINESH KUMAR KESHAJI"/>
    <n v="176744"/>
    <s v="ASHOK AND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0"/>
    <n v="0"/>
    <n v="107.75"/>
    <n v="7.25"/>
    <n v="10"/>
    <n v="133.25"/>
    <n v="0"/>
    <n v="0"/>
    <s v="PALI"/>
    <s v="PALI"/>
    <s v="RJ-JODHPUR"/>
    <d v="2022-10-15T00:00:00"/>
  </r>
  <r>
    <s v="820972176744"/>
    <x v="1582"/>
    <s v="SHREE NAGNECHI MAA SUPPLIERS"/>
    <n v="176744"/>
    <s v="ASHOK AND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41.05"/>
    <n v="0"/>
    <n v="0"/>
    <n v="61.05"/>
    <n v="0"/>
    <n v="0"/>
    <s v="PALI"/>
    <s v="PALI"/>
    <s v="RJ-JODHPUR"/>
    <d v="2022-10-15T00:00:00"/>
  </r>
  <r>
    <s v="809212213868"/>
    <x v="1539"/>
    <s v="SAMA RAM"/>
    <n v="213868"/>
    <s v="R 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4"/>
    <n v="0"/>
    <n v="0"/>
    <n v="11.5"/>
    <n v="0"/>
    <n v="0"/>
    <s v="PALI"/>
    <s v="PALI"/>
    <s v="RJ-JODHPUR"/>
    <d v="2019-02-28T00:00:00"/>
  </r>
  <r>
    <s v="814905213868"/>
    <x v="1562"/>
    <s v="PRAVEEN CHOUDHARY"/>
    <n v="213868"/>
    <s v="R 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7"/>
    <n v="0"/>
    <n v="0"/>
    <n v="72"/>
    <n v="0"/>
    <n v="0"/>
    <s v="PALI"/>
    <s v="PALI"/>
    <s v="RJ-JODHPUR"/>
    <d v="2021-04-06T00:00:00"/>
  </r>
  <r>
    <s v="801878176773"/>
    <x v="1583"/>
    <s v="CHAMUNDA CEMENT AGENCY"/>
    <n v="176773"/>
    <s v="MANIK CHAND LAKHMI CHAND"/>
    <n v="104"/>
    <n v="0"/>
    <n v="0"/>
    <n v="119.9"/>
    <n v="0"/>
    <n v="0"/>
    <n v="140.75"/>
    <n v="0"/>
    <n v="6.5"/>
    <n v="52.75"/>
    <n v="0"/>
    <n v="0"/>
    <n v="76.900000000000006"/>
    <n v="0"/>
    <n v="18.2"/>
    <n v="115.3"/>
    <n v="0"/>
    <n v="0"/>
    <n v="50.2"/>
    <n v="0"/>
    <n v="0"/>
    <n v="45"/>
    <n v="0"/>
    <n v="2.5"/>
    <n v="704.8"/>
    <n v="0"/>
    <n v="24.7"/>
    <s v="SIROHI"/>
    <s v="PALI"/>
    <s v="RJ-JODHPUR"/>
    <d v="2013-03-26T00:00:00"/>
  </r>
  <r>
    <s v="801883176773"/>
    <x v="1584"/>
    <s v="SHRI RAM TRADERS"/>
    <n v="176773"/>
    <s v="MANIK CHAND LAKHMI CHAND"/>
    <n v="263.04999999999995"/>
    <n v="24.1"/>
    <n v="0"/>
    <n v="256.35000000000002"/>
    <n v="13.6"/>
    <n v="0"/>
    <n v="245"/>
    <n v="0"/>
    <n v="35"/>
    <n v="182.6"/>
    <n v="0"/>
    <n v="0"/>
    <n v="116"/>
    <n v="0"/>
    <n v="0"/>
    <n v="295.55"/>
    <n v="12.75"/>
    <n v="6.8"/>
    <n v="236.95"/>
    <n v="0"/>
    <n v="9.25"/>
    <n v="287.34999999999997"/>
    <n v="0"/>
    <n v="13.75"/>
    <n v="1882.85"/>
    <n v="50.45"/>
    <n v="51.05"/>
    <s v="SIROHI"/>
    <s v="PALI"/>
    <s v="RJ-JODHPUR"/>
    <d v="2013-03-26T00:00:00"/>
  </r>
  <r>
    <s v="801999176773"/>
    <x v="1585"/>
    <s v="MAHENDRA TRADERS"/>
    <n v="176773"/>
    <s v="MANIK CHAND LAKHMI CHAND"/>
    <n v="95"/>
    <n v="10.25"/>
    <n v="0"/>
    <n v="85.75"/>
    <n v="0"/>
    <n v="0"/>
    <n v="174.5"/>
    <n v="0"/>
    <n v="0"/>
    <n v="112.5"/>
    <n v="0"/>
    <n v="0"/>
    <n v="75"/>
    <n v="0"/>
    <n v="0"/>
    <n v="122.45"/>
    <n v="0"/>
    <n v="5.5"/>
    <n v="161.19999999999999"/>
    <n v="0"/>
    <n v="15.7"/>
    <n v="199.95"/>
    <n v="0"/>
    <n v="7.5"/>
    <n v="1026.3500000000001"/>
    <n v="10.25"/>
    <n v="21.2"/>
    <s v="SIROHI"/>
    <s v="PALI"/>
    <s v="RJ-JODHPUR"/>
    <d v="2013-04-23T00:00:00"/>
  </r>
  <r>
    <s v="802044176773"/>
    <x v="1586"/>
    <s v="PAWAN SALES AGENCIES"/>
    <n v="176773"/>
    <s v="MANIK CHAND LAKHMI CHAND"/>
    <n v="58.9"/>
    <n v="0"/>
    <n v="0"/>
    <n v="32"/>
    <n v="6.4"/>
    <n v="0"/>
    <n v="67.5"/>
    <n v="0"/>
    <n v="0"/>
    <n v="40"/>
    <n v="0"/>
    <n v="0"/>
    <n v="35"/>
    <n v="0"/>
    <n v="0"/>
    <n v="60.75"/>
    <n v="8.5"/>
    <n v="0"/>
    <n v="50"/>
    <n v="0"/>
    <n v="0"/>
    <n v="77"/>
    <n v="0"/>
    <n v="0"/>
    <n v="421.15"/>
    <n v="14.9"/>
    <n v="0"/>
    <s v="SIROHI"/>
    <s v="PALI"/>
    <s v="RJ-JODHPUR"/>
    <d v="2013-05-16T00:00:00"/>
  </r>
  <r>
    <s v="802089176773"/>
    <x v="1587"/>
    <s v="RAKESH AGENCIES"/>
    <n v="176773"/>
    <s v="MANIK CHAND LAKHMI CHAND"/>
    <n v="162.25"/>
    <n v="0"/>
    <n v="0"/>
    <n v="135"/>
    <n v="10.75"/>
    <n v="0"/>
    <n v="158"/>
    <n v="0"/>
    <n v="0"/>
    <n v="176"/>
    <n v="2.5"/>
    <n v="0"/>
    <n v="101.65"/>
    <n v="6"/>
    <n v="0"/>
    <n v="238.89999999999998"/>
    <n v="7.5"/>
    <n v="19.45"/>
    <n v="164"/>
    <n v="0"/>
    <n v="9"/>
    <n v="164.75"/>
    <n v="6.85"/>
    <n v="28.9"/>
    <n v="1300.55"/>
    <n v="26.75"/>
    <n v="28.45"/>
    <s v="SIROHI"/>
    <s v="PALI"/>
    <s v="RJ-JODHPUR"/>
    <d v="2013-06-11T00:00:00"/>
  </r>
  <r>
    <s v="802117176773"/>
    <x v="1588"/>
    <s v="GAYTRI TRADING COMPANY"/>
    <n v="176773"/>
    <s v="MANIK CHAND LAKHMI CHAND"/>
    <n v="209.3"/>
    <n v="22.799999999999997"/>
    <n v="0"/>
    <n v="155.79999999999998"/>
    <n v="0"/>
    <n v="0"/>
    <n v="234.75"/>
    <n v="0"/>
    <n v="14.75"/>
    <n v="193.75"/>
    <n v="8.75"/>
    <n v="0"/>
    <n v="130.5"/>
    <n v="15"/>
    <n v="0.5"/>
    <n v="271.5"/>
    <n v="5"/>
    <n v="0"/>
    <n v="213"/>
    <n v="2"/>
    <n v="0"/>
    <n v="319"/>
    <n v="0"/>
    <n v="3.5"/>
    <n v="1727.6"/>
    <n v="53.55"/>
    <n v="15.25"/>
    <s v="SIROHI"/>
    <s v="PALI"/>
    <s v="RJ-JODHPUR"/>
    <d v="2013-06-26T00:00:00"/>
  </r>
  <r>
    <s v="802913176773"/>
    <x v="1589"/>
    <s v="GAYATRI SALES"/>
    <n v="176773"/>
    <s v="MANIK CHAND LAKHMI CHAND"/>
    <n v="15"/>
    <n v="0"/>
    <n v="0"/>
    <n v="0"/>
    <n v="0"/>
    <n v="0"/>
    <n v="26.9"/>
    <n v="0"/>
    <n v="0"/>
    <n v="37.200000000000003"/>
    <n v="0"/>
    <n v="9.6999999999999993"/>
    <n v="75"/>
    <n v="0"/>
    <n v="19.5"/>
    <n v="45"/>
    <n v="0"/>
    <n v="0"/>
    <n v="21"/>
    <n v="0"/>
    <n v="0"/>
    <n v="12.5"/>
    <n v="0"/>
    <n v="0"/>
    <n v="232.6"/>
    <n v="0"/>
    <n v="29.2"/>
    <s v="SIROHI"/>
    <s v="PALI"/>
    <s v="RJ-JODHPUR"/>
    <d v="2013-09-17T00:00:00"/>
  </r>
  <r>
    <s v="803351176773"/>
    <x v="1590"/>
    <s v="NAGANESHI CEMENT"/>
    <n v="176773"/>
    <s v="MANIK CHAND LAKHMI CHAND"/>
    <n v="10"/>
    <n v="0"/>
    <n v="0"/>
    <n v="25"/>
    <n v="0"/>
    <n v="0"/>
    <n v="15"/>
    <n v="0"/>
    <n v="0"/>
    <n v="10"/>
    <n v="0"/>
    <n v="0"/>
    <n v="0"/>
    <n v="0"/>
    <n v="0"/>
    <n v="12.5"/>
    <n v="5"/>
    <n v="0"/>
    <n v="0"/>
    <n v="0"/>
    <n v="0"/>
    <n v="7.5"/>
    <n v="0"/>
    <n v="0"/>
    <n v="80"/>
    <n v="5"/>
    <n v="0"/>
    <s v="SIROHI"/>
    <s v="PALI"/>
    <s v="RJ-JODHPUR"/>
    <d v="2014-05-17T00:00:00"/>
  </r>
  <r>
    <s v="805401176773"/>
    <x v="1591"/>
    <s v="MAHALAXMI HARDWARA"/>
    <n v="176773"/>
    <s v="MANIK CHAND LAKHMI CHAND"/>
    <n v="25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0"/>
    <n v="0"/>
    <s v="SIROHI"/>
    <s v="PALI"/>
    <s v="RJ-JODHPUR"/>
    <d v="2016-08-09T00:00:00"/>
  </r>
  <r>
    <s v="805872176773"/>
    <x v="1592"/>
    <s v="RAMDEV STONE POLISHING"/>
    <n v="176773"/>
    <s v="MANIK CHAND LAKHMI CH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ROHI"/>
    <s v="PALI"/>
    <s v="RJ-JODHPUR"/>
    <d v="2016-12-20T00:00:00"/>
  </r>
  <r>
    <s v="807949176773"/>
    <x v="1593"/>
    <s v="VISHNU CEMENT DEPO"/>
    <n v="176773"/>
    <s v="MANIK CHAND LAKHMI CHAND"/>
    <n v="12.5"/>
    <n v="0"/>
    <n v="0"/>
    <n v="12.5"/>
    <n v="0"/>
    <n v="0"/>
    <n v="20"/>
    <n v="0"/>
    <n v="0"/>
    <n v="25"/>
    <n v="0"/>
    <n v="0"/>
    <n v="0"/>
    <n v="0"/>
    <n v="0"/>
    <n v="32.5"/>
    <n v="0"/>
    <n v="0"/>
    <n v="15"/>
    <n v="0"/>
    <n v="0"/>
    <n v="26"/>
    <n v="0"/>
    <n v="0"/>
    <n v="143.5"/>
    <n v="0"/>
    <n v="0"/>
    <s v="SIROHI"/>
    <s v="PALI"/>
    <s v="RJ-JODHPUR"/>
    <d v="2018-01-27T00:00:00"/>
  </r>
  <r>
    <s v="808572205306"/>
    <x v="1594"/>
    <s v="TARUN KUMAR"/>
    <n v="205306"/>
    <s v="M J TRADERS"/>
    <n v="20"/>
    <n v="0"/>
    <n v="0"/>
    <n v="31"/>
    <n v="0"/>
    <n v="0"/>
    <n v="20"/>
    <n v="0"/>
    <n v="0"/>
    <n v="35"/>
    <n v="9"/>
    <n v="0"/>
    <n v="0"/>
    <n v="0"/>
    <n v="0"/>
    <n v="20"/>
    <n v="0"/>
    <n v="0"/>
    <n v="17.5"/>
    <n v="0"/>
    <n v="0"/>
    <n v="34.5"/>
    <n v="0"/>
    <n v="0"/>
    <n v="178"/>
    <n v="9"/>
    <n v="0"/>
    <s v="SIROHI"/>
    <s v="PALI"/>
    <s v="RJ-JODHPUR"/>
    <d v="2018-06-12T00:00:00"/>
  </r>
  <r>
    <s v="808693176773"/>
    <x v="1595"/>
    <s v="VARUN ENTERPRISES"/>
    <n v="176773"/>
    <s v="MANIK CHAND LAKHMI CHAND"/>
    <n v="173.75"/>
    <n v="0"/>
    <n v="0"/>
    <n v="185"/>
    <n v="0"/>
    <n v="0"/>
    <n v="266.5"/>
    <n v="0"/>
    <n v="0"/>
    <n v="222.7"/>
    <n v="0"/>
    <n v="0"/>
    <n v="107.3"/>
    <n v="0"/>
    <n v="0"/>
    <n v="123"/>
    <n v="0"/>
    <n v="12.5"/>
    <n v="160"/>
    <n v="0"/>
    <n v="12.5"/>
    <n v="73.099999999999994"/>
    <n v="0"/>
    <n v="13.1"/>
    <n v="1311.35"/>
    <n v="0"/>
    <n v="25"/>
    <s v="SIROHI"/>
    <s v="PALI"/>
    <s v="RJ-JODHPUR"/>
    <d v="2018-07-20T00:00:00"/>
  </r>
  <r>
    <s v="810843176773"/>
    <x v="1596"/>
    <s v="RAJESHWAR KIRANA STORE"/>
    <n v="176773"/>
    <s v="MANIK CHAND LAKHMI CHAND"/>
    <n v="25"/>
    <n v="0"/>
    <n v="0"/>
    <n v="5.5"/>
    <n v="0"/>
    <n v="0"/>
    <n v="32.450000000000003"/>
    <n v="0"/>
    <n v="0"/>
    <n v="7.5"/>
    <n v="0"/>
    <n v="0"/>
    <n v="10"/>
    <n v="0"/>
    <n v="0"/>
    <n v="22.5"/>
    <n v="0"/>
    <n v="0"/>
    <n v="10"/>
    <n v="0"/>
    <n v="0"/>
    <n v="0"/>
    <n v="0"/>
    <n v="0"/>
    <n v="112.95"/>
    <n v="0"/>
    <n v="0"/>
    <s v="SIROHI"/>
    <s v="PALI"/>
    <s v="RJ-JODHPUR"/>
    <d v="2019-11-25T00:00:00"/>
  </r>
  <r>
    <s v="811255176773"/>
    <x v="1597"/>
    <s v="SHAKTI STEEL"/>
    <n v="176773"/>
    <s v="MANIK CHAND LAKHMI CH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ROHI"/>
    <s v="PALI"/>
    <s v="RJ-JODHPUR"/>
    <d v="2020-01-14T00:00:00"/>
  </r>
  <r>
    <s v="811625176773"/>
    <x v="1598"/>
    <s v="KAILASH KUMAR MALI S/O SHRI UK"/>
    <n v="176773"/>
    <s v="MANIK CHAND LAKHMI CHAND"/>
    <n v="70.7"/>
    <n v="3.65"/>
    <n v="0"/>
    <n v="24.65"/>
    <n v="6"/>
    <n v="0"/>
    <n v="53.9"/>
    <n v="0"/>
    <n v="0"/>
    <n v="73.5"/>
    <n v="0"/>
    <n v="0"/>
    <n v="29.7"/>
    <n v="0"/>
    <n v="0"/>
    <n v="53.2"/>
    <n v="0"/>
    <n v="17.45"/>
    <n v="57.3"/>
    <n v="0"/>
    <n v="7.25"/>
    <n v="55.5"/>
    <n v="0"/>
    <n v="0"/>
    <n v="418.45"/>
    <n v="9.65"/>
    <n v="24.7"/>
    <s v="SIROHI"/>
    <s v="PALI"/>
    <s v="RJ-JODHPUR"/>
    <d v="2020-02-27T00:00:00"/>
  </r>
  <r>
    <s v="811625202867"/>
    <x v="1598"/>
    <s v="KAILASH KUMAR MALI S/O SHRI UK"/>
    <n v="202867"/>
    <s v="DEV NAKODA CEMENT AGENCY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SIROHI"/>
    <s v="PALI"/>
    <s v="RJ-JODHPUR"/>
    <d v="2020-02-27T00:00:00"/>
  </r>
  <r>
    <s v="812768176773"/>
    <x v="1599"/>
    <s v="SHRI BALAJI CEMENT AGENCY"/>
    <n v="176773"/>
    <s v="MANIK CHAND LAKHMI CH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s v="SIROHI"/>
    <s v="PALI"/>
    <s v="RJ-JODHPUR"/>
    <d v="2020-09-03T00:00:00"/>
  </r>
  <r>
    <s v="812768210075"/>
    <x v="1599"/>
    <s v="SHRI BALAJI CEMENT AGENCY"/>
    <n v="210075"/>
    <s v="TOLJI ENTERPRISES"/>
    <n v="47"/>
    <n v="0"/>
    <n v="0"/>
    <n v="40"/>
    <n v="0"/>
    <n v="0"/>
    <n v="35"/>
    <n v="0"/>
    <n v="0"/>
    <n v="41.25"/>
    <n v="0"/>
    <n v="10"/>
    <n v="42.5"/>
    <n v="4.75"/>
    <n v="10"/>
    <n v="31.75"/>
    <n v="0"/>
    <n v="3.5"/>
    <n v="30"/>
    <n v="0"/>
    <n v="0"/>
    <n v="29.5"/>
    <n v="0"/>
    <n v="0"/>
    <n v="297"/>
    <n v="4.75"/>
    <n v="23.5"/>
    <s v="SIROHI"/>
    <s v="PALI"/>
    <s v="RJ-JODHPUR"/>
    <d v="2020-09-03T00:00:00"/>
  </r>
  <r>
    <s v="812909203156"/>
    <x v="1600"/>
    <s v="RANAWAT CONSTRUCTION"/>
    <n v="203156"/>
    <s v="AMBESHWAR TRADING COMPANY"/>
    <n v="0"/>
    <n v="0"/>
    <n v="0"/>
    <n v="0"/>
    <n v="0"/>
    <n v="0"/>
    <n v="10.5"/>
    <n v="0"/>
    <n v="0"/>
    <n v="0"/>
    <n v="0"/>
    <n v="0"/>
    <n v="0"/>
    <n v="0"/>
    <n v="0"/>
    <n v="0"/>
    <n v="0"/>
    <n v="0"/>
    <n v="0"/>
    <n v="0"/>
    <n v="0"/>
    <n v="0"/>
    <n v="0"/>
    <n v="0"/>
    <n v="10.5"/>
    <n v="0"/>
    <n v="0"/>
    <s v="SIROHI"/>
    <s v="PALI"/>
    <s v="RJ-JODHPUR"/>
    <d v="2020-09-12T00:00:00"/>
  </r>
  <r>
    <s v="813981176773"/>
    <x v="1601"/>
    <s v="SHREE STHIT KARNI TRADERS"/>
    <n v="176773"/>
    <s v="MANIK CHAND LAKHMI CHAND"/>
    <n v="30.8"/>
    <n v="2.5"/>
    <n v="0"/>
    <n v="10"/>
    <n v="3.8"/>
    <n v="0"/>
    <n v="20"/>
    <n v="0"/>
    <n v="0"/>
    <n v="0"/>
    <n v="0"/>
    <n v="0"/>
    <n v="8.5"/>
    <n v="0"/>
    <n v="0"/>
    <n v="22.5"/>
    <n v="0"/>
    <n v="0"/>
    <n v="10"/>
    <n v="0"/>
    <n v="0"/>
    <n v="0"/>
    <n v="0"/>
    <n v="0"/>
    <n v="101.8"/>
    <n v="6.3"/>
    <n v="0"/>
    <s v="SIROHI"/>
    <s v="PALI"/>
    <s v="RJ-JODHPUR"/>
    <d v="2020-12-26T00:00:00"/>
  </r>
  <r>
    <s v="813984205306"/>
    <x v="1602"/>
    <s v="HRIDYESHPAL SINGH GURJAR"/>
    <n v="205306"/>
    <s v="M J TRADERS"/>
    <n v="20"/>
    <n v="0"/>
    <n v="0"/>
    <n v="30"/>
    <n v="0"/>
    <n v="0"/>
    <n v="0"/>
    <n v="0"/>
    <n v="0"/>
    <n v="20"/>
    <n v="0"/>
    <n v="0"/>
    <n v="0"/>
    <n v="0"/>
    <n v="0"/>
    <n v="20"/>
    <n v="0"/>
    <n v="0"/>
    <n v="0"/>
    <n v="0"/>
    <n v="0"/>
    <n v="20"/>
    <n v="0"/>
    <n v="0"/>
    <n v="110"/>
    <n v="0"/>
    <n v="0"/>
    <s v="SIROHI"/>
    <s v="PALI"/>
    <s v="RJ-JODHPUR"/>
    <d v="2020-12-28T00:00:00"/>
  </r>
  <r>
    <s v="814129176773"/>
    <x v="1603"/>
    <s v="MAJISA CONTRACTORS"/>
    <n v="176773"/>
    <s v="MANIK CHAND LAKHMI CHAND"/>
    <n v="45"/>
    <n v="0"/>
    <n v="0"/>
    <n v="0"/>
    <n v="0"/>
    <n v="0"/>
    <n v="15"/>
    <n v="0"/>
    <n v="0"/>
    <n v="12.5"/>
    <n v="2.5"/>
    <n v="0"/>
    <n v="0"/>
    <n v="0"/>
    <n v="0"/>
    <n v="22"/>
    <n v="0"/>
    <n v="0"/>
    <n v="62"/>
    <n v="0"/>
    <n v="0"/>
    <n v="33"/>
    <n v="0"/>
    <n v="0"/>
    <n v="189.5"/>
    <n v="2.5"/>
    <n v="0"/>
    <s v="SIROHI"/>
    <s v="PALI"/>
    <s v="RJ-JODHPUR"/>
    <d v="2021-01-12T00:00:00"/>
  </r>
  <r>
    <s v="814397176773"/>
    <x v="1604"/>
    <s v="SHANTI LAL SHANKAR JI PUROHIT"/>
    <n v="176773"/>
    <s v="MANIK CHAND LAKHMI CHAND"/>
    <n v="0"/>
    <n v="5"/>
    <n v="0"/>
    <n v="70"/>
    <n v="0"/>
    <n v="0"/>
    <n v="70"/>
    <n v="0"/>
    <n v="0"/>
    <n v="125"/>
    <n v="0"/>
    <n v="10"/>
    <n v="17"/>
    <n v="0"/>
    <n v="0"/>
    <n v="50"/>
    <n v="0"/>
    <n v="0"/>
    <n v="95"/>
    <n v="0"/>
    <n v="0"/>
    <n v="76.400000000000006"/>
    <n v="0"/>
    <n v="0"/>
    <n v="503.4"/>
    <n v="5"/>
    <n v="10"/>
    <s v="SIROHI"/>
    <s v="PALI"/>
    <s v="RJ-JODHPUR"/>
    <d v="2021-02-05T00:00:00"/>
  </r>
  <r>
    <s v="815993176773"/>
    <x v="1605"/>
    <s v="TOLJI CEMENT AGENCY HARDWARE &amp;"/>
    <n v="176773"/>
    <s v="MANIK CHAND LAKHMI CHAND"/>
    <n v="39.5"/>
    <n v="0"/>
    <n v="0"/>
    <n v="47.85"/>
    <n v="0"/>
    <n v="0"/>
    <n v="46.65"/>
    <n v="3.9"/>
    <n v="0"/>
    <n v="110"/>
    <n v="17.5"/>
    <n v="40"/>
    <n v="70.8"/>
    <n v="10.8"/>
    <n v="5"/>
    <n v="159.30000000000001"/>
    <n v="9.5"/>
    <n v="31.450000000000003"/>
    <n v="118.6"/>
    <n v="0"/>
    <n v="26.1"/>
    <n v="177"/>
    <n v="6.5"/>
    <n v="0"/>
    <n v="769.7"/>
    <n v="41.7"/>
    <n v="102.55000000000001"/>
    <s v="SIROHI"/>
    <s v="PALI"/>
    <s v="RJ-JODHPUR"/>
    <d v="2021-08-18T00:00:00"/>
  </r>
  <r>
    <s v="815993208123"/>
    <x v="1605"/>
    <s v="TOLJI CEMENT AGENCY HARDWARE &amp;"/>
    <n v="208123"/>
    <s v="BORANA CEMENT DISTRIBUTOR"/>
    <n v="0"/>
    <n v="0"/>
    <n v="0"/>
    <n v="0"/>
    <n v="0"/>
    <n v="0"/>
    <n v="0"/>
    <n v="0"/>
    <n v="0"/>
    <n v="52.5"/>
    <n v="0"/>
    <n v="0"/>
    <n v="0"/>
    <n v="0"/>
    <n v="0"/>
    <n v="21"/>
    <n v="0"/>
    <n v="0"/>
    <n v="0"/>
    <n v="0"/>
    <n v="0"/>
    <n v="0"/>
    <n v="0"/>
    <n v="0"/>
    <n v="73.5"/>
    <n v="0"/>
    <n v="0"/>
    <s v="SIROHI"/>
    <s v="PALI"/>
    <s v="RJ-JODHPUR"/>
    <d v="2021-08-18T00:00:00"/>
  </r>
  <r>
    <s v="816252176773"/>
    <x v="1606"/>
    <s v="ASHAPURA HARDWARE"/>
    <n v="176773"/>
    <s v="MANIK CHAND LAKHMI CHAND"/>
    <n v="25"/>
    <n v="0"/>
    <n v="0"/>
    <n v="32.5"/>
    <n v="0"/>
    <n v="0"/>
    <n v="20"/>
    <n v="0"/>
    <n v="0"/>
    <n v="0"/>
    <n v="0"/>
    <n v="0"/>
    <n v="20"/>
    <n v="0"/>
    <n v="0"/>
    <n v="17.5"/>
    <n v="0"/>
    <n v="0"/>
    <n v="13"/>
    <n v="0"/>
    <n v="0"/>
    <n v="38.9"/>
    <n v="0"/>
    <n v="0"/>
    <n v="166.9"/>
    <n v="0"/>
    <n v="0"/>
    <s v="SIROHI"/>
    <s v="PALI"/>
    <s v="RJ-JODHPUR"/>
    <d v="2021-09-02T00:00:00"/>
  </r>
  <r>
    <s v="816309176773"/>
    <x v="1607"/>
    <s v="SADHI CEMENT SUPPLIERS"/>
    <n v="176773"/>
    <s v="MANIK CHAND LAKHMI CHAND"/>
    <n v="21.5"/>
    <n v="5"/>
    <n v="0"/>
    <n v="15"/>
    <n v="0"/>
    <n v="0"/>
    <n v="22.5"/>
    <n v="0"/>
    <n v="0"/>
    <n v="21.25"/>
    <n v="0"/>
    <n v="3.75"/>
    <n v="12.5"/>
    <n v="0"/>
    <n v="0"/>
    <n v="17.25"/>
    <n v="2"/>
    <n v="0"/>
    <n v="0"/>
    <n v="0"/>
    <n v="0"/>
    <n v="32.049999999999997"/>
    <n v="5.05"/>
    <n v="0"/>
    <n v="142.05000000000001"/>
    <n v="7"/>
    <n v="3.75"/>
    <s v="SIROHI"/>
    <s v="PALI"/>
    <s v="RJ-JODHPUR"/>
    <d v="2021-09-10T00:00:00"/>
  </r>
  <r>
    <s v="816882203156"/>
    <x v="1608"/>
    <s v="RANAWAT CEMENT AGENCY"/>
    <n v="203156"/>
    <s v="AMBESHWAR TRADING COMPANY"/>
    <n v="94.5"/>
    <n v="2.5"/>
    <n v="0"/>
    <n v="106"/>
    <n v="5"/>
    <n v="0"/>
    <n v="84.5"/>
    <n v="4"/>
    <n v="15"/>
    <n v="80.25"/>
    <n v="14"/>
    <n v="8.25"/>
    <n v="54"/>
    <n v="0"/>
    <n v="10.75"/>
    <n v="95"/>
    <n v="1.5"/>
    <n v="19.5"/>
    <n v="82"/>
    <n v="6"/>
    <n v="21.5"/>
    <n v="51"/>
    <n v="0"/>
    <n v="1"/>
    <n v="647.25"/>
    <n v="33"/>
    <n v="75"/>
    <s v="SIROHI"/>
    <s v="PALI"/>
    <s v="RJ-JODHPUR"/>
    <d v="2021-10-29T00:00:00"/>
  </r>
  <r>
    <s v="818426203156"/>
    <x v="1609"/>
    <s v="ANNPURNA BHANDAR MORAS"/>
    <n v="203156"/>
    <s v="AMBESHWAR TRADING COMPANY"/>
    <n v="15.5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35.5"/>
    <n v="0"/>
    <n v="0"/>
    <s v="SIROHI"/>
    <s v="PALI"/>
    <s v="RJ-JODHPUR"/>
    <d v="2022-03-22T00:00:00"/>
  </r>
  <r>
    <s v="818913176773"/>
    <x v="1610"/>
    <s v="BHARAT ENTERPRIZES"/>
    <n v="176773"/>
    <s v="MANIK CHAND LAKHMI CHAND"/>
    <n v="0"/>
    <n v="0"/>
    <n v="0"/>
    <n v="10"/>
    <n v="0"/>
    <n v="0"/>
    <n v="12.5"/>
    <n v="0"/>
    <n v="0"/>
    <n v="6"/>
    <n v="6"/>
    <n v="0"/>
    <n v="7.5"/>
    <n v="0"/>
    <n v="0"/>
    <n v="0"/>
    <n v="0"/>
    <n v="0"/>
    <n v="0"/>
    <n v="0"/>
    <n v="0"/>
    <n v="5"/>
    <n v="0"/>
    <n v="0"/>
    <n v="41"/>
    <n v="6"/>
    <n v="0"/>
    <s v="SIROHI"/>
    <s v="PALI"/>
    <s v="RJ-JODHPUR"/>
    <d v="2022-05-11T00:00:00"/>
  </r>
  <r>
    <s v="820552176773"/>
    <x v="1611"/>
    <s v="AGRASEN AGRO CENTRE"/>
    <n v="176773"/>
    <s v="MANIK CHAND LAKHMI CHAND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10"/>
    <n v="0"/>
    <n v="0"/>
    <n v="32"/>
    <n v="0"/>
    <n v="0"/>
    <s v="SIROHI"/>
    <s v="PALI"/>
    <s v="RJ-JODHPUR"/>
    <d v="2022-09-16T00:00:00"/>
  </r>
  <r>
    <s v="802117208123"/>
    <x v="1588"/>
    <s v="GAYTRI TRADING COMPANY"/>
    <n v="208123"/>
    <s v="BORANA CEMENT DISTRIBUTO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n v="15"/>
    <n v="0"/>
    <n v="0"/>
    <n v="51"/>
    <n v="0"/>
    <n v="0"/>
    <s v="SIROHI"/>
    <s v="PALI"/>
    <s v="RJ-JODHPUR"/>
    <d v="2013-06-26T00:00:00"/>
  </r>
  <r>
    <s v="820535176773"/>
    <x v="1612"/>
    <s v="JESOBA CEMENT AND HARDWARE"/>
    <n v="176773"/>
    <s v="MANIK CHAND LAKHMI CH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50.5"/>
    <n v="0"/>
    <n v="2"/>
    <n v="85.5"/>
    <n v="0"/>
    <n v="0"/>
    <s v="SIROHI"/>
    <s v="PALI"/>
    <s v="RJ-JODHPUR"/>
    <d v="2022-09-15T00:00:00"/>
  </r>
  <r>
    <s v="820763176773"/>
    <x v="1613"/>
    <s v="LAKSHMI ELECTRICAL AND HARDWAR"/>
    <n v="176773"/>
    <s v="MANIK CHAND LAKHMI CH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0"/>
    <n v="0"/>
    <n v="30"/>
    <n v="0"/>
    <n v="0"/>
    <n v="72"/>
    <n v="0"/>
    <n v="0"/>
    <s v="SIROHI"/>
    <s v="PALI"/>
    <s v="RJ-JODHPUR"/>
    <d v="2022-09-28T00:00:00"/>
  </r>
  <r>
    <s v="815993210075"/>
    <x v="1605"/>
    <s v="TOLJI CEMENT AGENCY HARDWARE &amp;"/>
    <n v="210075"/>
    <s v="TOLJ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25"/>
    <n v="0"/>
    <n v="0"/>
    <s v="SIROHI"/>
    <s v="PALI"/>
    <s v="RJ-JODHPUR"/>
    <d v="2021-08-18T00:00:00"/>
  </r>
  <r>
    <s v="821329176773"/>
    <x v="1614"/>
    <s v="ASHAPURA CEMENT AGENCY"/>
    <n v="176773"/>
    <s v="MANIK CHAND LAKHMI CHAN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45"/>
    <n v="0"/>
    <n v="0"/>
    <n v="60"/>
    <n v="0"/>
    <n v="0"/>
    <s v="SIROHI"/>
    <s v="PALI"/>
    <s v="RJ-JODHPUR"/>
    <d v="2022-11-22T00:00:00"/>
  </r>
  <r>
    <s v="801583119044"/>
    <x v="1615"/>
    <s v="GAUTAM CEMENT AGENCIES"/>
    <n v="119044"/>
    <s v="PANWAR TRADING CORPORATION LTD"/>
    <n v="85"/>
    <n v="0"/>
    <n v="0"/>
    <n v="90"/>
    <n v="0"/>
    <n v="0"/>
    <n v="35"/>
    <n v="0"/>
    <n v="0"/>
    <n v="34"/>
    <n v="0"/>
    <n v="0"/>
    <n v="65"/>
    <n v="0"/>
    <n v="0"/>
    <n v="70"/>
    <n v="0"/>
    <n v="0"/>
    <n v="0"/>
    <n v="0"/>
    <n v="0"/>
    <n v="0"/>
    <n v="0"/>
    <n v="0"/>
    <n v="379"/>
    <n v="0"/>
    <n v="0"/>
    <s v="BIKANER"/>
    <s v="BIKANER"/>
    <s v="RJ-SGNR"/>
    <d v="2012-12-28T00:00:00"/>
  </r>
  <r>
    <s v="801837119154"/>
    <x v="1616"/>
    <s v="GANESH KUMAR UPADDAYA"/>
    <n v="119154"/>
    <s v="SHRI GANPATI ENTERPRISES"/>
    <n v="10"/>
    <n v="0"/>
    <n v="0"/>
    <n v="0"/>
    <n v="0"/>
    <n v="0"/>
    <n v="30"/>
    <n v="0"/>
    <n v="0"/>
    <n v="33"/>
    <n v="0"/>
    <n v="0"/>
    <n v="55"/>
    <n v="0"/>
    <n v="15"/>
    <n v="75"/>
    <n v="0"/>
    <n v="35"/>
    <n v="82"/>
    <n v="0"/>
    <n v="0"/>
    <n v="85"/>
    <n v="0"/>
    <n v="0"/>
    <n v="370"/>
    <n v="0"/>
    <n v="50"/>
    <s v="BIKANER"/>
    <s v="BIKANER"/>
    <s v="RJ-SGNR"/>
    <d v="2013-03-08T00:00:00"/>
  </r>
  <r>
    <s v="801838119154"/>
    <x v="1617"/>
    <s v="OM PRAKASH SHARMA"/>
    <n v="119154"/>
    <s v="SHRI GANPATI ENTERPRISES"/>
    <n v="125"/>
    <n v="0"/>
    <n v="0"/>
    <n v="120"/>
    <n v="0"/>
    <n v="0"/>
    <n v="127"/>
    <n v="0"/>
    <n v="7"/>
    <n v="109"/>
    <n v="0"/>
    <n v="20"/>
    <n v="105"/>
    <n v="0"/>
    <n v="65"/>
    <n v="128.5"/>
    <n v="0"/>
    <n v="55"/>
    <n v="83"/>
    <n v="0"/>
    <n v="35"/>
    <n v="97"/>
    <n v="0"/>
    <n v="0"/>
    <n v="894.5"/>
    <n v="0"/>
    <n v="182"/>
    <s v="BIKANER"/>
    <s v="BIKANER"/>
    <s v="RJ-SGNR"/>
    <d v="2013-03-08T00:00:00"/>
  </r>
  <r>
    <s v="801915119044"/>
    <x v="1618"/>
    <s v="MADINA BUILDERS"/>
    <n v="119044"/>
    <s v="PANWAR TRADING CORPORATION LTD"/>
    <n v="0"/>
    <n v="0"/>
    <n v="0"/>
    <n v="110"/>
    <n v="0"/>
    <n v="0"/>
    <n v="135"/>
    <n v="0"/>
    <n v="20"/>
    <n v="30"/>
    <n v="0"/>
    <n v="0"/>
    <n v="0"/>
    <n v="0"/>
    <n v="0"/>
    <n v="15"/>
    <n v="0"/>
    <n v="0"/>
    <n v="30"/>
    <n v="0"/>
    <n v="0"/>
    <n v="35"/>
    <n v="0"/>
    <n v="0"/>
    <n v="355"/>
    <n v="0"/>
    <n v="20"/>
    <s v="BIKANER"/>
    <s v="BIKANER"/>
    <s v="RJ-SGNR"/>
    <d v="2013-04-02T00:00:00"/>
  </r>
  <r>
    <s v="803952119044"/>
    <x v="1619"/>
    <s v="SHANKAR TRADING COMPANY"/>
    <n v="119044"/>
    <s v="PANWAR TRADING CORPORATION LTD"/>
    <n v="65"/>
    <n v="0"/>
    <n v="0"/>
    <n v="89.5"/>
    <n v="0"/>
    <n v="0"/>
    <n v="150"/>
    <n v="0"/>
    <n v="25"/>
    <n v="65"/>
    <n v="0"/>
    <n v="0"/>
    <n v="60"/>
    <n v="0"/>
    <n v="0"/>
    <n v="85"/>
    <n v="0"/>
    <n v="0"/>
    <n v="0"/>
    <n v="0"/>
    <n v="0"/>
    <n v="70"/>
    <n v="0"/>
    <n v="0"/>
    <n v="584.5"/>
    <n v="0"/>
    <n v="25"/>
    <s v="BIKANER"/>
    <s v="BIKANER"/>
    <s v="RJ-SGNR"/>
    <d v="2015-04-21T00:00:00"/>
  </r>
  <r>
    <s v="804106119044"/>
    <x v="1620"/>
    <s v="BHATI CEMENT SUPPLIERS"/>
    <n v="119044"/>
    <s v="PANWAR TRADING CORPORATION LTD"/>
    <n v="20"/>
    <n v="0"/>
    <n v="0"/>
    <n v="10"/>
    <n v="0"/>
    <n v="0"/>
    <n v="40"/>
    <n v="0"/>
    <n v="0"/>
    <n v="12"/>
    <n v="0"/>
    <n v="0"/>
    <n v="10"/>
    <n v="0"/>
    <n v="0"/>
    <n v="30"/>
    <n v="0"/>
    <n v="0"/>
    <n v="10"/>
    <n v="0"/>
    <n v="0"/>
    <n v="0"/>
    <n v="0"/>
    <n v="0"/>
    <n v="132"/>
    <n v="0"/>
    <n v="0"/>
    <s v="BIKANER"/>
    <s v="BIKANER"/>
    <s v="RJ-SGNR"/>
    <d v="2015-06-29T00:00:00"/>
  </r>
  <r>
    <s v="804135119044"/>
    <x v="1621"/>
    <s v="MAHALAXMI BUILDERS"/>
    <n v="119044"/>
    <s v="PANWAR TRADING CORPORATION LTD"/>
    <n v="70"/>
    <n v="0"/>
    <n v="0"/>
    <n v="30"/>
    <n v="0"/>
    <n v="0"/>
    <n v="30"/>
    <n v="0"/>
    <n v="0"/>
    <n v="64.75"/>
    <n v="0"/>
    <n v="11.75"/>
    <n v="25"/>
    <n v="6.5"/>
    <n v="18.5"/>
    <n v="37.5"/>
    <n v="0"/>
    <n v="5"/>
    <n v="76"/>
    <n v="0"/>
    <n v="20"/>
    <n v="10"/>
    <n v="0"/>
    <n v="0"/>
    <n v="343.25"/>
    <n v="6.5"/>
    <n v="55.25"/>
    <s v="BIKANER"/>
    <s v="BIKANER"/>
    <s v="RJ-SGNR"/>
    <d v="2015-07-15T00:00:00"/>
  </r>
  <r>
    <s v="804933170156"/>
    <x v="1622"/>
    <s v="GOYAL TRADERS"/>
    <n v="170156"/>
    <s v="NASEEB TRADERS"/>
    <n v="1.5"/>
    <n v="0"/>
    <n v="0"/>
    <n v="50"/>
    <n v="0"/>
    <n v="0"/>
    <n v="94"/>
    <n v="1.5"/>
    <n v="5"/>
    <n v="45"/>
    <n v="7.5"/>
    <n v="0"/>
    <n v="55.5"/>
    <n v="5.5"/>
    <n v="10"/>
    <n v="50"/>
    <n v="0"/>
    <n v="7.5"/>
    <n v="25"/>
    <n v="0"/>
    <n v="0"/>
    <n v="10"/>
    <n v="0"/>
    <n v="0"/>
    <n v="331"/>
    <n v="14.5"/>
    <n v="22.5"/>
    <s v="BIKANER"/>
    <s v="BIKANER"/>
    <s v="RJ-SGNR"/>
    <d v="2016-03-30T00:00:00"/>
  </r>
  <r>
    <s v="805397119044"/>
    <x v="1623"/>
    <s v="AMBIKA TRADING COMPANY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BIKANER"/>
    <s v="BIKANER"/>
    <s v="RJ-SGNR"/>
    <d v="2016-08-06T00:00:00"/>
  </r>
  <r>
    <s v="806032119044"/>
    <x v="1624"/>
    <s v="SARASWAT CEMENT SUPPLIERS"/>
    <n v="119044"/>
    <s v="PANWAR TRADING CORPORATION LTD"/>
    <n v="75"/>
    <n v="0"/>
    <n v="0"/>
    <n v="50"/>
    <n v="0"/>
    <n v="0"/>
    <n v="30"/>
    <n v="0"/>
    <n v="0"/>
    <n v="24"/>
    <n v="10"/>
    <n v="0"/>
    <n v="15"/>
    <n v="0"/>
    <n v="0"/>
    <n v="70"/>
    <n v="0"/>
    <n v="0"/>
    <n v="70"/>
    <n v="0"/>
    <n v="0"/>
    <n v="15"/>
    <n v="0"/>
    <n v="0"/>
    <n v="349"/>
    <n v="10"/>
    <n v="0"/>
    <s v="BIKANER"/>
    <s v="BIKANER"/>
    <s v="RJ-SGNR"/>
    <d v="2017-02-10T00:00:00"/>
  </r>
  <r>
    <s v="806047145353"/>
    <x v="1625"/>
    <s v="SHRI HARIRAM BABA TRADING CO"/>
    <n v="145353"/>
    <s v="SHREE SARAS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7-02-13T00:00:00"/>
  </r>
  <r>
    <s v="806307119160"/>
    <x v="1626"/>
    <s v="HARI BUILDING MATERIAL"/>
    <n v="119160"/>
    <s v="NIKHIL ASSOCIATE"/>
    <n v="10"/>
    <n v="7"/>
    <n v="0"/>
    <n v="17"/>
    <n v="0"/>
    <n v="0"/>
    <n v="47"/>
    <n v="6"/>
    <n v="15"/>
    <n v="55.5"/>
    <n v="5.5"/>
    <n v="10"/>
    <n v="19.5"/>
    <n v="0"/>
    <n v="0"/>
    <n v="27.25"/>
    <n v="10.75"/>
    <n v="10"/>
    <n v="23"/>
    <n v="2.5"/>
    <n v="0"/>
    <n v="48"/>
    <n v="0"/>
    <n v="0"/>
    <n v="247.25"/>
    <n v="31.75"/>
    <n v="35"/>
    <s v="BIKANER"/>
    <s v="BIKANER"/>
    <s v="RJ-SGNR"/>
    <d v="2017-05-02T00:00:00"/>
  </r>
  <r>
    <s v="806601119160"/>
    <x v="1627"/>
    <s v="SOLANKI BUILDING MATERIAL AND"/>
    <n v="119160"/>
    <s v="NIKHIL ASSOCIATE"/>
    <n v="45"/>
    <n v="0"/>
    <n v="0"/>
    <n v="70"/>
    <n v="10"/>
    <n v="0"/>
    <n v="84"/>
    <n v="0"/>
    <n v="0"/>
    <n v="90"/>
    <n v="0"/>
    <n v="2.5"/>
    <n v="113.1"/>
    <n v="6.1"/>
    <n v="7"/>
    <n v="183.5"/>
    <n v="5"/>
    <n v="0"/>
    <n v="142.5"/>
    <n v="0"/>
    <n v="0"/>
    <n v="138"/>
    <n v="7.5"/>
    <n v="0"/>
    <n v="866.1"/>
    <n v="21.1"/>
    <n v="9.5"/>
    <s v="BIKANER"/>
    <s v="BIKANER"/>
    <s v="RJ-SGNR"/>
    <d v="2017-07-14T00:00:00"/>
  </r>
  <r>
    <s v="807103174034"/>
    <x v="1628"/>
    <s v="BHANWAR LAL BOHRA"/>
    <n v="174034"/>
    <s v="RADHE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8-10-26T00:00:00"/>
  </r>
  <r>
    <s v="807104174034"/>
    <x v="1629"/>
    <s v="BALAJI BUILDING MATERIAL"/>
    <n v="174034"/>
    <s v="RADHE BUILDING MATERIAL"/>
    <n v="20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0"/>
    <n v="0"/>
    <s v="BIKANER"/>
    <s v="BIKANER"/>
    <s v="RJ-SGNR"/>
    <d v="2018-10-26T00:00:00"/>
  </r>
  <r>
    <s v="807104212735"/>
    <x v="1629"/>
    <s v="BALAJI BUILDING MATERIAL"/>
    <n v="212735"/>
    <s v="RADHE BUILDING MATERIAL"/>
    <n v="0"/>
    <n v="0"/>
    <n v="0"/>
    <n v="0"/>
    <n v="0"/>
    <n v="0"/>
    <n v="0"/>
    <n v="0"/>
    <n v="0"/>
    <n v="7.5"/>
    <n v="0"/>
    <n v="0"/>
    <n v="10"/>
    <n v="0"/>
    <n v="0"/>
    <n v="10"/>
    <n v="0"/>
    <n v="0"/>
    <n v="10"/>
    <n v="0"/>
    <n v="0"/>
    <n v="20"/>
    <n v="0"/>
    <n v="0"/>
    <n v="57.5"/>
    <n v="0"/>
    <n v="0"/>
    <s v="BIKANER"/>
    <s v="BIKANER"/>
    <s v="RJ-SGNR"/>
    <d v="2018-10-26T00:00:00"/>
  </r>
  <r>
    <s v="807153119044"/>
    <x v="1630"/>
    <s v="KUKANA ENTERPRISES"/>
    <n v="119044"/>
    <s v="PANWAR TRADING CORPORATION LTD"/>
    <n v="0"/>
    <n v="0"/>
    <n v="0"/>
    <n v="0"/>
    <n v="0"/>
    <n v="0"/>
    <n v="15"/>
    <n v="0"/>
    <n v="0"/>
    <n v="20"/>
    <n v="0"/>
    <n v="0"/>
    <n v="25"/>
    <n v="10"/>
    <n v="0"/>
    <n v="32.5"/>
    <n v="0"/>
    <n v="7.5"/>
    <n v="26"/>
    <n v="0"/>
    <n v="0"/>
    <n v="10"/>
    <n v="0"/>
    <n v="10"/>
    <n v="128.5"/>
    <n v="10"/>
    <n v="7.5"/>
    <s v="BIKANER"/>
    <s v="BIKANER"/>
    <s v="RJ-SGNR"/>
    <d v="2018-11-06T00:00:00"/>
  </r>
  <r>
    <s v="807177174034"/>
    <x v="1631"/>
    <s v="LAKHARA CEMENT SUPPLIERS"/>
    <n v="174034"/>
    <s v="RADHE BUILDING MATERIAL"/>
    <n v="3.5"/>
    <n v="0"/>
    <n v="0"/>
    <n v="54"/>
    <n v="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.5"/>
    <n v="3.5"/>
    <n v="0"/>
    <s v="BIKANER"/>
    <s v="BIKANER"/>
    <s v="RJ-SGNR"/>
    <d v="2018-11-17T00:00:00"/>
  </r>
  <r>
    <s v="807177212735"/>
    <x v="1631"/>
    <s v="LAKHARA CEMENT SUPPLIERS"/>
    <n v="212735"/>
    <s v="RADHE BUILDING MATERIAL"/>
    <n v="0"/>
    <n v="0"/>
    <n v="0"/>
    <n v="0"/>
    <n v="0"/>
    <n v="0"/>
    <n v="30"/>
    <n v="0"/>
    <n v="0"/>
    <n v="25"/>
    <n v="0"/>
    <n v="0"/>
    <n v="7.5"/>
    <n v="0"/>
    <n v="7.5"/>
    <n v="7.5"/>
    <n v="0"/>
    <n v="0"/>
    <n v="15"/>
    <n v="0"/>
    <n v="0"/>
    <n v="15"/>
    <n v="0"/>
    <n v="0"/>
    <n v="100"/>
    <n v="0"/>
    <n v="7.5"/>
    <s v="BIKANER"/>
    <s v="BIKANER"/>
    <s v="RJ-SGNR"/>
    <d v="2018-11-17T00:00:00"/>
  </r>
  <r>
    <s v="807257172497"/>
    <x v="1632"/>
    <s v="KARNANI CEMENT SUPPLIERS"/>
    <n v="172497"/>
    <s v="VINAYAK INDUSTRIES"/>
    <n v="226"/>
    <n v="10"/>
    <n v="0"/>
    <n v="97"/>
    <n v="15"/>
    <n v="0"/>
    <n v="25"/>
    <n v="0"/>
    <n v="10"/>
    <n v="55"/>
    <n v="0"/>
    <n v="20"/>
    <n v="30"/>
    <n v="0"/>
    <n v="10"/>
    <n v="10"/>
    <n v="0"/>
    <n v="0"/>
    <n v="25"/>
    <n v="0"/>
    <n v="0"/>
    <n v="25"/>
    <n v="0"/>
    <n v="0"/>
    <n v="493"/>
    <n v="25"/>
    <n v="40"/>
    <s v="BIKANER"/>
    <s v="BIKANER"/>
    <s v="RJ-SGNR"/>
    <d v="2018-11-27T00:00:00"/>
  </r>
  <r>
    <s v="807395144154"/>
    <x v="1633"/>
    <s v="GODARA TRADING COMPANY"/>
    <n v="144154"/>
    <s v="SANGA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8-12-22T00:00:00"/>
  </r>
  <r>
    <s v="807594119044"/>
    <x v="1634"/>
    <s v="SARASWAT IRON STORE"/>
    <n v="119044"/>
    <s v="PANWAR TRADING CORPORATION LTD"/>
    <n v="145"/>
    <n v="13.25"/>
    <n v="0"/>
    <n v="98.95"/>
    <n v="0"/>
    <n v="0"/>
    <n v="220"/>
    <n v="0"/>
    <n v="20"/>
    <n v="80"/>
    <n v="0"/>
    <n v="15"/>
    <n v="55"/>
    <n v="30"/>
    <n v="0"/>
    <n v="70"/>
    <n v="0"/>
    <n v="0"/>
    <n v="75"/>
    <n v="15"/>
    <n v="0"/>
    <n v="82"/>
    <n v="0"/>
    <n v="10"/>
    <n v="825.95"/>
    <n v="58.25"/>
    <n v="35"/>
    <s v="BIKANER"/>
    <s v="BIKANER"/>
    <s v="RJ-SGNR"/>
    <d v="2017-12-05T00:00:00"/>
  </r>
  <r>
    <s v="807722174357"/>
    <x v="1635"/>
    <s v="ROYAL ENTERPRISES"/>
    <n v="174357"/>
    <s v="M R TRADERS"/>
    <n v="115"/>
    <n v="0"/>
    <n v="0"/>
    <n v="0"/>
    <n v="0"/>
    <n v="0"/>
    <n v="55"/>
    <n v="0"/>
    <n v="0"/>
    <n v="140"/>
    <n v="0"/>
    <n v="0"/>
    <n v="105"/>
    <n v="0"/>
    <n v="0"/>
    <n v="175"/>
    <n v="0"/>
    <n v="0"/>
    <n v="165"/>
    <n v="0"/>
    <n v="0"/>
    <n v="80"/>
    <n v="0"/>
    <n v="0"/>
    <n v="835"/>
    <n v="0"/>
    <n v="0"/>
    <s v="BIKANER"/>
    <s v="BIKANER"/>
    <s v="RJ-SGNR"/>
    <d v="2019-01-11T00:00:00"/>
  </r>
  <r>
    <s v="807723172497"/>
    <x v="1636"/>
    <s v="MOOND CEMENT AGENCY"/>
    <n v="172497"/>
    <s v="VINAYAK INDUSTRIES"/>
    <n v="0"/>
    <n v="0"/>
    <n v="0"/>
    <n v="0"/>
    <n v="0"/>
    <n v="0"/>
    <n v="0"/>
    <n v="0"/>
    <n v="0"/>
    <n v="39.5"/>
    <n v="0"/>
    <n v="0"/>
    <n v="0"/>
    <n v="0"/>
    <n v="0"/>
    <n v="0"/>
    <n v="0"/>
    <n v="0"/>
    <n v="60"/>
    <n v="0"/>
    <n v="0"/>
    <n v="20"/>
    <n v="0"/>
    <n v="0"/>
    <n v="119.5"/>
    <n v="0"/>
    <n v="0"/>
    <s v="BIKANER"/>
    <s v="BIKANER"/>
    <s v="RJ-SGNR"/>
    <d v="2019-01-11T00:00:00"/>
  </r>
  <r>
    <s v="807724172497"/>
    <x v="1637"/>
    <s v="BALAJI KRISHI STORE"/>
    <n v="172497"/>
    <s v="VINAYAK INDUSTRIES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BIKANER"/>
    <s v="BIKANER"/>
    <s v="RJ-SGNR"/>
    <d v="2019-01-11T00:00:00"/>
  </r>
  <r>
    <s v="807763119044"/>
    <x v="1638"/>
    <s v="HARI BUILDING MATERIAL"/>
    <n v="119044"/>
    <s v="PANWAR TRADING CORPORATION LTD"/>
    <n v="110"/>
    <n v="0"/>
    <n v="0"/>
    <n v="35"/>
    <n v="0"/>
    <n v="0"/>
    <n v="30"/>
    <n v="0"/>
    <n v="0"/>
    <n v="10"/>
    <n v="0"/>
    <n v="0"/>
    <n v="0"/>
    <n v="0"/>
    <n v="0"/>
    <n v="0"/>
    <n v="0"/>
    <n v="0"/>
    <n v="45"/>
    <n v="0"/>
    <n v="0"/>
    <n v="35"/>
    <n v="0"/>
    <n v="0"/>
    <n v="265"/>
    <n v="0"/>
    <n v="0"/>
    <s v="BIKANER"/>
    <s v="BIKANER"/>
    <s v="RJ-SGNR"/>
    <d v="2019-01-19T00:00:00"/>
  </r>
  <r>
    <s v="808182119160"/>
    <x v="1173"/>
    <s v="MOHD HASSAN"/>
    <n v="119160"/>
    <s v="NIKHIL ASSOCIATE"/>
    <n v="0"/>
    <n v="0"/>
    <n v="0"/>
    <n v="15"/>
    <n v="0"/>
    <n v="0"/>
    <n v="25"/>
    <n v="0"/>
    <n v="0"/>
    <n v="7.5"/>
    <n v="0"/>
    <n v="0"/>
    <n v="30"/>
    <n v="2.5"/>
    <n v="2.5"/>
    <n v="7.5"/>
    <n v="0"/>
    <n v="0"/>
    <n v="0"/>
    <n v="0"/>
    <n v="0"/>
    <n v="0"/>
    <n v="0"/>
    <n v="0"/>
    <n v="85"/>
    <n v="2.5"/>
    <n v="2.5"/>
    <s v="BIKANER"/>
    <s v="BIKANER"/>
    <s v="RJ-SGNR"/>
    <d v="2018-03-30T00:00:00"/>
  </r>
  <r>
    <s v="808283119044"/>
    <x v="1639"/>
    <s v="GANGA BUILDERS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8-05-01T00:00:00"/>
  </r>
  <r>
    <s v="808283209017"/>
    <x v="1639"/>
    <s v="GANGA BUILDERS"/>
    <n v="209017"/>
    <s v="SARSWAT HARDWARE"/>
    <n v="0"/>
    <n v="10"/>
    <n v="0"/>
    <n v="70"/>
    <n v="0"/>
    <n v="0"/>
    <n v="70"/>
    <n v="0"/>
    <n v="10"/>
    <n v="25"/>
    <n v="0"/>
    <n v="0"/>
    <n v="37.5"/>
    <n v="0"/>
    <n v="10"/>
    <n v="63"/>
    <n v="0"/>
    <n v="10"/>
    <n v="40"/>
    <n v="0"/>
    <n v="0"/>
    <n v="40"/>
    <n v="0"/>
    <n v="0"/>
    <n v="345.5"/>
    <n v="10"/>
    <n v="30"/>
    <s v="BIKANER"/>
    <s v="BIKANER"/>
    <s v="RJ-SGNR"/>
    <d v="2018-05-01T00:00:00"/>
  </r>
  <r>
    <s v="808284119044"/>
    <x v="1640"/>
    <s v="LAKSHMI CEMENT &amp; BUILDING MATE"/>
    <n v="119044"/>
    <s v="PANWAR TRADING CORPORATION LTD"/>
    <n v="0"/>
    <n v="0"/>
    <n v="0"/>
    <n v="30"/>
    <n v="0"/>
    <n v="0"/>
    <n v="50"/>
    <n v="0"/>
    <n v="0"/>
    <n v="0"/>
    <n v="0"/>
    <n v="0"/>
    <n v="0"/>
    <n v="0"/>
    <n v="0"/>
    <n v="17"/>
    <n v="0"/>
    <n v="9.5"/>
    <n v="15"/>
    <n v="0"/>
    <n v="0"/>
    <n v="0"/>
    <n v="0"/>
    <n v="0"/>
    <n v="112"/>
    <n v="0"/>
    <n v="9.5"/>
    <s v="BIKANER"/>
    <s v="BIKANER"/>
    <s v="RJ-SGNR"/>
    <d v="2018-05-01T00:00:00"/>
  </r>
  <r>
    <s v="808315146500"/>
    <x v="1641"/>
    <s v="A S TRADERS"/>
    <n v="146500"/>
    <s v="MUGA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8-05-05T00:00:00"/>
  </r>
  <r>
    <s v="808446119044"/>
    <x v="1642"/>
    <s v="BISHNA RAM"/>
    <n v="119044"/>
    <s v="PANWAR TRADING CORPORATION LTD"/>
    <n v="35"/>
    <n v="0"/>
    <n v="0"/>
    <n v="130"/>
    <n v="0"/>
    <n v="0"/>
    <n v="105"/>
    <n v="0"/>
    <n v="0"/>
    <n v="20"/>
    <n v="0"/>
    <n v="0"/>
    <n v="0"/>
    <n v="0"/>
    <n v="0"/>
    <n v="46.5"/>
    <n v="0"/>
    <n v="0"/>
    <n v="26"/>
    <n v="0"/>
    <n v="0"/>
    <n v="0"/>
    <n v="0"/>
    <n v="0"/>
    <n v="362.5"/>
    <n v="0"/>
    <n v="0"/>
    <s v="BIKANER"/>
    <s v="BIKANER"/>
    <s v="RJ-SGNR"/>
    <d v="2018-05-28T00:00:00"/>
  </r>
  <r>
    <s v="808451174034"/>
    <x v="1643"/>
    <s v="SHREE JASNATH HARDWARE &amp; ELECT"/>
    <n v="174034"/>
    <s v="RADHE BUILDING MATERIAL"/>
    <n v="58"/>
    <n v="0"/>
    <n v="0"/>
    <n v="5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.5"/>
    <n v="0"/>
    <n v="0"/>
    <s v="BIKANER"/>
    <s v="BIKANER"/>
    <s v="RJ-SGNR"/>
    <d v="2018-05-28T00:00:00"/>
  </r>
  <r>
    <s v="808451212735"/>
    <x v="1643"/>
    <s v="SHREE JASNATH HARDWARE &amp; ELECT"/>
    <n v="212735"/>
    <s v="RADHE BUILDING MATERIAL"/>
    <n v="0"/>
    <n v="0"/>
    <n v="0"/>
    <n v="0"/>
    <n v="0"/>
    <n v="0"/>
    <n v="35"/>
    <n v="0"/>
    <n v="0"/>
    <n v="70"/>
    <n v="7.5"/>
    <n v="0"/>
    <n v="15"/>
    <n v="0"/>
    <n v="0"/>
    <n v="63"/>
    <n v="0"/>
    <n v="0"/>
    <n v="40"/>
    <n v="5"/>
    <n v="0"/>
    <n v="40"/>
    <n v="0"/>
    <n v="0"/>
    <n v="263"/>
    <n v="12.5"/>
    <n v="0"/>
    <s v="BIKANER"/>
    <s v="BIKANER"/>
    <s v="RJ-SGNR"/>
    <d v="2018-05-28T00:00:00"/>
  </r>
  <r>
    <s v="808469119044"/>
    <x v="1644"/>
    <s v="LAXMI TRADING COMPANY"/>
    <n v="119044"/>
    <s v="PANWAR TRADING CORPORATION LTD"/>
    <n v="132"/>
    <n v="0"/>
    <n v="0"/>
    <n v="40"/>
    <n v="0"/>
    <n v="0"/>
    <n v="80"/>
    <n v="0"/>
    <n v="0"/>
    <n v="35"/>
    <n v="0"/>
    <n v="0"/>
    <n v="0"/>
    <n v="0"/>
    <n v="0"/>
    <n v="0"/>
    <n v="0"/>
    <n v="0"/>
    <n v="0"/>
    <n v="0"/>
    <n v="0"/>
    <n v="35"/>
    <n v="0"/>
    <n v="0"/>
    <n v="322"/>
    <n v="0"/>
    <n v="0"/>
    <s v="BIKANER"/>
    <s v="BIKANER"/>
    <s v="RJ-SGNR"/>
    <d v="2018-05-30T00:00:00"/>
  </r>
  <r>
    <s v="808488119044"/>
    <x v="1645"/>
    <s v="LAKSHMI TRADERS"/>
    <n v="119044"/>
    <s v="PANWAR TRADING CORPORATION LTD"/>
    <n v="210"/>
    <n v="0"/>
    <n v="0"/>
    <n v="180"/>
    <n v="0"/>
    <n v="0"/>
    <n v="130"/>
    <n v="0"/>
    <n v="25"/>
    <n v="40"/>
    <n v="0"/>
    <n v="0"/>
    <n v="75"/>
    <n v="15"/>
    <n v="5"/>
    <n v="75"/>
    <n v="7.5"/>
    <n v="0"/>
    <n v="15"/>
    <n v="0"/>
    <n v="0"/>
    <n v="40"/>
    <n v="0"/>
    <n v="10"/>
    <n v="765"/>
    <n v="22.5"/>
    <n v="30"/>
    <s v="BIKANER"/>
    <s v="BIKANER"/>
    <s v="RJ-SGNR"/>
    <d v="2018-05-31T00:00:00"/>
  </r>
  <r>
    <s v="808606119044"/>
    <x v="1646"/>
    <s v="KALU ENTERPRISES"/>
    <n v="119044"/>
    <s v="PANWAR TRADING CORPORATION LTD"/>
    <n v="0"/>
    <n v="0"/>
    <n v="0"/>
    <n v="0"/>
    <n v="0"/>
    <n v="0"/>
    <n v="0"/>
    <n v="0"/>
    <n v="0"/>
    <n v="0"/>
    <n v="0"/>
    <n v="0"/>
    <n v="1"/>
    <n v="0"/>
    <n v="0"/>
    <n v="22.5"/>
    <n v="0"/>
    <n v="7.5"/>
    <n v="20"/>
    <n v="0"/>
    <n v="0"/>
    <n v="10"/>
    <n v="0"/>
    <n v="10"/>
    <n v="53.5"/>
    <n v="0"/>
    <n v="7.5"/>
    <s v="BIKANER"/>
    <s v="BIKANER"/>
    <s v="RJ-SGNR"/>
    <d v="2018-06-20T00:00:00"/>
  </r>
  <r>
    <s v="808607145353"/>
    <x v="1647"/>
    <s v="GODARA BUILDING MATERIAL SUPPL"/>
    <n v="145353"/>
    <s v="SHREE SARAS CORPORATION"/>
    <n v="90"/>
    <n v="0"/>
    <n v="0"/>
    <n v="35"/>
    <n v="0"/>
    <n v="0"/>
    <n v="145"/>
    <n v="0"/>
    <n v="25"/>
    <n v="125"/>
    <n v="0"/>
    <n v="20"/>
    <n v="141"/>
    <n v="0"/>
    <n v="0"/>
    <n v="0"/>
    <n v="0"/>
    <n v="0"/>
    <n v="85"/>
    <n v="0"/>
    <n v="0"/>
    <n v="55"/>
    <n v="0"/>
    <n v="0"/>
    <n v="676"/>
    <n v="0"/>
    <n v="45"/>
    <s v="BIKANER"/>
    <s v="BIKANER"/>
    <s v="RJ-SGNR"/>
    <d v="2018-06-20T00:00:00"/>
  </r>
  <r>
    <s v="808608119044"/>
    <x v="1648"/>
    <s v="S L TRADERS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7.5"/>
    <n v="0"/>
    <n v="7.5"/>
    <n v="0"/>
    <n v="0"/>
    <n v="0"/>
    <n v="0"/>
    <n v="0"/>
    <n v="0"/>
    <n v="7.5"/>
    <n v="0"/>
    <n v="7.5"/>
    <s v="BIKANER"/>
    <s v="BIKANER"/>
    <s v="RJ-SGNR"/>
    <d v="2018-06-20T00:00:00"/>
  </r>
  <r>
    <s v="808609119044"/>
    <x v="1649"/>
    <s v="SHIV SHAKTI SUPPLIERS"/>
    <n v="119044"/>
    <s v="PANWAR TRADING CORPORATION LTD"/>
    <n v="140"/>
    <n v="0"/>
    <n v="0"/>
    <n v="20"/>
    <n v="0"/>
    <n v="0"/>
    <n v="25"/>
    <n v="0"/>
    <n v="0"/>
    <n v="0"/>
    <n v="0"/>
    <n v="0"/>
    <n v="15"/>
    <n v="0"/>
    <n v="0"/>
    <n v="10"/>
    <n v="0"/>
    <n v="0"/>
    <n v="79"/>
    <n v="13"/>
    <n v="10"/>
    <n v="0"/>
    <n v="0"/>
    <n v="0"/>
    <n v="289"/>
    <n v="13"/>
    <n v="10"/>
    <s v="BIKANER"/>
    <s v="BIKANER"/>
    <s v="RJ-SGNR"/>
    <d v="2018-06-20T00:00:00"/>
  </r>
  <r>
    <s v="808674119154"/>
    <x v="1650"/>
    <s v="SHREE BHAWANI CONSTRUCTION &amp; S"/>
    <n v="119154"/>
    <s v="SHRI GANPATI ENTERPRISES"/>
    <n v="85"/>
    <n v="0"/>
    <n v="0"/>
    <n v="75"/>
    <n v="0"/>
    <n v="0"/>
    <n v="100"/>
    <n v="0"/>
    <n v="0"/>
    <n v="75"/>
    <n v="0"/>
    <n v="60"/>
    <n v="65"/>
    <n v="0"/>
    <n v="0"/>
    <n v="42.5"/>
    <n v="0"/>
    <n v="0"/>
    <n v="0"/>
    <n v="0"/>
    <n v="0"/>
    <n v="193"/>
    <n v="0"/>
    <n v="65"/>
    <n v="635.5"/>
    <n v="0"/>
    <n v="60"/>
    <s v="BIKANER"/>
    <s v="BIKANER"/>
    <s v="RJ-SGNR"/>
    <d v="2018-07-18T00:00:00"/>
  </r>
  <r>
    <s v="808751174034"/>
    <x v="1651"/>
    <s v="PRAJAPAT BUILDING MATERIAL"/>
    <n v="174034"/>
    <s v="RADHE BUILDING MATERIAL"/>
    <n v="0"/>
    <n v="0"/>
    <n v="0"/>
    <n v="0"/>
    <n v="0"/>
    <n v="0"/>
    <n v="20"/>
    <n v="0"/>
    <n v="20"/>
    <n v="0"/>
    <n v="0"/>
    <n v="0"/>
    <n v="0"/>
    <n v="0"/>
    <n v="0"/>
    <n v="15"/>
    <n v="0"/>
    <n v="0"/>
    <n v="0"/>
    <n v="0"/>
    <n v="0"/>
    <n v="0"/>
    <n v="0"/>
    <n v="0"/>
    <n v="35"/>
    <n v="0"/>
    <n v="20"/>
    <s v="BIKANER"/>
    <s v="BIKANER"/>
    <s v="RJ-SGNR"/>
    <d v="2018-08-09T00:00:00"/>
  </r>
  <r>
    <s v="808751212735"/>
    <x v="1651"/>
    <s v="PRAJAPAT BUILDING MATERIAL"/>
    <n v="212735"/>
    <s v="RADHE BUILDING MATERIAL"/>
    <n v="0"/>
    <n v="0"/>
    <n v="0"/>
    <n v="0"/>
    <n v="0"/>
    <n v="0"/>
    <n v="0"/>
    <n v="0"/>
    <n v="0"/>
    <n v="15"/>
    <n v="0"/>
    <n v="0"/>
    <n v="10"/>
    <n v="0"/>
    <n v="0"/>
    <n v="0"/>
    <n v="0"/>
    <n v="0"/>
    <n v="25"/>
    <n v="0"/>
    <n v="0"/>
    <n v="7.5"/>
    <n v="0"/>
    <n v="0"/>
    <n v="57.5"/>
    <n v="0"/>
    <n v="0"/>
    <s v="BIKANER"/>
    <s v="BIKANER"/>
    <s v="RJ-SGNR"/>
    <d v="2018-08-09T00:00:00"/>
  </r>
  <r>
    <s v="808821172497"/>
    <x v="1652"/>
    <s v="BABA RAMDEV CEMENT SUPPLIERS"/>
    <n v="172497"/>
    <s v="VINAYAK INDUSTRIES"/>
    <n v="10"/>
    <n v="0"/>
    <n v="0"/>
    <n v="0"/>
    <n v="0"/>
    <n v="0"/>
    <n v="35"/>
    <n v="0"/>
    <n v="0"/>
    <n v="0"/>
    <n v="0"/>
    <n v="0"/>
    <n v="0"/>
    <n v="0"/>
    <n v="0"/>
    <n v="0"/>
    <n v="0"/>
    <n v="0"/>
    <n v="16"/>
    <n v="0"/>
    <n v="0"/>
    <n v="0"/>
    <n v="0"/>
    <n v="0"/>
    <n v="61"/>
    <n v="0"/>
    <n v="0"/>
    <s v="BIKANER"/>
    <s v="BIKANER"/>
    <s v="RJ-SGNR"/>
    <d v="2018-08-25T00:00:00"/>
  </r>
  <r>
    <s v="808822174034"/>
    <x v="1653"/>
    <s v="BAJRANG BUILDING MATERIAL"/>
    <n v="174034"/>
    <s v="RADHE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8-08-25T00:00:00"/>
  </r>
  <r>
    <s v="808822212735"/>
    <x v="1653"/>
    <s v="BAJRANG BUILDING MATERIAL"/>
    <n v="212735"/>
    <s v="RADHE BUILDING MATERIAL"/>
    <n v="0"/>
    <n v="0"/>
    <n v="0"/>
    <n v="0"/>
    <n v="0"/>
    <n v="0"/>
    <n v="10"/>
    <n v="0"/>
    <n v="0"/>
    <n v="30.5"/>
    <n v="0"/>
    <n v="5.5"/>
    <n v="30"/>
    <n v="0"/>
    <n v="0"/>
    <n v="10"/>
    <n v="0"/>
    <n v="0"/>
    <n v="57.5"/>
    <n v="0"/>
    <n v="0"/>
    <n v="25"/>
    <n v="0"/>
    <n v="15"/>
    <n v="163"/>
    <n v="0"/>
    <n v="5.5"/>
    <s v="BIKANER"/>
    <s v="BIKANER"/>
    <s v="RJ-SGNR"/>
    <d v="2018-08-25T00:00:00"/>
  </r>
  <r>
    <s v="808910119044"/>
    <x v="1654"/>
    <s v="VANDANA TRADERS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0"/>
    <n v="0"/>
    <s v="BIKANER"/>
    <s v="BIKANER"/>
    <s v="RJ-SGNR"/>
    <d v="2018-07-12T00:00:00"/>
  </r>
  <r>
    <s v="808929119044"/>
    <x v="1655"/>
    <s v="MISTY TRADING COMPANY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8-07-13T00:00:00"/>
  </r>
  <r>
    <s v="808939119044"/>
    <x v="1656"/>
    <s v="PARASHAR BUILDERS"/>
    <n v="119044"/>
    <s v="PANWAR TRADING CORPORATION LTD"/>
    <n v="0"/>
    <n v="0"/>
    <n v="0"/>
    <n v="42.5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72.5"/>
    <n v="0"/>
    <n v="0"/>
    <s v="BIKANER"/>
    <s v="BIKANER"/>
    <s v="RJ-SGNR"/>
    <d v="2018-07-13T00:00:00"/>
  </r>
  <r>
    <s v="808939147640"/>
    <x v="1656"/>
    <s v="PARASHAR BUILDERS"/>
    <n v="147640"/>
    <s v="GEDHAR STEEL SHUTTERIN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8-07-13T00:00:00"/>
  </r>
  <r>
    <s v="808940174034"/>
    <x v="1657"/>
    <s v="BAJRANG BUILDING MATERIAL"/>
    <n v="174034"/>
    <s v="RADHE BUILDING MATERIAL"/>
    <n v="280"/>
    <n v="0"/>
    <n v="0"/>
    <n v="74.5"/>
    <n v="5"/>
    <n v="0"/>
    <n v="25"/>
    <n v="0"/>
    <n v="25"/>
    <n v="0"/>
    <n v="0"/>
    <n v="0"/>
    <n v="0"/>
    <n v="0"/>
    <n v="0"/>
    <n v="0"/>
    <n v="0"/>
    <n v="0"/>
    <n v="0"/>
    <n v="0"/>
    <n v="0"/>
    <n v="0"/>
    <n v="0"/>
    <n v="0"/>
    <n v="379.5"/>
    <n v="5"/>
    <n v="25"/>
    <s v="BIKANER"/>
    <s v="BIKANER"/>
    <s v="RJ-SGNR"/>
    <d v="2018-07-13T00:00:00"/>
  </r>
  <r>
    <s v="808940212735"/>
    <x v="1657"/>
    <s v="BAJRANG BUILDING MATERIAL"/>
    <n v="212735"/>
    <s v="RADHE BUILDING MATERIAL"/>
    <n v="0"/>
    <n v="0"/>
    <n v="0"/>
    <n v="0"/>
    <n v="0"/>
    <n v="0"/>
    <n v="55"/>
    <n v="0"/>
    <n v="0"/>
    <n v="65"/>
    <n v="0"/>
    <n v="10"/>
    <n v="35"/>
    <n v="0"/>
    <n v="0"/>
    <n v="70"/>
    <n v="10"/>
    <n v="15"/>
    <n v="15"/>
    <n v="0"/>
    <n v="0"/>
    <n v="25"/>
    <n v="0"/>
    <n v="0"/>
    <n v="265"/>
    <n v="10"/>
    <n v="25"/>
    <s v="BIKANER"/>
    <s v="BIKANER"/>
    <s v="RJ-SGNR"/>
    <d v="2018-07-13T00:00:00"/>
  </r>
  <r>
    <s v="808951119154"/>
    <x v="1658"/>
    <s v="SHREE KARNI ENTERPRISES"/>
    <n v="119154"/>
    <s v="SHRI GANPATI ENTERPRISES"/>
    <n v="125"/>
    <n v="0"/>
    <n v="0"/>
    <n v="125"/>
    <n v="0"/>
    <n v="0"/>
    <n v="200"/>
    <n v="0"/>
    <n v="25"/>
    <n v="75"/>
    <n v="0"/>
    <n v="50"/>
    <n v="15"/>
    <n v="0"/>
    <n v="15"/>
    <n v="70"/>
    <n v="0"/>
    <n v="70"/>
    <n v="10"/>
    <n v="0"/>
    <n v="0"/>
    <n v="23"/>
    <n v="0"/>
    <n v="0"/>
    <n v="643"/>
    <n v="0"/>
    <n v="160"/>
    <s v="BIKANER"/>
    <s v="BIKANER"/>
    <s v="RJ-SGNR"/>
    <d v="2018-09-07T00:00:00"/>
  </r>
  <r>
    <s v="808957119044"/>
    <x v="1659"/>
    <s v="GHANSHYAM CEMENT SUPPLIERS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8-09-07T00:00:00"/>
  </r>
  <r>
    <s v="809039172497"/>
    <x v="1660"/>
    <s v="JOSHI CEMENT SUPPLIERS"/>
    <n v="172497"/>
    <s v="VINAYAK INDUSTRIES"/>
    <n v="40"/>
    <n v="0"/>
    <n v="0"/>
    <n v="20"/>
    <n v="5"/>
    <n v="0"/>
    <n v="0"/>
    <n v="0"/>
    <n v="0"/>
    <n v="17.5"/>
    <n v="0"/>
    <n v="0"/>
    <n v="0"/>
    <n v="0"/>
    <n v="0"/>
    <n v="10"/>
    <n v="0"/>
    <n v="0"/>
    <n v="10"/>
    <n v="0"/>
    <n v="0"/>
    <n v="25"/>
    <n v="0"/>
    <n v="0"/>
    <n v="122.5"/>
    <n v="5"/>
    <n v="0"/>
    <s v="BIKANER"/>
    <s v="BIKANER"/>
    <s v="RJ-SGNR"/>
    <d v="2018-09-24T00:00:00"/>
  </r>
  <r>
    <s v="809143119044"/>
    <x v="1661"/>
    <s v="JOSHI CEMENT SUPPLIERS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5"/>
    <n v="0"/>
    <n v="5"/>
    <n v="10"/>
    <n v="0"/>
    <n v="0"/>
    <s v="BIKANER"/>
    <s v="BIKANER"/>
    <s v="RJ-SGNR"/>
    <d v="2019-02-16T00:00:00"/>
  </r>
  <r>
    <s v="809354174034"/>
    <x v="1662"/>
    <s v="SHREE KARNI BUILDING MATERIAL"/>
    <n v="174034"/>
    <s v="RADHE BUILDING MATERIAL"/>
    <n v="0"/>
    <n v="0"/>
    <n v="0"/>
    <n v="6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.5"/>
    <n v="0"/>
    <n v="0"/>
    <s v="BIKANER"/>
    <s v="BIKANER"/>
    <s v="RJ-SGNR"/>
    <d v="2019-04-10T00:00:00"/>
  </r>
  <r>
    <s v="809354212735"/>
    <x v="1662"/>
    <s v="SHREE KARNI BUILDING MATERIAL"/>
    <n v="212735"/>
    <s v="RADHE BUILDING MATERIAL"/>
    <n v="0"/>
    <n v="0"/>
    <n v="0"/>
    <n v="0"/>
    <n v="0"/>
    <n v="0"/>
    <n v="20"/>
    <n v="0"/>
    <n v="0"/>
    <n v="55"/>
    <n v="0"/>
    <n v="12.5"/>
    <n v="31"/>
    <n v="0"/>
    <n v="0"/>
    <n v="15"/>
    <n v="0"/>
    <n v="0"/>
    <n v="14"/>
    <n v="0"/>
    <n v="14"/>
    <n v="10"/>
    <n v="0"/>
    <n v="0"/>
    <n v="145"/>
    <n v="0"/>
    <n v="26.5"/>
    <s v="BIKANER"/>
    <s v="BIKANER"/>
    <s v="RJ-SGNR"/>
    <d v="2019-04-10T00:00:00"/>
  </r>
  <r>
    <s v="809527119154"/>
    <x v="1663"/>
    <s v="JAI MAA BHAWANI BM"/>
    <n v="119154"/>
    <s v="SHRI GANPATI ENTERPRISES"/>
    <n v="30"/>
    <n v="0"/>
    <n v="0"/>
    <n v="0"/>
    <n v="0"/>
    <n v="0"/>
    <n v="70"/>
    <n v="0"/>
    <n v="25"/>
    <n v="20"/>
    <n v="0"/>
    <n v="0"/>
    <n v="10"/>
    <n v="0"/>
    <n v="0"/>
    <n v="50"/>
    <n v="0"/>
    <n v="35"/>
    <n v="0"/>
    <n v="0"/>
    <n v="0"/>
    <n v="12"/>
    <n v="0"/>
    <n v="0"/>
    <n v="192"/>
    <n v="0"/>
    <n v="60"/>
    <s v="BIKANER"/>
    <s v="BIKANER"/>
    <s v="RJ-SGNR"/>
    <d v="2019-05-10T00:00:00"/>
  </r>
  <r>
    <s v="809860119044"/>
    <x v="1664"/>
    <s v="GOPAL CEMENT SUPPLIER"/>
    <n v="119044"/>
    <s v="PANWAR TRADING CORPORATION LTD"/>
    <n v="51"/>
    <n v="0"/>
    <n v="0"/>
    <n v="125"/>
    <n v="0"/>
    <n v="0"/>
    <n v="80"/>
    <n v="0"/>
    <n v="0"/>
    <n v="30"/>
    <n v="0"/>
    <n v="0"/>
    <n v="45"/>
    <n v="0"/>
    <n v="0"/>
    <n v="35"/>
    <n v="0"/>
    <n v="0"/>
    <n v="35"/>
    <n v="0"/>
    <n v="0"/>
    <n v="75"/>
    <n v="0"/>
    <n v="0"/>
    <n v="476"/>
    <n v="0"/>
    <n v="0"/>
    <s v="BIKANER"/>
    <s v="BIKANER"/>
    <s v="RJ-SGNR"/>
    <d v="2019-07-04T00:00:00"/>
  </r>
  <r>
    <s v="810376146500"/>
    <x v="1665"/>
    <s v="HARIOM TRADING CO"/>
    <n v="146500"/>
    <s v="MUGA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9-08-28T00:00:00"/>
  </r>
  <r>
    <s v="810481172497"/>
    <x v="1666"/>
    <s v="MULDAS B/M"/>
    <n v="172497"/>
    <s v="VINAYAK INDUSTRIES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3"/>
    <n v="3"/>
    <n v="0"/>
    <n v="0"/>
    <n v="0"/>
    <n v="0"/>
    <n v="18"/>
    <n v="3"/>
    <n v="0"/>
    <s v="BIKANER"/>
    <s v="BIKANER"/>
    <s v="RJ-SGNR"/>
    <d v="2019-09-13T00:00:00"/>
  </r>
  <r>
    <s v="810510174034"/>
    <x v="1667"/>
    <s v="SHREE VEER TEJAJI DHARAMKANTA"/>
    <n v="174034"/>
    <s v="RADHE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9-09-18T00:00:00"/>
  </r>
  <r>
    <s v="810510212735"/>
    <x v="1667"/>
    <s v="SHREE VEER TEJAJI DHARAMKANTA"/>
    <n v="212735"/>
    <s v="RADHE BUILDING MATERIAL"/>
    <n v="0"/>
    <n v="0"/>
    <n v="0"/>
    <n v="0"/>
    <n v="0"/>
    <n v="0"/>
    <n v="0"/>
    <n v="0"/>
    <n v="0"/>
    <n v="15"/>
    <n v="0"/>
    <n v="0"/>
    <n v="0"/>
    <n v="0"/>
    <n v="0"/>
    <n v="15"/>
    <n v="0"/>
    <n v="0"/>
    <n v="0"/>
    <n v="0"/>
    <n v="0"/>
    <n v="15"/>
    <n v="0"/>
    <n v="15"/>
    <n v="45"/>
    <n v="0"/>
    <n v="0"/>
    <s v="BIKANER"/>
    <s v="BIKANER"/>
    <s v="RJ-SGNR"/>
    <d v="2019-09-18T00:00:00"/>
  </r>
  <r>
    <s v="810511119044"/>
    <x v="1668"/>
    <s v="SHIV SHAKTI BUILDING MATERIAL"/>
    <n v="119044"/>
    <s v="PANWAR TRADING CORPORATION LTD"/>
    <n v="165"/>
    <n v="0"/>
    <n v="0"/>
    <n v="137.5"/>
    <n v="0"/>
    <n v="0"/>
    <n v="165"/>
    <n v="0"/>
    <n v="0"/>
    <n v="70"/>
    <n v="0"/>
    <n v="0"/>
    <n v="50"/>
    <n v="0"/>
    <n v="0"/>
    <n v="200"/>
    <n v="0"/>
    <n v="0"/>
    <n v="50"/>
    <n v="0"/>
    <n v="0"/>
    <n v="20"/>
    <n v="0"/>
    <n v="0"/>
    <n v="857.5"/>
    <n v="0"/>
    <n v="0"/>
    <s v="BIKANER"/>
    <s v="BIKANER"/>
    <s v="RJ-SGNR"/>
    <d v="2019-09-18T00:00:00"/>
  </r>
  <r>
    <s v="810559145353"/>
    <x v="1669"/>
    <s v="DUGGAR ENTERPRISES"/>
    <n v="145353"/>
    <s v="SHREE SARAS CORPORATION"/>
    <n v="0"/>
    <n v="10"/>
    <n v="0"/>
    <n v="1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10"/>
    <n v="0"/>
    <s v="BIKANER"/>
    <s v="BIKANER"/>
    <s v="RJ-SGNR"/>
    <d v="2019-09-26T00:00:00"/>
  </r>
  <r>
    <s v="810700119154"/>
    <x v="1670"/>
    <s v="SHREE TEMDARAI CEMENT STORE"/>
    <n v="119154"/>
    <s v="SHRI GANPATI ENTERPRISES"/>
    <n v="10"/>
    <n v="0"/>
    <n v="0"/>
    <n v="30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0"/>
    <n v="0"/>
    <n v="65"/>
    <n v="0"/>
    <n v="0"/>
    <s v="BIKANER"/>
    <s v="BIKANER"/>
    <s v="RJ-SGNR"/>
    <d v="2019-10-25T00:00:00"/>
  </r>
  <r>
    <s v="810762119044"/>
    <x v="1671"/>
    <s v="S R V ENTERPRISES"/>
    <n v="119044"/>
    <s v="PANWAR TRADING CORPORATION LTD"/>
    <n v="85"/>
    <n v="0"/>
    <n v="0"/>
    <n v="105"/>
    <n v="0"/>
    <n v="0"/>
    <n v="55"/>
    <n v="0"/>
    <n v="0"/>
    <n v="0"/>
    <n v="0"/>
    <n v="0"/>
    <n v="0"/>
    <n v="0"/>
    <n v="0"/>
    <n v="25"/>
    <n v="0"/>
    <n v="0"/>
    <n v="72"/>
    <n v="0"/>
    <n v="0"/>
    <n v="10"/>
    <n v="0"/>
    <n v="0"/>
    <n v="352"/>
    <n v="0"/>
    <n v="0"/>
    <s v="BIKANER"/>
    <s v="BIKANER"/>
    <s v="RJ-SGNR"/>
    <d v="2019-11-08T00:00:00"/>
  </r>
  <r>
    <s v="810896179467"/>
    <x v="1672"/>
    <s v="AASHAPURA TRADERS"/>
    <n v="179467"/>
    <s v="R K TRADERS"/>
    <n v="20"/>
    <n v="0"/>
    <n v="0"/>
    <n v="0"/>
    <n v="0"/>
    <n v="0"/>
    <n v="15"/>
    <n v="0"/>
    <n v="0"/>
    <n v="0"/>
    <n v="0"/>
    <n v="0"/>
    <n v="12.5"/>
    <n v="0"/>
    <n v="0"/>
    <n v="0"/>
    <n v="0"/>
    <n v="0"/>
    <n v="5"/>
    <n v="0"/>
    <n v="0"/>
    <n v="15"/>
    <n v="0"/>
    <n v="0"/>
    <n v="67.5"/>
    <n v="0"/>
    <n v="0"/>
    <s v="BIKANER"/>
    <s v="BIKANER"/>
    <s v="RJ-SGNR"/>
    <d v="2019-12-03T00:00:00"/>
  </r>
  <r>
    <s v="810897119154"/>
    <x v="1673"/>
    <s v="DURGA CEMENT SUPPLIERS"/>
    <n v="119154"/>
    <s v="SHRI GANPATI ENTERPRISES"/>
    <n v="18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0"/>
    <n v="0"/>
    <s v="BIKANER"/>
    <s v="BIKANER"/>
    <s v="RJ-SGNR"/>
    <d v="2019-12-03T00:00:00"/>
  </r>
  <r>
    <s v="810897179467"/>
    <x v="1673"/>
    <s v="DURGA CEMENT SUPPLIERS"/>
    <n v="179467"/>
    <s v="R K TRADERS"/>
    <n v="156.5"/>
    <n v="0"/>
    <n v="0"/>
    <n v="125"/>
    <n v="0"/>
    <n v="0"/>
    <n v="231"/>
    <n v="0"/>
    <n v="0"/>
    <n v="85"/>
    <n v="0"/>
    <n v="2.5"/>
    <n v="73"/>
    <n v="0"/>
    <n v="0"/>
    <n v="40"/>
    <n v="0"/>
    <n v="0"/>
    <n v="194"/>
    <n v="20"/>
    <n v="0"/>
    <n v="116"/>
    <n v="0"/>
    <n v="0"/>
    <n v="1020.5"/>
    <n v="20"/>
    <n v="2.5"/>
    <s v="BIKANER"/>
    <s v="BIKANER"/>
    <s v="RJ-SGNR"/>
    <d v="2019-12-03T00:00:00"/>
  </r>
  <r>
    <s v="810898140881"/>
    <x v="1674"/>
    <s v="SHREE BALAJI CEMENT SUPPLIERS"/>
    <n v="140881"/>
    <s v="NAM DEV STONE SUPPLIERS"/>
    <n v="30"/>
    <n v="0"/>
    <n v="0"/>
    <n v="0"/>
    <n v="0"/>
    <n v="0"/>
    <n v="85"/>
    <n v="0"/>
    <n v="40"/>
    <n v="40"/>
    <n v="0"/>
    <n v="10"/>
    <n v="70"/>
    <n v="10"/>
    <n v="25"/>
    <n v="35"/>
    <n v="0"/>
    <n v="15"/>
    <n v="15"/>
    <n v="0"/>
    <n v="15"/>
    <n v="36"/>
    <n v="6"/>
    <n v="0"/>
    <n v="311"/>
    <n v="10"/>
    <n v="105"/>
    <s v="BIKANER"/>
    <s v="BIKANER"/>
    <s v="RJ-SGNR"/>
    <d v="2019-12-03T00:00:00"/>
  </r>
  <r>
    <s v="810952140881"/>
    <x v="1675"/>
    <s v="BABA RAMDEV TRADING COMPANY"/>
    <n v="140881"/>
    <s v="NAM DEV STONE SUPPLIERS"/>
    <n v="25"/>
    <n v="0"/>
    <n v="0"/>
    <n v="15"/>
    <n v="0"/>
    <n v="0"/>
    <n v="110"/>
    <n v="0"/>
    <n v="0"/>
    <n v="25"/>
    <n v="0"/>
    <n v="0"/>
    <n v="0"/>
    <n v="0"/>
    <n v="0"/>
    <n v="15"/>
    <n v="0"/>
    <n v="15"/>
    <n v="50"/>
    <n v="0"/>
    <n v="15"/>
    <n v="15"/>
    <n v="0"/>
    <n v="15"/>
    <n v="255"/>
    <n v="0"/>
    <n v="30"/>
    <s v="BIKANER"/>
    <s v="BIKANER"/>
    <s v="RJ-SGNR"/>
    <d v="2019-12-09T00:00:00"/>
  </r>
  <r>
    <s v="810953140881"/>
    <x v="1676"/>
    <s v="SHREE VISHWAKARMA CEMENT SUPPL"/>
    <n v="140881"/>
    <s v="NAM DEV STONE SUPPLIERS"/>
    <n v="45"/>
    <n v="0"/>
    <n v="0"/>
    <n v="45"/>
    <n v="0"/>
    <n v="0"/>
    <n v="10"/>
    <n v="0"/>
    <n v="10"/>
    <n v="30"/>
    <n v="0"/>
    <n v="10"/>
    <n v="0"/>
    <n v="0"/>
    <n v="0"/>
    <n v="22.5"/>
    <n v="7.5"/>
    <n v="0"/>
    <n v="15"/>
    <n v="0"/>
    <n v="0"/>
    <n v="30"/>
    <n v="0"/>
    <n v="15"/>
    <n v="197.5"/>
    <n v="7.5"/>
    <n v="20"/>
    <s v="BIKANER"/>
    <s v="BIKANER"/>
    <s v="RJ-SGNR"/>
    <d v="2019-12-09T00:00:00"/>
  </r>
  <r>
    <s v="810954174034"/>
    <x v="1677"/>
    <s v="S K TRADERS"/>
    <n v="174034"/>
    <s v="RADHE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9-12-09T00:00:00"/>
  </r>
  <r>
    <s v="810956179869"/>
    <x v="1678"/>
    <s v="OM PRAKASH PRAJAPAT"/>
    <n v="179869"/>
    <s v="SHREE BALAJI CEMENT"/>
    <n v="20"/>
    <n v="15.5"/>
    <n v="0"/>
    <n v="52.5"/>
    <n v="0"/>
    <n v="0"/>
    <n v="74"/>
    <n v="4"/>
    <n v="0"/>
    <n v="20"/>
    <n v="0"/>
    <n v="1"/>
    <n v="25"/>
    <n v="0"/>
    <n v="0"/>
    <n v="27.5"/>
    <n v="0"/>
    <n v="0"/>
    <n v="0"/>
    <n v="0"/>
    <n v="0"/>
    <n v="33"/>
    <n v="10"/>
    <n v="5"/>
    <n v="252"/>
    <n v="19.5"/>
    <n v="1"/>
    <s v="BIKANER"/>
    <s v="BIKANER"/>
    <s v="RJ-SGNR"/>
    <d v="2019-12-10T00:00:00"/>
  </r>
  <r>
    <s v="811037179869"/>
    <x v="1679"/>
    <s v="PAWAN KUMAR PRAJAPAT"/>
    <n v="179869"/>
    <s v="SHREE BALAJI CEMENT"/>
    <n v="23"/>
    <n v="0"/>
    <n v="0"/>
    <n v="20"/>
    <n v="0"/>
    <n v="0"/>
    <n v="66"/>
    <n v="0"/>
    <n v="0"/>
    <n v="30"/>
    <n v="0"/>
    <n v="0"/>
    <n v="37.5"/>
    <n v="0"/>
    <n v="0"/>
    <n v="36"/>
    <n v="0"/>
    <n v="10"/>
    <n v="10"/>
    <n v="0"/>
    <n v="0"/>
    <n v="60"/>
    <n v="0"/>
    <n v="0"/>
    <n v="282.5"/>
    <n v="0"/>
    <n v="10"/>
    <s v="BIKANER"/>
    <s v="BIKANER"/>
    <s v="RJ-SGNR"/>
    <d v="2019-12-21T00:00:00"/>
  </r>
  <r>
    <s v="811038172497"/>
    <x v="1680"/>
    <s v="JAGDAMBA CEMENT SUPPLIER"/>
    <n v="172497"/>
    <s v="VINAYAK INDUSTR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19-12-21T00:00:00"/>
  </r>
  <r>
    <s v="811099179869"/>
    <x v="1681"/>
    <s v="SHRAWAN SINGH"/>
    <n v="179869"/>
    <s v="SHREE BALAJI CEMENT"/>
    <n v="0"/>
    <n v="0"/>
    <n v="0"/>
    <n v="0"/>
    <n v="0"/>
    <n v="0"/>
    <n v="27.5"/>
    <n v="1.5"/>
    <n v="0"/>
    <n v="10"/>
    <n v="1"/>
    <n v="0"/>
    <n v="0"/>
    <n v="0"/>
    <n v="0"/>
    <n v="10"/>
    <n v="0"/>
    <n v="0"/>
    <n v="0"/>
    <n v="0"/>
    <n v="0"/>
    <n v="0"/>
    <n v="0"/>
    <n v="0"/>
    <n v="47.5"/>
    <n v="2.5"/>
    <n v="0"/>
    <s v="BIKANER"/>
    <s v="BIKANER"/>
    <s v="RJ-SGNR"/>
    <d v="2019-12-27T00:00:00"/>
  </r>
  <r>
    <s v="811418174034"/>
    <x v="1682"/>
    <s v="DIVYA ENTERPRISES"/>
    <n v="174034"/>
    <s v="RADHE BUILDING MATERIAL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17.5"/>
    <n v="0"/>
    <n v="0"/>
    <n v="0"/>
    <n v="0"/>
    <n v="0"/>
    <n v="52.5"/>
    <n v="0"/>
    <n v="0"/>
    <s v="BIKANER"/>
    <s v="BIKANER"/>
    <s v="RJ-SGNR"/>
    <d v="2020-02-05T00:00:00"/>
  </r>
  <r>
    <s v="811418212735"/>
    <x v="1682"/>
    <s v="DIVYA ENTERPRISES"/>
    <n v="212735"/>
    <s v="RADHE BUILDING MATERIAL"/>
    <n v="0"/>
    <n v="0"/>
    <n v="0"/>
    <n v="0"/>
    <n v="0"/>
    <n v="0"/>
    <n v="10"/>
    <n v="0"/>
    <n v="0"/>
    <n v="20"/>
    <n v="0"/>
    <n v="0"/>
    <n v="25"/>
    <n v="0"/>
    <n v="0"/>
    <n v="25"/>
    <n v="0"/>
    <n v="0"/>
    <n v="21"/>
    <n v="0"/>
    <n v="21"/>
    <n v="17.5"/>
    <n v="0"/>
    <n v="0"/>
    <n v="118.5"/>
    <n v="0"/>
    <n v="21"/>
    <s v="BIKANER"/>
    <s v="BIKANER"/>
    <s v="RJ-SGNR"/>
    <d v="2020-02-05T00:00:00"/>
  </r>
  <r>
    <s v="811511174034"/>
    <x v="1683"/>
    <s v="RATHORE BUILDING MATERIAL"/>
    <n v="174034"/>
    <s v="RADHE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s v="BIKANER"/>
    <s v="BIKANER"/>
    <s v="RJ-SGNR"/>
    <d v="2020-02-14T00:00:00"/>
  </r>
  <r>
    <s v="811511212735"/>
    <x v="1683"/>
    <s v="RATHORE BUILDING MATERIAL"/>
    <n v="212735"/>
    <s v="RADHE BUILDING MATERIAL"/>
    <n v="0"/>
    <n v="0"/>
    <n v="0"/>
    <n v="0"/>
    <n v="0"/>
    <n v="0"/>
    <n v="0"/>
    <n v="0"/>
    <n v="0"/>
    <n v="10"/>
    <n v="0"/>
    <n v="0"/>
    <n v="11"/>
    <n v="0"/>
    <n v="0"/>
    <n v="10"/>
    <n v="0"/>
    <n v="0"/>
    <n v="0"/>
    <n v="0"/>
    <n v="0"/>
    <n v="10"/>
    <n v="0"/>
    <n v="0"/>
    <n v="41"/>
    <n v="0"/>
    <n v="0"/>
    <s v="BIKANER"/>
    <s v="BIKANER"/>
    <s v="RJ-SGNR"/>
    <d v="2020-02-14T00:00:00"/>
  </r>
  <r>
    <s v="811544172497"/>
    <x v="1684"/>
    <s v="KASWA CEMENT SUPPLIERS"/>
    <n v="172497"/>
    <s v="VINAYAK INDUSTRIES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n v="20"/>
    <n v="0"/>
    <n v="10"/>
    <n v="0"/>
    <n v="0"/>
    <n v="0"/>
    <n v="40"/>
    <n v="0"/>
    <n v="10"/>
    <s v="BIKANER"/>
    <s v="BIKANER"/>
    <s v="RJ-SGNR"/>
    <d v="2020-02-20T00:00:00"/>
  </r>
  <r>
    <s v="811772119044"/>
    <x v="1685"/>
    <s v="SITARAM PRAJAPAT"/>
    <n v="119044"/>
    <s v="PANWAR TRADING CORPORATION LTD"/>
    <n v="74.5"/>
    <n v="0"/>
    <n v="0"/>
    <n v="15"/>
    <n v="0"/>
    <n v="0"/>
    <n v="35"/>
    <n v="0"/>
    <n v="0"/>
    <n v="0"/>
    <n v="0"/>
    <n v="0"/>
    <n v="20"/>
    <n v="0"/>
    <n v="0"/>
    <n v="15"/>
    <n v="0"/>
    <n v="0"/>
    <n v="0"/>
    <n v="0"/>
    <n v="0"/>
    <n v="25"/>
    <n v="0"/>
    <n v="10"/>
    <n v="184.5"/>
    <n v="0"/>
    <n v="0"/>
    <s v="BIKANER"/>
    <s v="BIKANER"/>
    <s v="RJ-SGNR"/>
    <d v="2020-03-20T00:00:00"/>
  </r>
  <r>
    <s v="811773140881"/>
    <x v="1686"/>
    <s v="S L CEMENT SUPPLIERS"/>
    <n v="140881"/>
    <s v="NAM DEV STONE SUPPLIERS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10"/>
    <n v="0"/>
    <n v="0"/>
    <s v="BIKANER"/>
    <s v="BIKANER"/>
    <s v="RJ-SGNR"/>
    <d v="2020-03-20T00:00:00"/>
  </r>
  <r>
    <s v="812052119044"/>
    <x v="1687"/>
    <s v="SHREE CHAND SARSWAT"/>
    <n v="119044"/>
    <s v="PANWAR TRADING CORPORATION LTD"/>
    <n v="0"/>
    <n v="0"/>
    <n v="0"/>
    <n v="50"/>
    <n v="0"/>
    <n v="0"/>
    <n v="90"/>
    <n v="0"/>
    <n v="0"/>
    <n v="30"/>
    <n v="0"/>
    <n v="0"/>
    <n v="15"/>
    <n v="0"/>
    <n v="0"/>
    <n v="40"/>
    <n v="0"/>
    <n v="0"/>
    <n v="16"/>
    <n v="0"/>
    <n v="0"/>
    <n v="0"/>
    <n v="0"/>
    <n v="0"/>
    <n v="241"/>
    <n v="0"/>
    <n v="0"/>
    <s v="BIKANER"/>
    <s v="BIKANER"/>
    <s v="RJ-SGNR"/>
    <d v="2020-06-29T00:00:00"/>
  </r>
  <r>
    <s v="812068140881"/>
    <x v="1688"/>
    <s v="SHREE VEER TEJA BUILDING MATER"/>
    <n v="140881"/>
    <s v="NAM DEV STONE SUPPLIERS"/>
    <n v="25"/>
    <n v="0"/>
    <n v="0"/>
    <n v="0"/>
    <n v="0"/>
    <n v="0"/>
    <n v="15"/>
    <n v="0"/>
    <n v="15"/>
    <n v="55"/>
    <n v="0"/>
    <n v="15"/>
    <n v="0"/>
    <n v="0"/>
    <n v="0"/>
    <n v="35"/>
    <n v="0"/>
    <n v="35"/>
    <n v="85"/>
    <n v="0"/>
    <n v="20"/>
    <n v="45"/>
    <n v="0"/>
    <n v="0"/>
    <n v="260"/>
    <n v="0"/>
    <n v="85"/>
    <s v="BIKANER"/>
    <s v="BIKANER"/>
    <s v="RJ-SGNR"/>
    <d v="2020-06-29T00:00:00"/>
  </r>
  <r>
    <s v="812389213690"/>
    <x v="1689"/>
    <s v="SHARMA TRADING COMPANY"/>
    <n v="213690"/>
    <s v="SAINI STONE &amp; TIMBER MERCHANT"/>
    <n v="0"/>
    <n v="0"/>
    <n v="0"/>
    <n v="0"/>
    <n v="0"/>
    <n v="0"/>
    <n v="0"/>
    <n v="0"/>
    <n v="0"/>
    <n v="0"/>
    <n v="0"/>
    <n v="0"/>
    <n v="15"/>
    <n v="0"/>
    <n v="0"/>
    <n v="31"/>
    <n v="0"/>
    <n v="0"/>
    <n v="44"/>
    <n v="0"/>
    <n v="0"/>
    <n v="42"/>
    <n v="0"/>
    <n v="0"/>
    <n v="132"/>
    <n v="0"/>
    <n v="0"/>
    <s v="BIKANER"/>
    <s v="BIKANER"/>
    <s v="RJ-SGNR"/>
    <d v="2020-07-29T00:00:00"/>
  </r>
  <r>
    <s v="812625179868"/>
    <x v="1690"/>
    <s v="NAYACH CEMENT SUPPLIERS"/>
    <n v="179868"/>
    <s v="M K NAYACH CONSTRUCTION COMPAN"/>
    <n v="2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s v="BIKANER"/>
    <s v="BIKANER"/>
    <s v="RJ-SGNR"/>
    <d v="2020-08-24T00:00:00"/>
  </r>
  <r>
    <s v="812634174357"/>
    <x v="1691"/>
    <s v="KOHARI CONSTRUCTION COMPANY"/>
    <n v="174357"/>
    <s v="M R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20-08-24T00:00:00"/>
  </r>
  <r>
    <s v="812842171938"/>
    <x v="1692"/>
    <s v="PUJA IRON STORE"/>
    <n v="171938"/>
    <s v="AGARWAL IRON STORE"/>
    <n v="25"/>
    <n v="0"/>
    <n v="0"/>
    <n v="20"/>
    <n v="0"/>
    <n v="0"/>
    <n v="51"/>
    <n v="0"/>
    <n v="0"/>
    <n v="35"/>
    <n v="0"/>
    <n v="0"/>
    <n v="20"/>
    <n v="0"/>
    <n v="0"/>
    <n v="22"/>
    <n v="0"/>
    <n v="0"/>
    <n v="104"/>
    <n v="0"/>
    <n v="0"/>
    <n v="0"/>
    <n v="0"/>
    <n v="0"/>
    <n v="277"/>
    <n v="0"/>
    <n v="0"/>
    <s v="BIKANER"/>
    <s v="BIKANER"/>
    <s v="RJ-SGNR"/>
    <d v="2020-09-09T00:00:00"/>
  </r>
  <r>
    <s v="812846142512"/>
    <x v="1693"/>
    <s v="SURENDRA CEMENT SUPPLIERS"/>
    <n v="142512"/>
    <s v="GURU KRIPA TRADING CO"/>
    <n v="5"/>
    <n v="0"/>
    <n v="0"/>
    <n v="0"/>
    <n v="0"/>
    <n v="0"/>
    <n v="60"/>
    <n v="0"/>
    <n v="0"/>
    <n v="55"/>
    <n v="0"/>
    <n v="0"/>
    <n v="22.5"/>
    <n v="0"/>
    <n v="0"/>
    <n v="62.5"/>
    <n v="0"/>
    <n v="0"/>
    <n v="56"/>
    <n v="6"/>
    <n v="0"/>
    <n v="83"/>
    <n v="0"/>
    <n v="0"/>
    <n v="344"/>
    <n v="6"/>
    <n v="0"/>
    <s v="BIKANER"/>
    <s v="BIKANER"/>
    <s v="RJ-SGNR"/>
    <d v="2020-09-09T00:00:00"/>
  </r>
  <r>
    <s v="812856172497"/>
    <x v="1694"/>
    <s v="BALAJI CEMENT SUPPLIERS"/>
    <n v="172497"/>
    <s v="VINAYAK INDUSTRIES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0"/>
    <n v="0"/>
    <n v="0"/>
    <n v="0"/>
    <n v="0"/>
    <n v="0"/>
    <n v="25"/>
    <n v="0"/>
    <n v="0"/>
    <s v="BIKANER"/>
    <s v="BIKANER"/>
    <s v="RJ-SGNR"/>
    <d v="2020-09-09T00:00:00"/>
  </r>
  <r>
    <s v="813162174271"/>
    <x v="1695"/>
    <s v="SHREE BALAJI BUILDING MATERIAL"/>
    <n v="174271"/>
    <s v="S K TRADERS"/>
    <n v="0"/>
    <n v="0"/>
    <n v="0"/>
    <n v="20"/>
    <n v="0"/>
    <n v="0"/>
    <n v="0"/>
    <n v="0"/>
    <n v="0"/>
    <n v="67.5"/>
    <n v="10"/>
    <n v="0"/>
    <n v="15"/>
    <n v="0"/>
    <n v="0"/>
    <n v="15"/>
    <n v="0"/>
    <n v="0"/>
    <n v="20"/>
    <n v="0"/>
    <n v="0"/>
    <n v="25"/>
    <n v="0"/>
    <n v="0"/>
    <n v="162.5"/>
    <n v="10"/>
    <n v="0"/>
    <s v="BIKANER"/>
    <s v="BIKANER"/>
    <s v="RJ-SGNR"/>
    <d v="2020-10-01T00:00:00"/>
  </r>
  <r>
    <s v="813245174271"/>
    <x v="1696"/>
    <s v="SALEEM TRADING COMPANY"/>
    <n v="174271"/>
    <s v="S K TRADERS"/>
    <n v="0"/>
    <n v="0"/>
    <n v="0"/>
    <n v="0"/>
    <n v="0"/>
    <n v="0"/>
    <n v="0"/>
    <n v="0"/>
    <n v="0"/>
    <n v="55"/>
    <n v="0"/>
    <n v="0"/>
    <n v="25"/>
    <n v="0"/>
    <n v="0"/>
    <n v="28"/>
    <n v="0"/>
    <n v="0"/>
    <n v="0"/>
    <n v="0"/>
    <n v="0"/>
    <n v="40"/>
    <n v="0"/>
    <n v="0"/>
    <n v="148"/>
    <n v="0"/>
    <n v="0"/>
    <s v="BIKANER"/>
    <s v="BIKANER"/>
    <s v="RJ-SGNR"/>
    <d v="2020-10-12T00:00:00"/>
  </r>
  <r>
    <s v="813258174271"/>
    <x v="1697"/>
    <s v="MUKHRAM TRADING COMPANY"/>
    <n v="174271"/>
    <s v="S K TRADERS"/>
    <n v="0"/>
    <n v="0"/>
    <n v="0"/>
    <n v="20"/>
    <n v="0"/>
    <n v="0"/>
    <n v="20"/>
    <n v="0"/>
    <n v="0"/>
    <n v="25"/>
    <n v="0"/>
    <n v="0"/>
    <n v="20"/>
    <n v="10"/>
    <n v="0"/>
    <n v="110"/>
    <n v="5"/>
    <n v="0"/>
    <n v="0"/>
    <n v="0"/>
    <n v="0"/>
    <n v="15"/>
    <n v="0"/>
    <n v="0"/>
    <n v="210"/>
    <n v="15"/>
    <n v="0"/>
    <s v="BIKANER"/>
    <s v="BIKANER"/>
    <s v="RJ-SGNR"/>
    <d v="2020-10-13T00:00:00"/>
  </r>
  <r>
    <s v="813260174271"/>
    <x v="1698"/>
    <s v="BHANWAR TRADING COMPANY"/>
    <n v="174271"/>
    <s v="S K TRADERS"/>
    <n v="0"/>
    <n v="0"/>
    <n v="0"/>
    <n v="40"/>
    <n v="0"/>
    <n v="0"/>
    <n v="0"/>
    <n v="0"/>
    <n v="0"/>
    <n v="45"/>
    <n v="0"/>
    <n v="0"/>
    <n v="35"/>
    <n v="0"/>
    <n v="0"/>
    <n v="0"/>
    <n v="0"/>
    <n v="0"/>
    <n v="0"/>
    <n v="0"/>
    <n v="0"/>
    <n v="50"/>
    <n v="0"/>
    <n v="20"/>
    <n v="170"/>
    <n v="0"/>
    <n v="0"/>
    <s v="BIKANER"/>
    <s v="BIKANER"/>
    <s v="RJ-SGNR"/>
    <d v="2020-10-13T00:00:00"/>
  </r>
  <r>
    <s v="813266174271"/>
    <x v="1699"/>
    <s v="BHAJAN TRADING COMPANY"/>
    <n v="174271"/>
    <s v="S K TRADERS"/>
    <n v="0"/>
    <n v="17"/>
    <n v="0"/>
    <n v="37"/>
    <n v="0"/>
    <n v="0"/>
    <n v="20"/>
    <n v="0"/>
    <n v="0"/>
    <n v="45"/>
    <n v="10"/>
    <n v="35"/>
    <n v="60"/>
    <n v="0"/>
    <n v="0"/>
    <n v="0"/>
    <n v="0"/>
    <n v="0"/>
    <n v="0"/>
    <n v="0"/>
    <n v="0"/>
    <n v="25"/>
    <n v="0"/>
    <n v="0"/>
    <n v="187"/>
    <n v="27"/>
    <n v="35"/>
    <s v="BIKANER"/>
    <s v="BIKANER"/>
    <s v="RJ-SGNR"/>
    <d v="2020-10-14T00:00:00"/>
  </r>
  <r>
    <s v="814111140881"/>
    <x v="1700"/>
    <s v="VISHNU ENTERPRISES"/>
    <n v="140881"/>
    <s v="NAM DEV STONE SUPPLIERS"/>
    <n v="55"/>
    <n v="0"/>
    <n v="0"/>
    <n v="0"/>
    <n v="0"/>
    <n v="0"/>
    <n v="25"/>
    <n v="0"/>
    <n v="0"/>
    <n v="15"/>
    <n v="0"/>
    <n v="0"/>
    <n v="0"/>
    <n v="0"/>
    <n v="0"/>
    <n v="0"/>
    <n v="0"/>
    <n v="0"/>
    <n v="35"/>
    <n v="0"/>
    <n v="0"/>
    <n v="15"/>
    <n v="0"/>
    <n v="0"/>
    <n v="145"/>
    <n v="0"/>
    <n v="0"/>
    <s v="BIKANER"/>
    <s v="BIKANER"/>
    <s v="RJ-SGNR"/>
    <d v="2021-01-09T00:00:00"/>
  </r>
  <r>
    <s v="814255119044"/>
    <x v="1701"/>
    <s v="MANGOLIYA CEMENT AGENCY"/>
    <n v="119044"/>
    <s v="PANWAR TRADING CORPORATION LTD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s v="BIKANER"/>
    <s v="BIKANER"/>
    <s v="RJ-SGNR"/>
    <d v="2021-01-23T00:00:00"/>
  </r>
  <r>
    <s v="814256179869"/>
    <x v="1702"/>
    <s v="SHRAWAN KUMAR"/>
    <n v="179869"/>
    <s v="SHREE BALAJI CEMEN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s v="BIKANER"/>
    <s v="BIKANER"/>
    <s v="RJ-SGNR"/>
    <d v="2021-01-23T00:00:00"/>
  </r>
  <r>
    <s v="814288140881"/>
    <x v="1703"/>
    <s v="SHREE BALAJI CEMENT AGENCY"/>
    <n v="140881"/>
    <s v="NAM DEV STONE SUPPLIERS"/>
    <n v="63"/>
    <n v="0"/>
    <n v="0"/>
    <n v="0"/>
    <n v="8"/>
    <n v="0"/>
    <n v="15"/>
    <n v="0"/>
    <n v="0"/>
    <n v="25"/>
    <n v="0"/>
    <n v="0"/>
    <n v="35"/>
    <n v="10"/>
    <n v="0"/>
    <n v="62.5"/>
    <n v="0"/>
    <n v="0"/>
    <n v="50"/>
    <n v="0"/>
    <n v="20"/>
    <n v="15"/>
    <n v="0"/>
    <n v="0"/>
    <n v="265.5"/>
    <n v="18"/>
    <n v="20"/>
    <s v="BIKANER"/>
    <s v="BIKANER"/>
    <s v="RJ-SGNR"/>
    <d v="2021-01-27T00:00:00"/>
  </r>
  <r>
    <s v="814377174357"/>
    <x v="1704"/>
    <s v="M K TRADERS"/>
    <n v="174357"/>
    <s v="M R TRADERS"/>
    <n v="280"/>
    <n v="0"/>
    <n v="0"/>
    <n v="160"/>
    <n v="0"/>
    <n v="0"/>
    <n v="170"/>
    <n v="0"/>
    <n v="0"/>
    <n v="0"/>
    <n v="0"/>
    <n v="0"/>
    <n v="115"/>
    <n v="0"/>
    <n v="0"/>
    <n v="231"/>
    <n v="0"/>
    <n v="0"/>
    <n v="155"/>
    <n v="0"/>
    <n v="0"/>
    <n v="50"/>
    <n v="0"/>
    <n v="0"/>
    <n v="1161"/>
    <n v="0"/>
    <n v="0"/>
    <s v="BIKANER"/>
    <s v="BIKANER"/>
    <s v="RJ-SGNR"/>
    <d v="2021-02-03T00:00:00"/>
  </r>
  <r>
    <s v="814378119044"/>
    <x v="1705"/>
    <s v="R R GODARA CONSTRUCTION COMPAN"/>
    <n v="119044"/>
    <s v="PANWAR TRADING CORPORATION LTD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s v="BIKANER"/>
    <s v="BIKANER"/>
    <s v="RJ-SGNR"/>
    <d v="2021-02-03T00:00:00"/>
  </r>
  <r>
    <s v="814401147640"/>
    <x v="1706"/>
    <s v="RAJ CEMENT SUPPLIERS"/>
    <n v="147640"/>
    <s v="GEDHAR STEEL SHUTTERING"/>
    <n v="75"/>
    <n v="0"/>
    <n v="0"/>
    <n v="0"/>
    <n v="0"/>
    <n v="0"/>
    <n v="22.5"/>
    <n v="0"/>
    <n v="2.5"/>
    <n v="25"/>
    <n v="0"/>
    <n v="0"/>
    <n v="5"/>
    <n v="0"/>
    <n v="0"/>
    <n v="91.5"/>
    <n v="0"/>
    <n v="4"/>
    <n v="62.5"/>
    <n v="17.5"/>
    <n v="15"/>
    <n v="30"/>
    <n v="0"/>
    <n v="0"/>
    <n v="311.5"/>
    <n v="17.5"/>
    <n v="21.5"/>
    <s v="BIKANER"/>
    <s v="BIKANER"/>
    <s v="RJ-SGNR"/>
    <d v="2021-02-05T00:00:00"/>
  </r>
  <r>
    <s v="814402119160"/>
    <x v="1707"/>
    <s v="BHANWAR LAL MARU"/>
    <n v="119160"/>
    <s v="NIKHIL ASSOCIATE"/>
    <n v="10"/>
    <n v="0"/>
    <n v="0"/>
    <n v="45"/>
    <n v="0"/>
    <n v="0"/>
    <n v="22.5"/>
    <n v="0"/>
    <n v="0"/>
    <n v="0"/>
    <n v="0"/>
    <n v="0"/>
    <n v="0"/>
    <n v="0"/>
    <n v="0"/>
    <n v="0"/>
    <n v="0"/>
    <n v="0"/>
    <n v="10"/>
    <n v="0"/>
    <n v="0"/>
    <n v="15"/>
    <n v="0"/>
    <n v="0"/>
    <n v="102.5"/>
    <n v="0"/>
    <n v="0"/>
    <s v="BIKANER"/>
    <s v="BIKANER"/>
    <s v="RJ-SGNR"/>
    <d v="2021-02-05T00:00:00"/>
  </r>
  <r>
    <s v="814445145353"/>
    <x v="1708"/>
    <s v="SHREE VISHWAKARMA BUILDING MAT"/>
    <n v="145353"/>
    <s v="SHREE SARAS CORPORATION"/>
    <n v="90"/>
    <n v="0"/>
    <n v="0"/>
    <n v="70"/>
    <n v="0"/>
    <n v="0"/>
    <n v="70"/>
    <n v="0"/>
    <n v="0"/>
    <n v="112"/>
    <n v="15"/>
    <n v="0"/>
    <n v="89"/>
    <n v="0"/>
    <n v="0"/>
    <n v="0"/>
    <n v="0"/>
    <n v="0"/>
    <n v="65"/>
    <n v="0"/>
    <n v="0"/>
    <n v="45"/>
    <n v="0"/>
    <n v="0"/>
    <n v="541"/>
    <n v="15"/>
    <n v="0"/>
    <s v="BIKANER"/>
    <s v="BIKANER"/>
    <s v="RJ-SGNR"/>
    <d v="2021-02-11T00:00:00"/>
  </r>
  <r>
    <s v="814638119044"/>
    <x v="1709"/>
    <s v="PANKAJ KUMAR BUILDING MATERIAL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21-02-26T00:00:00"/>
  </r>
  <r>
    <s v="814785119044"/>
    <x v="1710"/>
    <s v="SHREE KARNI CEMENT STORE"/>
    <n v="119044"/>
    <s v="PANWAR TRADING CORPORATION LTD"/>
    <n v="0"/>
    <n v="0"/>
    <n v="0"/>
    <n v="25"/>
    <n v="0"/>
    <n v="0"/>
    <n v="45"/>
    <n v="0"/>
    <n v="0"/>
    <n v="0"/>
    <n v="0"/>
    <n v="0"/>
    <n v="0"/>
    <n v="0"/>
    <n v="0"/>
    <n v="15"/>
    <n v="0"/>
    <n v="0"/>
    <n v="0"/>
    <n v="0"/>
    <n v="0"/>
    <n v="2.5"/>
    <n v="0"/>
    <n v="0"/>
    <n v="87.5"/>
    <n v="0"/>
    <n v="0"/>
    <s v="BIKANER"/>
    <s v="BIKANER"/>
    <s v="RJ-SGNR"/>
    <d v="2021-03-18T00:00:00"/>
  </r>
  <r>
    <s v="814806119044"/>
    <x v="1711"/>
    <s v="MARUDHAR BUILDING MATERIAL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21-03-20T00:00:00"/>
  </r>
  <r>
    <s v="814870174034"/>
    <x v="1712"/>
    <s v="SHRI VISHWA KARMA BUILDING MAT"/>
    <n v="174034"/>
    <s v="RADHE BUILDING MATERIAL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BIKANER"/>
    <s v="BIKANER"/>
    <s v="RJ-SGNR"/>
    <d v="2021-03-31T00:00:00"/>
  </r>
  <r>
    <s v="814870212735"/>
    <x v="1712"/>
    <s v="SHRI VISHWA KARMA BUILDING MAT"/>
    <n v="212735"/>
    <s v="RADHE BUILDING MATERIAL"/>
    <n v="0"/>
    <n v="0"/>
    <n v="0"/>
    <n v="0"/>
    <n v="0"/>
    <n v="0"/>
    <n v="25"/>
    <n v="0"/>
    <n v="0"/>
    <n v="30"/>
    <n v="0"/>
    <n v="3"/>
    <n v="17.5"/>
    <n v="0"/>
    <n v="7.5"/>
    <n v="45"/>
    <n v="0"/>
    <n v="0"/>
    <n v="15"/>
    <n v="0"/>
    <n v="0"/>
    <n v="10"/>
    <n v="0"/>
    <n v="0"/>
    <n v="142.5"/>
    <n v="0"/>
    <n v="10.5"/>
    <s v="BIKANER"/>
    <s v="BIKANER"/>
    <s v="RJ-SGNR"/>
    <d v="2021-03-31T00:00:00"/>
  </r>
  <r>
    <s v="814873119154"/>
    <x v="1713"/>
    <s v="N K ENTERPRISES"/>
    <n v="119154"/>
    <s v="SHRI GANPATI ENTERPRISES"/>
    <n v="50"/>
    <n v="0"/>
    <n v="0"/>
    <n v="0"/>
    <n v="0"/>
    <n v="0"/>
    <n v="20"/>
    <n v="0"/>
    <n v="0"/>
    <n v="37"/>
    <n v="0"/>
    <n v="0"/>
    <n v="20"/>
    <n v="0"/>
    <n v="0"/>
    <n v="0"/>
    <n v="0"/>
    <n v="0"/>
    <n v="20"/>
    <n v="0"/>
    <n v="0"/>
    <n v="1.5"/>
    <n v="0"/>
    <n v="0"/>
    <n v="148.5"/>
    <n v="0"/>
    <n v="0"/>
    <s v="BIKANER"/>
    <s v="BIKANER"/>
    <s v="RJ-SGNR"/>
    <d v="2021-03-31T00:00:00"/>
  </r>
  <r>
    <s v="814878179561"/>
    <x v="1714"/>
    <s v="SHANKAR LAL KUMHAR"/>
    <n v="179561"/>
    <s v="GAJANAND TRADERS"/>
    <n v="50"/>
    <n v="0"/>
    <n v="0"/>
    <n v="0"/>
    <n v="0"/>
    <n v="0"/>
    <n v="0"/>
    <n v="0"/>
    <n v="0"/>
    <n v="11.5"/>
    <n v="0"/>
    <n v="11.5"/>
    <n v="0"/>
    <n v="0"/>
    <n v="0"/>
    <n v="0"/>
    <n v="0"/>
    <n v="0"/>
    <n v="0"/>
    <n v="0"/>
    <n v="0"/>
    <n v="0"/>
    <n v="0"/>
    <n v="0"/>
    <n v="61.5"/>
    <n v="0"/>
    <n v="11.5"/>
    <s v="BIKANER"/>
    <s v="BIKANER"/>
    <s v="RJ-SGNR"/>
    <d v="2021-03-31T00:00:00"/>
  </r>
  <r>
    <s v="815182174271"/>
    <x v="1715"/>
    <s v="ROJH CONSTRUCTION COMPANY"/>
    <n v="174271"/>
    <s v="S K TRADERS"/>
    <n v="0"/>
    <n v="0"/>
    <n v="0"/>
    <n v="0"/>
    <n v="0"/>
    <n v="0"/>
    <n v="0"/>
    <n v="0"/>
    <n v="0"/>
    <n v="0"/>
    <n v="0"/>
    <n v="0"/>
    <n v="10"/>
    <n v="0"/>
    <n v="0"/>
    <n v="17"/>
    <n v="0"/>
    <n v="12"/>
    <n v="0"/>
    <n v="0"/>
    <n v="0"/>
    <n v="40"/>
    <n v="20"/>
    <n v="0"/>
    <n v="67"/>
    <n v="0"/>
    <n v="12"/>
    <s v="BIKANER"/>
    <s v="BIKANER"/>
    <s v="RJ-SGNR"/>
    <d v="2021-06-18T00:00:00"/>
  </r>
  <r>
    <s v="815199119154"/>
    <x v="1716"/>
    <s v="JAI MAA BHAWANI CEMENT SUPPLIE"/>
    <n v="119154"/>
    <s v="SHRI GANPATI ENTERPRISES"/>
    <n v="15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2"/>
    <n v="0"/>
    <n v="0"/>
    <n v="32"/>
    <n v="0"/>
    <n v="0"/>
    <s v="BIKANER"/>
    <s v="BIKANER"/>
    <s v="RJ-SGNR"/>
    <d v="2021-06-21T00:00:00"/>
  </r>
  <r>
    <s v="815200119154"/>
    <x v="1717"/>
    <s v="PARWAT SINGH"/>
    <n v="119154"/>
    <s v="SHRI GANPATI ENTERPRISES"/>
    <n v="25"/>
    <n v="0"/>
    <n v="0"/>
    <n v="60"/>
    <n v="0"/>
    <n v="0"/>
    <n v="99.5"/>
    <n v="0"/>
    <n v="0"/>
    <n v="40"/>
    <n v="0"/>
    <n v="0"/>
    <n v="45"/>
    <n v="0"/>
    <n v="0"/>
    <n v="85"/>
    <n v="0"/>
    <n v="15"/>
    <n v="25"/>
    <n v="0"/>
    <n v="0"/>
    <n v="1.5"/>
    <n v="0"/>
    <n v="0"/>
    <n v="381"/>
    <n v="0"/>
    <n v="15"/>
    <s v="BIKANER"/>
    <s v="BIKANER"/>
    <s v="RJ-SGNR"/>
    <d v="2021-06-21T00:00:00"/>
  </r>
  <r>
    <s v="815354172497"/>
    <x v="1718"/>
    <s v="SHRI JASNATH BUILDING MATERIAL"/>
    <n v="172497"/>
    <s v="VINAYAK INDUSTRIES"/>
    <n v="0"/>
    <n v="0"/>
    <n v="0"/>
    <n v="0"/>
    <n v="0"/>
    <n v="0"/>
    <n v="0"/>
    <n v="0"/>
    <n v="0"/>
    <n v="10"/>
    <n v="0"/>
    <n v="0"/>
    <n v="15"/>
    <n v="0"/>
    <n v="15"/>
    <n v="0"/>
    <n v="0"/>
    <n v="0"/>
    <n v="0"/>
    <n v="0"/>
    <n v="0"/>
    <n v="0"/>
    <n v="0"/>
    <n v="0"/>
    <n v="25"/>
    <n v="0"/>
    <n v="15"/>
    <s v="BIKANER"/>
    <s v="BIKANER"/>
    <s v="RJ-SGNR"/>
    <d v="2021-06-30T00:00:00"/>
  </r>
  <r>
    <s v="815355174271"/>
    <x v="1719"/>
    <s v="VEER TEJA TRADING COMPANY"/>
    <n v="174271"/>
    <s v="S K TRADERS"/>
    <n v="0"/>
    <n v="0"/>
    <n v="0"/>
    <n v="15"/>
    <n v="0"/>
    <n v="0"/>
    <n v="45"/>
    <n v="0"/>
    <n v="0"/>
    <n v="0"/>
    <n v="0"/>
    <n v="0"/>
    <n v="75"/>
    <n v="15"/>
    <n v="20"/>
    <n v="30"/>
    <n v="0"/>
    <n v="0"/>
    <n v="0"/>
    <n v="0"/>
    <n v="0"/>
    <n v="15"/>
    <n v="0"/>
    <n v="0"/>
    <n v="180"/>
    <n v="15"/>
    <n v="20"/>
    <s v="BIKANER"/>
    <s v="BIKANER"/>
    <s v="RJ-SGNR"/>
    <d v="2021-06-30T00:00:00"/>
  </r>
  <r>
    <s v="815654174271"/>
    <x v="1720"/>
    <s v="SHRI JASNATH BUILDING MATERIAL"/>
    <n v="174271"/>
    <s v="S K TRADERS"/>
    <n v="0"/>
    <n v="0"/>
    <n v="0"/>
    <n v="54"/>
    <n v="0"/>
    <n v="0"/>
    <n v="20"/>
    <n v="0"/>
    <n v="20"/>
    <n v="100"/>
    <n v="0"/>
    <n v="5"/>
    <n v="0"/>
    <n v="0"/>
    <n v="0"/>
    <n v="0.5"/>
    <n v="0"/>
    <n v="0"/>
    <n v="20"/>
    <n v="0"/>
    <n v="0"/>
    <n v="40"/>
    <n v="0"/>
    <n v="0"/>
    <n v="234.5"/>
    <n v="0"/>
    <n v="25"/>
    <s v="BIKANER"/>
    <s v="BIKANER"/>
    <s v="RJ-SGNR"/>
    <d v="2021-07-26T00:00:00"/>
  </r>
  <r>
    <s v="815882174271"/>
    <x v="1721"/>
    <s v="PUGALIYA  BUILDING MATERIALS"/>
    <n v="174271"/>
    <s v="S K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21-08-09T00:00:00"/>
  </r>
  <r>
    <s v="815887119044"/>
    <x v="1722"/>
    <s v="MAYANK TRADERS"/>
    <n v="119044"/>
    <s v="PANWAR TRADING CORPORATION LTD"/>
    <n v="20"/>
    <n v="0"/>
    <n v="0"/>
    <n v="0"/>
    <n v="0"/>
    <n v="0"/>
    <n v="40"/>
    <n v="0"/>
    <n v="0"/>
    <n v="30"/>
    <n v="0"/>
    <n v="0"/>
    <n v="15"/>
    <n v="0"/>
    <n v="0"/>
    <n v="15"/>
    <n v="0"/>
    <n v="0"/>
    <n v="0"/>
    <n v="0"/>
    <n v="0"/>
    <n v="0"/>
    <n v="0"/>
    <n v="0"/>
    <n v="120"/>
    <n v="0"/>
    <n v="0"/>
    <s v="BIKANER"/>
    <s v="BIKANER"/>
    <s v="RJ-SGNR"/>
    <d v="2021-08-09T00:00:00"/>
  </r>
  <r>
    <s v="815887142512"/>
    <x v="1722"/>
    <s v="MAYANK TRADERS"/>
    <n v="142512"/>
    <s v="GURU KRIPA TRADING CO"/>
    <n v="15"/>
    <n v="0"/>
    <n v="0"/>
    <n v="10"/>
    <n v="0"/>
    <n v="0"/>
    <n v="58.5"/>
    <n v="0"/>
    <n v="0"/>
    <n v="48"/>
    <n v="6"/>
    <n v="0"/>
    <n v="0"/>
    <n v="0"/>
    <n v="0"/>
    <n v="33.5"/>
    <n v="0"/>
    <n v="0"/>
    <n v="23.5"/>
    <n v="0"/>
    <n v="0"/>
    <n v="5"/>
    <n v="0"/>
    <n v="0"/>
    <n v="193.5"/>
    <n v="6"/>
    <n v="0"/>
    <s v="BIKANER"/>
    <s v="BIKANER"/>
    <s v="RJ-SGNR"/>
    <d v="2021-08-09T00:00:00"/>
  </r>
  <r>
    <s v="815938209017"/>
    <x v="1723"/>
    <s v="S R AND SONS"/>
    <n v="209017"/>
    <s v="SARSWAT HARDWARE"/>
    <n v="167"/>
    <n v="0"/>
    <n v="0"/>
    <n v="50"/>
    <n v="12"/>
    <n v="0"/>
    <n v="105"/>
    <n v="0"/>
    <n v="0"/>
    <n v="70"/>
    <n v="0"/>
    <n v="45"/>
    <n v="71"/>
    <n v="0"/>
    <n v="26"/>
    <n v="118"/>
    <n v="23"/>
    <n v="0"/>
    <n v="127"/>
    <n v="0"/>
    <n v="6"/>
    <n v="100"/>
    <n v="19"/>
    <n v="10"/>
    <n v="808"/>
    <n v="35"/>
    <n v="77"/>
    <s v="BIKANER"/>
    <s v="BIKANER"/>
    <s v="RJ-SGNR"/>
    <d v="2021-08-14T00:00:00"/>
  </r>
  <r>
    <s v="816055119044"/>
    <x v="1724"/>
    <s v="CHANDMAL ASHOK KUMAR"/>
    <n v="119044"/>
    <s v="PANWAR TRADING CORPORATION LTD"/>
    <n v="25"/>
    <n v="0"/>
    <n v="0"/>
    <n v="0"/>
    <n v="0"/>
    <n v="0"/>
    <n v="50"/>
    <n v="0"/>
    <n v="0"/>
    <n v="40"/>
    <n v="0"/>
    <n v="10"/>
    <n v="15"/>
    <n v="0"/>
    <n v="0"/>
    <n v="71"/>
    <n v="10"/>
    <n v="0"/>
    <n v="61"/>
    <n v="0"/>
    <n v="0"/>
    <n v="30"/>
    <n v="0"/>
    <n v="10"/>
    <n v="292"/>
    <n v="10"/>
    <n v="10"/>
    <s v="BIKANER"/>
    <s v="BIKANER"/>
    <s v="RJ-SGNR"/>
    <d v="2021-08-21T00:00:00"/>
  </r>
  <r>
    <s v="816167174271"/>
    <x v="1725"/>
    <s v="SHIV SHAKTI COMPUTERIES DHARAM"/>
    <n v="174271"/>
    <s v="S K TRADERS"/>
    <n v="0"/>
    <n v="0"/>
    <n v="0"/>
    <n v="0"/>
    <n v="0"/>
    <n v="0"/>
    <n v="41"/>
    <n v="0"/>
    <n v="0"/>
    <n v="25"/>
    <n v="0"/>
    <n v="0"/>
    <n v="15"/>
    <n v="0"/>
    <n v="0"/>
    <n v="0"/>
    <n v="0"/>
    <n v="0"/>
    <n v="0"/>
    <n v="0"/>
    <n v="0"/>
    <n v="7.5"/>
    <n v="0"/>
    <n v="0"/>
    <n v="88.5"/>
    <n v="0"/>
    <n v="0"/>
    <s v="BIKANER"/>
    <s v="BIKANER"/>
    <s v="RJ-SGNR"/>
    <d v="2021-08-28T00:00:00"/>
  </r>
  <r>
    <s v="816255179869"/>
    <x v="1726"/>
    <s v="SUMIT KUMAR NAI"/>
    <n v="179869"/>
    <s v="SHREE BALAJI CEMENT"/>
    <n v="30.5"/>
    <n v="0"/>
    <n v="0"/>
    <n v="30"/>
    <n v="0"/>
    <n v="0"/>
    <n v="0"/>
    <n v="0"/>
    <n v="0"/>
    <n v="10"/>
    <n v="0"/>
    <n v="0"/>
    <n v="20"/>
    <n v="0"/>
    <n v="0"/>
    <n v="17.5"/>
    <n v="0"/>
    <n v="0"/>
    <n v="0"/>
    <n v="0"/>
    <n v="0"/>
    <n v="0"/>
    <n v="0"/>
    <n v="0"/>
    <n v="108"/>
    <n v="0"/>
    <n v="0"/>
    <s v="BIKANER"/>
    <s v="BIKANER"/>
    <s v="RJ-SGNR"/>
    <d v="2021-09-03T00:00:00"/>
  </r>
  <r>
    <s v="816256140881"/>
    <x v="1727"/>
    <s v="KARNI CEMENT SUPPLIERS"/>
    <n v="140881"/>
    <s v="NAM DEV STONE SUPPLIERS"/>
    <n v="0"/>
    <n v="0"/>
    <n v="0"/>
    <n v="44.5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89.5"/>
    <n v="0"/>
    <n v="0"/>
    <s v="BIKANER"/>
    <s v="BIKANER"/>
    <s v="RJ-SGNR"/>
    <d v="2021-09-03T00:00:00"/>
  </r>
  <r>
    <s v="816497174034"/>
    <x v="1728"/>
    <s v="TOSHNIWAL MARBLE AND SANITARY"/>
    <n v="174034"/>
    <s v="RADHE BUILDING MATERIAL"/>
    <n v="40"/>
    <n v="10"/>
    <n v="0"/>
    <n v="36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86"/>
    <n v="10"/>
    <n v="0"/>
    <s v="BIKANER"/>
    <s v="BIKANER"/>
    <s v="RJ-SGNR"/>
    <d v="2021-09-25T00:00:00"/>
  </r>
  <r>
    <s v="816497212735"/>
    <x v="1728"/>
    <s v="TOSHNIWAL MARBLE AND SANITARY"/>
    <n v="212735"/>
    <s v="RADHE BUILDING MATERIAL"/>
    <n v="0"/>
    <n v="0"/>
    <n v="0"/>
    <n v="0"/>
    <n v="0"/>
    <n v="0"/>
    <n v="19.5"/>
    <n v="0"/>
    <n v="0"/>
    <n v="29"/>
    <n v="0"/>
    <n v="2.5"/>
    <n v="23"/>
    <n v="0"/>
    <n v="0"/>
    <n v="27.5"/>
    <n v="6"/>
    <n v="0"/>
    <n v="0"/>
    <n v="0"/>
    <n v="0"/>
    <n v="10"/>
    <n v="0"/>
    <n v="0"/>
    <n v="109"/>
    <n v="6"/>
    <n v="2.5"/>
    <s v="BIKANER"/>
    <s v="BIKANER"/>
    <s v="RJ-SGNR"/>
    <d v="2021-09-25T00:00:00"/>
  </r>
  <r>
    <s v="816498209017"/>
    <x v="1729"/>
    <s v="SHREE BALAJI STONE SUPPLIERS"/>
    <n v="209017"/>
    <s v="SARSWAT HARDWARE"/>
    <n v="35"/>
    <n v="0"/>
    <n v="0"/>
    <n v="8"/>
    <n v="0"/>
    <n v="0"/>
    <n v="45"/>
    <n v="0"/>
    <n v="0"/>
    <n v="48"/>
    <n v="0"/>
    <n v="0"/>
    <n v="27.5"/>
    <n v="0"/>
    <n v="0"/>
    <n v="32"/>
    <n v="0"/>
    <n v="8"/>
    <n v="23"/>
    <n v="0"/>
    <n v="0"/>
    <n v="55"/>
    <n v="0"/>
    <n v="0"/>
    <n v="273.5"/>
    <n v="0"/>
    <n v="8"/>
    <s v="BIKANER"/>
    <s v="BIKANER"/>
    <s v="RJ-SGNR"/>
    <d v="2021-09-25T00:00:00"/>
  </r>
  <r>
    <s v="816522210566"/>
    <x v="1730"/>
    <s v="J P ENTERPRISES"/>
    <n v="210566"/>
    <s v="LADHURAM  MURLIDHAR RATHI"/>
    <n v="35"/>
    <n v="0"/>
    <n v="0"/>
    <n v="0"/>
    <n v="0"/>
    <n v="0"/>
    <n v="10"/>
    <n v="0"/>
    <n v="0"/>
    <n v="20"/>
    <n v="0"/>
    <n v="0"/>
    <n v="0"/>
    <n v="0"/>
    <n v="0"/>
    <n v="0"/>
    <n v="0"/>
    <n v="0"/>
    <n v="40"/>
    <n v="0"/>
    <n v="0"/>
    <n v="20"/>
    <n v="5"/>
    <n v="0"/>
    <n v="125"/>
    <n v="0"/>
    <n v="0"/>
    <s v="BIKANER"/>
    <s v="BIKANER"/>
    <s v="RJ-SGNR"/>
    <d v="2021-09-27T00:00:00"/>
  </r>
  <r>
    <s v="816525210566"/>
    <x v="1731"/>
    <s v="KISHNARAM CEMENT SUPPLIERS"/>
    <n v="210566"/>
    <s v="LADHURAM  MURLIDHAR RATHI"/>
    <n v="10"/>
    <n v="0"/>
    <n v="0"/>
    <n v="0"/>
    <n v="0"/>
    <n v="0"/>
    <n v="0"/>
    <n v="0"/>
    <n v="0"/>
    <n v="5"/>
    <n v="0"/>
    <n v="0"/>
    <n v="16"/>
    <n v="0"/>
    <n v="0"/>
    <n v="7.5"/>
    <n v="0"/>
    <n v="0"/>
    <n v="0"/>
    <n v="0"/>
    <n v="0"/>
    <n v="0"/>
    <n v="0"/>
    <n v="0"/>
    <n v="38.5"/>
    <n v="0"/>
    <n v="0"/>
    <s v="BIKANER"/>
    <s v="BIKANER"/>
    <s v="RJ-SGNR"/>
    <d v="2021-09-27T00:00:00"/>
  </r>
  <r>
    <s v="816536119044"/>
    <x v="1732"/>
    <s v="RAJESH KUMAR SARASWAT"/>
    <n v="119044"/>
    <s v="PANWAR TRADING CORPORATION LTD"/>
    <n v="198"/>
    <n v="0"/>
    <n v="0"/>
    <n v="120"/>
    <n v="3"/>
    <n v="0"/>
    <n v="70"/>
    <n v="0"/>
    <n v="0"/>
    <n v="30"/>
    <n v="0"/>
    <n v="0"/>
    <n v="15"/>
    <n v="0"/>
    <n v="0"/>
    <n v="30"/>
    <n v="0"/>
    <n v="0"/>
    <n v="0"/>
    <n v="0"/>
    <n v="0"/>
    <n v="5.55"/>
    <n v="0"/>
    <n v="0"/>
    <n v="468.55"/>
    <n v="3"/>
    <n v="0"/>
    <s v="BIKANER"/>
    <s v="BIKANER"/>
    <s v="RJ-SGNR"/>
    <d v="2021-09-27T00:00:00"/>
  </r>
  <r>
    <s v="816561140881"/>
    <x v="1733"/>
    <s v="RAJA RAM"/>
    <n v="140881"/>
    <s v="NAM DEV STONE SUPPLIERS"/>
    <n v="45"/>
    <n v="15"/>
    <n v="0"/>
    <n v="60"/>
    <n v="0"/>
    <n v="0"/>
    <n v="10"/>
    <n v="0"/>
    <n v="0"/>
    <n v="45"/>
    <n v="0"/>
    <n v="25"/>
    <n v="102"/>
    <n v="0"/>
    <n v="26"/>
    <n v="63.5"/>
    <n v="10"/>
    <n v="0"/>
    <n v="50"/>
    <n v="0"/>
    <n v="0"/>
    <n v="27"/>
    <n v="0"/>
    <n v="12"/>
    <n v="402.5"/>
    <n v="25"/>
    <n v="51"/>
    <s v="BIKANER"/>
    <s v="BIKANER"/>
    <s v="RJ-SGNR"/>
    <d v="2021-09-28T00:00:00"/>
  </r>
  <r>
    <s v="816570212735"/>
    <x v="1734"/>
    <s v="JAI BUILDING MATERIAL AND SUPP"/>
    <n v="212735"/>
    <s v="RADHE BUILDING MATERIAL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15"/>
    <n v="0"/>
    <n v="0"/>
    <s v="BIKANER"/>
    <s v="BIKANER"/>
    <s v="RJ-SGNR"/>
    <d v="2021-09-29T00:00:00"/>
  </r>
  <r>
    <s v="816689174271"/>
    <x v="1735"/>
    <s v="BALAJI ELECTRONICS AND BUILDIN"/>
    <n v="174271"/>
    <s v="S K TRADERS"/>
    <n v="0"/>
    <n v="0"/>
    <n v="0"/>
    <n v="20"/>
    <n v="0"/>
    <n v="0"/>
    <n v="14"/>
    <n v="0"/>
    <n v="0"/>
    <n v="0"/>
    <n v="0"/>
    <n v="0"/>
    <n v="25"/>
    <n v="0"/>
    <n v="0"/>
    <n v="30"/>
    <n v="0"/>
    <n v="0"/>
    <n v="10"/>
    <n v="0"/>
    <n v="0"/>
    <n v="50"/>
    <n v="0"/>
    <n v="0"/>
    <n v="149"/>
    <n v="0"/>
    <n v="0"/>
    <s v="BIKANER"/>
    <s v="BIKANER"/>
    <s v="RJ-SGNR"/>
    <d v="2021-10-09T00:00:00"/>
  </r>
  <r>
    <s v="816690209017"/>
    <x v="1736"/>
    <s v="ROYAL ENTERPRISES"/>
    <n v="209017"/>
    <s v="SARSWAT HARDWARE"/>
    <n v="10"/>
    <n v="0"/>
    <n v="0"/>
    <n v="37.5"/>
    <n v="0"/>
    <n v="0"/>
    <n v="70"/>
    <n v="0"/>
    <n v="0"/>
    <n v="18"/>
    <n v="0"/>
    <n v="0"/>
    <n v="27.5"/>
    <n v="0"/>
    <n v="0"/>
    <n v="86"/>
    <n v="0"/>
    <n v="18"/>
    <n v="23"/>
    <n v="0"/>
    <n v="0"/>
    <n v="48"/>
    <n v="0"/>
    <n v="0"/>
    <n v="320"/>
    <n v="0"/>
    <n v="18"/>
    <s v="BIKANER"/>
    <s v="BIKANER"/>
    <s v="RJ-SGNR"/>
    <d v="2021-10-09T00:00:00"/>
  </r>
  <r>
    <s v="816691209017"/>
    <x v="1737"/>
    <s v="HARI OM TRADING COMPANY"/>
    <n v="209017"/>
    <s v="SARSWAT HARDWARE"/>
    <n v="15"/>
    <n v="10"/>
    <n v="0"/>
    <n v="22.5"/>
    <n v="0"/>
    <n v="0"/>
    <n v="45"/>
    <n v="0"/>
    <n v="0"/>
    <n v="33"/>
    <n v="0"/>
    <n v="0"/>
    <n v="45"/>
    <n v="0"/>
    <n v="0"/>
    <n v="41"/>
    <n v="0"/>
    <n v="0"/>
    <n v="15"/>
    <n v="0"/>
    <n v="0"/>
    <n v="55"/>
    <n v="0"/>
    <n v="0"/>
    <n v="271.5"/>
    <n v="10"/>
    <n v="0"/>
    <s v="BIKANER"/>
    <s v="BIKANER"/>
    <s v="RJ-SGNR"/>
    <d v="2021-10-09T00:00:00"/>
  </r>
  <r>
    <s v="816694174034"/>
    <x v="1738"/>
    <s v="SHRI OM VISHNU DHARAMKANTA AND"/>
    <n v="174034"/>
    <s v="RADHE BUILDING MATERIAL"/>
    <n v="0"/>
    <n v="0"/>
    <n v="0"/>
    <n v="37.5"/>
    <n v="0"/>
    <n v="0"/>
    <n v="0"/>
    <n v="0"/>
    <n v="0"/>
    <n v="0"/>
    <n v="0"/>
    <n v="0"/>
    <n v="0"/>
    <n v="0"/>
    <n v="0"/>
    <n v="10"/>
    <n v="0"/>
    <n v="0"/>
    <n v="10"/>
    <n v="0"/>
    <n v="10"/>
    <n v="0"/>
    <n v="0"/>
    <n v="0"/>
    <n v="57.5"/>
    <n v="0"/>
    <n v="10"/>
    <s v="BIKANER"/>
    <s v="BIKANER"/>
    <s v="RJ-SGNR"/>
    <d v="2021-10-11T00:00:00"/>
  </r>
  <r>
    <s v="816694212735"/>
    <x v="1738"/>
    <s v="SHRI OM VISHNU DHARAMKANTA AND"/>
    <n v="212735"/>
    <s v="RADHE BUILDING MATERIAL"/>
    <n v="0"/>
    <n v="0"/>
    <n v="0"/>
    <n v="0"/>
    <n v="0"/>
    <n v="0"/>
    <n v="0"/>
    <n v="0"/>
    <n v="0"/>
    <n v="10"/>
    <n v="0"/>
    <n v="0"/>
    <n v="10"/>
    <n v="0"/>
    <n v="0"/>
    <n v="0"/>
    <n v="0"/>
    <n v="0"/>
    <n v="15"/>
    <n v="0"/>
    <n v="0"/>
    <n v="15"/>
    <n v="0"/>
    <n v="0"/>
    <n v="50"/>
    <n v="0"/>
    <n v="0"/>
    <s v="BIKANER"/>
    <s v="BIKANER"/>
    <s v="RJ-SGNR"/>
    <d v="2021-10-11T00:00:00"/>
  </r>
  <r>
    <s v="817143172282"/>
    <x v="1739"/>
    <s v="A.K SUPPLIERS"/>
    <n v="172282"/>
    <s v="SHREE BALAJI IRON STORE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BIKANER"/>
    <s v="BIKANER"/>
    <s v="RJ-SGNR"/>
    <d v="2021-11-26T00:00:00"/>
  </r>
  <r>
    <s v="817144209017"/>
    <x v="1740"/>
    <s v="GOURI TILES AND SANITARY"/>
    <n v="209017"/>
    <s v="SARSWAT HARDWARE"/>
    <n v="80"/>
    <n v="0"/>
    <n v="0"/>
    <n v="15"/>
    <n v="0"/>
    <n v="0"/>
    <n v="45"/>
    <n v="0"/>
    <n v="0"/>
    <n v="30"/>
    <n v="0"/>
    <n v="0"/>
    <n v="27.5"/>
    <n v="0"/>
    <n v="0"/>
    <n v="88"/>
    <n v="0"/>
    <n v="15"/>
    <n v="55"/>
    <n v="0"/>
    <n v="0"/>
    <n v="18"/>
    <n v="0"/>
    <n v="0"/>
    <n v="358.5"/>
    <n v="0"/>
    <n v="15"/>
    <s v="BIKANER"/>
    <s v="BIKANER"/>
    <s v="RJ-SGNR"/>
    <d v="2021-11-26T00:00:00"/>
  </r>
  <r>
    <s v="817172119044"/>
    <x v="1741"/>
    <s v="JAI BHAWANI BUILDING MATERIAL"/>
    <n v="119044"/>
    <s v="PANWAR TRADING CORPORATION LTD"/>
    <n v="65"/>
    <n v="0"/>
    <n v="0"/>
    <n v="115"/>
    <n v="0"/>
    <n v="0"/>
    <n v="226.5"/>
    <n v="0"/>
    <n v="0"/>
    <n v="15"/>
    <n v="0"/>
    <n v="0"/>
    <n v="25"/>
    <n v="0"/>
    <n v="0"/>
    <n v="75"/>
    <n v="0"/>
    <n v="0"/>
    <n v="26"/>
    <n v="0"/>
    <n v="0"/>
    <n v="10"/>
    <n v="0"/>
    <n v="0"/>
    <n v="557.5"/>
    <n v="0"/>
    <n v="0"/>
    <s v="BIKANER"/>
    <s v="BIKANER"/>
    <s v="RJ-SGNR"/>
    <d v="2021-11-30T00:00:00"/>
  </r>
  <r>
    <s v="817251210566"/>
    <x v="1742"/>
    <s v="RAKESH KHILERI"/>
    <n v="210566"/>
    <s v="LADHURAM  MURLIDHAR RATHI"/>
    <n v="25"/>
    <n v="0"/>
    <n v="0"/>
    <n v="25"/>
    <n v="0"/>
    <n v="0"/>
    <n v="27.5"/>
    <n v="7.5"/>
    <n v="0"/>
    <n v="10"/>
    <n v="0"/>
    <n v="10"/>
    <n v="12"/>
    <n v="0"/>
    <n v="0"/>
    <n v="16"/>
    <n v="10"/>
    <n v="0"/>
    <n v="8"/>
    <n v="0"/>
    <n v="0"/>
    <n v="15"/>
    <n v="0"/>
    <n v="0"/>
    <n v="138.5"/>
    <n v="17.5"/>
    <n v="10"/>
    <s v="BIKANER"/>
    <s v="BIKANER"/>
    <s v="RJ-SGNR"/>
    <d v="2021-12-10T00:00:00"/>
  </r>
  <r>
    <s v="817252209017"/>
    <x v="1743"/>
    <s v="SHREE BALAJI BUILDING MATERIAL"/>
    <n v="209017"/>
    <s v="SARSWAT HARDWARE"/>
    <n v="50"/>
    <n v="0"/>
    <n v="0"/>
    <n v="55"/>
    <n v="0"/>
    <n v="0"/>
    <n v="40"/>
    <n v="0"/>
    <n v="0"/>
    <n v="38"/>
    <n v="0"/>
    <n v="0"/>
    <n v="50"/>
    <n v="0"/>
    <n v="15"/>
    <n v="18"/>
    <n v="0"/>
    <n v="0"/>
    <n v="23"/>
    <n v="0"/>
    <n v="0"/>
    <n v="45"/>
    <n v="0"/>
    <n v="0"/>
    <n v="319"/>
    <n v="0"/>
    <n v="15"/>
    <s v="BIKANER"/>
    <s v="BIKANER"/>
    <s v="RJ-SGNR"/>
    <d v="2021-12-10T00:00:00"/>
  </r>
  <r>
    <s v="817283203352"/>
    <x v="1744"/>
    <s v="SAVITRI ENTERPRISE"/>
    <n v="203352"/>
    <s v="NIRBAN BUILDER &amp; HARDWARE SUPP"/>
    <n v="114"/>
    <n v="10"/>
    <n v="0"/>
    <n v="71.5"/>
    <n v="21.5"/>
    <n v="0"/>
    <n v="83.5"/>
    <n v="3.5"/>
    <n v="2.5"/>
    <n v="45.5"/>
    <n v="15.5"/>
    <n v="0"/>
    <n v="60.5"/>
    <n v="0"/>
    <n v="0"/>
    <n v="65.25"/>
    <n v="10.75"/>
    <n v="0"/>
    <n v="23"/>
    <n v="0"/>
    <n v="13"/>
    <n v="75"/>
    <n v="15"/>
    <n v="10"/>
    <n v="538.25"/>
    <n v="61.25"/>
    <n v="15.5"/>
    <s v="BIKANER"/>
    <s v="BIKANER"/>
    <s v="RJ-SGNR"/>
    <d v="2021-12-11T00:00:00"/>
  </r>
  <r>
    <s v="817350174034"/>
    <x v="1745"/>
    <s v="ISHWAR RAM"/>
    <n v="174034"/>
    <s v="RADHE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IKANER"/>
    <s v="BIKANER"/>
    <s v="RJ-SGNR"/>
    <d v="2021-12-17T00:00:00"/>
  </r>
  <r>
    <s v="817350212735"/>
    <x v="1745"/>
    <s v="ISHWAR RAM"/>
    <n v="212735"/>
    <s v="RADHE BUILDING MATERIAL"/>
    <n v="0"/>
    <n v="0"/>
    <n v="0"/>
    <n v="0"/>
    <n v="0"/>
    <n v="0"/>
    <n v="0"/>
    <n v="0"/>
    <n v="0"/>
    <n v="10"/>
    <n v="0"/>
    <n v="0"/>
    <n v="0"/>
    <n v="0"/>
    <n v="0"/>
    <n v="15"/>
    <n v="0"/>
    <n v="0"/>
    <n v="0"/>
    <n v="0"/>
    <n v="0"/>
    <n v="10"/>
    <n v="0"/>
    <n v="10"/>
    <n v="35"/>
    <n v="0"/>
    <n v="0"/>
    <s v="BIKANER"/>
    <s v="BIKANER"/>
    <s v="RJ-SGNR"/>
    <d v="2021-12-17T00:00:00"/>
  </r>
  <r>
    <s v="817811210566"/>
    <x v="1746"/>
    <s v="VEER TEJA JI INT UDHYOG"/>
    <n v="210566"/>
    <s v="LADHURAM  MURLIDHAR RATHI"/>
    <n v="10"/>
    <n v="0"/>
    <n v="0"/>
    <n v="5"/>
    <n v="0"/>
    <n v="0"/>
    <n v="0"/>
    <n v="0"/>
    <n v="0"/>
    <n v="26"/>
    <n v="10"/>
    <n v="0"/>
    <n v="0"/>
    <n v="0"/>
    <n v="0"/>
    <n v="0"/>
    <n v="0"/>
    <n v="0"/>
    <n v="10"/>
    <n v="0"/>
    <n v="0"/>
    <n v="0"/>
    <n v="0"/>
    <n v="0"/>
    <n v="51"/>
    <n v="10"/>
    <n v="0"/>
    <s v="BIKANER"/>
    <s v="BIKANER"/>
    <s v="RJ-SGNR"/>
    <d v="2022-01-25T00:00:00"/>
  </r>
  <r>
    <s v="817819147640"/>
    <x v="1747"/>
    <s v="BALAJI TRADERS"/>
    <n v="147640"/>
    <s v="GEDHAR STEEL SHUTTERING"/>
    <n v="65"/>
    <n v="0"/>
    <n v="0"/>
    <n v="70"/>
    <n v="0"/>
    <n v="0"/>
    <n v="90.5"/>
    <n v="0"/>
    <n v="0"/>
    <n v="29.5"/>
    <n v="4.5"/>
    <n v="0"/>
    <n v="0"/>
    <n v="0"/>
    <n v="0"/>
    <n v="25"/>
    <n v="0"/>
    <n v="0"/>
    <n v="15"/>
    <n v="0"/>
    <n v="15"/>
    <n v="35"/>
    <n v="0"/>
    <n v="10"/>
    <n v="330"/>
    <n v="4.5"/>
    <n v="15"/>
    <s v="BIKANER"/>
    <s v="BIKANER"/>
    <s v="RJ-SGNR"/>
    <d v="2022-01-25T00:00:00"/>
  </r>
  <r>
    <s v="817820210566"/>
    <x v="1748"/>
    <s v="RAMU NATH"/>
    <n v="210566"/>
    <s v="LADHURAM  MURLIDHAR RATHI"/>
    <n v="0"/>
    <n v="0"/>
    <n v="0"/>
    <n v="15"/>
    <n v="0"/>
    <n v="0"/>
    <n v="20"/>
    <n v="0"/>
    <n v="0"/>
    <n v="0"/>
    <n v="0"/>
    <n v="0"/>
    <n v="26.5"/>
    <n v="0"/>
    <n v="0"/>
    <n v="8"/>
    <n v="0"/>
    <n v="0"/>
    <n v="0"/>
    <n v="0"/>
    <n v="0"/>
    <n v="7.5"/>
    <n v="0"/>
    <n v="0"/>
    <n v="77"/>
    <n v="0"/>
    <n v="0"/>
    <s v="BIKANER"/>
    <s v="BIKANER"/>
    <s v="RJ-SGNR"/>
    <d v="2022-01-25T00:00:00"/>
  </r>
  <r>
    <s v="817839174271"/>
    <x v="1749"/>
    <s v="SITARAM"/>
    <n v="174271"/>
    <s v="S K TRADERS"/>
    <n v="0"/>
    <n v="0"/>
    <n v="0"/>
    <n v="40"/>
    <n v="0"/>
    <n v="0"/>
    <n v="0"/>
    <n v="0"/>
    <n v="0"/>
    <n v="15"/>
    <n v="0"/>
    <n v="0"/>
    <n v="30"/>
    <n v="0"/>
    <n v="0"/>
    <n v="30"/>
    <n v="0"/>
    <n v="30"/>
    <n v="20"/>
    <n v="0"/>
    <n v="0"/>
    <n v="15"/>
    <n v="0"/>
    <n v="0"/>
    <n v="150"/>
    <n v="0"/>
    <n v="30"/>
    <s v="BIKANER"/>
    <s v="BIKANER"/>
    <s v="RJ-SGNR"/>
    <d v="2022-01-26T00:00:00"/>
  </r>
  <r>
    <s v="817864174271"/>
    <x v="1750"/>
    <s v="GIRDHARI LAL"/>
    <n v="174271"/>
    <s v="S K TRADERS"/>
    <n v="0"/>
    <n v="0"/>
    <n v="0"/>
    <n v="0"/>
    <n v="0"/>
    <n v="0"/>
    <n v="45"/>
    <n v="0"/>
    <n v="25"/>
    <n v="0"/>
    <n v="0"/>
    <n v="0"/>
    <n v="41"/>
    <n v="0"/>
    <n v="0"/>
    <n v="0"/>
    <n v="0"/>
    <n v="0"/>
    <n v="0"/>
    <n v="0"/>
    <n v="0"/>
    <n v="0"/>
    <n v="0"/>
    <n v="0"/>
    <n v="86"/>
    <n v="0"/>
    <n v="25"/>
    <s v="BIKANER"/>
    <s v="BIKANER"/>
    <s v="RJ-SGNR"/>
    <d v="2022-01-28T00:00:00"/>
  </r>
  <r>
    <s v="817880210566"/>
    <x v="1751"/>
    <s v="RADHE RADHE BUILDING MATERIAL"/>
    <n v="210566"/>
    <s v="LADHURAM  MURLIDHAR RATHI"/>
    <n v="20"/>
    <n v="0"/>
    <n v="0"/>
    <n v="35"/>
    <n v="0"/>
    <n v="0"/>
    <n v="7.5"/>
    <n v="7.5"/>
    <n v="0"/>
    <n v="5"/>
    <n v="0"/>
    <n v="0"/>
    <n v="0"/>
    <n v="0"/>
    <n v="0"/>
    <n v="0"/>
    <n v="0"/>
    <n v="0"/>
    <n v="0"/>
    <n v="0"/>
    <n v="0"/>
    <n v="0"/>
    <n v="0"/>
    <n v="0"/>
    <n v="67.5"/>
    <n v="7.5"/>
    <n v="0"/>
    <s v="BIKANER"/>
    <s v="BIKANER"/>
    <s v="RJ-SGNR"/>
    <d v="2022-01-28T00:00:00"/>
  </r>
  <r>
    <s v="818077119044"/>
    <x v="1752"/>
    <s v="MULCHAND"/>
    <n v="119044"/>
    <s v="PANWAR TRADING CORPORATION LTD"/>
    <n v="60"/>
    <n v="0"/>
    <n v="0"/>
    <n v="40"/>
    <n v="0"/>
    <n v="0"/>
    <n v="67"/>
    <n v="0"/>
    <n v="0"/>
    <n v="60.05"/>
    <n v="0"/>
    <n v="0"/>
    <n v="0"/>
    <n v="0"/>
    <n v="0"/>
    <n v="10"/>
    <n v="0"/>
    <n v="0"/>
    <n v="36"/>
    <n v="0"/>
    <n v="0"/>
    <n v="10"/>
    <n v="0"/>
    <n v="0"/>
    <n v="283.05"/>
    <n v="0"/>
    <n v="0"/>
    <s v="BIKANER"/>
    <s v="BIKANER"/>
    <s v="RJ-SGNR"/>
    <d v="2022-02-19T00:00:00"/>
  </r>
  <r>
    <s v="818343210566"/>
    <x v="1753"/>
    <s v="ASHOK SHARMA"/>
    <n v="210566"/>
    <s v="LADHURAM  MURLIDHAR RATHI"/>
    <n v="10"/>
    <n v="0"/>
    <n v="0"/>
    <n v="10"/>
    <n v="0"/>
    <n v="0"/>
    <n v="10"/>
    <n v="0"/>
    <n v="0"/>
    <n v="22.5"/>
    <n v="5"/>
    <n v="2.5"/>
    <n v="10"/>
    <n v="0"/>
    <n v="5"/>
    <n v="8"/>
    <n v="0"/>
    <n v="0"/>
    <n v="0"/>
    <n v="0"/>
    <n v="0"/>
    <n v="0"/>
    <n v="0"/>
    <n v="0"/>
    <n v="70.5"/>
    <n v="5"/>
    <n v="7.5"/>
    <s v="BIKANER"/>
    <s v="BIKANER"/>
    <s v="RJ-SGNR"/>
    <d v="2022-03-12T00:00:00"/>
  </r>
  <r>
    <s v="818423174034"/>
    <x v="1754"/>
    <s v="MADAN LAL SHARMA"/>
    <n v="174034"/>
    <s v="RADHE BUILDING MATERIAL"/>
    <n v="0"/>
    <n v="0"/>
    <n v="0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"/>
    <n v="0"/>
    <n v="0"/>
    <s v="BIKANER"/>
    <s v="BIKANER"/>
    <s v="RJ-SGNR"/>
    <d v="2022-03-21T00:00:00"/>
  </r>
  <r>
    <s v="818423212735"/>
    <x v="1754"/>
    <s v="MADAN LAL SHARMA"/>
    <n v="212735"/>
    <s v="RADHE BUILDING MATERIAL"/>
    <n v="0"/>
    <n v="0"/>
    <n v="0"/>
    <n v="0"/>
    <n v="0"/>
    <n v="0"/>
    <n v="0"/>
    <n v="0"/>
    <n v="0"/>
    <n v="10"/>
    <n v="0"/>
    <n v="0"/>
    <n v="40"/>
    <n v="0"/>
    <n v="0"/>
    <n v="0"/>
    <n v="0"/>
    <n v="0"/>
    <n v="20"/>
    <n v="0"/>
    <n v="0"/>
    <n v="10"/>
    <n v="0"/>
    <n v="0"/>
    <n v="80"/>
    <n v="0"/>
    <n v="0"/>
    <s v="BIKANER"/>
    <s v="BIKANER"/>
    <s v="RJ-SGNR"/>
    <d v="2022-03-21T00:00:00"/>
  </r>
  <r>
    <s v="818583205420"/>
    <x v="1755"/>
    <s v="SUNIL KUMAR PAHUJA"/>
    <n v="205420"/>
    <s v="KUMAWAT BUILDERS"/>
    <n v="80"/>
    <n v="5"/>
    <n v="0"/>
    <n v="120"/>
    <n v="0"/>
    <n v="0"/>
    <n v="88"/>
    <n v="0"/>
    <n v="10"/>
    <n v="40"/>
    <n v="0"/>
    <n v="0"/>
    <n v="51"/>
    <n v="0"/>
    <n v="5"/>
    <n v="29"/>
    <n v="0"/>
    <n v="0"/>
    <n v="47.5"/>
    <n v="0"/>
    <n v="0"/>
    <n v="37.5"/>
    <n v="0"/>
    <n v="7.5"/>
    <n v="493"/>
    <n v="5"/>
    <n v="15"/>
    <s v="BIKANER"/>
    <s v="BIKANER"/>
    <s v="RJ-SGNR"/>
    <d v="2022-04-05T00:00:00"/>
  </r>
  <r>
    <s v="818586119044"/>
    <x v="1756"/>
    <s v="SABIR ALI BADJUGER"/>
    <n v="119044"/>
    <s v="PANWAR TRADING CORPORATION LTD"/>
    <n v="0"/>
    <n v="0"/>
    <n v="0"/>
    <n v="0"/>
    <n v="0"/>
    <n v="0"/>
    <n v="34.5"/>
    <n v="0"/>
    <n v="0"/>
    <n v="20"/>
    <n v="0"/>
    <n v="0"/>
    <n v="32.5"/>
    <n v="12.5"/>
    <n v="15"/>
    <n v="10.4"/>
    <n v="0"/>
    <n v="0"/>
    <n v="20"/>
    <n v="0"/>
    <n v="0"/>
    <n v="5"/>
    <n v="5"/>
    <n v="0"/>
    <n v="122.4"/>
    <n v="12.5"/>
    <n v="15"/>
    <s v="BIKANER"/>
    <s v="BIKANER"/>
    <s v="RJ-SGNR"/>
    <d v="2022-04-06T00:00:00"/>
  </r>
  <r>
    <s v="818592119044"/>
    <x v="1757"/>
    <s v="ASMA ASMA"/>
    <n v="119044"/>
    <s v="PANWAR TRADING CORPORATION LTD"/>
    <n v="0"/>
    <n v="0"/>
    <n v="0"/>
    <n v="70"/>
    <n v="0"/>
    <n v="0"/>
    <n v="253"/>
    <n v="0"/>
    <n v="14"/>
    <n v="0"/>
    <n v="0"/>
    <n v="0"/>
    <n v="15"/>
    <n v="0"/>
    <n v="0"/>
    <n v="100"/>
    <n v="0"/>
    <n v="0"/>
    <n v="255"/>
    <n v="7.5"/>
    <n v="10"/>
    <n v="143.5"/>
    <n v="0"/>
    <n v="0"/>
    <n v="836.5"/>
    <n v="7.5"/>
    <n v="24"/>
    <s v="BIKANER"/>
    <s v="BIKANER"/>
    <s v="RJ-SGNR"/>
    <d v="2022-04-07T00:00:00"/>
  </r>
  <r>
    <s v="818601203352"/>
    <x v="1758"/>
    <s v="RAJESH LAKHESAR"/>
    <n v="203352"/>
    <s v="NIRBAN BUILDER &amp; HARDWARE SUPP"/>
    <n v="0"/>
    <n v="0"/>
    <n v="0"/>
    <n v="17"/>
    <n v="0"/>
    <n v="0"/>
    <n v="55"/>
    <n v="0"/>
    <n v="0"/>
    <n v="28.5"/>
    <n v="0"/>
    <n v="0"/>
    <n v="50.5"/>
    <n v="5"/>
    <n v="0"/>
    <n v="56"/>
    <n v="12.5"/>
    <n v="0"/>
    <n v="0"/>
    <n v="0"/>
    <n v="0"/>
    <n v="0"/>
    <n v="0"/>
    <n v="0"/>
    <n v="207"/>
    <n v="17.5"/>
    <n v="0"/>
    <s v="BIKANER"/>
    <s v="BIKANER"/>
    <s v="RJ-SGNR"/>
    <d v="2022-04-08T00:00:00"/>
  </r>
  <r>
    <s v="819063140881"/>
    <x v="1759"/>
    <s v="JINN MATA CEMENT SUPPLIER"/>
    <n v="140881"/>
    <s v="NAM DEV STONE SUPPLIERS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10"/>
    <n v="0"/>
    <n v="0"/>
    <n v="0"/>
    <n v="0"/>
    <n v="0"/>
    <n v="35"/>
    <n v="0"/>
    <n v="0"/>
    <s v="BIKANER"/>
    <s v="BIKANER"/>
    <s v="RJ-SGNR"/>
    <d v="2022-05-25T00:00:00"/>
  </r>
  <r>
    <s v="819066174034"/>
    <x v="1760"/>
    <s v="KOMAL TRADING CO"/>
    <n v="174034"/>
    <s v="RADHE BUILDING MATERIAL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s v="BIKANER"/>
    <s v="BIKANER"/>
    <s v="RJ-SGNR"/>
    <d v="2022-05-25T00:00:00"/>
  </r>
  <r>
    <s v="819066212735"/>
    <x v="1760"/>
    <s v="KOMAL TRADING CO"/>
    <n v="212735"/>
    <s v="RADHE BUILDING MATERIAL"/>
    <n v="0"/>
    <n v="0"/>
    <n v="0"/>
    <n v="0"/>
    <n v="0"/>
    <n v="0"/>
    <n v="25"/>
    <n v="0"/>
    <n v="0"/>
    <n v="10"/>
    <n v="0"/>
    <n v="10"/>
    <n v="5"/>
    <n v="0"/>
    <n v="0"/>
    <n v="0"/>
    <n v="0"/>
    <n v="0"/>
    <n v="0"/>
    <n v="0"/>
    <n v="0"/>
    <n v="0"/>
    <n v="0"/>
    <n v="0"/>
    <n v="40"/>
    <n v="0"/>
    <n v="10"/>
    <s v="BIKANER"/>
    <s v="BIKANER"/>
    <s v="RJ-SGNR"/>
    <d v="2022-05-25T00:00:00"/>
  </r>
  <r>
    <s v="819391210566"/>
    <x v="1761"/>
    <s v="PRAGYA PRAKASH OJHA"/>
    <n v="210566"/>
    <s v="LADHURAM  MURLIDHAR RATHI"/>
    <n v="0"/>
    <n v="0"/>
    <n v="0"/>
    <n v="0"/>
    <n v="0"/>
    <n v="0"/>
    <n v="39"/>
    <n v="0"/>
    <n v="0"/>
    <n v="0"/>
    <n v="0"/>
    <n v="0"/>
    <n v="10"/>
    <n v="0"/>
    <n v="0"/>
    <n v="5"/>
    <n v="5"/>
    <n v="0"/>
    <n v="0"/>
    <n v="0"/>
    <n v="0"/>
    <n v="0"/>
    <n v="0"/>
    <n v="0"/>
    <n v="54"/>
    <n v="5"/>
    <n v="0"/>
    <s v="BIKANER"/>
    <s v="BIKANER"/>
    <s v="RJ-SGNR"/>
    <d v="2022-06-17T00:00:00"/>
  </r>
  <r>
    <s v="819420119044"/>
    <x v="1762"/>
    <s v="MANAK CHAND DHAWAL"/>
    <n v="119044"/>
    <s v="PANWAR TRADING CORPORATION LTD"/>
    <n v="0"/>
    <n v="0"/>
    <n v="0"/>
    <n v="0"/>
    <n v="0"/>
    <n v="0"/>
    <n v="0"/>
    <n v="0"/>
    <n v="0"/>
    <n v="15"/>
    <n v="0"/>
    <n v="0"/>
    <n v="15"/>
    <n v="0"/>
    <n v="0"/>
    <n v="62.5"/>
    <n v="2.5"/>
    <n v="0"/>
    <n v="70"/>
    <n v="0"/>
    <n v="0"/>
    <n v="15"/>
    <n v="0"/>
    <n v="0"/>
    <n v="177.5"/>
    <n v="2.5"/>
    <n v="0"/>
    <s v="BIKANER"/>
    <s v="BIKANER"/>
    <s v="RJ-SGNR"/>
    <d v="2022-06-20T00:00:00"/>
  </r>
  <r>
    <s v="819421212735"/>
    <x v="1763"/>
    <s v="SAHI RAM"/>
    <n v="212735"/>
    <s v="RADHE BUILDING MATERIAL"/>
    <n v="0"/>
    <n v="0"/>
    <n v="0"/>
    <n v="0"/>
    <n v="0"/>
    <n v="0"/>
    <n v="10"/>
    <n v="0"/>
    <n v="0"/>
    <n v="10"/>
    <n v="0"/>
    <n v="0"/>
    <n v="0"/>
    <n v="0"/>
    <n v="0"/>
    <n v="10"/>
    <n v="0"/>
    <n v="0"/>
    <n v="10"/>
    <n v="0"/>
    <n v="0"/>
    <n v="25"/>
    <n v="10"/>
    <n v="0"/>
    <n v="65"/>
    <n v="0"/>
    <n v="0"/>
    <s v="BIKANER"/>
    <s v="BIKANER"/>
    <s v="RJ-SGNR"/>
    <d v="2022-06-20T00:00:00"/>
  </r>
  <r>
    <s v="819422172497"/>
    <x v="1764"/>
    <s v="SHRAWAN KUMAR"/>
    <n v="172497"/>
    <s v="VINAYAK INDUSTRIES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20"/>
    <n v="0"/>
    <n v="0"/>
    <n v="10"/>
    <n v="0"/>
    <n v="0"/>
    <n v="55"/>
    <n v="0"/>
    <n v="0"/>
    <s v="BIKANER"/>
    <s v="BIKANER"/>
    <s v="RJ-SGNR"/>
    <d v="2022-06-20T00:00:00"/>
  </r>
  <r>
    <s v="819426210566"/>
    <x v="1765"/>
    <s v="DALU RAM"/>
    <n v="210566"/>
    <s v="LADHURAM  MURLIDHAR RATHI"/>
    <n v="0"/>
    <n v="0"/>
    <n v="0"/>
    <n v="0"/>
    <n v="0"/>
    <n v="0"/>
    <n v="20"/>
    <n v="0"/>
    <n v="0"/>
    <n v="0"/>
    <n v="0"/>
    <n v="0"/>
    <n v="10"/>
    <n v="0"/>
    <n v="0"/>
    <n v="15"/>
    <n v="0"/>
    <n v="0"/>
    <n v="0"/>
    <n v="0"/>
    <n v="0"/>
    <n v="17.5"/>
    <n v="0"/>
    <n v="0"/>
    <n v="62.5"/>
    <n v="0"/>
    <n v="0"/>
    <s v="BIKANER"/>
    <s v="BIKANER"/>
    <s v="RJ-SGNR"/>
    <d v="2022-06-20T00:00:00"/>
  </r>
  <r>
    <s v="819428210566"/>
    <x v="1766"/>
    <s v="HARI SHANKAR JOSHI"/>
    <n v="210566"/>
    <s v="LADHURAM  MURLIDHAR RATHI"/>
    <n v="0"/>
    <n v="0"/>
    <n v="0"/>
    <n v="0"/>
    <n v="0"/>
    <n v="0"/>
    <n v="0"/>
    <n v="0"/>
    <n v="0"/>
    <n v="0"/>
    <n v="0"/>
    <n v="0"/>
    <n v="21"/>
    <n v="0"/>
    <n v="5"/>
    <n v="19.5"/>
    <n v="0"/>
    <n v="10"/>
    <n v="15"/>
    <n v="0"/>
    <n v="0"/>
    <n v="0"/>
    <n v="0"/>
    <n v="0"/>
    <n v="55.5"/>
    <n v="0"/>
    <n v="15"/>
    <s v="BIKANER"/>
    <s v="BIKANER"/>
    <s v="RJ-SGNR"/>
    <d v="2022-06-20T00:00:00"/>
  </r>
  <r>
    <s v="819430212735"/>
    <x v="1767"/>
    <s v="MA KALKA MARBLE &amp; GRENITE"/>
    <n v="212735"/>
    <s v="RADHE BUILDING MATERIAL"/>
    <n v="0"/>
    <n v="0"/>
    <n v="0"/>
    <n v="0"/>
    <n v="0"/>
    <n v="0"/>
    <n v="25"/>
    <n v="0"/>
    <n v="0"/>
    <n v="80"/>
    <n v="10"/>
    <n v="0"/>
    <n v="32"/>
    <n v="10"/>
    <n v="0"/>
    <n v="25"/>
    <n v="0"/>
    <n v="0"/>
    <n v="10"/>
    <n v="0"/>
    <n v="0"/>
    <n v="15"/>
    <n v="0"/>
    <n v="0"/>
    <n v="187"/>
    <n v="20"/>
    <n v="0"/>
    <s v="BIKANER"/>
    <s v="BIKANER"/>
    <s v="RJ-SGNR"/>
    <d v="2022-06-20T00:00:00"/>
  </r>
  <r>
    <s v="819466212735"/>
    <x v="1768"/>
    <s v="BHANWAR LAL"/>
    <n v="212735"/>
    <s v="RADHE BUILDING MATERIAL"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25"/>
    <n v="0"/>
    <n v="0"/>
    <s v="BIKANER"/>
    <s v="BIKANER"/>
    <s v="RJ-SGNR"/>
    <d v="2022-06-23T00:00:00"/>
  </r>
  <r>
    <s v="819470119154"/>
    <x v="1769"/>
    <s v="AIDAN RAM"/>
    <n v="119154"/>
    <s v="SHRI GANPATI ENTERPRISES"/>
    <n v="0"/>
    <n v="0"/>
    <n v="0"/>
    <n v="0"/>
    <n v="0"/>
    <n v="0"/>
    <n v="0"/>
    <n v="0"/>
    <n v="0"/>
    <n v="30"/>
    <n v="0"/>
    <n v="0"/>
    <n v="20"/>
    <n v="0"/>
    <n v="0"/>
    <n v="25"/>
    <n v="0"/>
    <n v="25"/>
    <n v="0"/>
    <n v="0"/>
    <n v="0"/>
    <n v="0"/>
    <n v="0"/>
    <n v="0"/>
    <n v="75"/>
    <n v="0"/>
    <n v="25"/>
    <s v="BIKANER"/>
    <s v="BIKANER"/>
    <s v="RJ-SGNR"/>
    <d v="2022-06-23T00:00:00"/>
  </r>
  <r>
    <s v="819493210566"/>
    <x v="1770"/>
    <s v="BHANWAR LAL"/>
    <n v="210566"/>
    <s v="LADHURAM  MURLIDHAR RATHI"/>
    <n v="0"/>
    <n v="0"/>
    <n v="0"/>
    <n v="0"/>
    <n v="0"/>
    <n v="0"/>
    <n v="0"/>
    <n v="0"/>
    <n v="0"/>
    <n v="20"/>
    <n v="11"/>
    <n v="0"/>
    <n v="10"/>
    <n v="0"/>
    <n v="0"/>
    <n v="0"/>
    <n v="0"/>
    <n v="0"/>
    <n v="0"/>
    <n v="0"/>
    <n v="0"/>
    <n v="7.5"/>
    <n v="0"/>
    <n v="0"/>
    <n v="37.5"/>
    <n v="11"/>
    <n v="0"/>
    <s v="BIKANER"/>
    <s v="BIKANER"/>
    <s v="RJ-SGNR"/>
    <d v="2022-06-24T00:00:00"/>
  </r>
  <r>
    <s v="819783119044"/>
    <x v="1771"/>
    <s v="HAROJI TRADING COMPANY"/>
    <n v="119044"/>
    <s v="PANWAR TRADING CORPORATION LTD"/>
    <n v="0"/>
    <n v="0"/>
    <n v="0"/>
    <n v="0"/>
    <n v="0"/>
    <n v="0"/>
    <n v="0"/>
    <n v="0"/>
    <n v="0"/>
    <n v="20"/>
    <n v="0"/>
    <n v="0"/>
    <n v="15"/>
    <n v="0"/>
    <n v="0"/>
    <n v="40"/>
    <n v="0"/>
    <n v="0"/>
    <n v="46"/>
    <n v="0"/>
    <n v="20"/>
    <n v="45"/>
    <n v="0"/>
    <n v="0"/>
    <n v="166"/>
    <n v="0"/>
    <n v="20"/>
    <s v="BIKANER"/>
    <s v="BIKANER"/>
    <s v="RJ-SGNR"/>
    <d v="2022-07-16T00:00:00"/>
  </r>
  <r>
    <s v="819792142512"/>
    <x v="1772"/>
    <s v="JAI MAA GANGA TRADERS"/>
    <n v="142512"/>
    <s v="GURU KRIPA TRADING CO"/>
    <n v="0"/>
    <n v="0"/>
    <n v="0"/>
    <n v="0"/>
    <n v="0"/>
    <n v="0"/>
    <n v="0"/>
    <n v="0"/>
    <n v="0"/>
    <n v="17.5"/>
    <n v="0"/>
    <n v="0"/>
    <n v="16"/>
    <n v="0"/>
    <n v="0"/>
    <n v="2"/>
    <n v="0"/>
    <n v="0"/>
    <n v="2.5"/>
    <n v="0"/>
    <n v="0"/>
    <n v="0"/>
    <n v="0"/>
    <n v="0"/>
    <n v="38"/>
    <n v="0"/>
    <n v="0"/>
    <s v="BIKANER"/>
    <s v="BIKANER"/>
    <s v="RJ-SGNR"/>
    <d v="2022-07-16T00:00:00"/>
  </r>
  <r>
    <s v="819984209017"/>
    <x v="1773"/>
    <s v="EKNATH ACHARYA"/>
    <n v="209017"/>
    <s v="SARSWAT HARDWARE"/>
    <n v="0"/>
    <n v="0"/>
    <n v="0"/>
    <n v="0"/>
    <n v="0"/>
    <n v="0"/>
    <n v="0"/>
    <n v="0"/>
    <n v="0"/>
    <n v="38"/>
    <n v="0"/>
    <n v="0"/>
    <n v="54"/>
    <n v="0"/>
    <n v="0"/>
    <n v="77"/>
    <n v="0"/>
    <n v="0"/>
    <n v="59"/>
    <n v="6"/>
    <n v="0"/>
    <n v="90"/>
    <n v="0"/>
    <n v="0"/>
    <n v="318"/>
    <n v="6"/>
    <n v="0"/>
    <s v="BIKANER"/>
    <s v="BIKANER"/>
    <s v="RJ-SGNR"/>
    <d v="2022-07-28T00:00:00"/>
  </r>
  <r>
    <s v="818594144154"/>
    <x v="1774"/>
    <s v="ASHRAF SHAH"/>
    <n v="144154"/>
    <s v="SANGAM TRADERS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70"/>
    <n v="0"/>
    <n v="0"/>
    <n v="25"/>
    <n v="0"/>
    <n v="0"/>
    <n v="130"/>
    <n v="0"/>
    <n v="0"/>
    <s v="BIKANER"/>
    <s v="BIKANER"/>
    <s v="RJ-SGNR"/>
    <d v="2022-04-07T00:00:00"/>
  </r>
  <r>
    <s v="820038212840"/>
    <x v="1775"/>
    <s v="AMIT JAIN"/>
    <n v="212840"/>
    <s v="SHIVAM BUILDING MATERIAL"/>
    <n v="0"/>
    <n v="0"/>
    <n v="0"/>
    <n v="0"/>
    <n v="0"/>
    <n v="0"/>
    <n v="0"/>
    <n v="0"/>
    <n v="0"/>
    <n v="0"/>
    <n v="0"/>
    <n v="0"/>
    <n v="0"/>
    <n v="0"/>
    <n v="0"/>
    <n v="115"/>
    <n v="0"/>
    <n v="0"/>
    <n v="65"/>
    <n v="0"/>
    <n v="0"/>
    <n v="15"/>
    <n v="0"/>
    <n v="0"/>
    <n v="195"/>
    <n v="0"/>
    <n v="0"/>
    <s v="BIKANER"/>
    <s v="BIKANER"/>
    <s v="RJ-SGNR"/>
    <d v="2022-08-04T00:00:00"/>
  </r>
  <r>
    <s v="820040174271"/>
    <x v="1776"/>
    <s v="VINOD KUMAR"/>
    <n v="174271"/>
    <s v="S K TRADERS"/>
    <n v="0"/>
    <n v="0"/>
    <n v="0"/>
    <n v="0"/>
    <n v="0"/>
    <n v="0"/>
    <n v="0"/>
    <n v="0"/>
    <n v="0"/>
    <n v="0"/>
    <n v="0"/>
    <n v="0"/>
    <n v="0"/>
    <n v="0"/>
    <n v="0"/>
    <n v="67"/>
    <n v="12"/>
    <n v="0"/>
    <n v="10"/>
    <n v="0"/>
    <n v="10"/>
    <n v="65"/>
    <n v="15"/>
    <n v="25"/>
    <n v="142"/>
    <n v="12"/>
    <n v="10"/>
    <s v="BIKANER"/>
    <s v="BIKANER"/>
    <s v="RJ-SGNR"/>
    <d v="2022-08-04T00:00:00"/>
  </r>
  <r>
    <s v="814401119160"/>
    <x v="1706"/>
    <s v="RAJ CEMENT SUPPLIERS"/>
    <n v="119160"/>
    <s v="NIKHIL ASSOCIATE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IKANER"/>
    <s v="BIKANER"/>
    <s v="RJ-SGNR"/>
    <d v="2021-02-05T00:00:00"/>
  </r>
  <r>
    <s v="820483145353"/>
    <x v="1777"/>
    <s v="CHANDRA KALA"/>
    <n v="145353"/>
    <s v="SHREE SARAS CORPORATION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30"/>
    <n v="0"/>
    <n v="0"/>
    <n v="0"/>
    <n v="0"/>
    <n v="0"/>
    <n v="75"/>
    <n v="0"/>
    <n v="0"/>
    <s v="BIKANER"/>
    <s v="BIKANER"/>
    <s v="RJ-SGNR"/>
    <d v="2022-09-12T00:00:00"/>
  </r>
  <r>
    <s v="820511212735"/>
    <x v="1778"/>
    <s v="HARI RAM CHHURANG"/>
    <n v="212735"/>
    <s v="RADHE BUILDING MATERIAL"/>
    <n v="0"/>
    <n v="0"/>
    <n v="0"/>
    <n v="0"/>
    <n v="0"/>
    <n v="0"/>
    <n v="0"/>
    <n v="0"/>
    <n v="0"/>
    <n v="0"/>
    <n v="0"/>
    <n v="0"/>
    <n v="0"/>
    <n v="0"/>
    <n v="0"/>
    <n v="30"/>
    <n v="0"/>
    <n v="15"/>
    <n v="27.5"/>
    <n v="0"/>
    <n v="0"/>
    <n v="25"/>
    <n v="0"/>
    <n v="0"/>
    <n v="82.5"/>
    <n v="0"/>
    <n v="15"/>
    <s v="BIKANER"/>
    <s v="BIKANER"/>
    <s v="RJ-SGNR"/>
    <d v="2022-09-13T00:00:00"/>
  </r>
  <r>
    <s v="820512210566"/>
    <x v="1779"/>
    <s v="JAISA RAM MOOND"/>
    <n v="210566"/>
    <s v="LADHURAM  MURLIDHAR RATHI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20"/>
    <n v="0"/>
    <n v="0"/>
    <n v="7.5"/>
    <n v="0"/>
    <n v="0"/>
    <n v="35"/>
    <n v="0"/>
    <n v="0"/>
    <s v="BIKANER"/>
    <s v="BIKANER"/>
    <s v="RJ-SGNR"/>
    <d v="2022-09-13T00:00:00"/>
  </r>
  <r>
    <s v="820523212735"/>
    <x v="1780"/>
    <s v="KARNI KRIPA BUILDING MATERIAL"/>
    <n v="212735"/>
    <s v="RADHE BUILDING MATERIAL"/>
    <n v="0"/>
    <n v="0"/>
    <n v="0"/>
    <n v="0"/>
    <n v="0"/>
    <n v="0"/>
    <n v="0"/>
    <n v="0"/>
    <n v="0"/>
    <n v="0"/>
    <n v="0"/>
    <n v="0"/>
    <n v="0"/>
    <n v="0"/>
    <n v="0"/>
    <n v="15"/>
    <n v="0"/>
    <n v="15"/>
    <n v="0"/>
    <n v="0"/>
    <n v="0"/>
    <n v="14"/>
    <n v="0"/>
    <n v="0"/>
    <n v="29"/>
    <n v="0"/>
    <n v="15"/>
    <s v="BIKANER"/>
    <s v="BIKANER"/>
    <s v="RJ-SGNR"/>
    <d v="2022-09-14T00:00:00"/>
  </r>
  <r>
    <s v="820568145353"/>
    <x v="1781"/>
    <s v="REKHA PAREEK"/>
    <n v="145353"/>
    <s v="SHREE SARAS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0"/>
    <n v="0"/>
    <n v="0"/>
    <n v="45"/>
    <n v="0"/>
    <n v="0"/>
    <s v="BIKANER"/>
    <s v="BIKANER"/>
    <s v="RJ-SGNR"/>
    <d v="2022-09-17T00:00:00"/>
  </r>
  <r>
    <s v="820511174034"/>
    <x v="1778"/>
    <s v="HARI RAM CHHURANG"/>
    <n v="174034"/>
    <s v="RADHE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0"/>
    <n v="0"/>
    <n v="0"/>
    <n v="7.5"/>
    <n v="0"/>
    <n v="0"/>
    <s v="BIKANER"/>
    <s v="BIKANER"/>
    <s v="RJ-SGNR"/>
    <d v="2022-09-13T00:00:00"/>
  </r>
  <r>
    <s v="819466119044"/>
    <x v="1768"/>
    <s v="BHANWAR LAL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20"/>
    <n v="0"/>
    <n v="0"/>
    <n v="36"/>
    <n v="0"/>
    <n v="0"/>
    <s v="BIKANER"/>
    <s v="BIKANER"/>
    <s v="RJ-SGNR"/>
    <d v="2022-06-23T00:00:00"/>
  </r>
  <r>
    <s v="820211174271"/>
    <x v="1782"/>
    <s v="RAJU RAM"/>
    <n v="174271"/>
    <s v="S K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BIKANER"/>
    <s v="BIKANER"/>
    <s v="RJ-SGNR"/>
    <d v="2022-08-22T00:00:00"/>
  </r>
  <r>
    <s v="821204212735"/>
    <x v="1783"/>
    <s v="SHYAM LAL JANI"/>
    <n v="212735"/>
    <s v="RADHE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BIKANER"/>
    <s v="BIKANER"/>
    <s v="RJ-SGNR"/>
    <d v="2022-11-12T00:00:00"/>
  </r>
  <r>
    <s v="821218210566"/>
    <x v="1784"/>
    <s v="DAYARAM SHARMA"/>
    <n v="210566"/>
    <s v="LADHURAM  MURLIDHAR RATH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5"/>
    <n v="5"/>
    <n v="5"/>
    <n v="40"/>
    <n v="0"/>
    <n v="0"/>
    <s v="BIKANER"/>
    <s v="BIKANER"/>
    <s v="RJ-SGNR"/>
    <d v="2022-11-14T00:00:00"/>
  </r>
  <r>
    <s v="821234209017"/>
    <x v="1785"/>
    <s v="PRADEEP KUMAR SHARMA"/>
    <n v="209017"/>
    <s v="SARSWAT HARDWA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65"/>
    <n v="0"/>
    <n v="0"/>
    <n v="80"/>
    <n v="0"/>
    <n v="0"/>
    <s v="BIKANER"/>
    <s v="BIKANER"/>
    <s v="RJ-SGNR"/>
    <d v="2022-11-15T00:00:00"/>
  </r>
  <r>
    <s v="821202119044"/>
    <x v="1786"/>
    <s v="JIVRAJ GAHLOT"/>
    <n v="119044"/>
    <s v="PANWAR TRADING CORPORATION LT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5"/>
    <n v="10"/>
    <n v="15"/>
    <n v="40"/>
    <n v="0"/>
    <n v="0"/>
    <s v="BIKANER"/>
    <s v="BIKANER"/>
    <s v="RJ-SGNR"/>
    <d v="2022-11-11T00:00:00"/>
  </r>
  <r>
    <s v="806922170847"/>
    <x v="1787"/>
    <s v="MAHALA ENTERPRISES"/>
    <n v="170847"/>
    <s v="SHREE BALAJI TRADING COMPANY"/>
    <n v="10"/>
    <n v="0"/>
    <n v="0"/>
    <n v="13"/>
    <n v="0"/>
    <n v="0"/>
    <n v="35"/>
    <n v="0"/>
    <n v="20"/>
    <n v="0"/>
    <n v="0"/>
    <n v="0"/>
    <n v="11"/>
    <n v="0"/>
    <n v="0"/>
    <n v="0"/>
    <n v="0"/>
    <n v="0"/>
    <n v="20"/>
    <n v="0"/>
    <n v="0"/>
    <n v="15"/>
    <n v="0"/>
    <n v="0"/>
    <n v="104"/>
    <n v="0"/>
    <n v="20"/>
    <s v="CHURU"/>
    <s v="BIKANER"/>
    <s v="RJ-SGNR"/>
    <d v="2017-09-26T00:00:00"/>
  </r>
  <r>
    <s v="806922208055"/>
    <x v="1787"/>
    <s v="MAHALA ENTERPRISES"/>
    <n v="208055"/>
    <s v="SHIV SHAKTI BUILDING MATERIAL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s v="CHURU"/>
    <s v="BIKANER"/>
    <s v="RJ-SGNR"/>
    <d v="2017-09-26T00:00:00"/>
  </r>
  <r>
    <s v="806923170847"/>
    <x v="1788"/>
    <s v="CHOUDHARY CEMENT SUPPLIERS"/>
    <n v="170847"/>
    <s v="SHREE BALAJI TRADING COMPANY"/>
    <n v="5"/>
    <n v="0"/>
    <n v="0"/>
    <n v="0"/>
    <n v="0"/>
    <n v="0"/>
    <n v="0"/>
    <n v="0"/>
    <n v="0"/>
    <n v="8"/>
    <n v="0"/>
    <n v="0"/>
    <n v="10"/>
    <n v="0"/>
    <n v="0"/>
    <n v="0"/>
    <n v="0"/>
    <n v="0"/>
    <n v="10"/>
    <n v="0"/>
    <n v="0"/>
    <n v="6"/>
    <n v="0"/>
    <n v="6"/>
    <n v="39"/>
    <n v="0"/>
    <n v="0"/>
    <s v="CHURU"/>
    <s v="BIKANER"/>
    <s v="RJ-SGNR"/>
    <d v="2017-09-26T00:00:00"/>
  </r>
  <r>
    <s v="806923208055"/>
    <x v="1788"/>
    <s v="CHOUDHARY CEMENT SUPPLIERS"/>
    <n v="208055"/>
    <s v="SHIV SHAKTI BUILDING MATERIAL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s v="CHURU"/>
    <s v="BIKANER"/>
    <s v="RJ-SGNR"/>
    <d v="2017-09-26T00:00:00"/>
  </r>
  <r>
    <s v="807733176869"/>
    <x v="1789"/>
    <s v="LADOIA STONE"/>
    <n v="176869"/>
    <s v="CHHABRA CEMENT SUPPLIERS"/>
    <n v="205"/>
    <n v="0"/>
    <n v="0"/>
    <n v="42.5"/>
    <n v="0"/>
    <n v="0"/>
    <n v="144.5"/>
    <n v="0"/>
    <n v="0"/>
    <n v="55"/>
    <n v="0"/>
    <n v="0"/>
    <n v="70"/>
    <n v="0"/>
    <n v="0"/>
    <n v="42.5"/>
    <n v="0"/>
    <n v="0"/>
    <n v="67"/>
    <n v="0"/>
    <n v="0"/>
    <n v="17"/>
    <n v="0"/>
    <n v="0"/>
    <n v="643.5"/>
    <n v="0"/>
    <n v="0"/>
    <s v="CHURU"/>
    <s v="BIKANER"/>
    <s v="RJ-SGNR"/>
    <d v="2019-01-12T00:00:00"/>
  </r>
  <r>
    <s v="807734176869"/>
    <x v="1790"/>
    <s v="CHHABRA STONE MERCHANT"/>
    <n v="176869"/>
    <s v="CHHABRA CEMENT SUPPLIERS"/>
    <n v="106"/>
    <n v="0"/>
    <n v="0"/>
    <n v="65"/>
    <n v="0"/>
    <n v="0"/>
    <n v="90"/>
    <n v="0"/>
    <n v="20"/>
    <n v="106"/>
    <n v="0"/>
    <n v="0"/>
    <n v="124"/>
    <n v="0"/>
    <n v="0"/>
    <n v="27"/>
    <n v="0"/>
    <n v="0"/>
    <n v="123.5"/>
    <n v="0"/>
    <n v="0"/>
    <n v="37"/>
    <n v="0"/>
    <n v="0"/>
    <n v="678.5"/>
    <n v="0"/>
    <n v="20"/>
    <s v="CHURU"/>
    <s v="BIKANER"/>
    <s v="RJ-SGNR"/>
    <d v="2019-01-12T00:00:00"/>
  </r>
  <r>
    <s v="809361177016"/>
    <x v="1791"/>
    <s v="GORISHANKAR SHARMA"/>
    <n v="177016"/>
    <s v="KHANDELWAL STONE"/>
    <n v="45"/>
    <n v="0"/>
    <n v="0"/>
    <n v="40"/>
    <n v="0"/>
    <n v="0"/>
    <n v="40"/>
    <n v="0"/>
    <n v="0"/>
    <n v="74.25"/>
    <n v="0"/>
    <n v="0"/>
    <n v="40"/>
    <n v="0"/>
    <n v="0"/>
    <n v="61"/>
    <n v="0"/>
    <n v="17"/>
    <n v="35"/>
    <n v="0"/>
    <n v="0"/>
    <n v="60"/>
    <n v="0"/>
    <n v="0"/>
    <n v="395.25"/>
    <n v="0"/>
    <n v="17"/>
    <s v="CHURU"/>
    <s v="BIKANER"/>
    <s v="RJ-SGNR"/>
    <d v="2019-04-12T00:00:00"/>
  </r>
  <r>
    <s v="809438177016"/>
    <x v="1792"/>
    <s v="ISHAR RAM PRAJAPAT"/>
    <n v="177016"/>
    <s v="KHANDELWAL STONE"/>
    <n v="60"/>
    <n v="0"/>
    <n v="0"/>
    <n v="10"/>
    <n v="0"/>
    <n v="0"/>
    <n v="30"/>
    <n v="0"/>
    <n v="0"/>
    <n v="25"/>
    <n v="0"/>
    <n v="0"/>
    <n v="35"/>
    <n v="0"/>
    <n v="0"/>
    <n v="4"/>
    <n v="0"/>
    <n v="0"/>
    <n v="20"/>
    <n v="0"/>
    <n v="0"/>
    <n v="10"/>
    <n v="0"/>
    <n v="0"/>
    <n v="194"/>
    <n v="0"/>
    <n v="0"/>
    <s v="CHURU"/>
    <s v="BIKANER"/>
    <s v="RJ-SGNR"/>
    <d v="2019-04-24T00:00:00"/>
  </r>
  <r>
    <s v="809577170847"/>
    <x v="1793"/>
    <s v="TAWANIYA CEMENT SUPPLIER"/>
    <n v="170847"/>
    <s v="SHREE BALAJI TRADING COMPANY"/>
    <n v="104"/>
    <n v="2"/>
    <n v="0"/>
    <n v="53"/>
    <n v="0"/>
    <n v="0"/>
    <n v="119.15"/>
    <n v="9.15"/>
    <n v="0"/>
    <n v="48"/>
    <n v="0"/>
    <n v="15"/>
    <n v="35"/>
    <n v="0"/>
    <n v="10"/>
    <n v="57"/>
    <n v="0"/>
    <n v="0"/>
    <n v="53"/>
    <n v="0"/>
    <n v="0"/>
    <n v="63"/>
    <n v="0"/>
    <n v="0"/>
    <n v="532.15"/>
    <n v="11.15"/>
    <n v="25"/>
    <s v="CHURU"/>
    <s v="BIKANER"/>
    <s v="RJ-SGNR"/>
    <d v="2019-05-20T00:00:00"/>
  </r>
  <r>
    <s v="809578177016"/>
    <x v="1794"/>
    <s v="JETHARAM SWAMI"/>
    <n v="177016"/>
    <s v="KHANDELWAL STONE"/>
    <n v="70"/>
    <n v="0"/>
    <n v="0"/>
    <n v="70.5"/>
    <n v="0"/>
    <n v="0"/>
    <n v="72"/>
    <n v="0"/>
    <n v="0"/>
    <n v="70"/>
    <n v="0"/>
    <n v="0"/>
    <n v="71.25"/>
    <n v="0"/>
    <n v="0"/>
    <n v="43.75"/>
    <n v="0"/>
    <n v="0"/>
    <n v="50"/>
    <n v="0"/>
    <n v="0"/>
    <n v="37"/>
    <n v="0"/>
    <n v="0"/>
    <n v="484.5"/>
    <n v="0"/>
    <n v="0"/>
    <s v="CHURU"/>
    <s v="BIKANER"/>
    <s v="RJ-SGNR"/>
    <d v="2019-05-20T00:00:00"/>
  </r>
  <r>
    <s v="810596176693"/>
    <x v="1795"/>
    <s v="GULAM NABI BHATI"/>
    <n v="176693"/>
    <s v="SUBHAM AGENCIES"/>
    <n v="70"/>
    <n v="0"/>
    <n v="0"/>
    <n v="80"/>
    <n v="0"/>
    <n v="0"/>
    <n v="65"/>
    <n v="0"/>
    <n v="0"/>
    <n v="20"/>
    <n v="0"/>
    <n v="0"/>
    <n v="30"/>
    <n v="0"/>
    <n v="0"/>
    <n v="70"/>
    <n v="0"/>
    <n v="0"/>
    <n v="25"/>
    <n v="0"/>
    <n v="0"/>
    <n v="77"/>
    <n v="0"/>
    <n v="0"/>
    <n v="437"/>
    <n v="0"/>
    <n v="0"/>
    <s v="CHURU"/>
    <s v="BIKANER"/>
    <s v="RJ-SGNR"/>
    <d v="2019-10-05T00:00:00"/>
  </r>
  <r>
    <s v="810597176693"/>
    <x v="1796"/>
    <s v="BABU LAL SWAMI"/>
    <n v="176693"/>
    <s v="SUBHAM AGENCIES"/>
    <n v="30"/>
    <n v="0"/>
    <n v="0"/>
    <n v="10"/>
    <n v="0"/>
    <n v="0"/>
    <n v="20"/>
    <n v="0"/>
    <n v="0"/>
    <n v="20"/>
    <n v="0"/>
    <n v="0"/>
    <n v="1"/>
    <n v="0"/>
    <n v="0"/>
    <n v="0"/>
    <n v="0"/>
    <n v="0"/>
    <n v="0"/>
    <n v="0"/>
    <n v="0"/>
    <n v="20"/>
    <n v="0"/>
    <n v="0"/>
    <n v="101"/>
    <n v="0"/>
    <n v="0"/>
    <s v="CHURU"/>
    <s v="BIKANER"/>
    <s v="RJ-SGNR"/>
    <d v="2019-10-05T00:00:00"/>
  </r>
  <r>
    <s v="811119177662"/>
    <x v="1797"/>
    <s v="RUPA RAM"/>
    <n v="177662"/>
    <s v="MANOJ KUMAR S/0 BHERA RAM"/>
    <n v="32"/>
    <n v="0"/>
    <n v="0"/>
    <n v="5"/>
    <n v="0"/>
    <n v="0"/>
    <n v="75.099999999999994"/>
    <n v="0"/>
    <n v="23"/>
    <n v="25"/>
    <n v="0"/>
    <n v="0"/>
    <n v="15"/>
    <n v="0"/>
    <n v="0"/>
    <n v="45"/>
    <n v="0"/>
    <n v="0"/>
    <n v="20"/>
    <n v="0"/>
    <n v="0"/>
    <n v="5"/>
    <n v="0"/>
    <n v="0"/>
    <n v="222.1"/>
    <n v="0"/>
    <n v="23"/>
    <s v="CHURU"/>
    <s v="BIKANER"/>
    <s v="RJ-SGNR"/>
    <d v="2019-12-28T00:00:00"/>
  </r>
  <r>
    <s v="811402176869"/>
    <x v="1798"/>
    <s v="ASHA RAM"/>
    <n v="176869"/>
    <s v="CHHABRA CEMENT SUPPLIERS"/>
    <n v="70"/>
    <n v="0"/>
    <n v="0"/>
    <n v="65"/>
    <n v="0"/>
    <n v="0"/>
    <n v="80"/>
    <n v="0"/>
    <n v="0"/>
    <n v="40"/>
    <n v="0"/>
    <n v="0"/>
    <n v="77.5"/>
    <n v="0"/>
    <n v="0"/>
    <n v="22.5"/>
    <n v="0"/>
    <n v="0"/>
    <n v="44"/>
    <n v="0"/>
    <n v="0"/>
    <n v="25"/>
    <n v="0"/>
    <n v="0"/>
    <n v="424"/>
    <n v="0"/>
    <n v="0"/>
    <s v="CHURU"/>
    <s v="BIKANER"/>
    <s v="RJ-SGNR"/>
    <d v="2020-02-04T00:00:00"/>
  </r>
  <r>
    <s v="811679177016"/>
    <x v="1799"/>
    <s v="SHREE KRISHNA GRANITE AND MARB"/>
    <n v="177016"/>
    <s v="KHANDELWAL STONE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CHURU"/>
    <s v="BIKANER"/>
    <s v="RJ-SGNR"/>
    <d v="2020-03-05T00:00:00"/>
  </r>
  <r>
    <s v="811921208156"/>
    <x v="1800"/>
    <s v="RAMZAN KHAN"/>
    <n v="208156"/>
    <s v="SHRI BAJRANG TRADERS"/>
    <n v="3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s v="CHURU"/>
    <s v="BIKANER"/>
    <s v="RJ-SGNR"/>
    <d v="2020-06-13T00:00:00"/>
  </r>
  <r>
    <s v="811922177787"/>
    <x v="1801"/>
    <s v="MAHESH KUMAR"/>
    <n v="177787"/>
    <s v="S M TILES UDYOG"/>
    <n v="15"/>
    <n v="0"/>
    <n v="0"/>
    <n v="45"/>
    <n v="0"/>
    <n v="0"/>
    <n v="65"/>
    <n v="0"/>
    <n v="20"/>
    <n v="0"/>
    <n v="0"/>
    <n v="0"/>
    <n v="0"/>
    <n v="0"/>
    <n v="0"/>
    <n v="0"/>
    <n v="0"/>
    <n v="0"/>
    <n v="0"/>
    <n v="0"/>
    <n v="0"/>
    <n v="0"/>
    <n v="0"/>
    <n v="0"/>
    <n v="125"/>
    <n v="0"/>
    <n v="20"/>
    <s v="CHURU"/>
    <s v="BIKANER"/>
    <s v="RJ-SGNR"/>
    <d v="2020-06-13T00:00:00"/>
  </r>
  <r>
    <s v="811922213340"/>
    <x v="1801"/>
    <s v="MAHESH KUMAR"/>
    <n v="213340"/>
    <s v="BHAWNA ENTERPRISE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10"/>
    <n v="0"/>
    <n v="0"/>
    <s v="CHURU"/>
    <s v="BIKANER"/>
    <s v="RJ-SGNR"/>
    <d v="2020-06-13T00:00:00"/>
  </r>
  <r>
    <s v="812389177787"/>
    <x v="1689"/>
    <s v="SHARMA TRADING COMPANY"/>
    <n v="177787"/>
    <s v="S M TILES UDYOG"/>
    <n v="50"/>
    <n v="0"/>
    <n v="0"/>
    <n v="45"/>
    <n v="0"/>
    <n v="0"/>
    <n v="60"/>
    <n v="0"/>
    <n v="10"/>
    <n v="12"/>
    <n v="0"/>
    <n v="0"/>
    <n v="0"/>
    <n v="0"/>
    <n v="0"/>
    <n v="0"/>
    <n v="0"/>
    <n v="0"/>
    <n v="0"/>
    <n v="0"/>
    <n v="0"/>
    <n v="0"/>
    <n v="0"/>
    <n v="0"/>
    <n v="167"/>
    <n v="0"/>
    <n v="10"/>
    <s v="CHURU"/>
    <s v="BIKANER"/>
    <s v="RJ-SGNR"/>
    <d v="2020-07-29T00:00:00"/>
  </r>
  <r>
    <s v="812393176693"/>
    <x v="1802"/>
    <s v="MUNNI DEVI"/>
    <n v="176693"/>
    <s v="SUBHAM AGENC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URU"/>
    <s v="BIKANER"/>
    <s v="RJ-SGNR"/>
    <d v="2020-07-29T00:00:00"/>
  </r>
  <r>
    <s v="812396208156"/>
    <x v="1177"/>
    <s v="SHIVBHAGAWAN SHARMA"/>
    <n v="208156"/>
    <s v="SHRI BAJRANG TRADERS"/>
    <n v="0"/>
    <n v="0"/>
    <n v="0"/>
    <n v="0"/>
    <n v="0"/>
    <n v="0"/>
    <n v="0"/>
    <n v="0"/>
    <n v="0"/>
    <n v="20"/>
    <n v="0"/>
    <n v="0"/>
    <n v="0"/>
    <n v="0"/>
    <n v="0"/>
    <n v="25"/>
    <n v="0"/>
    <n v="0"/>
    <n v="0"/>
    <n v="0"/>
    <n v="0"/>
    <n v="10"/>
    <n v="0"/>
    <n v="0"/>
    <n v="55"/>
    <n v="0"/>
    <n v="0"/>
    <s v="CHURU"/>
    <s v="BIKANER"/>
    <s v="RJ-SGNR"/>
    <d v="2020-07-29T00:00:00"/>
  </r>
  <r>
    <s v="812433208156"/>
    <x v="1803"/>
    <s v="GANESHARAM"/>
    <n v="208156"/>
    <s v="SHRI BAJRANG TRADERS"/>
    <n v="11"/>
    <n v="0"/>
    <n v="0"/>
    <n v="0"/>
    <n v="0"/>
    <n v="0"/>
    <n v="15"/>
    <n v="0"/>
    <n v="0"/>
    <n v="0"/>
    <n v="0"/>
    <n v="0"/>
    <n v="0"/>
    <n v="0"/>
    <n v="0"/>
    <n v="25"/>
    <n v="0"/>
    <n v="0"/>
    <n v="25"/>
    <n v="0"/>
    <n v="0"/>
    <n v="58"/>
    <n v="0"/>
    <n v="0"/>
    <n v="134"/>
    <n v="0"/>
    <n v="0"/>
    <s v="CHURU"/>
    <s v="BIKANER"/>
    <s v="RJ-SGNR"/>
    <d v="2020-07-31T00:00:00"/>
  </r>
  <r>
    <s v="813003177016"/>
    <x v="1804"/>
    <s v="MOHAMMED AAMIR BHATI"/>
    <n v="177016"/>
    <s v="KHANDELWAL STONE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0"/>
    <s v="CHURU"/>
    <s v="BIKANER"/>
    <s v="RJ-SGNR"/>
    <d v="2020-09-22T00:00:00"/>
  </r>
  <r>
    <s v="813020177662"/>
    <x v="1805"/>
    <s v="RAM CHANDRA"/>
    <n v="177662"/>
    <s v="MANOJ KUMAR S/0 BHERA RAM"/>
    <n v="0"/>
    <n v="0"/>
    <n v="0"/>
    <n v="0"/>
    <n v="0"/>
    <n v="0"/>
    <n v="20"/>
    <n v="0"/>
    <n v="0"/>
    <n v="10"/>
    <n v="0"/>
    <n v="0"/>
    <n v="10"/>
    <n v="0"/>
    <n v="0"/>
    <n v="7.5"/>
    <n v="0"/>
    <n v="0"/>
    <n v="0"/>
    <n v="0"/>
    <n v="0"/>
    <n v="5"/>
    <n v="0"/>
    <n v="0"/>
    <n v="52.5"/>
    <n v="0"/>
    <n v="0"/>
    <s v="CHURU"/>
    <s v="BIKANER"/>
    <s v="RJ-SGNR"/>
    <d v="2020-09-23T00:00:00"/>
  </r>
  <r>
    <s v="813050177016"/>
    <x v="1806"/>
    <s v="SUNIL SOMANI"/>
    <n v="177016"/>
    <s v="KHANDELWAL STONE"/>
    <n v="4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5"/>
    <n v="0"/>
    <n v="0"/>
    <s v="CHURU"/>
    <s v="BIKANER"/>
    <s v="RJ-SGNR"/>
    <d v="2020-09-24T00:00:00"/>
  </r>
  <r>
    <s v="813055208156"/>
    <x v="1807"/>
    <s v="SOHANLAL JOSHI"/>
    <n v="208156"/>
    <s v="SHRI BAJRANG TRADERS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s v="CHURU"/>
    <s v="BIKANER"/>
    <s v="RJ-SGNR"/>
    <d v="2020-09-24T00:00:00"/>
  </r>
  <r>
    <s v="813155208156"/>
    <x v="1808"/>
    <s v="AMBEY BUILDING MATERIAL"/>
    <n v="208156"/>
    <s v="SHRI BAJRANG TRADERS"/>
    <n v="35"/>
    <n v="0"/>
    <n v="0"/>
    <n v="17"/>
    <n v="0"/>
    <n v="0"/>
    <n v="24"/>
    <n v="12"/>
    <n v="0"/>
    <n v="29.8"/>
    <n v="0"/>
    <n v="0"/>
    <n v="0"/>
    <n v="0"/>
    <n v="0"/>
    <n v="0"/>
    <n v="0"/>
    <n v="0"/>
    <n v="25"/>
    <n v="0"/>
    <n v="0"/>
    <n v="20"/>
    <n v="0"/>
    <n v="0"/>
    <n v="150.80000000000001"/>
    <n v="12"/>
    <n v="0"/>
    <s v="CHURU"/>
    <s v="BIKANER"/>
    <s v="RJ-SGNR"/>
    <d v="2020-10-01T00:00:00"/>
  </r>
  <r>
    <s v="813173208156"/>
    <x v="1809"/>
    <s v="RADHE SHYAM"/>
    <n v="208156"/>
    <s v="SHRI BAJRANG TRADERS"/>
    <n v="0"/>
    <n v="0"/>
    <n v="0"/>
    <n v="32"/>
    <n v="0"/>
    <n v="0"/>
    <n v="15"/>
    <n v="0"/>
    <n v="0"/>
    <n v="20"/>
    <n v="0"/>
    <n v="0"/>
    <n v="0"/>
    <n v="0"/>
    <n v="0"/>
    <n v="5"/>
    <n v="0"/>
    <n v="0"/>
    <n v="0"/>
    <n v="0"/>
    <n v="0"/>
    <n v="0"/>
    <n v="0"/>
    <n v="0"/>
    <n v="72"/>
    <n v="0"/>
    <n v="0"/>
    <s v="CHURU"/>
    <s v="BIKANER"/>
    <s v="RJ-SGNR"/>
    <d v="2020-10-05T00:00:00"/>
  </r>
  <r>
    <s v="813174177301"/>
    <x v="1810"/>
    <s v="JODHA RAM"/>
    <n v="177301"/>
    <s v="BALAJI CEMENT SUPPLIERS"/>
    <n v="30"/>
    <n v="0"/>
    <n v="0"/>
    <n v="0"/>
    <n v="0"/>
    <n v="0"/>
    <n v="18.95"/>
    <n v="0"/>
    <n v="5.95"/>
    <n v="0"/>
    <n v="0"/>
    <n v="0"/>
    <n v="16"/>
    <n v="0"/>
    <n v="0"/>
    <n v="8"/>
    <n v="0"/>
    <n v="0"/>
    <n v="42"/>
    <n v="0"/>
    <n v="0"/>
    <n v="10"/>
    <n v="0"/>
    <n v="0"/>
    <n v="124.95"/>
    <n v="0"/>
    <n v="5.95"/>
    <s v="CHURU"/>
    <s v="BIKANER"/>
    <s v="RJ-SGNR"/>
    <d v="2020-10-05T00:00:00"/>
  </r>
  <r>
    <s v="813642173257"/>
    <x v="1811"/>
    <s v="CHOUDHARY BUILDING MATERIAL AN"/>
    <n v="173257"/>
    <s v="CHOUDHARY CEMENT &amp; BUILDING MA"/>
    <n v="30"/>
    <n v="0"/>
    <n v="0"/>
    <n v="17.5"/>
    <n v="0"/>
    <n v="0"/>
    <n v="9"/>
    <n v="0"/>
    <n v="0"/>
    <n v="36"/>
    <n v="0"/>
    <n v="0"/>
    <n v="0"/>
    <n v="0"/>
    <n v="0"/>
    <n v="0"/>
    <n v="0"/>
    <n v="0"/>
    <n v="0"/>
    <n v="0"/>
    <n v="0"/>
    <n v="7.85"/>
    <n v="0"/>
    <n v="0"/>
    <n v="100.35"/>
    <n v="0"/>
    <n v="0"/>
    <s v="CHURU"/>
    <s v="BIKANER"/>
    <s v="RJ-SGNR"/>
    <d v="2020-11-25T00:00:00"/>
  </r>
  <r>
    <s v="813816173257"/>
    <x v="1812"/>
    <s v="ANOP CHAND MAHIYA"/>
    <n v="173257"/>
    <s v="CHOUDHARY CEMENT &amp; BUILDING MA"/>
    <n v="85"/>
    <n v="0"/>
    <n v="0"/>
    <n v="17.5"/>
    <n v="0"/>
    <n v="0"/>
    <n v="25"/>
    <n v="0"/>
    <n v="0"/>
    <n v="5"/>
    <n v="0"/>
    <n v="0"/>
    <n v="18"/>
    <n v="0"/>
    <n v="0"/>
    <n v="39"/>
    <n v="0"/>
    <n v="9"/>
    <n v="20"/>
    <n v="0"/>
    <n v="0"/>
    <n v="23.5"/>
    <n v="0"/>
    <n v="8"/>
    <n v="233"/>
    <n v="0"/>
    <n v="9"/>
    <s v="CHURU"/>
    <s v="BIKANER"/>
    <s v="RJ-SGNR"/>
    <d v="2020-12-11T00:00:00"/>
  </r>
  <r>
    <s v="813926205004"/>
    <x v="1813"/>
    <s v="LAKSHMAN PRASAD"/>
    <n v="205004"/>
    <s v="MORCHHARI TRADE LINK"/>
    <n v="9"/>
    <n v="0"/>
    <n v="0"/>
    <n v="0"/>
    <n v="0"/>
    <n v="0"/>
    <n v="20"/>
    <n v="0"/>
    <n v="2"/>
    <n v="0"/>
    <n v="0"/>
    <n v="0"/>
    <n v="7.5"/>
    <n v="0"/>
    <n v="0"/>
    <n v="0"/>
    <n v="0"/>
    <n v="0"/>
    <n v="7.5"/>
    <n v="0"/>
    <n v="0"/>
    <n v="43"/>
    <n v="3"/>
    <n v="5"/>
    <n v="87"/>
    <n v="0"/>
    <n v="2"/>
    <s v="CHURU"/>
    <s v="BIKANER"/>
    <s v="RJ-SGNR"/>
    <d v="2020-12-23T00:00:00"/>
  </r>
  <r>
    <s v="813971176693"/>
    <x v="1814"/>
    <s v="SHIMBHU SINGH"/>
    <n v="176693"/>
    <s v="SUBHAM AGENCIES"/>
    <n v="137"/>
    <n v="0"/>
    <n v="0"/>
    <n v="25"/>
    <n v="0"/>
    <n v="0"/>
    <n v="75"/>
    <n v="0"/>
    <n v="25"/>
    <n v="30"/>
    <n v="0"/>
    <n v="0"/>
    <n v="35"/>
    <n v="0"/>
    <n v="15"/>
    <n v="15"/>
    <n v="0"/>
    <n v="0"/>
    <n v="55"/>
    <n v="0"/>
    <n v="0"/>
    <n v="35"/>
    <n v="0"/>
    <n v="0"/>
    <n v="407"/>
    <n v="0"/>
    <n v="40"/>
    <s v="CHURU"/>
    <s v="BIKANER"/>
    <s v="RJ-SGNR"/>
    <d v="2020-12-26T00:00:00"/>
  </r>
  <r>
    <s v="813997176693"/>
    <x v="1815"/>
    <s v="IMRAN LILGHAR"/>
    <n v="176693"/>
    <s v="SUBHAM AGENCIES"/>
    <n v="54"/>
    <n v="0"/>
    <n v="0"/>
    <n v="0"/>
    <n v="0"/>
    <n v="0"/>
    <n v="0"/>
    <n v="0"/>
    <n v="0"/>
    <n v="82"/>
    <n v="0"/>
    <n v="0"/>
    <n v="35"/>
    <n v="0"/>
    <n v="0"/>
    <n v="62"/>
    <n v="0"/>
    <n v="20"/>
    <n v="47"/>
    <n v="0"/>
    <n v="0"/>
    <n v="72"/>
    <n v="0"/>
    <n v="20"/>
    <n v="352"/>
    <n v="0"/>
    <n v="20"/>
    <s v="CHURU"/>
    <s v="BIKANER"/>
    <s v="RJ-SGNR"/>
    <d v="2020-12-29T00:00:00"/>
  </r>
  <r>
    <s v="813998177301"/>
    <x v="1816"/>
    <s v="SHIV BHAGWAN"/>
    <n v="177301"/>
    <s v="BALAJI CEMENT SUPPLIERS"/>
    <n v="11"/>
    <n v="0"/>
    <n v="0"/>
    <n v="50"/>
    <n v="0"/>
    <n v="0"/>
    <n v="35"/>
    <n v="0"/>
    <n v="0"/>
    <n v="10"/>
    <n v="0"/>
    <n v="0"/>
    <n v="20"/>
    <n v="0"/>
    <n v="0"/>
    <n v="0"/>
    <n v="0"/>
    <n v="0"/>
    <n v="0"/>
    <n v="0"/>
    <n v="0"/>
    <n v="24"/>
    <n v="0"/>
    <n v="0"/>
    <n v="150"/>
    <n v="0"/>
    <n v="0"/>
    <s v="CHURU"/>
    <s v="BIKANER"/>
    <s v="RJ-SGNR"/>
    <d v="2020-12-29T00:00:00"/>
  </r>
  <r>
    <s v="814000202956"/>
    <x v="1817"/>
    <s v="BRIJ LAL BANWARI LAL"/>
    <n v="202956"/>
    <s v="SHRI SHYAM CEMENT BHANDAR"/>
    <n v="35"/>
    <n v="0"/>
    <n v="0"/>
    <n v="5"/>
    <n v="0"/>
    <n v="0"/>
    <n v="40"/>
    <n v="0"/>
    <n v="25"/>
    <n v="14"/>
    <n v="0"/>
    <n v="14"/>
    <n v="40"/>
    <n v="0"/>
    <n v="0"/>
    <n v="10"/>
    <n v="0"/>
    <n v="0"/>
    <n v="40"/>
    <n v="0"/>
    <n v="0"/>
    <n v="10"/>
    <n v="0"/>
    <n v="0"/>
    <n v="194"/>
    <n v="0"/>
    <n v="39"/>
    <s v="CHURU"/>
    <s v="BIKANER"/>
    <s v="RJ-SGNR"/>
    <d v="2020-12-29T00:00:00"/>
  </r>
  <r>
    <s v="814376205004"/>
    <x v="1818"/>
    <s v="MAHENDRA SINGH TANWAR"/>
    <n v="205004"/>
    <s v="MORCHHARI TRADE LINK"/>
    <n v="52"/>
    <n v="0"/>
    <n v="0"/>
    <n v="32"/>
    <n v="4"/>
    <n v="0"/>
    <n v="57.5"/>
    <n v="0"/>
    <n v="1"/>
    <n v="0"/>
    <n v="0"/>
    <n v="0"/>
    <n v="37"/>
    <n v="0"/>
    <n v="10"/>
    <n v="31.5"/>
    <n v="0"/>
    <n v="0"/>
    <n v="10.5"/>
    <n v="0"/>
    <n v="3"/>
    <n v="13.5"/>
    <n v="7.5"/>
    <n v="6"/>
    <n v="234"/>
    <n v="4"/>
    <n v="14"/>
    <s v="CHURU"/>
    <s v="BIKANER"/>
    <s v="RJ-SGNR"/>
    <d v="2021-02-03T00:00:00"/>
  </r>
  <r>
    <s v="814793205004"/>
    <x v="1819"/>
    <s v="MAIN PAL SINGH"/>
    <n v="205004"/>
    <s v="MORCHHARI TRADE LIN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URU"/>
    <s v="BIKANER"/>
    <s v="RJ-SGNR"/>
    <d v="2021-03-19T00:00:00"/>
  </r>
  <r>
    <s v="814794202956"/>
    <x v="1820"/>
    <s v="VAHID ALI"/>
    <n v="202956"/>
    <s v="SHRI SHYAM CEMENT BHANDAR"/>
    <n v="0"/>
    <n v="0"/>
    <n v="0"/>
    <n v="5"/>
    <n v="0"/>
    <n v="0"/>
    <n v="15"/>
    <n v="0"/>
    <n v="0"/>
    <n v="0"/>
    <n v="0"/>
    <n v="0"/>
    <n v="18"/>
    <n v="0"/>
    <n v="0"/>
    <n v="10"/>
    <n v="0"/>
    <n v="0"/>
    <n v="15"/>
    <n v="0"/>
    <n v="0"/>
    <n v="10"/>
    <n v="0"/>
    <n v="0"/>
    <n v="73"/>
    <n v="0"/>
    <n v="0"/>
    <s v="CHURU"/>
    <s v="BIKANER"/>
    <s v="RJ-SGNR"/>
    <d v="2021-03-19T00:00:00"/>
  </r>
  <r>
    <s v="814867176693"/>
    <x v="1821"/>
    <s v="RAJU KHAN"/>
    <n v="176693"/>
    <s v="SUBHAM AGENCIES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s v="CHURU"/>
    <s v="BIKANER"/>
    <s v="RJ-SGNR"/>
    <d v="2021-03-30T00:00:00"/>
  </r>
  <r>
    <s v="814936177787"/>
    <x v="1822"/>
    <s v="GIRDHARI"/>
    <n v="177787"/>
    <s v="S M TILES UDYO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URU"/>
    <s v="BIKANER"/>
    <s v="RJ-SGNR"/>
    <d v="2021-04-12T00:00:00"/>
  </r>
  <r>
    <s v="815254176693"/>
    <x v="1823"/>
    <s v="SANTOSH KUMAR"/>
    <n v="176693"/>
    <s v="SUBHAM AGENCIES"/>
    <n v="10"/>
    <n v="0"/>
    <n v="0"/>
    <n v="30"/>
    <n v="0"/>
    <n v="0"/>
    <n v="85"/>
    <n v="0"/>
    <n v="0"/>
    <n v="58"/>
    <n v="0"/>
    <n v="0"/>
    <n v="54.5"/>
    <n v="0"/>
    <n v="0"/>
    <n v="65"/>
    <n v="0"/>
    <n v="0"/>
    <n v="36"/>
    <n v="0"/>
    <n v="0"/>
    <n v="35"/>
    <n v="0"/>
    <n v="15"/>
    <n v="373.5"/>
    <n v="0"/>
    <n v="0"/>
    <s v="CHURU"/>
    <s v="BIKANER"/>
    <s v="RJ-SGNR"/>
    <d v="2021-06-25T00:00:00"/>
  </r>
  <r>
    <s v="815507176693"/>
    <x v="1824"/>
    <s v="GURUKRIPA ENTERPRISES"/>
    <n v="176693"/>
    <s v="SUBHAM AGENCIES"/>
    <n v="20"/>
    <n v="0"/>
    <n v="0"/>
    <n v="15"/>
    <n v="0"/>
    <n v="0"/>
    <n v="70"/>
    <n v="0"/>
    <n v="0"/>
    <n v="25"/>
    <n v="0"/>
    <n v="0"/>
    <n v="15"/>
    <n v="0"/>
    <n v="0"/>
    <n v="30"/>
    <n v="0"/>
    <n v="0"/>
    <n v="21"/>
    <n v="0"/>
    <n v="0"/>
    <n v="15"/>
    <n v="0"/>
    <n v="0"/>
    <n v="211"/>
    <n v="0"/>
    <n v="0"/>
    <s v="CHURU"/>
    <s v="BIKANER"/>
    <s v="RJ-SGNR"/>
    <d v="2021-07-14T00:00:00"/>
  </r>
  <r>
    <s v="815572208156"/>
    <x v="1825"/>
    <s v="DALIP KUMAR JOSHI"/>
    <n v="208156"/>
    <s v="SHRI BAJRANG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URU"/>
    <s v="BIKANER"/>
    <s v="RJ-SGNR"/>
    <d v="2021-07-21T00:00:00"/>
  </r>
  <r>
    <s v="815573208156"/>
    <x v="1826"/>
    <s v="PREM CHAND"/>
    <n v="208156"/>
    <s v="SHRI BAJRANG TRADER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CHURU"/>
    <s v="BIKANER"/>
    <s v="RJ-SGNR"/>
    <d v="2021-07-21T00:00:00"/>
  </r>
  <r>
    <s v="816111208156"/>
    <x v="1827"/>
    <s v="SHARMA CONSTRUCTION COMPANY"/>
    <n v="208156"/>
    <s v="SHRI BAJRANG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URU"/>
    <s v="BIKANER"/>
    <s v="RJ-SGNR"/>
    <d v="2021-08-25T00:00:00"/>
  </r>
  <r>
    <s v="816129177068"/>
    <x v="1828"/>
    <s v="BHUVAN KISHOR"/>
    <n v="177068"/>
    <s v="MAHALAXMI ENTERPRISES"/>
    <n v="40"/>
    <n v="0"/>
    <n v="0"/>
    <n v="55"/>
    <n v="0"/>
    <n v="0"/>
    <n v="43"/>
    <n v="0"/>
    <n v="22"/>
    <n v="29"/>
    <n v="0"/>
    <n v="9"/>
    <n v="25"/>
    <n v="0"/>
    <n v="5"/>
    <n v="36"/>
    <n v="0"/>
    <n v="7"/>
    <n v="6"/>
    <n v="0"/>
    <n v="0"/>
    <n v="44.5"/>
    <n v="0"/>
    <n v="3"/>
    <n v="278.5"/>
    <n v="0"/>
    <n v="43"/>
    <s v="CHURU"/>
    <s v="BIKANER"/>
    <s v="RJ-SGNR"/>
    <d v="2021-08-26T00:00:00"/>
  </r>
  <r>
    <s v="816366176693"/>
    <x v="1829"/>
    <s v="LAXMAN RAM"/>
    <n v="176693"/>
    <s v="SUBHAM AGENCIES"/>
    <n v="0"/>
    <n v="0"/>
    <n v="0"/>
    <n v="15"/>
    <n v="0"/>
    <n v="0"/>
    <n v="49.5"/>
    <n v="0"/>
    <n v="10"/>
    <n v="15"/>
    <n v="0"/>
    <n v="0"/>
    <n v="0"/>
    <n v="0"/>
    <n v="0"/>
    <n v="10"/>
    <n v="0"/>
    <n v="0"/>
    <n v="0"/>
    <n v="0"/>
    <n v="0"/>
    <n v="25"/>
    <n v="0"/>
    <n v="0"/>
    <n v="114.5"/>
    <n v="0"/>
    <n v="10"/>
    <s v="CHURU"/>
    <s v="BIKANER"/>
    <s v="RJ-SGNR"/>
    <d v="2021-09-16T00:00:00"/>
  </r>
  <r>
    <s v="816500176869"/>
    <x v="1830"/>
    <s v="KISHAN GAR"/>
    <n v="176869"/>
    <s v="CHHABRA CEMENT SUPPLIERS"/>
    <n v="95"/>
    <n v="0"/>
    <n v="0"/>
    <n v="73"/>
    <n v="0"/>
    <n v="0"/>
    <n v="90"/>
    <n v="0"/>
    <n v="0"/>
    <n v="57"/>
    <n v="0"/>
    <n v="0"/>
    <n v="75"/>
    <n v="0"/>
    <n v="0"/>
    <n v="47"/>
    <n v="0"/>
    <n v="0"/>
    <n v="0"/>
    <n v="0"/>
    <n v="0"/>
    <n v="15"/>
    <n v="0"/>
    <n v="0"/>
    <n v="452"/>
    <n v="0"/>
    <n v="0"/>
    <s v="CHURU"/>
    <s v="BIKANER"/>
    <s v="RJ-SGNR"/>
    <d v="2021-09-25T00:00:00"/>
  </r>
  <r>
    <s v="816687208055"/>
    <x v="1831"/>
    <s v="NEMICHAND"/>
    <n v="208055"/>
    <s v="SHIV SHAKTI BUILDING MATERIAL"/>
    <n v="5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60"/>
    <n v="0"/>
    <n v="0"/>
    <s v="CHURU"/>
    <s v="BIKANER"/>
    <s v="RJ-SGNR"/>
    <d v="2021-10-09T00:00:00"/>
  </r>
  <r>
    <s v="817192176693"/>
    <x v="1832"/>
    <s v="SHRI SHYAM BUILDING MATERIAL"/>
    <n v="176693"/>
    <s v="SUBHAM AGENCIES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s v="CHURU"/>
    <s v="BIKANER"/>
    <s v="RJ-SGNR"/>
    <d v="2021-12-02T00:00:00"/>
  </r>
  <r>
    <s v="817192210452"/>
    <x v="1832"/>
    <s v="SHRI SHYAM BUILDING MATERIAL"/>
    <n v="210452"/>
    <s v="SHRI MANSA MATA BUILDING MATER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45"/>
    <n v="0"/>
    <n v="0"/>
    <s v="CHURU"/>
    <s v="BIKANER"/>
    <s v="RJ-SGNR"/>
    <d v="2021-12-02T00:00:00"/>
  </r>
  <r>
    <s v="817192202956"/>
    <x v="1832"/>
    <s v="SHRI SHYAM BUILDING MATERIAL"/>
    <n v="202956"/>
    <s v="SHRI SHYAM CEMENT BHANDAR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10"/>
    <n v="0"/>
    <n v="0"/>
    <n v="0"/>
    <n v="0"/>
    <n v="0"/>
    <n v="26"/>
    <n v="0"/>
    <n v="0"/>
    <s v="CHURU"/>
    <s v="BIKANER"/>
    <s v="RJ-SGNR"/>
    <d v="2021-12-02T00:00:00"/>
  </r>
  <r>
    <s v="817224201678"/>
    <x v="1833"/>
    <s v="OM PRAKASH PRAJAPAT"/>
    <n v="201678"/>
    <s v="SHREE NATH JI MARBLES"/>
    <n v="0"/>
    <n v="0"/>
    <n v="0"/>
    <n v="0"/>
    <n v="0"/>
    <n v="0"/>
    <n v="13"/>
    <n v="0"/>
    <n v="0"/>
    <n v="0"/>
    <n v="0"/>
    <n v="0"/>
    <n v="0"/>
    <n v="0"/>
    <n v="0"/>
    <n v="0"/>
    <n v="0"/>
    <n v="0"/>
    <n v="0"/>
    <n v="0"/>
    <n v="0"/>
    <n v="15"/>
    <n v="0"/>
    <n v="0"/>
    <n v="28"/>
    <n v="0"/>
    <n v="0"/>
    <s v="CHURU"/>
    <s v="BIKANER"/>
    <s v="RJ-SGNR"/>
    <d v="2021-12-07T00:00:00"/>
  </r>
  <r>
    <s v="817403176869"/>
    <x v="1834"/>
    <s v="MENA"/>
    <n v="176869"/>
    <s v="CHHABRA CEMENT SUPPLIERS"/>
    <n v="102.5"/>
    <n v="0"/>
    <n v="0"/>
    <n v="80"/>
    <n v="0"/>
    <n v="0"/>
    <n v="96"/>
    <n v="0"/>
    <n v="0"/>
    <n v="0"/>
    <n v="0"/>
    <n v="0"/>
    <n v="0"/>
    <n v="0"/>
    <n v="0"/>
    <n v="0"/>
    <n v="0"/>
    <n v="0"/>
    <n v="0"/>
    <n v="0"/>
    <n v="0"/>
    <n v="0"/>
    <n v="0"/>
    <n v="0"/>
    <n v="278.5"/>
    <n v="0"/>
    <n v="0"/>
    <s v="CHURU"/>
    <s v="BIKANER"/>
    <s v="RJ-SGNR"/>
    <d v="2021-12-21T00:00:00"/>
  </r>
  <r>
    <s v="817403213340"/>
    <x v="1834"/>
    <s v="MENA"/>
    <n v="213340"/>
    <s v="BHAWNA ENTERPRISE"/>
    <n v="0"/>
    <n v="0"/>
    <n v="0"/>
    <n v="0"/>
    <n v="0"/>
    <n v="0"/>
    <n v="0"/>
    <n v="0"/>
    <n v="0"/>
    <n v="0"/>
    <n v="0"/>
    <n v="0"/>
    <n v="81"/>
    <n v="0"/>
    <n v="16"/>
    <n v="31"/>
    <n v="0"/>
    <n v="11"/>
    <n v="36"/>
    <n v="0"/>
    <n v="0"/>
    <n v="30"/>
    <n v="0"/>
    <n v="0"/>
    <n v="178"/>
    <n v="0"/>
    <n v="27"/>
    <s v="CHURU"/>
    <s v="BIKANER"/>
    <s v="RJ-SGNR"/>
    <d v="2021-12-21T00:00:00"/>
  </r>
  <r>
    <s v="817427210452"/>
    <x v="1835"/>
    <s v="SOMVEER"/>
    <n v="210452"/>
    <s v="SHRI MANSA MATA BUILDING MATER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0"/>
    <n v="0"/>
    <n v="59"/>
    <n v="0"/>
    <n v="0"/>
    <s v="CHURU"/>
    <s v="BIKANER"/>
    <s v="RJ-SGNR"/>
    <d v="2021-12-23T00:00:00"/>
  </r>
  <r>
    <s v="817461177301"/>
    <x v="1836"/>
    <s v="VIJAY KUMAR"/>
    <n v="177301"/>
    <s v="BALAJI CEMENT SUPPLIERS"/>
    <n v="5"/>
    <n v="0"/>
    <n v="0"/>
    <n v="25"/>
    <n v="0"/>
    <n v="0"/>
    <n v="35"/>
    <n v="0"/>
    <n v="0"/>
    <n v="0"/>
    <n v="0"/>
    <n v="0"/>
    <n v="23"/>
    <n v="0"/>
    <n v="0"/>
    <n v="11"/>
    <n v="0"/>
    <n v="0"/>
    <n v="15"/>
    <n v="0"/>
    <n v="0"/>
    <n v="8"/>
    <n v="0"/>
    <n v="0"/>
    <n v="122"/>
    <n v="0"/>
    <n v="0"/>
    <s v="CHURU"/>
    <s v="BIKANER"/>
    <s v="RJ-SGNR"/>
    <d v="2021-12-25T00:00:00"/>
  </r>
  <r>
    <s v="817513205004"/>
    <x v="1837"/>
    <s v="PRIYANKA"/>
    <n v="205004"/>
    <s v="MORCHHARI TRADE LINK"/>
    <n v="9"/>
    <n v="0"/>
    <n v="0"/>
    <n v="28"/>
    <n v="0"/>
    <n v="0"/>
    <n v="12"/>
    <n v="0"/>
    <n v="0"/>
    <n v="20"/>
    <n v="0"/>
    <n v="0"/>
    <n v="18.5"/>
    <n v="0"/>
    <n v="0"/>
    <n v="32.5"/>
    <n v="0"/>
    <n v="6"/>
    <n v="15"/>
    <n v="0"/>
    <n v="0"/>
    <n v="6"/>
    <n v="0"/>
    <n v="6"/>
    <n v="141"/>
    <n v="0"/>
    <n v="6"/>
    <s v="CHURU"/>
    <s v="BIKANER"/>
    <s v="RJ-SGNR"/>
    <d v="2021-12-28T00:00:00"/>
  </r>
  <r>
    <s v="817787205004"/>
    <x v="1838"/>
    <s v="RAMNARAYAN"/>
    <n v="205004"/>
    <s v="MORCHHARI TRADE LINK"/>
    <n v="2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s v="CHURU"/>
    <s v="BIKANER"/>
    <s v="RJ-SGNR"/>
    <d v="2022-01-22T00:00:00"/>
  </r>
  <r>
    <s v="818541205004"/>
    <x v="1839"/>
    <s v="DWARKA PRASAD"/>
    <n v="205004"/>
    <s v="MORCHHARI TRADE LINK"/>
    <n v="50"/>
    <n v="0"/>
    <n v="0"/>
    <n v="13"/>
    <n v="0"/>
    <n v="0"/>
    <n v="10"/>
    <n v="0"/>
    <n v="0"/>
    <n v="0"/>
    <n v="0"/>
    <n v="0"/>
    <n v="7.5"/>
    <n v="0"/>
    <n v="0"/>
    <n v="25"/>
    <n v="0"/>
    <n v="0"/>
    <n v="5"/>
    <n v="0"/>
    <n v="4"/>
    <n v="10"/>
    <n v="0"/>
    <n v="0"/>
    <n v="120.5"/>
    <n v="0"/>
    <n v="4"/>
    <s v="CHURU"/>
    <s v="BIKANER"/>
    <s v="RJ-SGNR"/>
    <d v="2022-03-30T00:00:00"/>
  </r>
  <r>
    <s v="818607177016"/>
    <x v="1840"/>
    <s v="BHATI STONE"/>
    <n v="177016"/>
    <s v="KHANDELWAL STONE"/>
    <n v="76"/>
    <n v="0"/>
    <n v="0"/>
    <n v="35"/>
    <n v="11"/>
    <n v="0"/>
    <n v="98"/>
    <n v="0"/>
    <n v="20"/>
    <n v="117"/>
    <n v="0"/>
    <n v="10"/>
    <n v="123.5"/>
    <n v="0"/>
    <n v="0"/>
    <n v="131"/>
    <n v="0"/>
    <n v="0"/>
    <n v="63"/>
    <n v="0"/>
    <n v="0"/>
    <n v="85"/>
    <n v="0"/>
    <n v="0"/>
    <n v="728.5"/>
    <n v="11"/>
    <n v="30"/>
    <s v="CHURU"/>
    <s v="BIKANER"/>
    <s v="RJ-SGNR"/>
    <d v="2022-04-09T00:00:00"/>
  </r>
  <r>
    <s v="818636170847"/>
    <x v="1841"/>
    <s v="BIRMA RAM"/>
    <n v="170847"/>
    <s v="SHREE BALAJI TRADING COMPANY"/>
    <n v="48"/>
    <n v="0"/>
    <n v="0"/>
    <n v="38"/>
    <n v="0"/>
    <n v="0"/>
    <n v="23"/>
    <n v="0"/>
    <n v="0"/>
    <n v="10"/>
    <n v="0"/>
    <n v="0"/>
    <n v="16"/>
    <n v="0"/>
    <n v="16"/>
    <n v="16"/>
    <n v="0"/>
    <n v="0"/>
    <n v="0"/>
    <n v="0"/>
    <n v="0"/>
    <n v="15"/>
    <n v="0"/>
    <n v="0"/>
    <n v="166"/>
    <n v="0"/>
    <n v="16"/>
    <s v="CHURU"/>
    <s v="BIKANER"/>
    <s v="RJ-SGNR"/>
    <d v="2022-04-13T00:00:00"/>
  </r>
  <r>
    <s v="818653202956"/>
    <x v="1842"/>
    <s v="FOJI BUILDING MATERIAL"/>
    <n v="202956"/>
    <s v="SHRI SHYAM CEMENT BHANDAR"/>
    <n v="0"/>
    <n v="0"/>
    <n v="0"/>
    <n v="25"/>
    <n v="0"/>
    <n v="0"/>
    <n v="38"/>
    <n v="0"/>
    <n v="9"/>
    <n v="20"/>
    <n v="0"/>
    <n v="20"/>
    <n v="35"/>
    <n v="0"/>
    <n v="0"/>
    <n v="10"/>
    <n v="0"/>
    <n v="0"/>
    <n v="15"/>
    <n v="0"/>
    <n v="0"/>
    <n v="40"/>
    <n v="0"/>
    <n v="5"/>
    <n v="183"/>
    <n v="0"/>
    <n v="29"/>
    <s v="CHURU"/>
    <s v="BIKANER"/>
    <s v="RJ-SGNR"/>
    <d v="2022-04-16T00:00:00"/>
  </r>
  <r>
    <s v="818653210452"/>
    <x v="1842"/>
    <s v="FOJI BUILDING MATERIAL"/>
    <n v="210452"/>
    <s v="SHRI MANSA MATA BUILDING MATER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CHURU"/>
    <s v="BIKANER"/>
    <s v="RJ-SGNR"/>
    <d v="2022-04-16T00:00:00"/>
  </r>
  <r>
    <s v="818663208156"/>
    <x v="1843"/>
    <s v="RAMKARAN SARAWAG"/>
    <n v="208156"/>
    <s v="SHRI BAJRANG TRADERS"/>
    <n v="0"/>
    <n v="0"/>
    <n v="0"/>
    <n v="0"/>
    <n v="0"/>
    <n v="0"/>
    <n v="10"/>
    <n v="0"/>
    <n v="0"/>
    <n v="0"/>
    <n v="0"/>
    <n v="0"/>
    <n v="0"/>
    <n v="0"/>
    <n v="0"/>
    <n v="8"/>
    <n v="0"/>
    <n v="0"/>
    <n v="26"/>
    <n v="0"/>
    <n v="0"/>
    <n v="10"/>
    <n v="0"/>
    <n v="0"/>
    <n v="54"/>
    <n v="0"/>
    <n v="0"/>
    <s v="CHURU"/>
    <s v="BIKANER"/>
    <s v="RJ-SGNR"/>
    <d v="2022-04-18T00:00:00"/>
  </r>
  <r>
    <s v="820361177301"/>
    <x v="1844"/>
    <s v="CHHELU SINGH"/>
    <n v="177301"/>
    <s v="BALAJI CEMENT SUPPLIERS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8"/>
    <n v="0"/>
    <n v="0"/>
    <s v="CHURU"/>
    <s v="BIKANER"/>
    <s v="RJ-SGNR"/>
    <d v="2022-09-01T00:00:00"/>
  </r>
  <r>
    <s v="816111178243"/>
    <x v="1827"/>
    <s v="SHARMA CONSTRUCTION COMPANY"/>
    <n v="178243"/>
    <s v="GULAM NABI AND BROTHERS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6"/>
    <n v="0"/>
    <n v="0"/>
    <s v="CHURU"/>
    <s v="BIKANER"/>
    <s v="RJ-SGNR"/>
    <d v="2021-08-25T00:00:00"/>
  </r>
  <r>
    <s v="820457170847"/>
    <x v="1845"/>
    <s v="KALKA CONSTRUCTION"/>
    <n v="170847"/>
    <s v="SHREE BALAJI TRADING COMPANY"/>
    <n v="0"/>
    <n v="0"/>
    <n v="0"/>
    <n v="0"/>
    <n v="0"/>
    <n v="0"/>
    <n v="0"/>
    <n v="0"/>
    <n v="0"/>
    <n v="0"/>
    <n v="0"/>
    <n v="0"/>
    <n v="0"/>
    <n v="0"/>
    <n v="0"/>
    <n v="32"/>
    <n v="0"/>
    <n v="0"/>
    <n v="10"/>
    <n v="0"/>
    <n v="0"/>
    <n v="0"/>
    <n v="0"/>
    <n v="0"/>
    <n v="42"/>
    <n v="0"/>
    <n v="0"/>
    <s v="CHURU"/>
    <s v="BIKANER"/>
    <s v="RJ-SGNR"/>
    <d v="2022-09-09T00:00:00"/>
  </r>
  <r>
    <s v="818607176693"/>
    <x v="1840"/>
    <s v="BHATI STONE"/>
    <n v="176693"/>
    <s v="SUBHAM AGENCIE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15"/>
    <n v="0"/>
    <n v="0"/>
    <s v="CHURU"/>
    <s v="BIKANER"/>
    <s v="RJ-SGNR"/>
    <d v="2022-04-09T00:00:00"/>
  </r>
  <r>
    <s v="820860176869"/>
    <x v="1846"/>
    <s v="MA AMBAY STONE MARCHENT"/>
    <n v="176869"/>
    <s v="CHHABRA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"/>
    <n v="0"/>
    <n v="0"/>
    <n v="74"/>
    <n v="0"/>
    <n v="0"/>
    <n v="171"/>
    <n v="0"/>
    <n v="0"/>
    <s v="CHURU"/>
    <s v="BIKANER"/>
    <s v="RJ-SGNR"/>
    <d v="2022-10-04T00:00:00"/>
  </r>
  <r>
    <s v="820912213690"/>
    <x v="1847"/>
    <s v="RAJENDRA"/>
    <n v="213690"/>
    <s v="SAINI STONE &amp; TIMBER MERCHAN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0"/>
    <n v="0"/>
    <n v="45"/>
    <n v="0"/>
    <n v="0"/>
    <n v="74"/>
    <n v="0"/>
    <n v="0"/>
    <s v="CHURU"/>
    <s v="BIKANER"/>
    <s v="RJ-SGNR"/>
    <d v="2022-10-11T00:00:00"/>
  </r>
  <r>
    <s v="820877170847"/>
    <x v="1848"/>
    <s v="CHHAPUNIYA BUILDING MATERIAL"/>
    <n v="170847"/>
    <s v="SHREE BALAJI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"/>
    <n v="0"/>
    <n v="8.5"/>
    <n v="10"/>
    <n v="0"/>
    <n v="0"/>
    <n v="18.5"/>
    <n v="0"/>
    <n v="8.5"/>
    <s v="CHURU"/>
    <s v="BIKANER"/>
    <s v="RJ-SGNR"/>
    <d v="2022-10-07T00:00:00"/>
  </r>
  <r>
    <s v="821121177662"/>
    <x v="1849"/>
    <s v="RAJKUMAR PRAJAPAT"/>
    <n v="177662"/>
    <s v="MANOJ KUMAR S/0 BHERA RAM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5"/>
    <n v="0"/>
    <n v="0"/>
    <n v="40"/>
    <n v="0"/>
    <n v="0"/>
    <s v="CHURU"/>
    <s v="BIKANER"/>
    <s v="RJ-SGNR"/>
    <d v="2022-11-01T00:00:00"/>
  </r>
  <r>
    <s v="817427212305"/>
    <x v="1835"/>
    <s v="SOMVEER"/>
    <n v="212305"/>
    <s v="MJ ENTERPRISES"/>
    <n v="0"/>
    <n v="0"/>
    <n v="0"/>
    <n v="0"/>
    <n v="0"/>
    <n v="0"/>
    <n v="0"/>
    <n v="0"/>
    <n v="0"/>
    <n v="40"/>
    <n v="0"/>
    <n v="0"/>
    <n v="0"/>
    <n v="0"/>
    <n v="0"/>
    <n v="15"/>
    <n v="0"/>
    <n v="0"/>
    <n v="20"/>
    <n v="0"/>
    <n v="20"/>
    <n v="40"/>
    <n v="0"/>
    <n v="0"/>
    <n v="115"/>
    <n v="0"/>
    <n v="20"/>
    <s v="CHURU"/>
    <s v="SIKAR"/>
    <s v="RJ-SGNR"/>
    <d v="2021-12-23T00:00:00"/>
  </r>
  <r>
    <s v="820615176869"/>
    <x v="1850"/>
    <s v="JOIYA STONE SUPPLIERS"/>
    <n v="176869"/>
    <s v="CHHABRA CEMENT SUPPLIERS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30"/>
    <n v="0"/>
    <n v="0"/>
    <n v="143"/>
    <n v="0"/>
    <n v="0"/>
    <n v="198"/>
    <n v="0"/>
    <n v="0"/>
    <s v="CHURU"/>
    <s v="SIKAR"/>
    <s v="RJ-SGNR"/>
    <d v="2022-09-19T00:00:00"/>
  </r>
  <r>
    <s v="812236179486"/>
    <x v="1851"/>
    <s v="BHATERI"/>
    <n v="179486"/>
    <s v="MOROLIA TRADERS"/>
    <n v="10"/>
    <n v="0"/>
    <n v="0"/>
    <n v="5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25"/>
    <n v="0"/>
    <n v="0"/>
    <s v="JHUNJHUNU"/>
    <s v="SIKAR"/>
    <s v="RJ-SGNR"/>
    <d v="2020-07-15T00:00:00"/>
  </r>
  <r>
    <s v="812848147936"/>
    <x v="1852"/>
    <s v="ADIL SAYED"/>
    <n v="147936"/>
    <s v="VKR CEMENT SUPPLIERS"/>
    <n v="20"/>
    <n v="0"/>
    <n v="0"/>
    <n v="10"/>
    <n v="0"/>
    <n v="0"/>
    <n v="30"/>
    <n v="0"/>
    <n v="0"/>
    <n v="10"/>
    <n v="0"/>
    <n v="10"/>
    <n v="0"/>
    <n v="0"/>
    <n v="0"/>
    <n v="34.5"/>
    <n v="0"/>
    <n v="7.5"/>
    <n v="0"/>
    <n v="0"/>
    <n v="0"/>
    <n v="0"/>
    <n v="0"/>
    <n v="0"/>
    <n v="104.5"/>
    <n v="0"/>
    <n v="17.5"/>
    <s v="JHUNJHUNU"/>
    <s v="SIKAR"/>
    <s v="RJ-SGNR"/>
    <d v="2020-09-09T00:00:00"/>
  </r>
  <r>
    <s v="813005179486"/>
    <x v="1853"/>
    <s v="MAHALAXMI STONE SUPPLIERS"/>
    <n v="179486"/>
    <s v="MOROLIA TRADERS"/>
    <n v="20"/>
    <n v="0"/>
    <n v="0"/>
    <n v="1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40"/>
    <n v="0"/>
    <n v="0"/>
    <s v="JHUNJHUNU"/>
    <s v="SIKAR"/>
    <s v="RJ-SGNR"/>
    <d v="2020-09-22T00:00:00"/>
  </r>
  <r>
    <s v="813613170555"/>
    <x v="1854"/>
    <s v="ABDUL SALAM"/>
    <n v="170555"/>
    <s v="KHATRI ENTERPRISES"/>
    <n v="0"/>
    <n v="0"/>
    <n v="0"/>
    <n v="25"/>
    <n v="0"/>
    <n v="0"/>
    <n v="10"/>
    <n v="0"/>
    <n v="10"/>
    <n v="0"/>
    <n v="0"/>
    <n v="0"/>
    <n v="0"/>
    <n v="0"/>
    <n v="0"/>
    <n v="0"/>
    <n v="0"/>
    <n v="0"/>
    <n v="0"/>
    <n v="0"/>
    <n v="0"/>
    <n v="0"/>
    <n v="0"/>
    <n v="0"/>
    <n v="35"/>
    <n v="0"/>
    <n v="10"/>
    <s v="JHUNJHUNU"/>
    <s v="SIKAR"/>
    <s v="RJ-SGNR"/>
    <d v="2020-11-23T00:00:00"/>
  </r>
  <r>
    <s v="814866179925"/>
    <x v="1855"/>
    <s v="MAHAVEER PRASAD"/>
    <n v="179925"/>
    <s v="SHRIRAM DHARM KANTA"/>
    <n v="0"/>
    <n v="0"/>
    <n v="0"/>
    <n v="0"/>
    <n v="0"/>
    <n v="0"/>
    <n v="1.5"/>
    <n v="1.5"/>
    <n v="0"/>
    <n v="0"/>
    <n v="0"/>
    <n v="0"/>
    <n v="0"/>
    <n v="0"/>
    <n v="0"/>
    <n v="0"/>
    <n v="0"/>
    <n v="0"/>
    <n v="0"/>
    <n v="0"/>
    <n v="0"/>
    <n v="0"/>
    <n v="0"/>
    <n v="0"/>
    <n v="1.5"/>
    <n v="1.5"/>
    <n v="0"/>
    <s v="JHUNJHUNU"/>
    <s v="SIKAR"/>
    <s v="RJ-SGNR"/>
    <d v="2021-03-30T00:00:00"/>
  </r>
  <r>
    <s v="815844179486"/>
    <x v="1856"/>
    <s v="ANIL KUMAR"/>
    <n v="179486"/>
    <s v="MOROLIA TRADERS"/>
    <n v="33.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5"/>
    <n v="0"/>
    <n v="0"/>
    <s v="JHUNJHUNU"/>
    <s v="SIKAR"/>
    <s v="RJ-SGNR"/>
    <d v="2021-08-04T00:00:00"/>
  </r>
  <r>
    <s v="815844213056"/>
    <x v="1856"/>
    <s v="ANIL KUMAR"/>
    <n v="213056"/>
    <s v="NARESH &amp; COMPANY"/>
    <n v="0"/>
    <n v="0"/>
    <n v="0"/>
    <n v="0"/>
    <n v="0"/>
    <n v="0"/>
    <n v="128"/>
    <n v="0"/>
    <n v="0"/>
    <n v="132"/>
    <n v="0"/>
    <n v="0"/>
    <n v="231"/>
    <n v="0"/>
    <n v="0"/>
    <n v="45"/>
    <n v="0"/>
    <n v="0"/>
    <n v="46.5"/>
    <n v="0"/>
    <n v="0"/>
    <n v="79"/>
    <n v="0"/>
    <n v="0"/>
    <n v="661.5"/>
    <n v="0"/>
    <n v="0"/>
    <s v="JHUNJHUNU"/>
    <s v="SIKAR"/>
    <s v="RJ-SGNR"/>
    <d v="2021-08-04T00:00:00"/>
  </r>
  <r>
    <s v="815988179486"/>
    <x v="1857"/>
    <s v="PRAKASH CHAND"/>
    <n v="179486"/>
    <s v="MOROLIA TRADERS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JHUNJHUNU"/>
    <s v="SIKAR"/>
    <s v="RJ-SGNR"/>
    <d v="2021-08-18T00:00:00"/>
  </r>
  <r>
    <s v="816836147936"/>
    <x v="1858"/>
    <s v="SUNIL"/>
    <n v="147936"/>
    <s v="VKR CEMENT SUPPLIERS"/>
    <n v="5"/>
    <n v="0"/>
    <n v="0"/>
    <n v="20"/>
    <n v="0"/>
    <n v="0"/>
    <n v="30"/>
    <n v="0"/>
    <n v="0"/>
    <n v="10.15"/>
    <n v="0.15"/>
    <n v="0"/>
    <n v="10.5"/>
    <n v="0.5"/>
    <n v="0"/>
    <n v="30"/>
    <n v="0"/>
    <n v="10"/>
    <n v="55"/>
    <n v="0"/>
    <n v="10"/>
    <n v="43.5"/>
    <n v="0"/>
    <n v="0"/>
    <n v="204.15"/>
    <n v="0.65"/>
    <n v="20"/>
    <s v="JHUNJHUNU"/>
    <s v="SIKAR"/>
    <s v="RJ-SGNR"/>
    <d v="2021-10-26T00:00:00"/>
  </r>
  <r>
    <s v="817549179486"/>
    <x v="1859"/>
    <s v="SHRI BALAJI GRANITE CUTTING UD"/>
    <n v="179486"/>
    <s v="MOROLIA TRADERS"/>
    <n v="20"/>
    <n v="0"/>
    <n v="0"/>
    <n v="10"/>
    <n v="0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50"/>
    <n v="0"/>
    <n v="0"/>
    <s v="JHUNJHUNU"/>
    <s v="SIKAR"/>
    <s v="RJ-SGNR"/>
    <d v="2021-12-31T00:00:00"/>
  </r>
  <r>
    <s v="817614206367"/>
    <x v="1860"/>
    <s v="DEEPENDRA SINGH"/>
    <n v="206367"/>
    <s v="RAMNIWAS DUDARAM BUILDING MATE"/>
    <n v="25"/>
    <n v="0"/>
    <n v="0"/>
    <n v="25"/>
    <n v="0"/>
    <n v="0"/>
    <n v="30"/>
    <n v="0"/>
    <n v="0"/>
    <n v="30"/>
    <n v="0"/>
    <n v="0"/>
    <n v="60"/>
    <n v="0"/>
    <n v="0"/>
    <n v="0"/>
    <n v="0"/>
    <n v="0"/>
    <n v="19"/>
    <n v="0"/>
    <n v="6.5"/>
    <n v="30"/>
    <n v="0"/>
    <n v="10"/>
    <n v="219"/>
    <n v="0"/>
    <n v="6.5"/>
    <s v="JHUNJHUNU"/>
    <s v="SIKAR"/>
    <s v="RJ-SGNR"/>
    <d v="2022-01-06T00:00:00"/>
  </r>
  <r>
    <s v="817775179486"/>
    <x v="1861"/>
    <s v="SURENDRA KUMAR"/>
    <n v="179486"/>
    <s v="MOROLIA TRADERS"/>
    <n v="50"/>
    <n v="0"/>
    <n v="0"/>
    <n v="20"/>
    <n v="0"/>
    <n v="0"/>
    <n v="0"/>
    <n v="0"/>
    <n v="0"/>
    <n v="70"/>
    <n v="0"/>
    <n v="0"/>
    <n v="0"/>
    <n v="0"/>
    <n v="0"/>
    <n v="0"/>
    <n v="0"/>
    <n v="0"/>
    <n v="0"/>
    <n v="0"/>
    <n v="0"/>
    <n v="0"/>
    <n v="0"/>
    <n v="0"/>
    <n v="140"/>
    <n v="0"/>
    <n v="0"/>
    <s v="JHUNJHUNU"/>
    <s v="SIKAR"/>
    <s v="RJ-SGNR"/>
    <d v="2022-01-21T00:00:00"/>
  </r>
  <r>
    <s v="817775213309"/>
    <x v="1861"/>
    <s v="SURENDRA KUMAR"/>
    <n v="213309"/>
    <s v="YADAV ENTERPRISES"/>
    <n v="0"/>
    <n v="0"/>
    <n v="0"/>
    <n v="0"/>
    <n v="0"/>
    <n v="0"/>
    <n v="0"/>
    <n v="0"/>
    <n v="0"/>
    <n v="22.5"/>
    <n v="0"/>
    <n v="0"/>
    <n v="45"/>
    <n v="0"/>
    <n v="0"/>
    <n v="66.349999999999994"/>
    <n v="0"/>
    <n v="0"/>
    <n v="40"/>
    <n v="0"/>
    <n v="10"/>
    <n v="42.5"/>
    <n v="0"/>
    <n v="0"/>
    <n v="216.35"/>
    <n v="0"/>
    <n v="10"/>
    <s v="JHUNJHUNU"/>
    <s v="SIKAR"/>
    <s v="RJ-SGNR"/>
    <d v="2022-01-21T00:00:00"/>
  </r>
  <r>
    <s v="818907179486"/>
    <x v="1862"/>
    <s v="HUKMI CHAND SHARMA"/>
    <n v="179486"/>
    <s v="MOROLIA TRADERS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JHUNJHUNU"/>
    <s v="SIKAR"/>
    <s v="RJ-SGNR"/>
    <d v="2022-05-11T00:00:00"/>
  </r>
  <r>
    <s v="818909179486"/>
    <x v="1863"/>
    <s v="SUBHASH VERMA"/>
    <n v="179486"/>
    <s v="MOROLIA TRADERS"/>
    <n v="0"/>
    <n v="0"/>
    <n v="0"/>
    <n v="15"/>
    <n v="0"/>
    <n v="0"/>
    <n v="20"/>
    <n v="0"/>
    <n v="0"/>
    <n v="25.25"/>
    <n v="0"/>
    <n v="5.25"/>
    <n v="0"/>
    <n v="0"/>
    <n v="0"/>
    <n v="0"/>
    <n v="0"/>
    <n v="0"/>
    <n v="0"/>
    <n v="0"/>
    <n v="0"/>
    <n v="0"/>
    <n v="0"/>
    <n v="0"/>
    <n v="60.25"/>
    <n v="0"/>
    <n v="5.25"/>
    <s v="JHUNJHUNU"/>
    <s v="SIKAR"/>
    <s v="RJ-SGNR"/>
    <d v="2022-05-11T00:00:00"/>
  </r>
  <r>
    <s v="818909213056"/>
    <x v="1863"/>
    <s v="SUBHASH VERMA"/>
    <n v="213056"/>
    <s v="NARESH &amp; COMPANY"/>
    <n v="0"/>
    <n v="0"/>
    <n v="0"/>
    <n v="0"/>
    <n v="0"/>
    <n v="0"/>
    <n v="0"/>
    <n v="0"/>
    <n v="0"/>
    <n v="0"/>
    <n v="0"/>
    <n v="0"/>
    <n v="111"/>
    <n v="0"/>
    <n v="3"/>
    <n v="20"/>
    <n v="0"/>
    <n v="0"/>
    <n v="20"/>
    <n v="0"/>
    <n v="0"/>
    <n v="0"/>
    <n v="0"/>
    <n v="0"/>
    <n v="151"/>
    <n v="0"/>
    <n v="3"/>
    <s v="JHUNJHUNU"/>
    <s v="SIKAR"/>
    <s v="RJ-SGNR"/>
    <d v="2022-05-11T00:00:00"/>
  </r>
  <r>
    <s v="819910213056"/>
    <x v="1864"/>
    <s v="RISHIKA PAYAL"/>
    <n v="213056"/>
    <s v="NARESH &amp; COMPANY"/>
    <n v="0"/>
    <n v="0"/>
    <n v="0"/>
    <n v="0"/>
    <n v="0"/>
    <n v="0"/>
    <n v="0"/>
    <n v="0"/>
    <n v="0"/>
    <n v="84"/>
    <n v="0"/>
    <n v="0"/>
    <n v="92.5"/>
    <n v="0"/>
    <n v="0"/>
    <n v="337.75"/>
    <n v="0"/>
    <n v="0"/>
    <n v="290.25"/>
    <n v="0"/>
    <n v="0"/>
    <n v="366.8"/>
    <n v="0"/>
    <n v="20"/>
    <n v="1171.3"/>
    <n v="0"/>
    <n v="0"/>
    <s v="JHUNJHUNU"/>
    <s v="SIKAR"/>
    <s v="RJ-SGNR"/>
    <d v="2022-07-25T00:00:00"/>
  </r>
  <r>
    <s v="819912213056"/>
    <x v="1865"/>
    <s v="MANDANGNI"/>
    <n v="213056"/>
    <s v="NARESH &amp; COMPANY"/>
    <n v="0"/>
    <n v="0"/>
    <n v="0"/>
    <n v="0"/>
    <n v="0"/>
    <n v="0"/>
    <n v="0"/>
    <n v="0"/>
    <n v="0"/>
    <n v="0"/>
    <n v="0"/>
    <n v="0"/>
    <n v="90"/>
    <n v="0"/>
    <n v="0"/>
    <n v="95"/>
    <n v="0"/>
    <n v="7.5"/>
    <n v="67.349999999999994"/>
    <n v="0"/>
    <n v="15.25"/>
    <n v="38"/>
    <n v="0"/>
    <n v="1.5"/>
    <n v="290.35000000000002"/>
    <n v="0"/>
    <n v="22.75"/>
    <s v="JHUNJHUNU"/>
    <s v="SIKAR"/>
    <s v="RJ-SGNR"/>
    <d v="2022-07-25T00:00:00"/>
  </r>
  <r>
    <s v="819915179081"/>
    <x v="1866"/>
    <s v="HEMENT VISHNOLIYA"/>
    <n v="179081"/>
    <s v="JAY VIJAY ENTERPRISES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0"/>
    <n v="0"/>
    <n v="0"/>
    <n v="0"/>
    <n v="0"/>
    <n v="0"/>
    <n v="8"/>
    <n v="0"/>
    <n v="0"/>
    <s v="JHUNJHUNU"/>
    <s v="SIKAR"/>
    <s v="RJ-SGNR"/>
    <d v="2022-07-25T00:00:00"/>
  </r>
  <r>
    <s v="819915213056"/>
    <x v="1866"/>
    <s v="HEMENT VISHNOLIYA"/>
    <n v="213056"/>
    <s v="NARESH &amp; COMPANY"/>
    <n v="0"/>
    <n v="0"/>
    <n v="0"/>
    <n v="0"/>
    <n v="0"/>
    <n v="0"/>
    <n v="0"/>
    <n v="0"/>
    <n v="0"/>
    <n v="0"/>
    <n v="0"/>
    <n v="0"/>
    <n v="20"/>
    <n v="0"/>
    <n v="0"/>
    <n v="6.9"/>
    <n v="0"/>
    <n v="0"/>
    <n v="13"/>
    <n v="0"/>
    <n v="0"/>
    <n v="32.5"/>
    <n v="0"/>
    <n v="0"/>
    <n v="72.400000000000006"/>
    <n v="0"/>
    <n v="0"/>
    <s v="JHUNJHUNU"/>
    <s v="SIKAR"/>
    <s v="RJ-SGNR"/>
    <d v="2022-07-25T00:00:00"/>
  </r>
  <r>
    <s v="819916213056"/>
    <x v="1867"/>
    <s v="RAJENDRA PRASAD YADAV"/>
    <n v="213056"/>
    <s v="NARESH &amp; COMPANY"/>
    <n v="0"/>
    <n v="0"/>
    <n v="0"/>
    <n v="0"/>
    <n v="0"/>
    <n v="0"/>
    <n v="0"/>
    <n v="0"/>
    <n v="0"/>
    <n v="45"/>
    <n v="0"/>
    <n v="0"/>
    <n v="0"/>
    <n v="0"/>
    <n v="0"/>
    <n v="20"/>
    <n v="0"/>
    <n v="0"/>
    <n v="16.5"/>
    <n v="0"/>
    <n v="0"/>
    <n v="5.25"/>
    <n v="0"/>
    <n v="0"/>
    <n v="86.75"/>
    <n v="0"/>
    <n v="0"/>
    <s v="JHUNJHUNU"/>
    <s v="SIKAR"/>
    <s v="RJ-SGNR"/>
    <d v="2022-07-25T00:00:00"/>
  </r>
  <r>
    <s v="819919213187"/>
    <x v="1868"/>
    <s v="MAHENDRA KUMAR"/>
    <n v="213187"/>
    <s v="JINDAL CEMENT AGENCY"/>
    <n v="0"/>
    <n v="0"/>
    <n v="0"/>
    <n v="0"/>
    <n v="0"/>
    <n v="0"/>
    <n v="0"/>
    <n v="0"/>
    <n v="0"/>
    <n v="0"/>
    <n v="0"/>
    <n v="0"/>
    <n v="32"/>
    <n v="0"/>
    <n v="0"/>
    <n v="50"/>
    <n v="0"/>
    <n v="0"/>
    <n v="5"/>
    <n v="0"/>
    <n v="0"/>
    <n v="15"/>
    <n v="0"/>
    <n v="0"/>
    <n v="102"/>
    <n v="0"/>
    <n v="0"/>
    <s v="JHUNJHUNU"/>
    <s v="SIKAR"/>
    <s v="RJ-SGNR"/>
    <d v="2022-07-25T00:00:00"/>
  </r>
  <r>
    <s v="820014213056"/>
    <x v="1869"/>
    <s v="SHARDUL SINGH"/>
    <n v="213056"/>
    <s v="NARESH &amp; COMPANY"/>
    <n v="0"/>
    <n v="0"/>
    <n v="0"/>
    <n v="0"/>
    <n v="0"/>
    <n v="0"/>
    <n v="0"/>
    <n v="0"/>
    <n v="0"/>
    <n v="0"/>
    <n v="0"/>
    <n v="0"/>
    <n v="10"/>
    <n v="0"/>
    <n v="0"/>
    <n v="45"/>
    <n v="0"/>
    <n v="0"/>
    <n v="32.75"/>
    <n v="0"/>
    <n v="0"/>
    <n v="7.5"/>
    <n v="0"/>
    <n v="0"/>
    <n v="95.25"/>
    <n v="0"/>
    <n v="0"/>
    <s v="JHUNJHUNU"/>
    <s v="SIKAR"/>
    <s v="RJ-SGNR"/>
    <d v="2022-07-30T00:00:00"/>
  </r>
  <r>
    <s v="820033213056"/>
    <x v="1870"/>
    <s v="RAJPAL SINGH"/>
    <s v="213056"/>
    <s v="NARESH &amp; COMPANY"/>
    <n v="0"/>
    <n v="0"/>
    <n v="0"/>
    <n v="0"/>
    <n v="0"/>
    <n v="0"/>
    <n v="0"/>
    <n v="0"/>
    <n v="0"/>
    <n v="0"/>
    <n v="0"/>
    <n v="0"/>
    <n v="10"/>
    <n v="0"/>
    <n v="0"/>
    <n v="49.5"/>
    <n v="0"/>
    <n v="0"/>
    <n v="0"/>
    <n v="0"/>
    <n v="0"/>
    <n v="1.25"/>
    <n v="0"/>
    <n v="0"/>
    <n v="60.75"/>
    <n v="0"/>
    <n v="0"/>
    <s v="JHUNJHUNU"/>
    <s v="SIKAR"/>
    <s v="RJ-SGNR"/>
    <d v="2022-08-03T00:00:00"/>
  </r>
  <r>
    <s v="820087213187"/>
    <x v="1871"/>
    <s v="VIJENDER KUMAR"/>
    <n v="213187"/>
    <s v="JINDAL CEMENT AGENCY"/>
    <n v="0"/>
    <n v="0"/>
    <n v="0"/>
    <n v="0"/>
    <n v="0"/>
    <n v="0"/>
    <n v="0"/>
    <n v="0"/>
    <n v="0"/>
    <n v="0"/>
    <n v="0"/>
    <n v="0"/>
    <n v="40"/>
    <n v="0"/>
    <n v="0"/>
    <n v="100"/>
    <n v="0"/>
    <n v="5"/>
    <n v="90"/>
    <n v="0"/>
    <n v="10"/>
    <n v="70"/>
    <n v="0"/>
    <n v="0"/>
    <n v="300"/>
    <n v="0"/>
    <n v="15"/>
    <s v="JHUNJHUNU"/>
    <s v="SIKAR"/>
    <s v="RJ-SGNR"/>
    <d v="2022-08-08T00:00:00"/>
  </r>
  <r>
    <s v="820091212380"/>
    <x v="1872"/>
    <s v="SANTOSH KUMAR"/>
    <n v="212380"/>
    <s v="AMBIKA IRON STORE"/>
    <n v="0"/>
    <n v="0"/>
    <n v="0"/>
    <n v="0"/>
    <n v="0"/>
    <n v="0"/>
    <n v="0"/>
    <n v="0"/>
    <n v="0"/>
    <n v="0"/>
    <n v="0"/>
    <n v="0"/>
    <n v="45"/>
    <n v="0"/>
    <n v="45"/>
    <n v="0"/>
    <n v="0"/>
    <n v="0"/>
    <n v="0"/>
    <n v="0"/>
    <n v="0"/>
    <n v="0"/>
    <n v="0"/>
    <n v="0"/>
    <n v="45"/>
    <n v="0"/>
    <n v="45"/>
    <s v="JHUNJHUNU"/>
    <s v="SIKAR"/>
    <s v="RJ-SGNR"/>
    <d v="2022-08-08T00:00:00"/>
  </r>
  <r>
    <s v="820091213056"/>
    <x v="1872"/>
    <s v="SANTOSH KUMAR"/>
    <n v="213056"/>
    <s v="NARESH &amp; COMPANY"/>
    <n v="0"/>
    <n v="0"/>
    <n v="0"/>
    <n v="0"/>
    <n v="0"/>
    <n v="0"/>
    <n v="0"/>
    <n v="0"/>
    <n v="0"/>
    <n v="0"/>
    <n v="0"/>
    <n v="0"/>
    <n v="952.5"/>
    <n v="0"/>
    <n v="31.5"/>
    <n v="553.75"/>
    <n v="0"/>
    <n v="15"/>
    <n v="268.5"/>
    <n v="0"/>
    <n v="0"/>
    <n v="372.15"/>
    <n v="1.75"/>
    <n v="0"/>
    <n v="2146.9"/>
    <n v="0"/>
    <n v="46.5"/>
    <s v="JHUNJHUNU"/>
    <s v="SIKAR"/>
    <s v="RJ-SGNR"/>
    <d v="2022-08-08T00:00:00"/>
  </r>
  <r>
    <s v="820201206367"/>
    <x v="1873"/>
    <s v="KARTIK ENTERPRISES"/>
    <s v="206367"/>
    <s v="RAMNIWAS DUDARAM BUILDING MATE"/>
    <n v="0"/>
    <n v="0"/>
    <n v="0"/>
    <n v="0"/>
    <n v="0"/>
    <n v="0"/>
    <n v="0"/>
    <n v="0"/>
    <n v="0"/>
    <n v="0"/>
    <n v="0"/>
    <n v="0"/>
    <n v="10"/>
    <n v="0"/>
    <n v="0"/>
    <n v="35"/>
    <n v="0"/>
    <n v="0"/>
    <n v="84"/>
    <n v="0"/>
    <n v="18"/>
    <n v="15"/>
    <n v="0"/>
    <n v="5"/>
    <n v="144"/>
    <n v="0"/>
    <n v="18"/>
    <s v="JHUNJHUNU"/>
    <s v="SIKAR"/>
    <s v="RJ-SGNR"/>
    <d v="2022-08-22T00:00:00"/>
  </r>
  <r>
    <s v="818909213857"/>
    <x v="1863"/>
    <s v="SUBHASH VERMA"/>
    <n v="213857"/>
    <s v="SHRI GANESH CEMENT SUPPLIERS"/>
    <n v="0"/>
    <n v="0"/>
    <n v="0"/>
    <n v="0"/>
    <n v="0"/>
    <n v="0"/>
    <n v="0"/>
    <n v="0"/>
    <n v="0"/>
    <n v="0"/>
    <n v="0"/>
    <n v="0"/>
    <n v="0"/>
    <n v="0"/>
    <n v="0"/>
    <n v="113.85"/>
    <n v="0"/>
    <n v="2.75"/>
    <n v="100"/>
    <n v="0"/>
    <n v="0"/>
    <n v="60"/>
    <n v="0"/>
    <n v="0"/>
    <n v="273.85000000000002"/>
    <n v="0"/>
    <n v="2.75"/>
    <s v="JHUNJHUNU"/>
    <s v="SIKAR"/>
    <s v="RJ-SGNR"/>
    <d v="2022-05-11T00:00:00"/>
  </r>
  <r>
    <s v="820202213056"/>
    <x v="1874"/>
    <s v="BABU LAL"/>
    <n v="213056"/>
    <s v="NARESH &amp; COMPANY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20"/>
    <n v="0"/>
    <n v="0"/>
    <n v="20"/>
    <n v="0"/>
    <n v="0"/>
    <n v="50"/>
    <n v="0"/>
    <n v="0"/>
    <s v="JHUNJHUNU"/>
    <s v="SIKAR"/>
    <s v="RJ-SGNR"/>
    <d v="2022-08-22T00:00:00"/>
  </r>
  <r>
    <s v="820392213857"/>
    <x v="1875"/>
    <s v="SHRI LAXMI TRADERS"/>
    <n v="213857"/>
    <s v="SHRI GANESH CEMENT SUPPLIERS"/>
    <n v="0"/>
    <n v="0"/>
    <n v="0"/>
    <n v="0"/>
    <n v="0"/>
    <n v="0"/>
    <n v="0"/>
    <n v="0"/>
    <n v="0"/>
    <n v="0"/>
    <n v="0"/>
    <n v="0"/>
    <n v="0"/>
    <n v="0"/>
    <n v="0"/>
    <n v="65"/>
    <n v="0"/>
    <n v="5"/>
    <n v="25"/>
    <n v="0"/>
    <n v="0"/>
    <n v="10"/>
    <n v="0"/>
    <n v="0"/>
    <n v="100"/>
    <n v="0"/>
    <n v="5"/>
    <s v="JHUNJHUNU"/>
    <s v="SIKAR"/>
    <s v="RJ-SGNR"/>
    <d v="2022-09-05T00:00:00"/>
  </r>
  <r>
    <s v="820367213503"/>
    <x v="1876"/>
    <s v="MOHAMMED ALI"/>
    <n v="213503"/>
    <s v="MY TRADERS"/>
    <n v="0"/>
    <n v="0"/>
    <n v="0"/>
    <n v="0"/>
    <n v="0"/>
    <n v="0"/>
    <n v="0"/>
    <n v="0"/>
    <n v="0"/>
    <n v="0"/>
    <n v="0"/>
    <n v="0"/>
    <n v="0"/>
    <n v="0"/>
    <n v="0"/>
    <n v="18"/>
    <n v="0"/>
    <n v="0"/>
    <n v="10"/>
    <n v="0"/>
    <n v="0"/>
    <n v="0"/>
    <n v="0"/>
    <n v="0"/>
    <n v="28"/>
    <n v="0"/>
    <n v="0"/>
    <s v="JHUNJHUNU"/>
    <s v="SIKAR"/>
    <s v="RJ-SGNR"/>
    <d v="2022-09-01T00:00:00"/>
  </r>
  <r>
    <s v="820422212747"/>
    <x v="1877"/>
    <s v="CHIRNJILAL"/>
    <n v="212747"/>
    <s v="SHIV NARESH BUILDERS"/>
    <n v="0"/>
    <n v="0"/>
    <n v="0"/>
    <n v="0"/>
    <n v="0"/>
    <n v="0"/>
    <n v="0"/>
    <n v="0"/>
    <n v="0"/>
    <n v="0"/>
    <n v="0"/>
    <n v="0"/>
    <n v="0"/>
    <n v="0"/>
    <n v="0"/>
    <n v="78"/>
    <n v="0"/>
    <n v="0"/>
    <n v="65"/>
    <n v="0"/>
    <n v="0"/>
    <n v="0"/>
    <n v="0"/>
    <n v="0"/>
    <n v="143"/>
    <n v="0"/>
    <n v="0"/>
    <s v="JHUNJHUNU"/>
    <s v="SIKAR"/>
    <s v="RJ-SGNR"/>
    <d v="2022-09-07T00:00:00"/>
  </r>
  <r>
    <s v="820534213857"/>
    <x v="1878"/>
    <s v="SHIV KARAN"/>
    <n v="213857"/>
    <s v="SHRI GANESH CEMENT SUPPLIER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10"/>
    <n v="0"/>
    <n v="0"/>
    <n v="25"/>
    <n v="0"/>
    <n v="0"/>
    <s v="JHUNJHUNU"/>
    <s v="SIKAR"/>
    <s v="RJ-SGNR"/>
    <d v="2022-09-15T00:00:00"/>
  </r>
  <r>
    <s v="820618213857"/>
    <x v="1879"/>
    <s v="NEEKU TRADING"/>
    <n v="213857"/>
    <s v="SHRI GANESH CEMENT SUPPLIERS"/>
    <n v="0"/>
    <n v="0"/>
    <n v="0"/>
    <n v="0"/>
    <n v="0"/>
    <n v="0"/>
    <n v="0"/>
    <n v="0"/>
    <n v="0"/>
    <n v="0"/>
    <n v="0"/>
    <n v="0"/>
    <n v="0"/>
    <n v="0"/>
    <n v="0"/>
    <n v="40.65"/>
    <n v="0"/>
    <n v="0"/>
    <n v="10"/>
    <n v="0"/>
    <n v="0"/>
    <n v="22.5"/>
    <n v="0"/>
    <n v="0"/>
    <n v="73.150000000000006"/>
    <n v="0"/>
    <n v="0"/>
    <s v="JHUNJHUNU"/>
    <s v="SIKAR"/>
    <s v="RJ-SGNR"/>
    <d v="2022-09-20T00:00:00"/>
  </r>
  <r>
    <s v="820704213857"/>
    <x v="1880"/>
    <s v="RAJENDRA"/>
    <n v="213857"/>
    <s v="SHRI GANESH CEMENT SUPPLIERS"/>
    <n v="0"/>
    <n v="0"/>
    <n v="0"/>
    <n v="0"/>
    <n v="0"/>
    <n v="0"/>
    <n v="0"/>
    <n v="0"/>
    <n v="0"/>
    <n v="0"/>
    <n v="0"/>
    <n v="0"/>
    <n v="0"/>
    <n v="0"/>
    <n v="0"/>
    <n v="101.75"/>
    <n v="0"/>
    <n v="0"/>
    <n v="254"/>
    <n v="0"/>
    <n v="6.25"/>
    <n v="219.7"/>
    <n v="0"/>
    <n v="6"/>
    <n v="575.45000000000005"/>
    <n v="0"/>
    <n v="6.25"/>
    <s v="JHUNJHUNU"/>
    <s v="SIKAR"/>
    <s v="RJ-SGNR"/>
    <d v="2022-09-24T00:00:00"/>
  </r>
  <r>
    <s v="820223213056"/>
    <x v="1881"/>
    <s v="RAJNISH KUMAR"/>
    <n v="213056"/>
    <s v="NARESH &amp; COMPANY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41.25"/>
    <n v="0"/>
    <n v="0"/>
    <n v="35.75"/>
    <n v="0"/>
    <n v="0"/>
    <n v="84.5"/>
    <n v="0"/>
    <n v="0"/>
    <s v="JHUNJHUNU"/>
    <s v="SIKAR"/>
    <s v="RJ-SGNR"/>
    <d v="2022-08-23T00:00:00"/>
  </r>
  <r>
    <s v="820749213056"/>
    <x v="1882"/>
    <s v="AMIT KUMAR"/>
    <n v="213056"/>
    <s v="NARESH &amp;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10"/>
    <n v="0"/>
    <n v="0"/>
    <n v="40"/>
    <n v="0"/>
    <n v="0"/>
    <s v="JHUNJHUNU"/>
    <s v="SIKAR"/>
    <s v="RJ-SGNR"/>
    <d v="2022-09-27T00:00:00"/>
  </r>
  <r>
    <s v="820482179890"/>
    <x v="1883"/>
    <s v="CHARAN PAL SINGH"/>
    <n v="179890"/>
    <s v="SHRI BALAJI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8.75"/>
    <n v="40"/>
    <n v="0"/>
    <n v="2"/>
    <n v="80"/>
    <n v="0"/>
    <n v="8.75"/>
    <s v="JHUNJHUNU"/>
    <s v="SIKAR"/>
    <s v="RJ-SGNR"/>
    <d v="2022-09-12T00:00:00"/>
  </r>
  <r>
    <s v="820756213309"/>
    <x v="1884"/>
    <s v="VIRENDRA SINGH"/>
    <n v="213309"/>
    <s v="YADAV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0"/>
    <n v="7"/>
    <n v="30"/>
    <n v="0"/>
    <n v="2.5"/>
    <n v="51"/>
    <n v="0"/>
    <n v="7"/>
    <s v="JHUNJHUNU"/>
    <s v="SIKAR"/>
    <s v="RJ-SGNR"/>
    <d v="2022-09-27T00:00:00"/>
  </r>
  <r>
    <s v="820091170204"/>
    <x v="1872"/>
    <s v="SANTOSH KUMAR"/>
    <n v="170204"/>
    <s v="GOYAL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20"/>
    <n v="0"/>
    <n v="0"/>
    <s v="JHUNJHUNU"/>
    <s v="SIKAR"/>
    <s v="RJ-SGNR"/>
    <d v="2022-08-08T00:00:00"/>
  </r>
  <r>
    <s v="821022213056"/>
    <x v="1885"/>
    <s v="ISHU KUMARI"/>
    <n v="213056"/>
    <s v="NARESH &amp;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.5"/>
    <n v="0"/>
    <n v="8.5"/>
    <n v="228"/>
    <n v="0"/>
    <n v="30"/>
    <n v="423.5"/>
    <n v="0"/>
    <n v="8.5"/>
    <s v="JHUNJHUNU"/>
    <s v="SIKAR"/>
    <s v="RJ-SGNR"/>
    <d v="2022-10-19T00:00:00"/>
  </r>
  <r>
    <s v="820700213479"/>
    <x v="1886"/>
    <s v="GADIA STEELS"/>
    <n v="213479"/>
    <s v="SHREE SHYAM STEEL INDUSTRI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5"/>
    <n v="0"/>
    <n v="0"/>
    <n v="0"/>
    <n v="0"/>
    <n v="0"/>
    <n v="12.5"/>
    <n v="0"/>
    <n v="0"/>
    <s v="JHUNJHUNU"/>
    <s v="SIKAR"/>
    <s v="RJ-SGNR"/>
    <d v="2022-09-24T00:00:00"/>
  </r>
  <r>
    <s v="819910147936"/>
    <x v="1864"/>
    <s v="RISHIKA PAYAL"/>
    <n v="147936"/>
    <s v="VKR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.5"/>
    <n v="0"/>
    <n v="2.5"/>
    <n v="17.5"/>
    <n v="0"/>
    <n v="0"/>
    <s v="JHUNJHUNU"/>
    <s v="SIKAR"/>
    <s v="RJ-SGNR"/>
    <d v="2022-07-25T00:00:00"/>
  </r>
  <r>
    <s v="805385149971"/>
    <x v="1887"/>
    <s v="SHARMA BUILDING MATERIAL"/>
    <n v="149971"/>
    <s v="PRADHAN CEMENT SUPPLIERS"/>
    <n v="20.5"/>
    <n v="0"/>
    <n v="0"/>
    <n v="6"/>
    <n v="0"/>
    <n v="0"/>
    <n v="0"/>
    <n v="0"/>
    <n v="0"/>
    <n v="0"/>
    <n v="0"/>
    <n v="0"/>
    <n v="5"/>
    <n v="0"/>
    <n v="0"/>
    <n v="6.5"/>
    <n v="0"/>
    <n v="0"/>
    <n v="26"/>
    <n v="0"/>
    <n v="0"/>
    <n v="38.6"/>
    <n v="0"/>
    <n v="0"/>
    <n v="102.6"/>
    <n v="0"/>
    <n v="0"/>
    <s v="SIKAR"/>
    <s v="SIKAR"/>
    <s v="RJ-SGNR"/>
    <d v="2016-08-02T00:00:00"/>
  </r>
  <r>
    <s v="805597144243"/>
    <x v="1888"/>
    <s v="SHEKHAWAT TRADING COMPANY"/>
    <n v="144243"/>
    <s v="SHRI SHYAM TRADING COMPANY"/>
    <n v="35"/>
    <n v="0"/>
    <n v="0"/>
    <n v="25"/>
    <n v="0"/>
    <n v="0"/>
    <n v="43.75"/>
    <n v="0"/>
    <n v="8.75"/>
    <n v="71.55"/>
    <n v="0"/>
    <n v="9.0500000000000007"/>
    <n v="30.3"/>
    <n v="0"/>
    <n v="0"/>
    <n v="18.5"/>
    <n v="0"/>
    <n v="0"/>
    <n v="20.5"/>
    <n v="0"/>
    <n v="0"/>
    <n v="27.5"/>
    <n v="0"/>
    <n v="0"/>
    <n v="272.10000000000002"/>
    <n v="0"/>
    <n v="17.8"/>
    <s v="SIKAR"/>
    <s v="SIKAR"/>
    <s v="RJ-SGNR"/>
    <d v="2016-10-03T00:00:00"/>
  </r>
  <r>
    <s v="805847149885"/>
    <x v="1889"/>
    <s v="CHOUDHARY DHARMKANTA"/>
    <n v="149885"/>
    <s v="LUHANI CEMENT SUPPLIERS"/>
    <n v="0"/>
    <n v="0"/>
    <n v="0"/>
    <n v="35"/>
    <n v="0"/>
    <n v="0"/>
    <n v="96"/>
    <n v="0"/>
    <n v="0"/>
    <n v="25"/>
    <n v="0"/>
    <n v="0"/>
    <n v="53.5"/>
    <n v="0"/>
    <n v="0"/>
    <n v="107.5"/>
    <n v="0"/>
    <n v="1"/>
    <n v="45.8"/>
    <n v="0"/>
    <n v="17.5"/>
    <n v="52"/>
    <n v="0"/>
    <n v="0"/>
    <n v="414.8"/>
    <n v="0"/>
    <n v="18.5"/>
    <s v="SIKAR"/>
    <s v="SIKAR"/>
    <s v="RJ-SGNR"/>
    <d v="2016-12-08T00:00:00"/>
  </r>
  <r>
    <s v="806371149885"/>
    <x v="1890"/>
    <s v="MANMOHAN TRADING COMPANY"/>
    <n v="149885"/>
    <s v="LUHANI CEMENT SUPPLIERS"/>
    <n v="15"/>
    <n v="0"/>
    <n v="0"/>
    <n v="20"/>
    <n v="0"/>
    <n v="0"/>
    <n v="55"/>
    <n v="0"/>
    <n v="0"/>
    <n v="30"/>
    <n v="0"/>
    <n v="0"/>
    <n v="15"/>
    <n v="0"/>
    <n v="0"/>
    <n v="58.349999999999994"/>
    <n v="0"/>
    <n v="20.45"/>
    <n v="7.5"/>
    <n v="0"/>
    <n v="0"/>
    <n v="52"/>
    <n v="0"/>
    <n v="0"/>
    <n v="252.85"/>
    <n v="0"/>
    <n v="20.45"/>
    <s v="SIKAR"/>
    <s v="SIKAR"/>
    <s v="RJ-SGNR"/>
    <d v="2017-05-19T00:00:00"/>
  </r>
  <r>
    <s v="806396177426"/>
    <x v="1891"/>
    <s v="BALAJI BUILDING MATERIAL"/>
    <n v="177426"/>
    <s v="THALOR ENTERPRISES"/>
    <n v="10"/>
    <n v="0"/>
    <n v="0"/>
    <n v="0"/>
    <n v="0"/>
    <n v="0"/>
    <n v="0"/>
    <n v="0"/>
    <n v="0"/>
    <n v="0"/>
    <n v="0"/>
    <n v="0"/>
    <n v="0"/>
    <n v="0"/>
    <n v="0"/>
    <n v="20"/>
    <n v="0"/>
    <n v="0"/>
    <n v="17.5"/>
    <n v="0"/>
    <n v="0"/>
    <n v="10"/>
    <n v="0"/>
    <n v="0"/>
    <n v="57.5"/>
    <n v="0"/>
    <n v="0"/>
    <s v="SIKAR"/>
    <s v="SIKAR"/>
    <s v="RJ-SGNR"/>
    <d v="2017-05-25T00:00:00"/>
  </r>
  <r>
    <s v="806396207713"/>
    <x v="1891"/>
    <s v="BALAJI BUILDING MATERIAL"/>
    <n v="207713"/>
    <s v="TAGALA BROTHERS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SIKAR"/>
    <s v="SIKAR"/>
    <s v="RJ-SGNR"/>
    <d v="2017-05-25T00:00:00"/>
  </r>
  <r>
    <s v="806539149885"/>
    <x v="1892"/>
    <s v="VIJAY CEMENT AGENCY"/>
    <n v="149885"/>
    <s v="LUHANI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KAR"/>
    <s v="SIKAR"/>
    <s v="RJ-SGNR"/>
    <d v="2017-07-04T00:00:00"/>
  </r>
  <r>
    <s v="806670149885"/>
    <x v="1893"/>
    <s v="DEV TRADERS"/>
    <n v="149885"/>
    <s v="LUHANI CEMENT SUPPLIERS"/>
    <n v="10"/>
    <n v="0"/>
    <n v="0"/>
    <n v="5"/>
    <n v="0"/>
    <n v="0"/>
    <n v="10"/>
    <n v="0"/>
    <n v="0"/>
    <n v="15"/>
    <n v="0"/>
    <n v="0"/>
    <n v="15"/>
    <n v="0"/>
    <n v="0"/>
    <n v="25"/>
    <n v="0"/>
    <n v="0"/>
    <n v="0"/>
    <n v="0"/>
    <n v="0"/>
    <n v="0"/>
    <n v="0"/>
    <n v="0"/>
    <n v="80"/>
    <n v="0"/>
    <n v="0"/>
    <s v="SIKAR"/>
    <s v="SIKAR"/>
    <s v="RJ-SGNR"/>
    <d v="2017-08-05T00:00:00"/>
  </r>
  <r>
    <s v="807053170617"/>
    <x v="1894"/>
    <s v="TANWAR TRADING COMPANY"/>
    <n v="170617"/>
    <s v="MANGALAM TRADING COMPANY"/>
    <n v="0"/>
    <n v="0"/>
    <n v="0"/>
    <n v="1.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6.5"/>
    <n v="0"/>
    <n v="0"/>
    <s v="SIKAR"/>
    <s v="SIKAR"/>
    <s v="RJ-SGNR"/>
    <d v="2018-10-10T00:00:00"/>
  </r>
  <r>
    <s v="807054143301"/>
    <x v="1895"/>
    <s v="SHRI TIRUPATI BALAJI CEMENT AG"/>
    <n v="143301"/>
    <s v="LAXMI TRADERS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2.5"/>
    <n v="0"/>
    <n v="0"/>
    <s v="SIKAR"/>
    <s v="SIKAR"/>
    <s v="RJ-SGNR"/>
    <d v="2018-10-10T00:00:00"/>
  </r>
  <r>
    <s v="807055149885"/>
    <x v="1896"/>
    <s v="LAXMI TRADING COMPANY"/>
    <n v="149885"/>
    <s v="LUHANI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KAR"/>
    <s v="SIKAR"/>
    <s v="RJ-SGNR"/>
    <d v="2018-10-10T00:00:00"/>
  </r>
  <r>
    <s v="807056149885"/>
    <x v="1897"/>
    <s v="JAI BHAWANI TRADING COMPANY"/>
    <n v="149885"/>
    <s v="LUHANI CEMENT SUPPLIERS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SIKAR"/>
    <s v="SIKAR"/>
    <s v="RJ-SGNR"/>
    <d v="2018-10-10T00:00:00"/>
  </r>
  <r>
    <s v="807359177426"/>
    <x v="1898"/>
    <s v="MUMTAJ TRADING COMPANY"/>
    <n v="177426"/>
    <s v="THALOR ENTERPRISES"/>
    <n v="22.5"/>
    <n v="0"/>
    <n v="0"/>
    <n v="1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s v="SIKAR"/>
    <s v="SIKAR"/>
    <s v="RJ-SGNR"/>
    <d v="2018-12-18T00:00:00"/>
  </r>
  <r>
    <s v="807360143301"/>
    <x v="1899"/>
    <s v="KRISHNA FABRICATION WORKS"/>
    <n v="143301"/>
    <s v="LAXMI TRADERS"/>
    <n v="15.35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18.350000000000001"/>
    <n v="0"/>
    <n v="0"/>
    <s v="SIKAR"/>
    <s v="SIKAR"/>
    <s v="RJ-SGNR"/>
    <d v="2018-12-18T00:00:00"/>
  </r>
  <r>
    <s v="807608149582"/>
    <x v="1900"/>
    <s v="MUNDHRA CEMENT AGENCY"/>
    <n v="149582"/>
    <s v="SHRI BALAJI BUILDING MATERIAL"/>
    <n v="116"/>
    <n v="0"/>
    <n v="0"/>
    <n v="43"/>
    <n v="0"/>
    <n v="0"/>
    <n v="71.5"/>
    <n v="0"/>
    <n v="0"/>
    <n v="21.25"/>
    <n v="0"/>
    <n v="0"/>
    <n v="87.5"/>
    <n v="0"/>
    <n v="0"/>
    <n v="59"/>
    <n v="0"/>
    <n v="0"/>
    <n v="85"/>
    <n v="0"/>
    <n v="0"/>
    <n v="91.25"/>
    <n v="0"/>
    <n v="0"/>
    <n v="574.5"/>
    <n v="0"/>
    <n v="0"/>
    <s v="SIKAR"/>
    <s v="SIKAR"/>
    <s v="RJ-SGNR"/>
    <d v="2017-12-11T00:00:00"/>
  </r>
  <r>
    <s v="808210171834"/>
    <x v="1901"/>
    <s v="JORO MORU BROTHERS"/>
    <n v="171834"/>
    <s v="BABA RAMDEV TRADING COMPANY"/>
    <n v="0"/>
    <n v="0"/>
    <n v="0"/>
    <n v="7.5"/>
    <n v="0"/>
    <n v="0"/>
    <n v="17.5"/>
    <n v="0"/>
    <n v="0"/>
    <n v="32.25"/>
    <n v="0.75"/>
    <n v="7"/>
    <n v="19"/>
    <n v="0"/>
    <n v="0"/>
    <n v="5"/>
    <n v="0"/>
    <n v="0"/>
    <n v="0"/>
    <n v="0"/>
    <n v="0"/>
    <n v="7"/>
    <n v="0"/>
    <n v="7"/>
    <n v="88.25"/>
    <n v="0.75"/>
    <n v="7"/>
    <s v="SIKAR"/>
    <s v="SIKAR"/>
    <s v="RJ-SGNR"/>
    <d v="2018-04-10T00:00:00"/>
  </r>
  <r>
    <s v="808733149885"/>
    <x v="1902"/>
    <s v="DEV TRADING COMPANY"/>
    <n v="149885"/>
    <s v="LUHANI CEMENT SUPPLIERS"/>
    <n v="117.5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.5"/>
    <n v="2.5"/>
    <n v="0"/>
    <s v="SIKAR"/>
    <s v="SIKAR"/>
    <s v="RJ-SGNR"/>
    <d v="2018-08-03T00:00:00"/>
  </r>
  <r>
    <s v="808786177426"/>
    <x v="1903"/>
    <s v="LAMORIYA DHARM KANTA"/>
    <n v="177426"/>
    <s v="THALOR ENTERPRISES"/>
    <n v="18.5"/>
    <n v="0"/>
    <n v="0"/>
    <n v="20"/>
    <n v="0"/>
    <n v="0"/>
    <n v="38.5"/>
    <n v="0"/>
    <n v="0"/>
    <n v="55"/>
    <n v="0"/>
    <n v="0"/>
    <n v="10"/>
    <n v="0"/>
    <n v="0"/>
    <n v="20"/>
    <n v="0"/>
    <n v="0"/>
    <n v="10"/>
    <n v="0"/>
    <n v="0"/>
    <n v="40.5"/>
    <n v="0"/>
    <n v="0"/>
    <n v="212.5"/>
    <n v="0"/>
    <n v="0"/>
    <s v="SIKAR"/>
    <s v="SIKAR"/>
    <s v="RJ-SGNR"/>
    <d v="2018-08-17T00:00:00"/>
  </r>
  <r>
    <s v="808787149991"/>
    <x v="1904"/>
    <s v="SIDDHI VINAYAK COMPUTERISED DH"/>
    <n v="149991"/>
    <s v="BALAJI STONE COMPANY"/>
    <n v="70"/>
    <n v="0"/>
    <n v="0"/>
    <n v="75"/>
    <n v="10"/>
    <n v="0"/>
    <n v="75.5"/>
    <n v="0"/>
    <n v="0"/>
    <n v="45.5"/>
    <n v="7"/>
    <n v="7.5"/>
    <n v="85.5"/>
    <n v="20"/>
    <n v="0"/>
    <n v="80"/>
    <n v="0"/>
    <n v="0"/>
    <n v="41"/>
    <n v="3.5"/>
    <n v="2.5"/>
    <n v="73.75"/>
    <n v="0"/>
    <n v="0"/>
    <n v="546.25"/>
    <n v="40.5"/>
    <n v="10"/>
    <s v="SIKAR"/>
    <s v="SIKAR"/>
    <s v="RJ-SGNR"/>
    <d v="2018-08-17T00:00:00"/>
  </r>
  <r>
    <s v="809133149885"/>
    <x v="1905"/>
    <s v="ASHA ENTERPRISES"/>
    <n v="149885"/>
    <s v="LUHANI CEMENT SUPPLIERS"/>
    <n v="20"/>
    <n v="0"/>
    <n v="0"/>
    <n v="12.5"/>
    <n v="0"/>
    <n v="0"/>
    <n v="25.75"/>
    <n v="0"/>
    <n v="0"/>
    <n v="7.5"/>
    <n v="0"/>
    <n v="0"/>
    <n v="15"/>
    <n v="0"/>
    <n v="0"/>
    <n v="42"/>
    <n v="0"/>
    <n v="0"/>
    <n v="105"/>
    <n v="0"/>
    <n v="0"/>
    <n v="45"/>
    <n v="0"/>
    <n v="0"/>
    <n v="272.75"/>
    <n v="0"/>
    <n v="0"/>
    <s v="SIKAR"/>
    <s v="SIKAR"/>
    <s v="RJ-SGNR"/>
    <d v="2019-02-14T00:00:00"/>
  </r>
  <r>
    <s v="809223143301"/>
    <x v="1906"/>
    <s v="J K BUILDING MATERIAL SUPPLIER"/>
    <n v="143301"/>
    <s v="LAXMI TRADERS"/>
    <n v="20.5"/>
    <n v="0"/>
    <n v="0"/>
    <n v="10"/>
    <n v="0"/>
    <n v="0"/>
    <n v="0"/>
    <n v="0"/>
    <n v="0"/>
    <n v="0"/>
    <n v="0"/>
    <n v="0"/>
    <n v="2.5"/>
    <n v="0"/>
    <n v="0"/>
    <n v="0"/>
    <n v="0"/>
    <n v="0"/>
    <n v="0"/>
    <n v="0"/>
    <n v="0"/>
    <n v="10"/>
    <n v="0"/>
    <n v="5.5"/>
    <n v="43"/>
    <n v="0"/>
    <n v="0"/>
    <s v="SIKAR"/>
    <s v="SIKAR"/>
    <s v="RJ-SGNR"/>
    <d v="2019-03-02T00:00:00"/>
  </r>
  <r>
    <s v="809411170617"/>
    <x v="1907"/>
    <s v="SUNDRAM  CEMENT SUPPLIERS"/>
    <n v="170617"/>
    <s v="MANGALAM TRADING COMPANY"/>
    <n v="25"/>
    <n v="0"/>
    <n v="0"/>
    <n v="10"/>
    <n v="2.5"/>
    <n v="0"/>
    <n v="32.5"/>
    <n v="0"/>
    <n v="0"/>
    <n v="27.4"/>
    <n v="0"/>
    <n v="0"/>
    <n v="40"/>
    <n v="0"/>
    <n v="0"/>
    <n v="15"/>
    <n v="0"/>
    <n v="0"/>
    <n v="25"/>
    <n v="0"/>
    <n v="0"/>
    <n v="69.5"/>
    <n v="0"/>
    <n v="0"/>
    <n v="244.4"/>
    <n v="2.5"/>
    <n v="0"/>
    <s v="SIKAR"/>
    <s v="SIKAR"/>
    <s v="RJ-SGNR"/>
    <d v="2019-04-20T00:00:00"/>
  </r>
  <r>
    <s v="809411176530"/>
    <x v="1907"/>
    <s v="SUNDRAM  CEMENT SUPPLIERS"/>
    <n v="176530"/>
    <s v="SHREE SHYAM IRON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SIKAR"/>
    <s v="SIKAR"/>
    <s v="RJ-SGNR"/>
    <d v="2019-04-20T00:00:00"/>
  </r>
  <r>
    <s v="809506149885"/>
    <x v="1908"/>
    <s v="MIHIR BHOJ CONSTRUCTION &amp; SUPP"/>
    <n v="149885"/>
    <s v="LUHANI CEMENT SUPPLIERS"/>
    <n v="65"/>
    <n v="0"/>
    <n v="0"/>
    <n v="35"/>
    <n v="0"/>
    <n v="0"/>
    <n v="79"/>
    <n v="15"/>
    <n v="0"/>
    <n v="105"/>
    <n v="0"/>
    <n v="0"/>
    <n v="25"/>
    <n v="0"/>
    <n v="0"/>
    <n v="112.35"/>
    <n v="0"/>
    <n v="0"/>
    <n v="120"/>
    <n v="0"/>
    <n v="34.75"/>
    <n v="145.5"/>
    <n v="0"/>
    <n v="0"/>
    <n v="686.85"/>
    <n v="15"/>
    <n v="34.75"/>
    <s v="SIKAR"/>
    <s v="SIKAR"/>
    <s v="RJ-SGNR"/>
    <d v="2019-05-08T00:00:00"/>
  </r>
  <r>
    <s v="809532177426"/>
    <x v="1909"/>
    <s v="ANJANI TRADING  COMPANY"/>
    <n v="177426"/>
    <s v="THALOR ENTERPRISES"/>
    <n v="0"/>
    <n v="0"/>
    <n v="0"/>
    <n v="10"/>
    <n v="0"/>
    <n v="0"/>
    <n v="20"/>
    <n v="0"/>
    <n v="0"/>
    <n v="33"/>
    <n v="0"/>
    <n v="0"/>
    <n v="0"/>
    <n v="0"/>
    <n v="0"/>
    <n v="10"/>
    <n v="0"/>
    <n v="0"/>
    <n v="10"/>
    <n v="0"/>
    <n v="0"/>
    <n v="10"/>
    <n v="0"/>
    <n v="0"/>
    <n v="93"/>
    <n v="0"/>
    <n v="0"/>
    <s v="SIKAR"/>
    <s v="SIKAR"/>
    <s v="RJ-SGNR"/>
    <d v="2019-05-11T00:00:00"/>
  </r>
  <r>
    <s v="810647170617"/>
    <x v="1910"/>
    <s v="SANJAY TRADING COMPANY"/>
    <n v="170617"/>
    <s v="MANGALAM TRADING COMPANY"/>
    <n v="0"/>
    <n v="10"/>
    <n v="0"/>
    <n v="75"/>
    <n v="0"/>
    <n v="0"/>
    <n v="32.5"/>
    <n v="2.5"/>
    <n v="0"/>
    <n v="52.5"/>
    <n v="0"/>
    <n v="0"/>
    <n v="30"/>
    <n v="0"/>
    <n v="0"/>
    <n v="45"/>
    <n v="0"/>
    <n v="0"/>
    <n v="107"/>
    <n v="0"/>
    <n v="0"/>
    <n v="75"/>
    <n v="0"/>
    <n v="0"/>
    <n v="417"/>
    <n v="12.5"/>
    <n v="0"/>
    <s v="SIKAR"/>
    <s v="SIKAR"/>
    <s v="RJ-SGNR"/>
    <d v="2019-10-16T00:00:00"/>
  </r>
  <r>
    <s v="811218178236"/>
    <x v="1911"/>
    <s v="DEEPAK TRADING COMPANY"/>
    <n v="178236"/>
    <s v="BHORIWAL CEMENT UDYOG"/>
    <n v="9.0500000000000007"/>
    <n v="0"/>
    <n v="0"/>
    <n v="35"/>
    <n v="0"/>
    <n v="0"/>
    <n v="72"/>
    <n v="0"/>
    <n v="0"/>
    <n v="32.5"/>
    <n v="0"/>
    <n v="17.5"/>
    <n v="0"/>
    <n v="0"/>
    <n v="0"/>
    <n v="0"/>
    <n v="0"/>
    <n v="0"/>
    <n v="0"/>
    <n v="0"/>
    <n v="0"/>
    <n v="0"/>
    <n v="0"/>
    <n v="0"/>
    <n v="148.55000000000001"/>
    <n v="0"/>
    <n v="17.5"/>
    <s v="SIKAR"/>
    <s v="SIKAR"/>
    <s v="RJ-SGNR"/>
    <d v="2020-01-09T00:00:00"/>
  </r>
  <r>
    <s v="811219143301"/>
    <x v="1912"/>
    <s v="HIMANSHU CEMENT AGENCY"/>
    <n v="143301"/>
    <s v="LAXMI TRADERS"/>
    <n v="0"/>
    <n v="0"/>
    <n v="0"/>
    <n v="0"/>
    <n v="0"/>
    <n v="0"/>
    <n v="0"/>
    <n v="0"/>
    <n v="0"/>
    <n v="0"/>
    <n v="0"/>
    <n v="0"/>
    <n v="0"/>
    <n v="0"/>
    <n v="0"/>
    <n v="8"/>
    <n v="0"/>
    <n v="0"/>
    <n v="0"/>
    <n v="0"/>
    <n v="0"/>
    <n v="0"/>
    <n v="0"/>
    <n v="0"/>
    <n v="8"/>
    <n v="0"/>
    <n v="0"/>
    <s v="SIKAR"/>
    <s v="SIKAR"/>
    <s v="RJ-SGNR"/>
    <d v="2020-01-09T00:00:00"/>
  </r>
  <r>
    <s v="811454144243"/>
    <x v="1913"/>
    <s v="BALAJI TRADERS"/>
    <n v="144243"/>
    <s v="SHRI SHYAM TRADING COMPANY"/>
    <n v="10"/>
    <n v="0"/>
    <n v="0"/>
    <n v="15"/>
    <n v="0"/>
    <n v="0"/>
    <n v="40"/>
    <n v="0"/>
    <n v="0"/>
    <n v="21.5"/>
    <n v="0"/>
    <n v="0"/>
    <n v="28"/>
    <n v="0"/>
    <n v="8"/>
    <n v="17.5"/>
    <n v="0"/>
    <n v="10"/>
    <n v="15.5"/>
    <n v="0"/>
    <n v="0"/>
    <n v="38.25"/>
    <n v="0"/>
    <n v="10"/>
    <n v="185.75"/>
    <n v="0"/>
    <n v="18"/>
    <s v="SIKAR"/>
    <s v="SIKAR"/>
    <s v="RJ-SGNR"/>
    <d v="2020-02-07T00:00:00"/>
  </r>
  <r>
    <s v="811633170617"/>
    <x v="1914"/>
    <s v="SHREE SHYAM DHARAMKANTA"/>
    <n v="170617"/>
    <s v="MANGALAM TRADING COMPANY"/>
    <n v="0"/>
    <n v="0"/>
    <n v="0"/>
    <n v="1.5"/>
    <n v="0"/>
    <n v="0"/>
    <n v="10"/>
    <n v="0"/>
    <n v="0"/>
    <n v="5"/>
    <n v="0"/>
    <n v="0"/>
    <n v="0"/>
    <n v="0"/>
    <n v="0"/>
    <n v="0"/>
    <n v="0"/>
    <n v="0"/>
    <n v="0"/>
    <n v="0"/>
    <n v="0"/>
    <n v="0"/>
    <n v="0"/>
    <n v="0"/>
    <n v="16.5"/>
    <n v="0"/>
    <n v="0"/>
    <s v="SIKAR"/>
    <s v="SIKAR"/>
    <s v="RJ-SGNR"/>
    <d v="2020-02-27T00:00:00"/>
  </r>
  <r>
    <s v="811634170617"/>
    <x v="1915"/>
    <s v="SHRI TANOT MATAJI DHARAMKANTA"/>
    <n v="170617"/>
    <s v="MANGALAM TRADING COMPANY"/>
    <n v="25"/>
    <n v="0"/>
    <n v="0"/>
    <n v="78"/>
    <n v="0"/>
    <n v="0"/>
    <n v="157.30000000000001"/>
    <n v="0"/>
    <n v="25.8"/>
    <n v="75"/>
    <n v="0"/>
    <n v="30"/>
    <n v="40.75"/>
    <n v="10.75"/>
    <n v="10"/>
    <n v="35"/>
    <n v="0"/>
    <n v="0"/>
    <n v="75"/>
    <n v="0"/>
    <n v="0"/>
    <n v="92"/>
    <n v="0"/>
    <n v="17.5"/>
    <n v="578.04999999999995"/>
    <n v="10.75"/>
    <n v="65.8"/>
    <s v="SIKAR"/>
    <s v="SIKAR"/>
    <s v="RJ-SGNR"/>
    <d v="2020-02-27T00:00:00"/>
  </r>
  <r>
    <s v="811634149885"/>
    <x v="1915"/>
    <s v="SHRI TANOT MATAJI DHARAMKANTA"/>
    <n v="149885"/>
    <s v="LUHANI CEMENT SUPPLIERS"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25"/>
    <n v="0"/>
    <n v="0"/>
    <s v="SIKAR"/>
    <s v="SIKAR"/>
    <s v="RJ-SGNR"/>
    <d v="2020-02-27T00:00:00"/>
  </r>
  <r>
    <s v="811677170617"/>
    <x v="1916"/>
    <s v="ASHVINI ENTERPRISES"/>
    <n v="170617"/>
    <s v="MANGALAM TRADING COMPANY"/>
    <n v="0"/>
    <n v="0"/>
    <n v="0"/>
    <n v="21.5"/>
    <n v="0"/>
    <n v="0"/>
    <n v="49"/>
    <n v="0"/>
    <n v="0"/>
    <n v="132.5"/>
    <n v="0"/>
    <n v="15"/>
    <n v="47.5"/>
    <n v="0"/>
    <n v="0"/>
    <n v="57"/>
    <n v="0"/>
    <n v="0"/>
    <n v="163"/>
    <n v="13"/>
    <n v="0"/>
    <n v="110.25"/>
    <n v="3"/>
    <n v="19.75"/>
    <n v="580.75"/>
    <n v="13"/>
    <n v="15"/>
    <s v="SIKAR"/>
    <s v="SIKAR"/>
    <s v="RJ-SGNR"/>
    <d v="2020-03-05T00:00:00"/>
  </r>
  <r>
    <s v="812043144243"/>
    <x v="1917"/>
    <s v="SHRI GURUKRIPA TILES PLAZA"/>
    <n v="144243"/>
    <s v="SHRI SHYAM TRADING COMPANY"/>
    <n v="0"/>
    <n v="0"/>
    <n v="0"/>
    <n v="2.5"/>
    <n v="0"/>
    <n v="0"/>
    <n v="13"/>
    <n v="0"/>
    <n v="0"/>
    <n v="5"/>
    <n v="0"/>
    <n v="0"/>
    <n v="0"/>
    <n v="0"/>
    <n v="0"/>
    <n v="0"/>
    <n v="0"/>
    <n v="0"/>
    <n v="0"/>
    <n v="0"/>
    <n v="0"/>
    <n v="0"/>
    <n v="0"/>
    <n v="0"/>
    <n v="20.5"/>
    <n v="0"/>
    <n v="0"/>
    <s v="SIKAR"/>
    <s v="SIKAR"/>
    <s v="RJ-SGNR"/>
    <d v="2020-06-27T00:00:00"/>
  </r>
  <r>
    <s v="812064177426"/>
    <x v="1918"/>
    <s v="SHRI BALAJI DHARMKANTA &amp; BUILD"/>
    <n v="177426"/>
    <s v="THALOR ENTERPRISES"/>
    <n v="0"/>
    <n v="0"/>
    <n v="0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10.25"/>
    <n v="0"/>
    <n v="0"/>
    <n v="17.25"/>
    <n v="0"/>
    <n v="0"/>
    <s v="SIKAR"/>
    <s v="SIKAR"/>
    <s v="RJ-SGNR"/>
    <d v="2020-06-29T00:00:00"/>
  </r>
  <r>
    <s v="812099144243"/>
    <x v="1919"/>
    <s v="MAA VAISHNO DEVI BUILDING MATE"/>
    <n v="144243"/>
    <s v="SHRI SHYAM TRADING COMPANY"/>
    <n v="5"/>
    <n v="0"/>
    <n v="0"/>
    <n v="5"/>
    <n v="0"/>
    <n v="0"/>
    <n v="37"/>
    <n v="0"/>
    <n v="0"/>
    <n v="23.5"/>
    <n v="0"/>
    <n v="0"/>
    <n v="19.2"/>
    <n v="0"/>
    <n v="4.2"/>
    <n v="17.5"/>
    <n v="0"/>
    <n v="0"/>
    <n v="7.5"/>
    <n v="0"/>
    <n v="0"/>
    <n v="15"/>
    <n v="0"/>
    <n v="0"/>
    <n v="129.69999999999999"/>
    <n v="0"/>
    <n v="4.2"/>
    <s v="SIKAR"/>
    <s v="SIKAR"/>
    <s v="RJ-SGNR"/>
    <d v="2020-07-03T00:00:00"/>
  </r>
  <r>
    <s v="812099171591"/>
    <x v="1919"/>
    <s v="MAA VAISHNO DEVI BUILDING MATE"/>
    <n v="171591"/>
    <s v="RULANIYA CEMENT AGENCY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SIKAR"/>
    <s v="SIKAR"/>
    <s v="RJ-SGNR"/>
    <d v="2020-07-03T00:00:00"/>
  </r>
  <r>
    <s v="812381170617"/>
    <x v="1920"/>
    <s v="SHRI VISHWAKARMA CONSTRUCTION"/>
    <n v="170617"/>
    <s v="MANGALAM TRADING COMPANY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5"/>
    <n v="0"/>
    <n v="0"/>
    <s v="SIKAR"/>
    <s v="SIKAR"/>
    <s v="RJ-SGNR"/>
    <d v="2020-07-28T00:00:00"/>
  </r>
  <r>
    <s v="812535149885"/>
    <x v="1921"/>
    <s v="KISHORE KUMAR KUMAWAT"/>
    <n v="149885"/>
    <s v="LUHANI CEMENT SUPPLIERS"/>
    <n v="7.5"/>
    <n v="0"/>
    <n v="0"/>
    <n v="35"/>
    <n v="0"/>
    <n v="0"/>
    <n v="50"/>
    <n v="0"/>
    <n v="0"/>
    <n v="7.5"/>
    <n v="0"/>
    <n v="0"/>
    <n v="30"/>
    <n v="0"/>
    <n v="0"/>
    <n v="17.5"/>
    <n v="0"/>
    <n v="0"/>
    <n v="27.5"/>
    <n v="10"/>
    <n v="0"/>
    <n v="128"/>
    <n v="0"/>
    <n v="25"/>
    <n v="303"/>
    <n v="10"/>
    <n v="0"/>
    <s v="SIKAR"/>
    <s v="SIKAR"/>
    <s v="RJ-SGNR"/>
    <d v="2020-08-14T00:00:00"/>
  </r>
  <r>
    <s v="812536119212"/>
    <x v="1922"/>
    <s v="LAKSHITA SALES"/>
    <n v="119212"/>
    <s v="SURENDRA KUMAR &amp; CO"/>
    <n v="67"/>
    <n v="6.5"/>
    <n v="0"/>
    <n v="30"/>
    <n v="0"/>
    <n v="0"/>
    <n v="15"/>
    <n v="0"/>
    <n v="0"/>
    <n v="82.5"/>
    <n v="0"/>
    <n v="0"/>
    <n v="37.5"/>
    <n v="0"/>
    <n v="0"/>
    <n v="80"/>
    <n v="0"/>
    <n v="0"/>
    <n v="121.5"/>
    <n v="0"/>
    <n v="0"/>
    <n v="92"/>
    <n v="0"/>
    <n v="0"/>
    <n v="525.5"/>
    <n v="6.5"/>
    <n v="0"/>
    <s v="SIKAR"/>
    <s v="SIKAR"/>
    <s v="RJ-SGNR"/>
    <d v="2020-08-14T00:00:00"/>
  </r>
  <r>
    <s v="812537144343"/>
    <x v="1923"/>
    <s v="YADAV CEMENT AGENCY"/>
    <n v="144343"/>
    <s v="SHREE BALAJI CEMENT AGENCY"/>
    <n v="0"/>
    <n v="0"/>
    <n v="0"/>
    <n v="0"/>
    <n v="0"/>
    <n v="0"/>
    <n v="14"/>
    <n v="0"/>
    <n v="0"/>
    <n v="2.5"/>
    <n v="0"/>
    <n v="0"/>
    <n v="0"/>
    <n v="0"/>
    <n v="0"/>
    <n v="0"/>
    <n v="0"/>
    <n v="0"/>
    <n v="0"/>
    <n v="0"/>
    <n v="0"/>
    <n v="10"/>
    <n v="0"/>
    <n v="0"/>
    <n v="26.5"/>
    <n v="0"/>
    <n v="0"/>
    <s v="SIKAR"/>
    <s v="SIKAR"/>
    <s v="RJ-SGNR"/>
    <d v="2020-08-14T00:00:00"/>
  </r>
  <r>
    <s v="812891119212"/>
    <x v="1924"/>
    <s v="QURESHI MARBEL &amp; TILES SUPPLIE"/>
    <n v="119212"/>
    <s v="SURENDRA KUMAR &amp; CO"/>
    <n v="50"/>
    <n v="7"/>
    <n v="0"/>
    <n v="66.5"/>
    <n v="0"/>
    <n v="0"/>
    <n v="11.25"/>
    <n v="0"/>
    <n v="0"/>
    <n v="21"/>
    <n v="0"/>
    <n v="0"/>
    <n v="49"/>
    <n v="0"/>
    <n v="0"/>
    <n v="18"/>
    <n v="0"/>
    <n v="0"/>
    <n v="25"/>
    <n v="0"/>
    <n v="0"/>
    <n v="35"/>
    <n v="0"/>
    <n v="0"/>
    <n v="275.75"/>
    <n v="7"/>
    <n v="0"/>
    <s v="SIKAR"/>
    <s v="SIKAR"/>
    <s v="RJ-SGNR"/>
    <d v="2020-09-12T00:00:00"/>
  </r>
  <r>
    <s v="812920149885"/>
    <x v="1925"/>
    <s v="BALAJI TRADING COMPANY"/>
    <n v="149885"/>
    <s v="LUHANI CEMENT SUPPLIERS"/>
    <n v="0"/>
    <n v="0"/>
    <n v="0"/>
    <n v="0"/>
    <n v="0"/>
    <n v="0"/>
    <n v="42"/>
    <n v="0"/>
    <n v="0"/>
    <n v="0"/>
    <n v="0"/>
    <n v="0"/>
    <n v="0"/>
    <n v="0"/>
    <n v="0"/>
    <n v="0"/>
    <n v="0"/>
    <n v="0"/>
    <n v="0"/>
    <n v="0"/>
    <n v="0"/>
    <n v="15"/>
    <n v="0"/>
    <n v="0"/>
    <n v="57"/>
    <n v="0"/>
    <n v="0"/>
    <s v="SIKAR"/>
    <s v="SIKAR"/>
    <s v="RJ-SGNR"/>
    <d v="2020-09-15T00:00:00"/>
  </r>
  <r>
    <s v="812983119212"/>
    <x v="1926"/>
    <s v="SHRI SHYAM TRADING COMPANY"/>
    <n v="119212"/>
    <s v="SURENDRA KUMAR &amp; CO"/>
    <n v="0"/>
    <n v="0"/>
    <n v="0"/>
    <n v="13.75"/>
    <n v="0"/>
    <n v="0"/>
    <n v="32.5"/>
    <n v="0"/>
    <n v="0"/>
    <n v="60.75"/>
    <n v="0"/>
    <n v="17.25"/>
    <n v="15"/>
    <n v="0"/>
    <n v="0"/>
    <n v="31.5"/>
    <n v="0"/>
    <n v="0"/>
    <n v="22.5"/>
    <n v="0"/>
    <n v="0"/>
    <n v="0"/>
    <n v="0"/>
    <n v="0"/>
    <n v="176"/>
    <n v="0"/>
    <n v="17.25"/>
    <s v="SIKAR"/>
    <s v="SIKAR"/>
    <s v="RJ-SGNR"/>
    <d v="2020-09-19T00:00:00"/>
  </r>
  <r>
    <s v="813007170617"/>
    <x v="1927"/>
    <s v="SHEETAL TRADING COMPANY"/>
    <n v="170617"/>
    <s v="MANGALAM TRADING COMPANY"/>
    <n v="0"/>
    <n v="0"/>
    <n v="0"/>
    <n v="36.5"/>
    <n v="0"/>
    <n v="0"/>
    <n v="154"/>
    <n v="0"/>
    <n v="0"/>
    <n v="45"/>
    <n v="0"/>
    <n v="15"/>
    <n v="10"/>
    <n v="0"/>
    <n v="0"/>
    <n v="50"/>
    <n v="0"/>
    <n v="0"/>
    <n v="68"/>
    <n v="0"/>
    <n v="0"/>
    <n v="95"/>
    <n v="0"/>
    <n v="0"/>
    <n v="458.5"/>
    <n v="0"/>
    <n v="15"/>
    <s v="SIKAR"/>
    <s v="SIKAR"/>
    <s v="RJ-SGNR"/>
    <d v="2020-09-22T00:00:00"/>
  </r>
  <r>
    <s v="813036149885"/>
    <x v="1928"/>
    <s v="DIVYA SALES"/>
    <n v="149885"/>
    <s v="LUHANI CEMENT SUPPLIERS"/>
    <n v="115.30000000000001"/>
    <n v="10.899999999999999"/>
    <n v="0"/>
    <n v="35.9"/>
    <n v="23.3"/>
    <n v="0"/>
    <n v="71"/>
    <n v="0"/>
    <n v="0"/>
    <n v="70"/>
    <n v="0"/>
    <n v="0"/>
    <n v="59.65"/>
    <n v="0"/>
    <n v="0"/>
    <n v="99.55"/>
    <n v="0"/>
    <n v="31.3"/>
    <n v="67.5"/>
    <n v="6.5"/>
    <n v="13.5"/>
    <n v="119.2"/>
    <n v="7.5"/>
    <n v="5.45"/>
    <n v="638.10000000000014"/>
    <n v="40.700000000000003"/>
    <n v="44.8"/>
    <s v="SIKAR"/>
    <s v="SIKAR"/>
    <s v="RJ-SGNR"/>
    <d v="2020-09-23T00:00:00"/>
  </r>
  <r>
    <s v="813284170617"/>
    <x v="1929"/>
    <s v="SURYA CONSTRUCTION AND TRADING"/>
    <n v="170617"/>
    <s v="MANGALAM TRADING COMPANY"/>
    <n v="0"/>
    <n v="0"/>
    <n v="0"/>
    <n v="25"/>
    <n v="0"/>
    <n v="0"/>
    <n v="0"/>
    <n v="0"/>
    <n v="0"/>
    <n v="0"/>
    <n v="0"/>
    <n v="0"/>
    <n v="0"/>
    <n v="0"/>
    <n v="0"/>
    <n v="27.5"/>
    <n v="0"/>
    <n v="0"/>
    <n v="57"/>
    <n v="0"/>
    <n v="0"/>
    <n v="42"/>
    <n v="0"/>
    <n v="0"/>
    <n v="151.5"/>
    <n v="0"/>
    <n v="0"/>
    <s v="SIKAR"/>
    <s v="SIKAR"/>
    <s v="RJ-SGNR"/>
    <d v="2020-10-15T00:00:00"/>
  </r>
  <r>
    <s v="813288119212"/>
    <x v="1930"/>
    <s v="KAMAL CEMENT"/>
    <n v="119212"/>
    <s v="SURENDRA KUMAR &amp; CO"/>
    <n v="37"/>
    <n v="6.25"/>
    <n v="0"/>
    <n v="58.75"/>
    <n v="0"/>
    <n v="0"/>
    <n v="31.75"/>
    <n v="0"/>
    <n v="0"/>
    <n v="38"/>
    <n v="0"/>
    <n v="2.5"/>
    <n v="27.5"/>
    <n v="0"/>
    <n v="0"/>
    <n v="34.5"/>
    <n v="2"/>
    <n v="0"/>
    <n v="54.5"/>
    <n v="0"/>
    <n v="0"/>
    <n v="30"/>
    <n v="0"/>
    <n v="0"/>
    <n v="312"/>
    <n v="8.25"/>
    <n v="2.5"/>
    <s v="SIKAR"/>
    <s v="SIKAR"/>
    <s v="RJ-SGNR"/>
    <d v="2020-10-15T00:00:00"/>
  </r>
  <r>
    <s v="813690149885"/>
    <x v="1931"/>
    <s v="VISHAL BRICKS UDYOG &amp; BUILDING"/>
    <n v="149885"/>
    <s v="LUHANI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KAR"/>
    <s v="SIKAR"/>
    <s v="RJ-SGNR"/>
    <d v="2020-11-27T00:00:00"/>
  </r>
  <r>
    <s v="813962149971"/>
    <x v="1932"/>
    <s v="ZAHID CEMENT SUPPLIERS"/>
    <n v="149971"/>
    <s v="PRADHAN CEMENT SUPPLIERS"/>
    <n v="0"/>
    <n v="0"/>
    <n v="0"/>
    <n v="5"/>
    <n v="0"/>
    <n v="0"/>
    <n v="0"/>
    <n v="0"/>
    <n v="0"/>
    <n v="0"/>
    <n v="0"/>
    <n v="0"/>
    <n v="5"/>
    <n v="0"/>
    <n v="0"/>
    <n v="2"/>
    <n v="0"/>
    <n v="0"/>
    <n v="0"/>
    <n v="0"/>
    <n v="0"/>
    <n v="17.899999999999999"/>
    <n v="0"/>
    <n v="0"/>
    <n v="29.9"/>
    <n v="0"/>
    <n v="0"/>
    <s v="SIKAR"/>
    <s v="SIKAR"/>
    <s v="RJ-SGNR"/>
    <d v="2020-12-25T00:00:00"/>
  </r>
  <r>
    <s v="813974170617"/>
    <x v="1933"/>
    <s v="KRISHNA TRADING COMPANY"/>
    <n v="170617"/>
    <s v="MANGALAM TRADING COMPANY"/>
    <n v="0"/>
    <n v="0"/>
    <n v="0"/>
    <n v="30"/>
    <n v="0"/>
    <n v="0"/>
    <n v="0"/>
    <n v="0"/>
    <n v="0"/>
    <n v="45"/>
    <n v="0"/>
    <n v="0"/>
    <n v="10"/>
    <n v="0"/>
    <n v="0"/>
    <n v="0"/>
    <n v="0"/>
    <n v="0"/>
    <n v="0"/>
    <n v="0"/>
    <n v="0"/>
    <n v="40"/>
    <n v="0"/>
    <n v="0"/>
    <n v="125"/>
    <n v="0"/>
    <n v="0"/>
    <s v="SIKAR"/>
    <s v="SIKAR"/>
    <s v="RJ-SGNR"/>
    <d v="2020-12-26T00:00:00"/>
  </r>
  <r>
    <s v="814018141118"/>
    <x v="1934"/>
    <s v="MAHESH TRADING COMPANY"/>
    <n v="141118"/>
    <s v="SHREE LAXMI NATH STONE COMPANY"/>
    <n v="62"/>
    <n v="7"/>
    <n v="0"/>
    <n v="52.5"/>
    <n v="10"/>
    <n v="0"/>
    <n v="82.5"/>
    <n v="0"/>
    <n v="10"/>
    <n v="42"/>
    <n v="0"/>
    <n v="0"/>
    <n v="24"/>
    <n v="0"/>
    <n v="4"/>
    <n v="62"/>
    <n v="7.5"/>
    <n v="10"/>
    <n v="69.25"/>
    <n v="0"/>
    <n v="14.25"/>
    <n v="83.5"/>
    <n v="0"/>
    <n v="20"/>
    <n v="477.75"/>
    <n v="24.5"/>
    <n v="38.25"/>
    <s v="SIKAR"/>
    <s v="SIKAR"/>
    <s v="RJ-SGNR"/>
    <d v="2020-12-30T00:00:00"/>
  </r>
  <r>
    <s v="814168208770"/>
    <x v="1935"/>
    <s v="RUCHIKA TRADING COMPANY"/>
    <n v="208770"/>
    <s v="SHEKHAWAT BUILDING MATERIAL"/>
    <n v="30"/>
    <n v="0"/>
    <n v="0"/>
    <n v="10"/>
    <n v="0"/>
    <n v="0"/>
    <n v="20"/>
    <n v="0"/>
    <n v="5"/>
    <n v="32.5"/>
    <n v="0"/>
    <n v="0"/>
    <n v="0"/>
    <n v="0"/>
    <n v="0"/>
    <n v="15"/>
    <n v="0"/>
    <n v="0"/>
    <n v="10"/>
    <n v="0"/>
    <n v="0"/>
    <n v="10"/>
    <n v="0"/>
    <n v="0"/>
    <n v="127.5"/>
    <n v="0"/>
    <n v="5"/>
    <s v="SIKAR"/>
    <s v="SIKAR"/>
    <s v="RJ-SGNR"/>
    <d v="2021-01-18T00:00:00"/>
  </r>
  <r>
    <s v="814176144243"/>
    <x v="1936"/>
    <s v="SHRI JAGDAMBAY KALBHAIRAV CONS"/>
    <n v="144243"/>
    <s v="SHRI SHYAM TRADING COMPANY"/>
    <n v="0"/>
    <n v="0"/>
    <n v="0"/>
    <n v="5"/>
    <n v="0"/>
    <n v="0"/>
    <n v="24.5"/>
    <n v="0"/>
    <n v="0"/>
    <n v="5.5"/>
    <n v="0"/>
    <n v="0"/>
    <n v="0"/>
    <n v="0"/>
    <n v="0"/>
    <n v="0"/>
    <n v="0"/>
    <n v="0"/>
    <n v="0"/>
    <n v="0"/>
    <n v="0"/>
    <n v="0"/>
    <n v="0"/>
    <n v="0"/>
    <n v="35"/>
    <n v="0"/>
    <n v="0"/>
    <s v="SIKAR"/>
    <s v="SIKAR"/>
    <s v="RJ-SGNR"/>
    <d v="2021-01-19T00:00:00"/>
  </r>
  <r>
    <s v="814218179490"/>
    <x v="1937"/>
    <s v="S S BUILDING MATERIAL SUPPLIER"/>
    <n v="179490"/>
    <s v="KHATRI TRADING COMPANY"/>
    <n v="60"/>
    <n v="0"/>
    <n v="0"/>
    <n v="52"/>
    <n v="0"/>
    <n v="0"/>
    <n v="131.5"/>
    <n v="0"/>
    <n v="5"/>
    <n v="47.5"/>
    <n v="0"/>
    <n v="2.5"/>
    <n v="35"/>
    <n v="0"/>
    <n v="0"/>
    <n v="57.15"/>
    <n v="0"/>
    <n v="0"/>
    <n v="37"/>
    <n v="0"/>
    <n v="0"/>
    <n v="113.25"/>
    <n v="0"/>
    <n v="15.75"/>
    <n v="533.4"/>
    <n v="0"/>
    <n v="7.5"/>
    <s v="SIKAR"/>
    <s v="SIKAR"/>
    <s v="RJ-SGNR"/>
    <d v="2021-01-21T00:00:00"/>
  </r>
  <r>
    <s v="814281170617"/>
    <x v="1938"/>
    <s v="DEVNARAYAN BUILDING MATERIAL S"/>
    <n v="170617"/>
    <s v="MANGALAM TRADING COMPANY"/>
    <n v="0"/>
    <n v="0"/>
    <n v="0"/>
    <n v="2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0"/>
    <n v="0"/>
    <s v="SIKAR"/>
    <s v="SIKAR"/>
    <s v="RJ-SGNR"/>
    <d v="2021-01-27T00:00:00"/>
  </r>
  <r>
    <s v="814681144243"/>
    <x v="1939"/>
    <s v="JAI BHAWANI BUILDING MATERIAL"/>
    <n v="144243"/>
    <s v="SHRI SHYAM TRADING COMPANY"/>
    <n v="0"/>
    <n v="0"/>
    <n v="0"/>
    <n v="2.5"/>
    <n v="0"/>
    <n v="0"/>
    <n v="14.5"/>
    <n v="0"/>
    <n v="0"/>
    <n v="4.5"/>
    <n v="0"/>
    <n v="0"/>
    <n v="0"/>
    <n v="0"/>
    <n v="0"/>
    <n v="0"/>
    <n v="0"/>
    <n v="0"/>
    <n v="0"/>
    <n v="0"/>
    <n v="0"/>
    <n v="0"/>
    <n v="0"/>
    <n v="0"/>
    <n v="21.5"/>
    <n v="0"/>
    <n v="0"/>
    <s v="SIKAR"/>
    <s v="SIKAR"/>
    <s v="RJ-SGNR"/>
    <d v="2021-03-03T00:00:00"/>
  </r>
  <r>
    <s v="814750170617"/>
    <x v="1940"/>
    <s v="TEJAL BUILDING MATERIAL SUPPLI"/>
    <n v="170617"/>
    <s v="MANGALAM TRADING COMPANY"/>
    <n v="0"/>
    <n v="0"/>
    <n v="0"/>
    <n v="1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s v="SIKAR"/>
    <s v="SIKAR"/>
    <s v="RJ-SGNR"/>
    <d v="2021-03-13T00:00:00"/>
  </r>
  <r>
    <s v="814846144343"/>
    <x v="1941"/>
    <s v="AKSH TRADING COMPANY"/>
    <n v="144343"/>
    <s v="SHREE BALAJI CEMENT AGENCY"/>
    <n v="77.5"/>
    <n v="0"/>
    <n v="0"/>
    <n v="7.5"/>
    <n v="7.5"/>
    <n v="0"/>
    <n v="31.5"/>
    <n v="0"/>
    <n v="0"/>
    <n v="22.5"/>
    <n v="0"/>
    <n v="0"/>
    <n v="29"/>
    <n v="0"/>
    <n v="0"/>
    <n v="12"/>
    <n v="0"/>
    <n v="12"/>
    <n v="0"/>
    <n v="0"/>
    <n v="0"/>
    <n v="16.850000000000001"/>
    <n v="0"/>
    <n v="6.85"/>
    <n v="196.85"/>
    <n v="7.5"/>
    <n v="12"/>
    <s v="SIKAR"/>
    <s v="SIKAR"/>
    <s v="RJ-SGNR"/>
    <d v="2021-03-26T00:00:00"/>
  </r>
  <r>
    <s v="814850119212"/>
    <x v="1942"/>
    <s v="KRISHNA HARDWARE"/>
    <n v="119212"/>
    <s v="SURENDRA KUMAR &amp; CO"/>
    <n v="25"/>
    <n v="0"/>
    <n v="0"/>
    <n v="27.5"/>
    <n v="0"/>
    <n v="0"/>
    <n v="1.25"/>
    <n v="0"/>
    <n v="0"/>
    <n v="13.5"/>
    <n v="0"/>
    <n v="0"/>
    <n v="25"/>
    <n v="0"/>
    <n v="0"/>
    <n v="52.5"/>
    <n v="0"/>
    <n v="0"/>
    <n v="10"/>
    <n v="0"/>
    <n v="0"/>
    <n v="32"/>
    <n v="0"/>
    <n v="0"/>
    <n v="186.75"/>
    <n v="0"/>
    <n v="0"/>
    <s v="SIKAR"/>
    <s v="SIKAR"/>
    <s v="RJ-SGNR"/>
    <d v="2021-03-26T00:00:00"/>
  </r>
  <r>
    <s v="814955171591"/>
    <x v="1943"/>
    <s v="BALAJI CEMENT SUPPLIERS"/>
    <n v="171591"/>
    <s v="RULANIYA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  <n v="5"/>
    <n v="0"/>
    <n v="5"/>
    <s v="SIKAR"/>
    <s v="SIKAR"/>
    <s v="RJ-SGNR"/>
    <d v="2021-04-16T00:00:00"/>
  </r>
  <r>
    <s v="815091149885"/>
    <x v="1944"/>
    <s v="SHRI KRISHNA ENTERPRISES"/>
    <n v="149885"/>
    <s v="LUHANI CEMENT SUPPLIERS"/>
    <n v="0"/>
    <n v="0"/>
    <n v="0"/>
    <n v="20"/>
    <n v="0"/>
    <n v="0"/>
    <n v="105"/>
    <n v="0"/>
    <n v="0"/>
    <n v="0"/>
    <n v="0"/>
    <n v="0"/>
    <n v="49.25"/>
    <n v="0"/>
    <n v="11.75"/>
    <n v="69.8"/>
    <n v="1.5"/>
    <n v="24.8"/>
    <n v="0"/>
    <n v="0"/>
    <n v="0"/>
    <n v="31.35"/>
    <n v="0"/>
    <n v="0"/>
    <n v="275.40000000000003"/>
    <n v="1.5"/>
    <n v="36.549999999999997"/>
    <s v="SIKAR"/>
    <s v="SIKAR"/>
    <s v="RJ-SGNR"/>
    <d v="2021-05-28T00:00:00"/>
  </r>
  <r>
    <s v="815092119212"/>
    <x v="1945"/>
    <s v="RITIKA ELECTRICAL"/>
    <n v="119212"/>
    <s v="SURENDRA KUMAR &amp; CO"/>
    <n v="97.5"/>
    <n v="0"/>
    <n v="0"/>
    <n v="20"/>
    <n v="0"/>
    <n v="0"/>
    <n v="28"/>
    <n v="0"/>
    <n v="0"/>
    <n v="35"/>
    <n v="0"/>
    <n v="0"/>
    <n v="10"/>
    <n v="0"/>
    <n v="0"/>
    <n v="22.5"/>
    <n v="0"/>
    <n v="0"/>
    <n v="20"/>
    <n v="0"/>
    <n v="0"/>
    <n v="39.15"/>
    <n v="0"/>
    <n v="0"/>
    <n v="272.14999999999998"/>
    <n v="0"/>
    <n v="0"/>
    <s v="SIKAR"/>
    <s v="SIKAR"/>
    <s v="RJ-SGNR"/>
    <d v="2021-05-28T00:00:00"/>
  </r>
  <r>
    <s v="815096119212"/>
    <x v="1946"/>
    <s v="KHANDELWAL CEMENT AGENCY"/>
    <n v="119212"/>
    <s v="SURENDRA KUMAR &amp; CO"/>
    <n v="0"/>
    <n v="4"/>
    <n v="0"/>
    <n v="34"/>
    <n v="0"/>
    <n v="0"/>
    <n v="4.75"/>
    <n v="0"/>
    <n v="0"/>
    <n v="42.5"/>
    <n v="0"/>
    <n v="0"/>
    <n v="25"/>
    <n v="0"/>
    <n v="0"/>
    <n v="48.75"/>
    <n v="0"/>
    <n v="0"/>
    <n v="40.200000000000003"/>
    <n v="0"/>
    <n v="0"/>
    <n v="29.1"/>
    <n v="0"/>
    <n v="0"/>
    <n v="224.29999999999998"/>
    <n v="4"/>
    <n v="0"/>
    <s v="SIKAR"/>
    <s v="SIKAR"/>
    <s v="RJ-SGNR"/>
    <d v="2021-05-28T00:00:00"/>
  </r>
  <r>
    <s v="815097143301"/>
    <x v="1947"/>
    <s v="MAA KAILASH KRIPA COATINGS"/>
    <n v="143301"/>
    <s v="LAXMI TRADERS"/>
    <n v="75"/>
    <n v="0"/>
    <n v="0"/>
    <n v="0"/>
    <n v="0"/>
    <n v="0"/>
    <n v="0"/>
    <n v="0"/>
    <n v="0"/>
    <n v="0"/>
    <n v="0"/>
    <n v="0"/>
    <n v="20"/>
    <n v="0"/>
    <n v="0"/>
    <n v="30"/>
    <n v="0"/>
    <n v="0"/>
    <n v="40"/>
    <n v="0"/>
    <n v="0"/>
    <n v="15"/>
    <n v="0"/>
    <n v="0"/>
    <n v="180"/>
    <n v="0"/>
    <n v="0"/>
    <s v="SIKAR"/>
    <s v="SIKAR"/>
    <s v="RJ-SGNR"/>
    <d v="2021-05-28T00:00:00"/>
  </r>
  <r>
    <s v="815136149885"/>
    <x v="1948"/>
    <s v="VISHWAKARMA MARBLE"/>
    <n v="149885"/>
    <s v="LUHANI CEMENT SUPPLIERS"/>
    <n v="27.5"/>
    <n v="0"/>
    <n v="0"/>
    <n v="11.5"/>
    <n v="0"/>
    <n v="0"/>
    <n v="70"/>
    <n v="0"/>
    <n v="0"/>
    <n v="0"/>
    <n v="0"/>
    <n v="0"/>
    <n v="0"/>
    <n v="0"/>
    <n v="0"/>
    <n v="7.5"/>
    <n v="0"/>
    <n v="0"/>
    <n v="0"/>
    <n v="0"/>
    <n v="0"/>
    <n v="31"/>
    <n v="0"/>
    <n v="0"/>
    <n v="147.5"/>
    <n v="0"/>
    <n v="0"/>
    <s v="SIKAR"/>
    <s v="SIKAR"/>
    <s v="RJ-SGNR"/>
    <d v="2021-06-11T00:00:00"/>
  </r>
  <r>
    <s v="815183149971"/>
    <x v="1949"/>
    <s v="SHIFA TILES AND BUILDING MATER"/>
    <n v="149971"/>
    <s v="PRADHAN CEMENT SUPPLIERS"/>
    <n v="0"/>
    <n v="0"/>
    <n v="0"/>
    <n v="10"/>
    <n v="0"/>
    <n v="0"/>
    <n v="9.5"/>
    <n v="0"/>
    <n v="0"/>
    <n v="35.5"/>
    <n v="0"/>
    <n v="0"/>
    <n v="16.5"/>
    <n v="0"/>
    <n v="0"/>
    <n v="34.25"/>
    <n v="0"/>
    <n v="1.25"/>
    <n v="0"/>
    <n v="0"/>
    <n v="0"/>
    <n v="25"/>
    <n v="0"/>
    <n v="0"/>
    <n v="130.75"/>
    <n v="0"/>
    <n v="1.25"/>
    <s v="SIKAR"/>
    <s v="SIKAR"/>
    <s v="RJ-SGNR"/>
    <d v="2021-06-18T00:00:00"/>
  </r>
  <r>
    <s v="815422149885"/>
    <x v="1950"/>
    <s v="MARUTI CEMENT AGENCY"/>
    <n v="149885"/>
    <s v="LUHANI CEMENT SUPPLIERS"/>
    <n v="20"/>
    <n v="0"/>
    <n v="0"/>
    <n v="45"/>
    <n v="0"/>
    <n v="0"/>
    <n v="60"/>
    <n v="15"/>
    <n v="0"/>
    <n v="47.5"/>
    <n v="0"/>
    <n v="0"/>
    <n v="47"/>
    <n v="0"/>
    <n v="0"/>
    <n v="104"/>
    <n v="0"/>
    <n v="25"/>
    <n v="40"/>
    <n v="0"/>
    <n v="0"/>
    <n v="103"/>
    <n v="0"/>
    <n v="0"/>
    <n v="466.5"/>
    <n v="15"/>
    <n v="25"/>
    <s v="SIKAR"/>
    <s v="SIKAR"/>
    <s v="RJ-SGNR"/>
    <d v="2021-07-07T00:00:00"/>
  </r>
  <r>
    <s v="815423149885"/>
    <x v="1951"/>
    <s v="DEV NARAYAN TRADING COMPANY"/>
    <n v="149885"/>
    <s v="LUHANI CEMENT SUPPLIERS"/>
    <n v="12.5"/>
    <n v="10"/>
    <n v="0"/>
    <n v="27.5"/>
    <n v="0"/>
    <n v="0"/>
    <n v="58"/>
    <n v="0"/>
    <n v="0"/>
    <n v="7.5"/>
    <n v="0"/>
    <n v="0"/>
    <n v="28"/>
    <n v="0"/>
    <n v="0"/>
    <n v="43.5"/>
    <n v="0"/>
    <n v="15"/>
    <n v="47.5"/>
    <n v="4.5"/>
    <n v="5"/>
    <n v="20"/>
    <n v="0"/>
    <n v="0"/>
    <n v="244.5"/>
    <n v="14.5"/>
    <n v="20"/>
    <s v="SIKAR"/>
    <s v="SIKAR"/>
    <s v="RJ-SGNR"/>
    <d v="2021-07-07T00:00:00"/>
  </r>
  <r>
    <s v="815425178236"/>
    <x v="1952"/>
    <s v="CHOUDHARY AGENCY"/>
    <n v="178236"/>
    <s v="BHORIWAL CEMENT UDYOG"/>
    <n v="78.95"/>
    <n v="0"/>
    <n v="0"/>
    <n v="15"/>
    <n v="3"/>
    <n v="0"/>
    <n v="44"/>
    <n v="0"/>
    <n v="0"/>
    <n v="65.75"/>
    <n v="0"/>
    <n v="8.75"/>
    <n v="0"/>
    <n v="0"/>
    <n v="0"/>
    <n v="0"/>
    <n v="0"/>
    <n v="0"/>
    <n v="0"/>
    <n v="0"/>
    <n v="0"/>
    <n v="0"/>
    <n v="0"/>
    <n v="0"/>
    <n v="203.7"/>
    <n v="3"/>
    <n v="8.75"/>
    <s v="SIKAR"/>
    <s v="SIKAR"/>
    <s v="RJ-SGNR"/>
    <d v="2021-07-07T00:00:00"/>
  </r>
  <r>
    <s v="815427149885"/>
    <x v="1953"/>
    <s v="GOPAL DHARM KANTA"/>
    <n v="149885"/>
    <s v="LUHANI CEMENT SUPPLIERS"/>
    <n v="82"/>
    <n v="0"/>
    <n v="0"/>
    <n v="45"/>
    <n v="0"/>
    <n v="0"/>
    <n v="58"/>
    <n v="0"/>
    <n v="0"/>
    <n v="55"/>
    <n v="0"/>
    <n v="0"/>
    <n v="37"/>
    <n v="0"/>
    <n v="0"/>
    <n v="66"/>
    <n v="0"/>
    <n v="0"/>
    <n v="40"/>
    <n v="0"/>
    <n v="0"/>
    <n v="104"/>
    <n v="0"/>
    <n v="0"/>
    <n v="487"/>
    <n v="0"/>
    <n v="0"/>
    <s v="SIKAR"/>
    <s v="SIKAR"/>
    <s v="RJ-SGNR"/>
    <d v="2021-07-07T00:00:00"/>
  </r>
  <r>
    <s v="815567170617"/>
    <x v="1954"/>
    <s v="RIDHI SIDDHI BUILDING MATERIAL"/>
    <n v="170617"/>
    <s v="MANGALAM TRADING COMPANY"/>
    <n v="10"/>
    <n v="0"/>
    <n v="0"/>
    <n v="15"/>
    <n v="0"/>
    <n v="0"/>
    <n v="0"/>
    <n v="0"/>
    <n v="0"/>
    <n v="17.5"/>
    <n v="7.5"/>
    <n v="0"/>
    <n v="0"/>
    <n v="0"/>
    <n v="0"/>
    <n v="0"/>
    <n v="0"/>
    <n v="0"/>
    <n v="0"/>
    <n v="0"/>
    <n v="0"/>
    <n v="0"/>
    <n v="0"/>
    <n v="0"/>
    <n v="42.5"/>
    <n v="7.5"/>
    <n v="0"/>
    <s v="SIKAR"/>
    <s v="SIKAR"/>
    <s v="RJ-SGNR"/>
    <d v="2021-07-20T00:00:00"/>
  </r>
  <r>
    <s v="815577207291"/>
    <x v="1955"/>
    <s v="BHANDORIYA CERAMICS"/>
    <n v="207291"/>
    <s v="BALAJI TRADERS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s v="SIKAR"/>
    <s v="SIKAR"/>
    <s v="RJ-SGNR"/>
    <d v="2021-07-21T00:00:00"/>
  </r>
  <r>
    <s v="815577146401"/>
    <x v="1955"/>
    <s v="BHANDORIYA CERAMICS"/>
    <n v="146401"/>
    <s v="BALAJI TRADING COMPANY"/>
    <n v="0"/>
    <n v="0"/>
    <n v="0"/>
    <n v="0"/>
    <n v="0"/>
    <n v="0"/>
    <n v="0"/>
    <n v="0"/>
    <n v="0"/>
    <n v="0"/>
    <n v="0"/>
    <n v="0"/>
    <n v="8.5"/>
    <n v="0"/>
    <n v="0"/>
    <n v="30.2"/>
    <n v="0"/>
    <n v="0"/>
    <n v="19"/>
    <n v="0"/>
    <n v="0"/>
    <n v="49"/>
    <n v="0"/>
    <n v="0"/>
    <n v="106.7"/>
    <n v="0"/>
    <n v="0"/>
    <s v="SIKAR"/>
    <s v="SIKAR"/>
    <s v="RJ-SGNR"/>
    <d v="2021-07-21T00:00:00"/>
  </r>
  <r>
    <s v="815634177426"/>
    <x v="1956"/>
    <s v="SHRI BALAJI KRISHI YANTRALYA"/>
    <n v="177426"/>
    <s v="THALOR ENTERPRISES"/>
    <n v="32.5"/>
    <n v="0"/>
    <n v="0"/>
    <n v="58"/>
    <n v="0"/>
    <n v="0"/>
    <n v="50"/>
    <n v="0"/>
    <n v="0"/>
    <n v="57.25"/>
    <n v="0"/>
    <n v="0"/>
    <n v="40"/>
    <n v="0"/>
    <n v="7.5"/>
    <n v="35"/>
    <n v="0"/>
    <n v="0"/>
    <n v="32.5"/>
    <n v="5.5"/>
    <n v="0"/>
    <n v="49.5"/>
    <n v="0"/>
    <n v="0"/>
    <n v="354.75"/>
    <n v="5.5"/>
    <n v="7.5"/>
    <s v="SIKAR"/>
    <s v="SIKAR"/>
    <s v="RJ-SGNR"/>
    <d v="2021-07-24T00:00:00"/>
  </r>
  <r>
    <s v="815909209146"/>
    <x v="1957"/>
    <s v="SAINI CEMENT AGENCY"/>
    <n v="209146"/>
    <s v="KUMAWAT TRADING CO.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KAR"/>
    <s v="SIKAR"/>
    <s v="RJ-SGNR"/>
    <d v="2021-08-12T00:00:00"/>
  </r>
  <r>
    <s v="815962149971"/>
    <x v="1958"/>
    <s v="ASHOKA BUILDING MATERIAL"/>
    <n v="149971"/>
    <s v="PRADHAN CEMENT SUPPLIERS"/>
    <n v="0"/>
    <n v="0"/>
    <n v="0"/>
    <n v="17.5"/>
    <n v="0"/>
    <n v="0"/>
    <n v="0"/>
    <n v="0"/>
    <n v="0"/>
    <n v="0"/>
    <n v="0"/>
    <n v="0"/>
    <n v="9"/>
    <n v="0"/>
    <n v="0"/>
    <n v="2.5"/>
    <n v="0"/>
    <n v="0"/>
    <n v="0"/>
    <n v="0"/>
    <n v="0"/>
    <n v="0"/>
    <n v="0"/>
    <n v="0"/>
    <n v="29"/>
    <n v="0"/>
    <n v="0"/>
    <s v="SIKAR"/>
    <s v="SIKAR"/>
    <s v="RJ-SGNR"/>
    <d v="2021-08-17T00:00:00"/>
  </r>
  <r>
    <s v="815963207713"/>
    <x v="1959"/>
    <s v="MOHAMMED SAMEER TAGALA"/>
    <n v="207713"/>
    <s v="TAGALA BROTHERS"/>
    <n v="109"/>
    <n v="10"/>
    <n v="0"/>
    <n v="137.5"/>
    <n v="8"/>
    <n v="0"/>
    <n v="91"/>
    <n v="0"/>
    <n v="0"/>
    <n v="132.4"/>
    <n v="22.15"/>
    <n v="0"/>
    <n v="47.5"/>
    <n v="0"/>
    <n v="0"/>
    <n v="119.5"/>
    <n v="2.5"/>
    <n v="17.75"/>
    <n v="110.5"/>
    <n v="0"/>
    <n v="17.5"/>
    <n v="123"/>
    <n v="15"/>
    <n v="20"/>
    <n v="870.4"/>
    <n v="42.65"/>
    <n v="35.25"/>
    <s v="SIKAR"/>
    <s v="SIKAR"/>
    <s v="RJ-SGNR"/>
    <d v="2021-08-17T00:00:00"/>
  </r>
  <r>
    <s v="816367143301"/>
    <x v="1960"/>
    <s v="LAXMI PAINT"/>
    <n v="143301"/>
    <s v="LAXMI TRADERS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2.5"/>
    <n v="0"/>
    <n v="0"/>
    <n v="12.5"/>
    <n v="0"/>
    <n v="0"/>
    <s v="SIKAR"/>
    <s v="SIKAR"/>
    <s v="RJ-SGNR"/>
    <d v="2021-09-16T00:00:00"/>
  </r>
  <r>
    <s v="816426149885"/>
    <x v="1961"/>
    <s v="DETWAL CEMENT SUPPLIERS"/>
    <n v="149885"/>
    <s v="LUHANI CEMENT SUPPLIERS"/>
    <n v="0"/>
    <n v="0"/>
    <n v="0"/>
    <n v="12.5"/>
    <n v="0"/>
    <n v="0"/>
    <n v="5"/>
    <n v="0"/>
    <n v="0"/>
    <n v="7.5"/>
    <n v="0"/>
    <n v="0"/>
    <n v="17.5"/>
    <n v="0"/>
    <n v="0"/>
    <n v="37"/>
    <n v="0"/>
    <n v="0"/>
    <n v="0"/>
    <n v="0"/>
    <n v="0"/>
    <n v="17.5"/>
    <n v="0"/>
    <n v="7.5"/>
    <n v="97"/>
    <n v="0"/>
    <n v="0"/>
    <s v="SIKAR"/>
    <s v="SIKAR"/>
    <s v="RJ-SGNR"/>
    <d v="2021-09-21T00:00:00"/>
  </r>
  <r>
    <s v="816430209146"/>
    <x v="1962"/>
    <s v="SHRI SHYAM SALES"/>
    <n v="209146"/>
    <s v="KUMAWAT TRADING CO.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KAR"/>
    <s v="SIKAR"/>
    <s v="RJ-SGNR"/>
    <d v="2021-09-22T00:00:00"/>
  </r>
  <r>
    <s v="816435143301"/>
    <x v="1963"/>
    <s v="HARI OM ELECTRICAL SANITARY &amp;"/>
    <n v="143301"/>
    <s v="LAXMI TRADERS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SIKAR"/>
    <s v="SIKAR"/>
    <s v="RJ-SGNR"/>
    <d v="2021-09-22T00:00:00"/>
  </r>
  <r>
    <s v="816705170617"/>
    <x v="1964"/>
    <s v="JMG CONSTRUCTION COMPANY"/>
    <n v="170617"/>
    <s v="MANGALAM TRADING COMPANY"/>
    <n v="0"/>
    <n v="0"/>
    <n v="0"/>
    <n v="30"/>
    <n v="0"/>
    <n v="0"/>
    <n v="0"/>
    <n v="0"/>
    <n v="0"/>
    <n v="75"/>
    <n v="0"/>
    <n v="15"/>
    <n v="52.5"/>
    <n v="0"/>
    <n v="0"/>
    <n v="41"/>
    <n v="0"/>
    <n v="3"/>
    <n v="10"/>
    <n v="0"/>
    <n v="10"/>
    <n v="103.5"/>
    <n v="0"/>
    <n v="0"/>
    <n v="312"/>
    <n v="0"/>
    <n v="28"/>
    <s v="SIKAR"/>
    <s v="SIKAR"/>
    <s v="RJ-SGNR"/>
    <d v="2021-10-11T00:00:00"/>
  </r>
  <r>
    <s v="816716207713"/>
    <x v="1965"/>
    <s v="BAGRODIA SALES"/>
    <n v="207713"/>
    <s v="TAGALA BROTHERS"/>
    <n v="35"/>
    <n v="0"/>
    <n v="0"/>
    <n v="27.5"/>
    <n v="0"/>
    <n v="0"/>
    <n v="12.5"/>
    <n v="0"/>
    <n v="0"/>
    <n v="30"/>
    <n v="0"/>
    <n v="0"/>
    <n v="25"/>
    <n v="0"/>
    <n v="0"/>
    <n v="47.5"/>
    <n v="0"/>
    <n v="0"/>
    <n v="24"/>
    <n v="0"/>
    <n v="0"/>
    <n v="17.5"/>
    <n v="0"/>
    <n v="0"/>
    <n v="219"/>
    <n v="0"/>
    <n v="0"/>
    <s v="SIKAR"/>
    <s v="SIKAR"/>
    <s v="RJ-SGNR"/>
    <d v="2021-10-12T00:00:00"/>
  </r>
  <r>
    <s v="816718170617"/>
    <x v="1966"/>
    <s v="SHRI BALAJI CEMENT SUPPLIERS"/>
    <n v="170617"/>
    <s v="MANGALAM TRADING COMPANY"/>
    <n v="27"/>
    <n v="0"/>
    <n v="0"/>
    <n v="55"/>
    <n v="0"/>
    <n v="0"/>
    <n v="60"/>
    <n v="0"/>
    <n v="15"/>
    <n v="15"/>
    <n v="0"/>
    <n v="0"/>
    <n v="30"/>
    <n v="15"/>
    <n v="0"/>
    <n v="7.5"/>
    <n v="0"/>
    <n v="0"/>
    <n v="10"/>
    <n v="0"/>
    <n v="0"/>
    <n v="25"/>
    <n v="0"/>
    <n v="0"/>
    <n v="229.5"/>
    <n v="15"/>
    <n v="15"/>
    <s v="SIKAR"/>
    <s v="SIKAR"/>
    <s v="RJ-SGNR"/>
    <d v="2021-10-13T00:00:00"/>
  </r>
  <r>
    <s v="816796207713"/>
    <x v="1967"/>
    <s v="KHATRI BUILDING MATERIALS"/>
    <n v="207713"/>
    <s v="TAGALA BROTHERS"/>
    <n v="60"/>
    <n v="0"/>
    <n v="0"/>
    <n v="30"/>
    <n v="0"/>
    <n v="0"/>
    <n v="69.5"/>
    <n v="0"/>
    <n v="0"/>
    <n v="75"/>
    <n v="0"/>
    <n v="0"/>
    <n v="47"/>
    <n v="0"/>
    <n v="0"/>
    <n v="38.75"/>
    <n v="0"/>
    <n v="5"/>
    <n v="72"/>
    <n v="0"/>
    <n v="1"/>
    <n v="55.5"/>
    <n v="0"/>
    <n v="2.5"/>
    <n v="447.75"/>
    <n v="0"/>
    <n v="6"/>
    <s v="SIKAR"/>
    <s v="SIKAR"/>
    <s v="RJ-SGNR"/>
    <d v="2021-10-21T00:00:00"/>
  </r>
  <r>
    <s v="816931170617"/>
    <x v="1968"/>
    <s v="VISHAL DHARAMKANTA"/>
    <n v="170617"/>
    <s v="MANGALAM TRADING COMPANY"/>
    <n v="0"/>
    <n v="0"/>
    <n v="0"/>
    <n v="0"/>
    <n v="0"/>
    <n v="0"/>
    <n v="0"/>
    <n v="0"/>
    <n v="0"/>
    <n v="0"/>
    <n v="0"/>
    <n v="0"/>
    <n v="37.5"/>
    <n v="0"/>
    <n v="5"/>
    <n v="44.1"/>
    <n v="0"/>
    <n v="12.5"/>
    <n v="0"/>
    <n v="0"/>
    <n v="0"/>
    <n v="0"/>
    <n v="0"/>
    <n v="0"/>
    <n v="81.599999999999994"/>
    <n v="0"/>
    <n v="17.5"/>
    <s v="SIKAR"/>
    <s v="SIKAR"/>
    <s v="RJ-SGNR"/>
    <d v="2021-10-30T00:00:00"/>
  </r>
  <r>
    <s v="816989178236"/>
    <x v="1969"/>
    <s v="RAJKARAN SINGH"/>
    <n v="178236"/>
    <s v="BHORIWAL CEMENT UDYOG"/>
    <n v="15"/>
    <n v="0"/>
    <n v="0"/>
    <n v="35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0"/>
    <n v="0"/>
    <s v="SIKAR"/>
    <s v="SIKAR"/>
    <s v="RJ-SGNR"/>
    <d v="2021-11-10T00:00:00"/>
  </r>
  <r>
    <s v="816996209146"/>
    <x v="1970"/>
    <s v="BALAJI TRADING COMPANY"/>
    <n v="209146"/>
    <s v="KUMAWAT TRADING CO.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KAR"/>
    <s v="SIKAR"/>
    <s v="RJ-SGNR"/>
    <d v="2021-11-12T00:00:00"/>
  </r>
  <r>
    <s v="817045177426"/>
    <x v="1971"/>
    <s v="THALOR TILES AND MARBLES"/>
    <n v="177426"/>
    <s v="THALOR ENTERPRISES"/>
    <n v="10"/>
    <n v="0"/>
    <n v="0"/>
    <n v="10"/>
    <n v="0"/>
    <n v="0"/>
    <n v="98.75"/>
    <n v="0"/>
    <n v="0"/>
    <n v="41.55"/>
    <n v="0"/>
    <n v="0"/>
    <n v="18.5"/>
    <n v="0"/>
    <n v="0"/>
    <n v="11.9"/>
    <n v="0"/>
    <n v="0"/>
    <n v="30"/>
    <n v="0"/>
    <n v="0"/>
    <n v="0"/>
    <n v="0"/>
    <n v="0"/>
    <n v="220.70000000000002"/>
    <n v="0"/>
    <n v="0"/>
    <s v="SIKAR"/>
    <s v="SIKAR"/>
    <s v="RJ-SGNR"/>
    <d v="2021-11-17T00:00:00"/>
  </r>
  <r>
    <s v="817081149991"/>
    <x v="1972"/>
    <s v="PILANIYA STONE COMPANY"/>
    <n v="149991"/>
    <s v="BALAJI STONE COMPANY"/>
    <n v="19"/>
    <n v="0"/>
    <n v="0"/>
    <n v="32.5"/>
    <n v="0"/>
    <n v="0"/>
    <n v="20.55"/>
    <n v="0"/>
    <n v="0"/>
    <n v="5"/>
    <n v="5"/>
    <n v="0"/>
    <n v="0"/>
    <n v="0"/>
    <n v="0"/>
    <n v="10"/>
    <n v="2.5"/>
    <n v="0"/>
    <n v="5"/>
    <n v="5"/>
    <n v="0"/>
    <n v="22.25"/>
    <n v="0"/>
    <n v="0"/>
    <n v="114.3"/>
    <n v="12.5"/>
    <n v="0"/>
    <s v="SIKAR"/>
    <s v="SIKAR"/>
    <s v="RJ-SGNR"/>
    <d v="2021-11-23T00:00:00"/>
  </r>
  <r>
    <s v="817122209599"/>
    <x v="1973"/>
    <s v="KRITIKA CEMENT SUPPLIERS"/>
    <n v="209599"/>
    <s v="SHYAM KRIPA HARDWARE AND SENET"/>
    <n v="80.05"/>
    <n v="0"/>
    <n v="0"/>
    <n v="36.25"/>
    <n v="6"/>
    <n v="0"/>
    <n v="58"/>
    <n v="11.25"/>
    <n v="10.5"/>
    <n v="61"/>
    <n v="14"/>
    <n v="0"/>
    <n v="6.25"/>
    <n v="0"/>
    <n v="6.25"/>
    <n v="47.25"/>
    <n v="14.75"/>
    <n v="25"/>
    <n v="39"/>
    <n v="28"/>
    <n v="10"/>
    <n v="64.2"/>
    <n v="0"/>
    <n v="17.2"/>
    <n v="392"/>
    <n v="74"/>
    <n v="51.75"/>
    <s v="SIKAR"/>
    <s v="SIKAR"/>
    <s v="RJ-SGNR"/>
    <d v="2021-11-25T00:00:00"/>
  </r>
  <r>
    <s v="817146119212"/>
    <x v="1974"/>
    <s v="SHARMA CEMENT AGENCY"/>
    <n v="119212"/>
    <s v="SURENDRA KUMAR &amp; CO"/>
    <n v="10"/>
    <n v="0"/>
    <n v="0"/>
    <n v="15"/>
    <n v="0"/>
    <n v="0"/>
    <n v="3.25"/>
    <n v="0"/>
    <n v="0"/>
    <n v="10"/>
    <n v="0"/>
    <n v="7.5"/>
    <n v="35"/>
    <n v="0"/>
    <n v="0"/>
    <n v="31.25"/>
    <n v="0"/>
    <n v="0"/>
    <n v="32.6"/>
    <n v="0"/>
    <n v="2.5"/>
    <n v="106.4"/>
    <n v="0"/>
    <n v="0"/>
    <n v="243.5"/>
    <n v="0"/>
    <n v="10"/>
    <s v="SIKAR"/>
    <s v="SIKAR"/>
    <s v="RJ-SGNR"/>
    <d v="2021-11-27T00:00:00"/>
  </r>
  <r>
    <s v="817163177426"/>
    <x v="1975"/>
    <s v="M R BUILDING MATERIALS"/>
    <n v="177426"/>
    <s v="THALOR ENTERPRISES"/>
    <n v="70"/>
    <n v="0"/>
    <n v="0"/>
    <n v="24.5"/>
    <n v="5"/>
    <n v="0"/>
    <n v="53.2"/>
    <n v="0"/>
    <n v="0"/>
    <n v="73.45"/>
    <n v="0"/>
    <n v="0"/>
    <n v="36.25"/>
    <n v="7.5"/>
    <n v="0"/>
    <n v="40.5"/>
    <n v="1.5"/>
    <n v="0"/>
    <n v="49"/>
    <n v="0"/>
    <n v="0"/>
    <n v="37.5"/>
    <n v="0"/>
    <n v="1.5"/>
    <n v="384.4"/>
    <n v="14"/>
    <n v="0"/>
    <s v="SIKAR"/>
    <s v="SIKAR"/>
    <s v="RJ-SGNR"/>
    <d v="2021-11-29T00:00:00"/>
  </r>
  <r>
    <s v="817203209599"/>
    <x v="1976"/>
    <s v="MANSHA CEMENT SUPPLIERS"/>
    <n v="209599"/>
    <s v="SHYAM KRIPA HARDWARE AND SENET"/>
    <n v="33.5"/>
    <n v="0"/>
    <n v="0"/>
    <n v="15"/>
    <n v="1.5"/>
    <n v="0"/>
    <n v="72.5"/>
    <n v="0"/>
    <n v="3.75"/>
    <n v="44.5"/>
    <n v="10.5"/>
    <n v="2"/>
    <n v="59.5"/>
    <n v="8.75"/>
    <n v="0"/>
    <n v="61"/>
    <n v="0"/>
    <n v="2"/>
    <n v="38.4"/>
    <n v="0"/>
    <n v="0"/>
    <n v="54"/>
    <n v="0"/>
    <n v="0"/>
    <n v="378.4"/>
    <n v="20.75"/>
    <n v="7.75"/>
    <s v="SIKAR"/>
    <s v="SIKAR"/>
    <s v="RJ-SGNR"/>
    <d v="2021-12-03T00:00:00"/>
  </r>
  <r>
    <s v="817212149991"/>
    <x v="1977"/>
    <s v="SP BILIYA VA TABUK UDHYOG"/>
    <n v="149991"/>
    <s v="BALAJI STONE COMPANY"/>
    <n v="48.5"/>
    <n v="0"/>
    <n v="0"/>
    <n v="30"/>
    <n v="10"/>
    <n v="0"/>
    <n v="97.5"/>
    <n v="7.5"/>
    <n v="10"/>
    <n v="44.5"/>
    <n v="0"/>
    <n v="0"/>
    <n v="42.5"/>
    <n v="4"/>
    <n v="6"/>
    <n v="17"/>
    <n v="4"/>
    <n v="0"/>
    <n v="30"/>
    <n v="0"/>
    <n v="0"/>
    <n v="17.5"/>
    <n v="7.5"/>
    <n v="0"/>
    <n v="327.5"/>
    <n v="25.5"/>
    <n v="16"/>
    <s v="SIKAR"/>
    <s v="SIKAR"/>
    <s v="RJ-SGNR"/>
    <d v="2021-12-06T00:00:00"/>
  </r>
  <r>
    <s v="817254207713"/>
    <x v="1978"/>
    <s v="VIMAL BUILDING MATERIAL SUPPLI"/>
    <n v="207713"/>
    <s v="TAGALA BROTHERS"/>
    <n v="38"/>
    <n v="0"/>
    <n v="0"/>
    <n v="5"/>
    <n v="0"/>
    <n v="0"/>
    <n v="50"/>
    <n v="0"/>
    <n v="0"/>
    <n v="41"/>
    <n v="0"/>
    <n v="0"/>
    <n v="19"/>
    <n v="0"/>
    <n v="0"/>
    <n v="45"/>
    <n v="0"/>
    <n v="0"/>
    <n v="17.25"/>
    <n v="0"/>
    <n v="0"/>
    <n v="24.5"/>
    <n v="0"/>
    <n v="0"/>
    <n v="239.75"/>
    <n v="0"/>
    <n v="0"/>
    <s v="SIKAR"/>
    <s v="SIKAR"/>
    <s v="RJ-SGNR"/>
    <d v="2021-12-10T00:00:00"/>
  </r>
  <r>
    <s v="817276149991"/>
    <x v="1979"/>
    <s v="DEEPIKA STONE COMPANY"/>
    <n v="149991"/>
    <s v="BALAJI STONE COMPANY"/>
    <n v="15"/>
    <n v="0"/>
    <n v="0"/>
    <n v="47.5"/>
    <n v="0"/>
    <n v="0"/>
    <n v="68"/>
    <n v="0"/>
    <n v="0"/>
    <n v="20"/>
    <n v="0"/>
    <n v="0"/>
    <n v="43"/>
    <n v="10"/>
    <n v="0"/>
    <n v="35.5"/>
    <n v="0"/>
    <n v="0"/>
    <n v="31.25"/>
    <n v="5"/>
    <n v="0"/>
    <n v="20"/>
    <n v="0"/>
    <n v="0"/>
    <n v="280.25"/>
    <n v="15"/>
    <n v="0"/>
    <s v="SIKAR"/>
    <s v="SIKAR"/>
    <s v="RJ-SGNR"/>
    <d v="2021-12-11T00:00:00"/>
  </r>
  <r>
    <s v="817319170617"/>
    <x v="1980"/>
    <s v="SATYAM TRADING COMPANY"/>
    <n v="170617"/>
    <s v="MANGALAM TRADING COMPANY"/>
    <n v="0"/>
    <n v="0"/>
    <n v="0"/>
    <n v="2"/>
    <n v="0"/>
    <n v="0"/>
    <n v="0"/>
    <n v="0"/>
    <n v="0"/>
    <n v="20"/>
    <n v="0"/>
    <n v="0"/>
    <n v="0"/>
    <n v="0"/>
    <n v="0"/>
    <n v="7.5"/>
    <n v="0"/>
    <n v="0"/>
    <n v="0"/>
    <n v="0"/>
    <n v="0"/>
    <n v="0"/>
    <n v="0"/>
    <n v="0"/>
    <n v="29.5"/>
    <n v="0"/>
    <n v="0"/>
    <s v="SIKAR"/>
    <s v="SIKAR"/>
    <s v="RJ-SGNR"/>
    <d v="2021-12-15T00:00:00"/>
  </r>
  <r>
    <s v="817322149885"/>
    <x v="1981"/>
    <s v="SHREE JAANKINATH CONSTRUCTION"/>
    <n v="149885"/>
    <s v="LUHANI CEMENT SUPPLIERS"/>
    <n v="45"/>
    <n v="10"/>
    <n v="0"/>
    <n v="44.5"/>
    <n v="0"/>
    <n v="0"/>
    <n v="16"/>
    <n v="0"/>
    <n v="0"/>
    <n v="102.5"/>
    <n v="0"/>
    <n v="0"/>
    <n v="42.5"/>
    <n v="0"/>
    <n v="0"/>
    <n v="57.5"/>
    <n v="0"/>
    <n v="0"/>
    <n v="91.05"/>
    <n v="0"/>
    <n v="10"/>
    <n v="137"/>
    <n v="0"/>
    <n v="0"/>
    <n v="536.04999999999995"/>
    <n v="10"/>
    <n v="10"/>
    <s v="SIKAR"/>
    <s v="SIKAR"/>
    <s v="RJ-SGNR"/>
    <d v="2021-12-15T00:00:00"/>
  </r>
  <r>
    <s v="817329207713"/>
    <x v="1982"/>
    <s v="BALAJI DHARAMKANTA"/>
    <n v="207713"/>
    <s v="TAGALA BROTHERS"/>
    <n v="20.5"/>
    <n v="0"/>
    <n v="0"/>
    <n v="32.5"/>
    <n v="0"/>
    <n v="0"/>
    <n v="27"/>
    <n v="0"/>
    <n v="0"/>
    <n v="46.5"/>
    <n v="0"/>
    <n v="0"/>
    <n v="17.5"/>
    <n v="0"/>
    <n v="1.5"/>
    <n v="37.25"/>
    <n v="0"/>
    <n v="5"/>
    <n v="24"/>
    <n v="0"/>
    <n v="0"/>
    <n v="20"/>
    <n v="0"/>
    <n v="0"/>
    <n v="225.25"/>
    <n v="0"/>
    <n v="6.5"/>
    <s v="SIKAR"/>
    <s v="SIKAR"/>
    <s v="RJ-SGNR"/>
    <d v="2021-12-15T00:00:00"/>
  </r>
  <r>
    <s v="817426177426"/>
    <x v="1983"/>
    <s v="JEEVAN BUILDING MATERIAL SUPPL"/>
    <n v="177426"/>
    <s v="THALOR ENTERPRISES"/>
    <n v="0"/>
    <n v="0"/>
    <n v="0"/>
    <n v="7.5"/>
    <n v="0"/>
    <n v="0"/>
    <n v="10"/>
    <n v="0"/>
    <n v="2.5"/>
    <n v="10"/>
    <n v="0"/>
    <n v="10"/>
    <n v="29"/>
    <n v="4"/>
    <n v="2.5"/>
    <n v="19.25"/>
    <n v="0"/>
    <n v="0"/>
    <n v="20"/>
    <n v="12.5"/>
    <n v="0"/>
    <n v="10"/>
    <n v="0"/>
    <n v="0"/>
    <n v="105.75"/>
    <n v="16.5"/>
    <n v="15"/>
    <s v="SIKAR"/>
    <s v="SIKAR"/>
    <s v="RJ-SGNR"/>
    <d v="2021-12-23T00:00:00"/>
  </r>
  <r>
    <s v="817679170617"/>
    <x v="1984"/>
    <s v="KISHAN ENTERPRISES"/>
    <n v="170617"/>
    <s v="MANGALAM TRADING COMPANY"/>
    <n v="125"/>
    <n v="0"/>
    <n v="0"/>
    <n v="30"/>
    <n v="0"/>
    <n v="0"/>
    <n v="76"/>
    <n v="0"/>
    <n v="11"/>
    <n v="30"/>
    <n v="0"/>
    <n v="15"/>
    <n v="55.25"/>
    <n v="0"/>
    <n v="2.75"/>
    <n v="52.5"/>
    <n v="0"/>
    <n v="20"/>
    <n v="0"/>
    <n v="0"/>
    <n v="0"/>
    <n v="15"/>
    <n v="0"/>
    <n v="0"/>
    <n v="383.75"/>
    <n v="0"/>
    <n v="48.75"/>
    <s v="SIKAR"/>
    <s v="SIKAR"/>
    <s v="RJ-SGNR"/>
    <d v="2022-01-13T00:00:00"/>
  </r>
  <r>
    <s v="817757171834"/>
    <x v="1985"/>
    <s v="KUMAWAT CEMENT SUPPLIERS"/>
    <n v="171834"/>
    <s v="BABA RAMDEV TRADING COMPANY"/>
    <n v="70"/>
    <n v="0"/>
    <n v="0"/>
    <n v="6"/>
    <n v="0"/>
    <n v="0"/>
    <n v="15"/>
    <n v="0"/>
    <n v="0"/>
    <n v="26"/>
    <n v="0"/>
    <n v="16"/>
    <n v="31"/>
    <n v="0"/>
    <n v="0"/>
    <n v="41.15"/>
    <n v="0"/>
    <n v="0"/>
    <n v="85"/>
    <n v="0"/>
    <n v="10"/>
    <n v="0"/>
    <n v="0"/>
    <n v="0"/>
    <n v="274.14999999999998"/>
    <n v="0"/>
    <n v="26"/>
    <s v="SIKAR"/>
    <s v="SIKAR"/>
    <s v="RJ-SGNR"/>
    <d v="2022-01-20T00:00:00"/>
  </r>
  <r>
    <s v="817757210211"/>
    <x v="1985"/>
    <s v="KUMAWAT CEMENT SUPPLIERS"/>
    <s v="210211"/>
    <s v="K L KUMAWAT STONE MARCHANT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SIKAR"/>
    <s v="SIKAR"/>
    <s v="RJ-SGNR"/>
    <d v="2022-01-20T00:00:00"/>
  </r>
  <r>
    <s v="817834149885"/>
    <x v="1986"/>
    <s v="LUHANI ENTERPRISES"/>
    <n v="149885"/>
    <s v="LUHANI CEMENT SUPPLIERS"/>
    <n v="108"/>
    <n v="0"/>
    <n v="0"/>
    <n v="20"/>
    <n v="0"/>
    <n v="0"/>
    <n v="42"/>
    <n v="15"/>
    <n v="0"/>
    <n v="85.35"/>
    <n v="0"/>
    <n v="0"/>
    <n v="60.25"/>
    <n v="0"/>
    <n v="0"/>
    <n v="25"/>
    <n v="0"/>
    <n v="12.5"/>
    <n v="0"/>
    <n v="0"/>
    <n v="0"/>
    <n v="42"/>
    <n v="0"/>
    <n v="0"/>
    <n v="382.6"/>
    <n v="15"/>
    <n v="12.5"/>
    <s v="SIKAR"/>
    <s v="SIKAR"/>
    <s v="RJ-SGNR"/>
    <d v="2022-01-25T00:00:00"/>
  </r>
  <r>
    <s v="817838149885"/>
    <x v="1987"/>
    <s v="SHREE JAMUWAY MATA BUILDING MA"/>
    <n v="149885"/>
    <s v="LUHANI CEMENT SUPPLIERS"/>
    <n v="20"/>
    <n v="0"/>
    <n v="0"/>
    <n v="30"/>
    <n v="0"/>
    <n v="0"/>
    <n v="65"/>
    <n v="0"/>
    <n v="0"/>
    <n v="35"/>
    <n v="0"/>
    <n v="0"/>
    <n v="32.5"/>
    <n v="0"/>
    <n v="0"/>
    <n v="22.5"/>
    <n v="0"/>
    <n v="0"/>
    <n v="25"/>
    <n v="0"/>
    <n v="0"/>
    <n v="0"/>
    <n v="0"/>
    <n v="0"/>
    <n v="230"/>
    <n v="0"/>
    <n v="0"/>
    <s v="SIKAR"/>
    <s v="SIKAR"/>
    <s v="RJ-SGNR"/>
    <d v="2022-01-25T00:00:00"/>
  </r>
  <r>
    <s v="817858171591"/>
    <x v="1988"/>
    <s v="BAJIYA CONSTRRUCTION"/>
    <n v="171591"/>
    <s v="RULANIYA CEMENT AGENCY"/>
    <n v="56.5"/>
    <n v="0"/>
    <n v="0"/>
    <n v="26"/>
    <n v="0"/>
    <n v="0"/>
    <n v="157.25"/>
    <n v="0"/>
    <n v="0"/>
    <n v="75"/>
    <n v="0"/>
    <n v="0"/>
    <n v="93"/>
    <n v="0"/>
    <n v="11"/>
    <n v="67.45"/>
    <n v="0"/>
    <n v="15.45"/>
    <n v="58.95"/>
    <n v="0"/>
    <n v="14.1"/>
    <n v="40"/>
    <n v="0"/>
    <n v="10"/>
    <n v="574.15"/>
    <n v="0"/>
    <n v="40.549999999999997"/>
    <s v="SIKAR"/>
    <s v="SIKAR"/>
    <s v="RJ-SGNR"/>
    <d v="2022-01-28T00:00:00"/>
  </r>
  <r>
    <s v="818137119212"/>
    <x v="1989"/>
    <s v="NARESH KUMAR SHAH"/>
    <n v="119212"/>
    <s v="SURENDRA KUMAR &amp; CO"/>
    <n v="53"/>
    <n v="2"/>
    <n v="0"/>
    <n v="32"/>
    <n v="12.75"/>
    <n v="0"/>
    <n v="18.75"/>
    <n v="0"/>
    <n v="0"/>
    <n v="47.5"/>
    <n v="0"/>
    <n v="0"/>
    <n v="52"/>
    <n v="0"/>
    <n v="0"/>
    <n v="15"/>
    <n v="0"/>
    <n v="0"/>
    <n v="0"/>
    <n v="0"/>
    <n v="0"/>
    <n v="0"/>
    <n v="0"/>
    <n v="0"/>
    <n v="218.25"/>
    <n v="14.75"/>
    <n v="0"/>
    <s v="SIKAR"/>
    <s v="SIKAR"/>
    <s v="RJ-SGNR"/>
    <d v="2022-02-24T00:00:00"/>
  </r>
  <r>
    <s v="818156209599"/>
    <x v="1990"/>
    <s v="BALAJI CEMENT SUPPLIERS"/>
    <n v="209599"/>
    <s v="SHYAM KRIPA HARDWARE AND SENET"/>
    <n v="40"/>
    <n v="2"/>
    <n v="0"/>
    <n v="16"/>
    <n v="0"/>
    <n v="0"/>
    <n v="10"/>
    <n v="0"/>
    <n v="0"/>
    <n v="13"/>
    <n v="0"/>
    <n v="0"/>
    <n v="24"/>
    <n v="6"/>
    <n v="0"/>
    <n v="0"/>
    <n v="0"/>
    <n v="0"/>
    <n v="0"/>
    <n v="0"/>
    <n v="0"/>
    <n v="0"/>
    <n v="0"/>
    <n v="0"/>
    <n v="103"/>
    <n v="8"/>
    <n v="0"/>
    <s v="SIKAR"/>
    <s v="SIKAR"/>
    <s v="RJ-SGNR"/>
    <d v="2022-02-25T00:00:00"/>
  </r>
  <r>
    <s v="818214209599"/>
    <x v="1991"/>
    <s v="MUKESH CEMENT SUPPLIERS"/>
    <n v="209599"/>
    <s v="SHYAM KRIPA HARDWARE AND SENET"/>
    <n v="50"/>
    <n v="1.5"/>
    <n v="0"/>
    <n v="40.5"/>
    <n v="5"/>
    <n v="0"/>
    <n v="63.75"/>
    <n v="9.75"/>
    <n v="0"/>
    <n v="59.25"/>
    <n v="5"/>
    <n v="1"/>
    <n v="60.5"/>
    <n v="30.5"/>
    <n v="0"/>
    <n v="59.45"/>
    <n v="13.2"/>
    <n v="10"/>
    <n v="45.1"/>
    <n v="5.25"/>
    <n v="5.0999999999999996"/>
    <n v="68"/>
    <n v="13"/>
    <n v="10"/>
    <n v="446.55"/>
    <n v="70.2"/>
    <n v="16.100000000000001"/>
    <s v="SIKAR"/>
    <s v="SIKAR"/>
    <s v="RJ-SGNR"/>
    <d v="2022-02-28T00:00:00"/>
  </r>
  <r>
    <s v="818257149885"/>
    <x v="1992"/>
    <s v="SHEKHAWATI MARBLE &amp; KOTA STONE"/>
    <n v="149885"/>
    <s v="LUHANI CEMENT SUPPLIERS"/>
    <n v="15"/>
    <n v="0"/>
    <n v="0"/>
    <n v="2.5"/>
    <n v="0"/>
    <n v="0"/>
    <n v="48.5"/>
    <n v="6.5"/>
    <n v="0"/>
    <n v="15"/>
    <n v="0"/>
    <n v="0"/>
    <n v="6.65"/>
    <n v="0"/>
    <n v="0"/>
    <n v="44"/>
    <n v="0"/>
    <n v="15"/>
    <n v="75"/>
    <n v="0"/>
    <n v="0"/>
    <n v="35"/>
    <n v="0"/>
    <n v="20"/>
    <n v="241.65"/>
    <n v="6.5"/>
    <n v="15"/>
    <s v="SIKAR"/>
    <s v="SIKAR"/>
    <s v="RJ-SGNR"/>
    <d v="2022-03-03T00:00:00"/>
  </r>
  <r>
    <s v="818277209599"/>
    <x v="1993"/>
    <s v="SHIV BUILDING MATERIALS"/>
    <n v="209599"/>
    <s v="SHYAM KRIPA HARDWARE AND SENET"/>
    <n v="0"/>
    <n v="2.5"/>
    <n v="0"/>
    <n v="8.5"/>
    <n v="0"/>
    <n v="0"/>
    <n v="5.25"/>
    <n v="0"/>
    <n v="0"/>
    <n v="2"/>
    <n v="0"/>
    <n v="0"/>
    <n v="0"/>
    <n v="0"/>
    <n v="0"/>
    <n v="0"/>
    <n v="0"/>
    <n v="0"/>
    <n v="0"/>
    <n v="0"/>
    <n v="0"/>
    <n v="0"/>
    <n v="0"/>
    <n v="0"/>
    <n v="15.75"/>
    <n v="2.5"/>
    <n v="0"/>
    <s v="SIKAR"/>
    <s v="SIKAR"/>
    <s v="RJ-SGNR"/>
    <d v="2022-03-05T00:00:00"/>
  </r>
  <r>
    <s v="818393204568"/>
    <x v="1994"/>
    <s v="SAYAR VERMA BULDING MATERIAL S"/>
    <n v="204568"/>
    <s v="SINGODIYA STEEL UDHYOG AND CEM"/>
    <n v="30"/>
    <n v="0"/>
    <n v="0"/>
    <n v="7.5"/>
    <n v="0"/>
    <n v="0"/>
    <n v="5"/>
    <n v="0"/>
    <n v="5"/>
    <n v="0"/>
    <n v="0"/>
    <n v="0"/>
    <n v="0"/>
    <n v="0"/>
    <n v="0"/>
    <n v="0"/>
    <n v="0"/>
    <n v="0"/>
    <n v="27.75"/>
    <n v="7.5"/>
    <n v="0"/>
    <n v="5"/>
    <n v="0"/>
    <n v="0"/>
    <n v="75.25"/>
    <n v="7.5"/>
    <n v="5"/>
    <s v="SIKAR"/>
    <s v="SIKAR"/>
    <s v="RJ-SGNR"/>
    <d v="2022-03-17T00:00:00"/>
  </r>
  <r>
    <s v="818394209599"/>
    <x v="1995"/>
    <s v="ASHOK CEMENT SUPPLIERS"/>
    <n v="209599"/>
    <s v="SHYAM KRIPA HARDWARE AND SENET"/>
    <n v="67"/>
    <n v="6"/>
    <n v="0"/>
    <n v="19.5"/>
    <n v="0"/>
    <n v="0"/>
    <n v="57.25"/>
    <n v="0"/>
    <n v="0"/>
    <n v="30"/>
    <n v="0"/>
    <n v="5"/>
    <n v="26.75"/>
    <n v="1"/>
    <n v="0"/>
    <n v="25.4"/>
    <n v="0"/>
    <n v="22.4"/>
    <n v="37"/>
    <n v="0"/>
    <n v="13"/>
    <n v="23.5"/>
    <n v="3.5"/>
    <n v="0"/>
    <n v="286.39999999999998"/>
    <n v="7"/>
    <n v="40.4"/>
    <s v="SIKAR"/>
    <s v="SIKAR"/>
    <s v="RJ-SGNR"/>
    <d v="2022-03-17T00:00:00"/>
  </r>
  <r>
    <s v="818395208770"/>
    <x v="1996"/>
    <s v="SHREE VINAYAK CEMENT SUPPLIERS"/>
    <n v="208770"/>
    <s v="SHEKHAWAT BUILDING MATERIAL"/>
    <n v="25"/>
    <n v="0"/>
    <n v="0"/>
    <n v="20"/>
    <n v="0"/>
    <n v="0"/>
    <n v="15"/>
    <n v="0"/>
    <n v="0"/>
    <n v="23"/>
    <n v="0"/>
    <n v="0"/>
    <n v="0"/>
    <n v="0"/>
    <n v="0"/>
    <n v="0"/>
    <n v="0"/>
    <n v="0"/>
    <n v="0"/>
    <n v="0"/>
    <n v="0"/>
    <n v="22.5"/>
    <n v="0"/>
    <n v="0"/>
    <n v="105.5"/>
    <n v="0"/>
    <n v="0"/>
    <s v="SIKAR"/>
    <s v="SIKAR"/>
    <s v="RJ-SGNR"/>
    <d v="2022-03-17T00:00:00"/>
  </r>
  <r>
    <s v="818506204567"/>
    <x v="1997"/>
    <s v="OM BHAGWATI SANITARY"/>
    <n v="204567"/>
    <s v="SAINI KHAD BEEJ BHAND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IKAR"/>
    <s v="SIKAR"/>
    <s v="RJ-SGNR"/>
    <d v="2022-03-29T00:00:00"/>
  </r>
  <r>
    <s v="818506209599"/>
    <x v="1997"/>
    <s v="OM BHAGWATI SANITARY"/>
    <n v="209599"/>
    <s v="SHYAM KRIPA HARDWARE AND SENET"/>
    <n v="7"/>
    <n v="0"/>
    <n v="0"/>
    <n v="5"/>
    <n v="0"/>
    <n v="0"/>
    <n v="1"/>
    <n v="0"/>
    <n v="0"/>
    <n v="2"/>
    <n v="2"/>
    <n v="0"/>
    <n v="0"/>
    <n v="0"/>
    <n v="0"/>
    <n v="6.85"/>
    <n v="0"/>
    <n v="0"/>
    <n v="0"/>
    <n v="0"/>
    <n v="0"/>
    <n v="0"/>
    <n v="0"/>
    <n v="0"/>
    <n v="21.85"/>
    <n v="2"/>
    <n v="0"/>
    <s v="SIKAR"/>
    <s v="SIKAR"/>
    <s v="RJ-SGNR"/>
    <d v="2022-03-29T00:00:00"/>
  </r>
  <r>
    <s v="818507209599"/>
    <x v="1998"/>
    <s v="AJAY CEMENT SUPPLIERS"/>
    <n v="209599"/>
    <s v="SHYAM KRIPA HARDWARE AND SENETARY"/>
    <n v="12.5"/>
    <n v="0"/>
    <n v="0"/>
    <n v="11.5"/>
    <n v="0"/>
    <n v="0"/>
    <n v="13.25"/>
    <n v="0"/>
    <n v="0"/>
    <n v="13"/>
    <n v="3"/>
    <n v="0"/>
    <n v="0"/>
    <n v="0"/>
    <n v="0"/>
    <n v="10"/>
    <n v="0"/>
    <n v="0"/>
    <n v="10"/>
    <n v="0"/>
    <n v="0"/>
    <n v="10"/>
    <n v="0"/>
    <n v="0"/>
    <n v="80.25"/>
    <n v="3"/>
    <n v="0"/>
    <s v="SIKAR"/>
    <s v="SIKAR"/>
    <s v="RJ-SGNR"/>
    <d v="2022-03-29T00:00:00"/>
  </r>
  <r>
    <s v="818511209599"/>
    <x v="1999"/>
    <s v="SHREE BALAJI CEMENT SUPPLIERS"/>
    <n v="209599"/>
    <s v="SHYAM KRIPA HARDWARE AND SENET"/>
    <n v="10"/>
    <n v="0"/>
    <n v="0"/>
    <n v="5.75"/>
    <n v="0"/>
    <n v="0"/>
    <n v="9.75"/>
    <n v="0"/>
    <n v="0"/>
    <n v="0"/>
    <n v="0"/>
    <n v="0"/>
    <n v="36.5"/>
    <n v="0"/>
    <n v="10"/>
    <n v="20"/>
    <n v="0"/>
    <n v="0"/>
    <n v="30"/>
    <n v="0"/>
    <n v="2.5"/>
    <n v="10"/>
    <n v="0"/>
    <n v="0"/>
    <n v="122"/>
    <n v="0"/>
    <n v="12.5"/>
    <s v="SIKAR"/>
    <s v="SIKAR"/>
    <s v="RJ-SGNR"/>
    <d v="2022-03-29T00:00:00"/>
  </r>
  <r>
    <s v="818513170617"/>
    <x v="2000"/>
    <s v="KUMAWAT CONSTRUCTION COMPANY"/>
    <n v="170617"/>
    <s v="MANGALAM TRADING COMPANY"/>
    <n v="0"/>
    <n v="0"/>
    <n v="0"/>
    <n v="0"/>
    <n v="0"/>
    <n v="0"/>
    <n v="5"/>
    <n v="0"/>
    <n v="0"/>
    <n v="57"/>
    <n v="0"/>
    <n v="0"/>
    <n v="87.5"/>
    <n v="0"/>
    <n v="15"/>
    <n v="57.5"/>
    <n v="0"/>
    <n v="7.5"/>
    <n v="60"/>
    <n v="5"/>
    <n v="0"/>
    <n v="20"/>
    <n v="0"/>
    <n v="0"/>
    <n v="287"/>
    <n v="5"/>
    <n v="22.5"/>
    <s v="SIKAR"/>
    <s v="SIKAR"/>
    <s v="RJ-SGNR"/>
    <d v="2022-03-29T00:00:00"/>
  </r>
  <r>
    <s v="818557143301"/>
    <x v="2001"/>
    <s v="SHREE BALAJI AGENCY"/>
    <n v="143301"/>
    <s v="LAXMI TRADERS"/>
    <n v="70"/>
    <n v="0"/>
    <n v="0"/>
    <n v="0"/>
    <n v="0"/>
    <n v="0"/>
    <n v="0"/>
    <n v="0"/>
    <n v="0"/>
    <n v="0"/>
    <n v="0"/>
    <n v="0"/>
    <n v="9.4499999999999993"/>
    <n v="0"/>
    <n v="0"/>
    <n v="0"/>
    <n v="0"/>
    <n v="0"/>
    <n v="0"/>
    <n v="0"/>
    <n v="0"/>
    <n v="7.5"/>
    <n v="0"/>
    <n v="0"/>
    <n v="86.95"/>
    <n v="0"/>
    <n v="0"/>
    <s v="SIKAR"/>
    <s v="SIKAR"/>
    <s v="RJ-SGNR"/>
    <d v="2022-03-31T00:00:00"/>
  </r>
  <r>
    <s v="818810149971"/>
    <x v="2002"/>
    <s v="PARAMUWAL CEMENT SUPPLIERS"/>
    <n v="149971"/>
    <s v="PRADHAN CEMENT SUPPLIERS"/>
    <n v="10"/>
    <n v="0"/>
    <n v="0"/>
    <n v="5"/>
    <n v="0"/>
    <n v="0"/>
    <n v="0"/>
    <n v="0"/>
    <n v="0"/>
    <n v="0"/>
    <n v="0"/>
    <n v="0"/>
    <n v="7.5"/>
    <n v="0"/>
    <n v="0"/>
    <n v="10"/>
    <n v="0"/>
    <n v="0"/>
    <n v="0"/>
    <n v="0"/>
    <n v="0"/>
    <n v="10"/>
    <n v="0"/>
    <n v="0"/>
    <n v="42.5"/>
    <n v="0"/>
    <n v="0"/>
    <s v="SIKAR"/>
    <s v="SIKAR"/>
    <s v="RJ-SGNR"/>
    <d v="2022-04-30T00:00:00"/>
  </r>
  <r>
    <s v="818969208770"/>
    <x v="2003"/>
    <s v="KUMAWAT STONE SUPPLIERS"/>
    <n v="208770"/>
    <s v="SHEKHAWAT BUILDING MATERIAL"/>
    <n v="0"/>
    <n v="0"/>
    <n v="0"/>
    <n v="12.5"/>
    <n v="0"/>
    <n v="0"/>
    <n v="15"/>
    <n v="0"/>
    <n v="0"/>
    <n v="9.5"/>
    <n v="0"/>
    <n v="0"/>
    <n v="0"/>
    <n v="0"/>
    <n v="0"/>
    <n v="10"/>
    <n v="0"/>
    <n v="0"/>
    <n v="10"/>
    <n v="0"/>
    <n v="0"/>
    <n v="10"/>
    <n v="0"/>
    <n v="0"/>
    <n v="67"/>
    <n v="0"/>
    <n v="0"/>
    <s v="SIKAR"/>
    <s v="SIKAR"/>
    <s v="RJ-SGNR"/>
    <d v="2022-05-17T00:00:00"/>
  </r>
  <r>
    <s v="818973178313"/>
    <x v="2004"/>
    <s v="SHRI WATVRIKSH CONSTRUCTION CO"/>
    <n v="178313"/>
    <s v="SIDDHI VINAYAK SANITARY &amp; HARD"/>
    <n v="0"/>
    <n v="0"/>
    <n v="0"/>
    <n v="0"/>
    <n v="0"/>
    <n v="0"/>
    <n v="48.5"/>
    <n v="1"/>
    <n v="10"/>
    <n v="39.450000000000003"/>
    <n v="4.45"/>
    <n v="9.5"/>
    <n v="34.6"/>
    <n v="0"/>
    <n v="14.6"/>
    <n v="12.649999999999999"/>
    <n v="0"/>
    <n v="0"/>
    <n v="9.6"/>
    <n v="0"/>
    <n v="0"/>
    <n v="10"/>
    <n v="0"/>
    <n v="0"/>
    <n v="154.80000000000001"/>
    <n v="5.45"/>
    <n v="34.1"/>
    <s v="SIKAR"/>
    <s v="SIKAR"/>
    <s v="RJ-SGNR"/>
    <d v="2022-05-18T00:00:00"/>
  </r>
  <r>
    <s v="818974177426"/>
    <x v="2005"/>
    <s v="ARJUN SINGH"/>
    <n v="177426"/>
    <s v="THALOR ENTERPRISES"/>
    <n v="0"/>
    <n v="0"/>
    <n v="0"/>
    <n v="0"/>
    <n v="0"/>
    <n v="0"/>
    <n v="0"/>
    <n v="0"/>
    <n v="0"/>
    <n v="0"/>
    <n v="0"/>
    <n v="0"/>
    <n v="42.5"/>
    <n v="0"/>
    <n v="2.5"/>
    <n v="17.5"/>
    <n v="0"/>
    <n v="0"/>
    <n v="33.25"/>
    <n v="9"/>
    <n v="1.75"/>
    <n v="94"/>
    <n v="9"/>
    <n v="0"/>
    <n v="187.25"/>
    <n v="9"/>
    <n v="4.25"/>
    <s v="SIKAR"/>
    <s v="SIKAR"/>
    <s v="RJ-SGNR"/>
    <d v="2022-05-18T00:00:00"/>
  </r>
  <r>
    <s v="818996209599"/>
    <x v="2006"/>
    <s v="SHYAM TRADING COMPANY"/>
    <n v="209599"/>
    <s v="SHYAM KRIPA HARDWARE AND SENET"/>
    <n v="0"/>
    <n v="0"/>
    <n v="0"/>
    <n v="0"/>
    <n v="0"/>
    <n v="0"/>
    <n v="0"/>
    <n v="0"/>
    <n v="0"/>
    <n v="10"/>
    <n v="0"/>
    <n v="5"/>
    <n v="14"/>
    <n v="4.4000000000000004"/>
    <n v="0"/>
    <n v="20"/>
    <n v="0"/>
    <n v="0"/>
    <n v="10"/>
    <n v="0"/>
    <n v="0"/>
    <n v="38.75"/>
    <n v="8.75"/>
    <n v="10"/>
    <n v="92.75"/>
    <n v="4.4000000000000004"/>
    <n v="5"/>
    <s v="SIKAR"/>
    <s v="SIKAR"/>
    <s v="RJ-SGNR"/>
    <d v="2022-05-19T00:00:00"/>
  </r>
  <r>
    <s v="819133209599"/>
    <x v="2007"/>
    <s v="JAFAR ALI CHOPDAR"/>
    <n v="209599"/>
    <s v="SHYAM KRIPA HARDWARE AND SENET"/>
    <n v="0"/>
    <n v="0"/>
    <n v="0"/>
    <n v="0"/>
    <n v="0"/>
    <n v="0"/>
    <n v="27.5"/>
    <n v="0"/>
    <n v="0"/>
    <n v="25.75"/>
    <n v="1.75"/>
    <n v="0"/>
    <n v="19.5"/>
    <n v="0"/>
    <n v="5"/>
    <n v="10"/>
    <n v="0"/>
    <n v="0"/>
    <n v="20"/>
    <n v="0"/>
    <n v="0"/>
    <n v="40"/>
    <n v="0"/>
    <n v="0"/>
    <n v="142.75"/>
    <n v="1.75"/>
    <n v="5"/>
    <s v="SIKAR"/>
    <s v="SIKAR"/>
    <s v="RJ-SGNR"/>
    <d v="2022-05-31T00:00:00"/>
  </r>
  <r>
    <s v="819134209599"/>
    <x v="2008"/>
    <s v="SHRI SHYAM SALES"/>
    <n v="209599"/>
    <s v="SHYAM KRIPA HARDWARE AND SENET"/>
    <n v="0"/>
    <n v="0"/>
    <n v="0"/>
    <n v="0"/>
    <n v="0"/>
    <n v="0"/>
    <n v="20"/>
    <n v="0"/>
    <n v="0"/>
    <n v="24.25"/>
    <n v="0"/>
    <n v="7.5"/>
    <n v="10.5"/>
    <n v="0"/>
    <n v="0"/>
    <n v="40"/>
    <n v="7.5"/>
    <n v="0"/>
    <n v="10"/>
    <n v="0"/>
    <n v="0"/>
    <n v="32.5"/>
    <n v="0"/>
    <n v="0"/>
    <n v="137.25"/>
    <n v="7.5"/>
    <n v="7.5"/>
    <s v="SIKAR"/>
    <s v="SIKAR"/>
    <s v="RJ-SGNR"/>
    <d v="2022-05-31T00:00:00"/>
  </r>
  <r>
    <s v="819253209599"/>
    <x v="2009"/>
    <s v="ASIAN MINERALS"/>
    <n v="209599"/>
    <s v="SHYAM KRIPA HARDWARE AND SENET"/>
    <n v="0"/>
    <n v="0"/>
    <n v="0"/>
    <n v="0"/>
    <n v="0"/>
    <n v="0"/>
    <n v="0"/>
    <n v="0"/>
    <n v="0"/>
    <n v="0"/>
    <n v="0"/>
    <n v="0"/>
    <n v="17.5"/>
    <n v="0"/>
    <n v="0"/>
    <n v="0"/>
    <n v="0"/>
    <n v="0"/>
    <n v="10"/>
    <n v="0"/>
    <n v="0"/>
    <n v="0"/>
    <n v="0"/>
    <n v="0"/>
    <n v="27.5"/>
    <n v="0"/>
    <n v="0"/>
    <s v="SIKAR"/>
    <s v="SIKAR"/>
    <s v="RJ-SGNR"/>
    <d v="2022-06-11T00:00:00"/>
  </r>
  <r>
    <s v="819626209599"/>
    <x v="2010"/>
    <s v="SALASAR MARBLE &amp; STONE SUPPLIE"/>
    <n v="209599"/>
    <s v="SHYAM KRIPA HARDWARE AND SENET"/>
    <n v="0"/>
    <n v="0"/>
    <n v="0"/>
    <n v="0"/>
    <n v="0"/>
    <n v="0"/>
    <n v="0"/>
    <n v="0"/>
    <n v="0"/>
    <n v="5"/>
    <n v="0"/>
    <n v="0"/>
    <n v="14.5"/>
    <n v="0"/>
    <n v="0"/>
    <n v="0"/>
    <n v="0"/>
    <n v="0"/>
    <n v="15"/>
    <n v="0"/>
    <n v="0"/>
    <n v="22.95"/>
    <n v="0"/>
    <n v="0"/>
    <n v="57.45"/>
    <n v="0"/>
    <n v="0"/>
    <s v="SIKAR"/>
    <s v="SIKAR"/>
    <s v="RJ-SGNR"/>
    <d v="2022-07-06T00:00:00"/>
  </r>
  <r>
    <s v="819795146401"/>
    <x v="2011"/>
    <s v="SHRI SHYAM ENTERPRISES"/>
    <n v="146401"/>
    <s v="BALAJI TRADING COMPANY"/>
    <n v="0"/>
    <n v="0"/>
    <n v="0"/>
    <n v="0"/>
    <n v="0"/>
    <n v="0"/>
    <n v="0"/>
    <n v="0"/>
    <n v="0"/>
    <n v="7.5"/>
    <n v="0"/>
    <n v="0"/>
    <n v="41"/>
    <n v="0"/>
    <n v="0"/>
    <n v="25"/>
    <n v="0"/>
    <n v="2.5"/>
    <n v="8"/>
    <n v="0"/>
    <n v="0"/>
    <n v="15"/>
    <n v="0"/>
    <n v="0"/>
    <n v="96.5"/>
    <n v="0"/>
    <n v="2.5"/>
    <s v="SIKAR"/>
    <s v="SIKAR"/>
    <s v="RJ-SGNR"/>
    <d v="2022-07-16T00:00:00"/>
  </r>
  <r>
    <s v="819986203407"/>
    <x v="2012"/>
    <s v="ARUN KUMAR SINGH"/>
    <n v="203407"/>
    <s v="HANUMANGARH INT SUPPLIER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n v="20"/>
    <n v="0"/>
    <n v="0"/>
    <n v="15"/>
    <n v="10"/>
    <n v="0"/>
    <n v="55"/>
    <n v="0"/>
    <n v="0"/>
    <s v="SIKAR"/>
    <s v="SIKAR"/>
    <s v="RJ-SGNR"/>
    <d v="2022-07-28T00:00:00"/>
  </r>
  <r>
    <s v="820075209599"/>
    <x v="2013"/>
    <s v="JEPH BUILDING MATERIAL"/>
    <n v="209599"/>
    <s v="SHYAM KRIPA HARDWARE AND SENET"/>
    <n v="0"/>
    <n v="0"/>
    <n v="0"/>
    <n v="0"/>
    <n v="0"/>
    <n v="0"/>
    <n v="0"/>
    <n v="0"/>
    <n v="0"/>
    <n v="0"/>
    <n v="0"/>
    <n v="0"/>
    <n v="17.5"/>
    <n v="0"/>
    <n v="0"/>
    <n v="26"/>
    <n v="0"/>
    <n v="6"/>
    <n v="25"/>
    <n v="0"/>
    <n v="0"/>
    <n v="21.35"/>
    <n v="0"/>
    <n v="0"/>
    <n v="89.85"/>
    <n v="0"/>
    <n v="6"/>
    <s v="SIKAR"/>
    <s v="SIKAR"/>
    <s v="RJ-SGNR"/>
    <d v="2022-08-06T00:00:00"/>
  </r>
  <r>
    <s v="820257170617"/>
    <x v="2014"/>
    <s v="KESHAR KALVI BUILDING MATERIAL"/>
    <n v="170617"/>
    <s v="MANGALAM TRADING COMPANY"/>
    <n v="0"/>
    <n v="0"/>
    <n v="0"/>
    <n v="0"/>
    <n v="0"/>
    <n v="0"/>
    <n v="0"/>
    <n v="0"/>
    <n v="0"/>
    <n v="0"/>
    <n v="0"/>
    <n v="0"/>
    <n v="70"/>
    <n v="0"/>
    <n v="0"/>
    <n v="60"/>
    <n v="0"/>
    <n v="10"/>
    <n v="15.75"/>
    <n v="0"/>
    <n v="0"/>
    <n v="40"/>
    <n v="0"/>
    <n v="0"/>
    <n v="185.75"/>
    <n v="0"/>
    <n v="10"/>
    <s v="SIKAR"/>
    <s v="SIKAR"/>
    <s v="RJ-SGNR"/>
    <d v="2022-08-25T00:00:00"/>
  </r>
  <r>
    <s v="818395170203"/>
    <x v="1996"/>
    <s v="SHREE VINAYAK CEMENT SUPPLIERS"/>
    <n v="170203"/>
    <s v="SHIV TRADERS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25"/>
    <n v="0"/>
    <n v="0"/>
    <s v="SIKAR"/>
    <s v="SIKAR"/>
    <s v="RJ-SGNR"/>
    <d v="2022-03-17T00:00:00"/>
  </r>
  <r>
    <s v="820284209599"/>
    <x v="2015"/>
    <s v="SHRI SAI CEMENT AGENCY"/>
    <n v="209599"/>
    <s v="SHYAM KRIPA HARDWARE AND SENET"/>
    <n v="0"/>
    <n v="0"/>
    <n v="0"/>
    <n v="0"/>
    <n v="0"/>
    <n v="0"/>
    <n v="0"/>
    <n v="0"/>
    <n v="0"/>
    <n v="0"/>
    <n v="0"/>
    <n v="0"/>
    <n v="0"/>
    <n v="0"/>
    <n v="0"/>
    <n v="20.5"/>
    <n v="0"/>
    <n v="0"/>
    <n v="17.5"/>
    <n v="0"/>
    <n v="0"/>
    <n v="26.45"/>
    <n v="0"/>
    <n v="0"/>
    <n v="64.45"/>
    <n v="0"/>
    <n v="0"/>
    <s v="SIKAR"/>
    <s v="SIKAR"/>
    <s v="RJ-SGNR"/>
    <d v="2022-08-27T00:00:00"/>
  </r>
  <r>
    <s v="820366209599"/>
    <x v="2016"/>
    <s v="SHUBHAM CEMENT SUPPLIERS"/>
    <n v="209599"/>
    <s v="SHYAM KRIPA HARDWARE AND SENET"/>
    <n v="0"/>
    <n v="0"/>
    <n v="0"/>
    <n v="0"/>
    <n v="0"/>
    <n v="0"/>
    <n v="0"/>
    <n v="0"/>
    <n v="0"/>
    <n v="0"/>
    <n v="0"/>
    <n v="0"/>
    <n v="0"/>
    <n v="0"/>
    <n v="0"/>
    <n v="30"/>
    <n v="0"/>
    <n v="10"/>
    <n v="28.5"/>
    <n v="0"/>
    <n v="10"/>
    <n v="10"/>
    <n v="0"/>
    <n v="0"/>
    <n v="68.5"/>
    <n v="0"/>
    <n v="20"/>
    <s v="SIKAR"/>
    <s v="SIKAR"/>
    <s v="RJ-SGNR"/>
    <d v="2022-09-01T00:00:00"/>
  </r>
  <r>
    <s v="820544149885"/>
    <x v="2017"/>
    <s v="RIDHIKA HARDWARE"/>
    <n v="149885"/>
    <s v="LUHANI CEMENT SUPPLIERS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16"/>
    <n v="0"/>
    <n v="0"/>
    <s v="SIKAR"/>
    <s v="SIKAR"/>
    <s v="RJ-SGNR"/>
    <d v="2022-09-15T00:00:00"/>
  </r>
  <r>
    <s v="820544170617"/>
    <x v="2017"/>
    <s v="RIDHIKA HARDWARE"/>
    <n v="170617"/>
    <s v="MANGALAM TRADING COMPANY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5"/>
    <n v="0"/>
    <n v="5"/>
    <n v="64.5"/>
    <n v="0"/>
    <n v="0"/>
    <n v="94.5"/>
    <n v="0"/>
    <n v="5"/>
    <s v="SIKAR"/>
    <s v="SIKAR"/>
    <s v="RJ-SGNR"/>
    <d v="2022-09-15T00:00:00"/>
  </r>
  <r>
    <s v="820602149885"/>
    <x v="2018"/>
    <s v="BALAJI CEMENT SUPPLIERS"/>
    <n v="149885"/>
    <s v="LUHANI CEMENT SUPPLIER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7.5"/>
    <n v="0"/>
    <n v="5"/>
    <n v="112"/>
    <n v="0"/>
    <n v="0"/>
    <n v="184.5"/>
    <n v="0"/>
    <n v="5"/>
    <s v="SIKAR"/>
    <s v="SIKAR"/>
    <s v="RJ-SGNR"/>
    <d v="2022-09-19T00:00:00"/>
  </r>
  <r>
    <s v="820602170617"/>
    <x v="2018"/>
    <s v="BALAJI CEMENT SUPPLIERS"/>
    <n v="170617"/>
    <s v="MANGALAM TRADING COMPANY"/>
    <n v="0"/>
    <n v="0"/>
    <n v="0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16"/>
    <n v="0"/>
    <n v="0"/>
    <s v="SIKAR"/>
    <s v="SIKAR"/>
    <s v="RJ-SGNR"/>
    <d v="2022-09-19T00:00:00"/>
  </r>
  <r>
    <s v="820605170617"/>
    <x v="2019"/>
    <s v="POOJA CEMENT SUPPLIERS"/>
    <n v="170617"/>
    <s v="MANGALAM TRADING COMPANY"/>
    <n v="0"/>
    <n v="0"/>
    <n v="0"/>
    <n v="0"/>
    <n v="0"/>
    <n v="0"/>
    <n v="0"/>
    <n v="0"/>
    <n v="0"/>
    <n v="0"/>
    <n v="0"/>
    <n v="0"/>
    <n v="0"/>
    <n v="0"/>
    <n v="0"/>
    <n v="56"/>
    <n v="0"/>
    <n v="0"/>
    <n v="10"/>
    <n v="0"/>
    <n v="10"/>
    <n v="0"/>
    <n v="0"/>
    <n v="0"/>
    <n v="66"/>
    <n v="0"/>
    <n v="10"/>
    <s v="SIKAR"/>
    <s v="SIKAR"/>
    <s v="RJ-SGNR"/>
    <d v="2022-09-19T00:00:00"/>
  </r>
  <r>
    <s v="819986177426"/>
    <x v="2012"/>
    <s v="ARUN KUMAR SINGH"/>
    <n v="177426"/>
    <s v="THALOR ENTERPRISE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SIKAR"/>
    <s v="SIKAR"/>
    <s v="RJ-SGNR"/>
    <d v="2022-07-28T00:00:00"/>
  </r>
  <r>
    <s v="819431209599"/>
    <x v="2020"/>
    <s v="SHEKHAWAT CEMENT AGENCY"/>
    <n v="209599"/>
    <s v="SHYAM KRIPA HARDWARE AND SENE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5"/>
    <n v="0"/>
    <n v="0"/>
    <n v="0"/>
    <n v="0"/>
    <n v="0"/>
    <n v="10.5"/>
    <n v="0"/>
    <n v="0"/>
    <s v="SIKAR"/>
    <s v="SIKAR"/>
    <s v="RJ-SGNR"/>
    <d v="2022-06-21T00:00:00"/>
  </r>
  <r>
    <s v="820903209599"/>
    <x v="2021"/>
    <s v="SADIKO CEMENT AGENCY"/>
    <n v="209599"/>
    <s v="SHYAM KRIPA HARDWARE AND SENE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10"/>
    <n v="0"/>
    <n v="0"/>
    <n v="35"/>
    <n v="0"/>
    <n v="0"/>
    <s v="SIKAR"/>
    <s v="SIKAR"/>
    <s v="RJ-SGNR"/>
    <d v="2022-10-11T00:00:00"/>
  </r>
  <r>
    <s v="821021213507"/>
    <x v="2022"/>
    <s v="VISHNU ENTERPRISES"/>
    <n v="213507"/>
    <s v="MANISHA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20"/>
    <n v="0"/>
    <n v="0"/>
    <n v="45"/>
    <n v="0"/>
    <n v="0"/>
    <s v="SIKAR"/>
    <s v="SIKAR"/>
    <s v="RJ-SGNR"/>
    <d v="2022-10-19T00:00:00"/>
  </r>
  <r>
    <s v="821004178313"/>
    <x v="2023"/>
    <s v="SARASWATI ENTERPRISES"/>
    <n v="178313"/>
    <s v="SIDDHI VINAYAK SANITARY &amp; HAR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40"/>
    <n v="0"/>
    <n v="17.5"/>
    <n v="55"/>
    <n v="0"/>
    <n v="0"/>
    <s v="SIKAR"/>
    <s v="SIKAR"/>
    <s v="RJ-SGNR"/>
    <d v="2022-10-19T00:00:00"/>
  </r>
  <r>
    <s v="820284172636"/>
    <x v="2015"/>
    <s v="SHRI SAI CEMENT AGENCY"/>
    <n v="172636"/>
    <s v="SHRI KRISHNA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25"/>
    <n v="0"/>
    <n v="0"/>
    <s v="SIKAR"/>
    <s v="SIKAR"/>
    <s v="RJ-SGNR"/>
    <d v="2022-08-27T00:00:00"/>
  </r>
  <r>
    <s v="821286207713"/>
    <x v="2024"/>
    <s v="MATWA DHARMKANTA"/>
    <n v="207713"/>
    <s v="TAGALA BR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7.5"/>
    <n v="0"/>
    <n v="0"/>
    <n v="32.5"/>
    <n v="0"/>
    <n v="0"/>
    <s v="SIKAR"/>
    <s v="SIKAR"/>
    <s v="RJ-SGNR"/>
    <d v="2022-11-18T00:00:00"/>
  </r>
  <r>
    <s v="821095119212"/>
    <x v="2025"/>
    <s v="SHEKH TILE HOUSE"/>
    <n v="119212"/>
    <s v="SURENDRA KUMAR &amp;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5"/>
    <n v="0"/>
    <n v="0"/>
    <n v="40"/>
    <n v="0"/>
    <n v="0"/>
    <s v="SIKAR"/>
    <s v="SIKAR"/>
    <s v="RJ-SGNR"/>
    <d v="2022-10-31T00:00:00"/>
  </r>
  <r>
    <s v="821267207713"/>
    <x v="2026"/>
    <s v="SUNDARI ENTERPRISES"/>
    <n v="207713"/>
    <s v="TAGALA BROTH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5"/>
    <n v="0"/>
    <n v="0"/>
    <n v="50"/>
    <n v="0"/>
    <n v="0"/>
    <s v="SIKAR"/>
    <s v="SIKAR"/>
    <s v="RJ-SGNR"/>
    <d v="2022-11-18T00:00:00"/>
  </r>
  <r>
    <s v="819785145394"/>
    <x v="2027"/>
    <s v="PUNJAB BUILDING MATERIAL"/>
    <n v="145394"/>
    <s v="DEVRAJ AND SONS"/>
    <n v="0"/>
    <n v="0"/>
    <n v="0"/>
    <n v="0"/>
    <n v="0"/>
    <n v="0"/>
    <n v="0"/>
    <n v="0"/>
    <n v="0"/>
    <n v="55"/>
    <n v="0"/>
    <n v="15"/>
    <n v="65"/>
    <n v="0"/>
    <n v="25"/>
    <n v="15"/>
    <n v="0"/>
    <n v="0"/>
    <n v="35"/>
    <n v="0"/>
    <n v="0"/>
    <n v="47"/>
    <n v="0"/>
    <n v="0"/>
    <n v="217"/>
    <n v="0"/>
    <n v="40"/>
    <s v="HANUMANGARH"/>
    <s v="SRI GANAGNAGAR"/>
    <s v="RJ-SGNR"/>
    <d v="2022-07-16T00:00:00"/>
  </r>
  <r>
    <s v="805765147892"/>
    <x v="2028"/>
    <s v="BALAJI MOBILE POINT"/>
    <n v="147892"/>
    <s v="RAMDEV TRADERS"/>
    <n v="24"/>
    <n v="0"/>
    <n v="0"/>
    <n v="20"/>
    <n v="0"/>
    <n v="0"/>
    <n v="41"/>
    <n v="0"/>
    <n v="0"/>
    <n v="28"/>
    <n v="0"/>
    <n v="0"/>
    <n v="0"/>
    <n v="0"/>
    <n v="0"/>
    <n v="45"/>
    <n v="0"/>
    <n v="0"/>
    <n v="13"/>
    <n v="0"/>
    <n v="0"/>
    <n v="28"/>
    <n v="0"/>
    <n v="0"/>
    <n v="199"/>
    <n v="0"/>
    <n v="0"/>
    <s v="HANUMANGARH"/>
    <s v="SRI GANGANAGAR"/>
    <s v="RJ-SGNR"/>
    <d v="2016-11-16T00:00:00"/>
  </r>
  <r>
    <s v="806659171839"/>
    <x v="2029"/>
    <s v="DHAKA ENTERPRISES"/>
    <n v="171839"/>
    <s v="SARAWAG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17-07-27T00:00:00"/>
  </r>
  <r>
    <s v="806804171923"/>
    <x v="2030"/>
    <s v="RAM SINGH"/>
    <n v="171923"/>
    <s v="SHIV SHAKTI BUILDING MATERIAL"/>
    <n v="59"/>
    <n v="0"/>
    <n v="0"/>
    <n v="35"/>
    <n v="0"/>
    <n v="0"/>
    <n v="60"/>
    <n v="0"/>
    <n v="0"/>
    <n v="45"/>
    <n v="0"/>
    <n v="0"/>
    <n v="47.5"/>
    <n v="0"/>
    <n v="0"/>
    <n v="25"/>
    <n v="0"/>
    <n v="0"/>
    <n v="30"/>
    <n v="0"/>
    <n v="0"/>
    <n v="60"/>
    <n v="15"/>
    <n v="0"/>
    <n v="361.5"/>
    <n v="0"/>
    <n v="0"/>
    <s v="HANUMANGARH"/>
    <s v="SRI GANGANAGAR"/>
    <s v="RJ-SGNR"/>
    <d v="2017-08-26T00:00:00"/>
  </r>
  <r>
    <s v="806805171923"/>
    <x v="2031"/>
    <s v="DARA SINGH"/>
    <n v="171923"/>
    <s v="SHIV SHAKTI BUILDING MATERIAL"/>
    <n v="15"/>
    <n v="0"/>
    <n v="0"/>
    <n v="50"/>
    <n v="0"/>
    <n v="0"/>
    <n v="40"/>
    <n v="0"/>
    <n v="0"/>
    <n v="25"/>
    <n v="10"/>
    <n v="0"/>
    <n v="15"/>
    <n v="0"/>
    <n v="0"/>
    <n v="15"/>
    <n v="0"/>
    <n v="0"/>
    <n v="15"/>
    <n v="0"/>
    <n v="0"/>
    <n v="60"/>
    <n v="0"/>
    <n v="10"/>
    <n v="235"/>
    <n v="10"/>
    <n v="0"/>
    <s v="HANUMANGARH"/>
    <s v="SRI GANGANAGAR"/>
    <s v="RJ-SGNR"/>
    <d v="2017-08-26T00:00:00"/>
  </r>
  <r>
    <s v="806829171839"/>
    <x v="2032"/>
    <s v="VIKAS PAREEK"/>
    <n v="171839"/>
    <s v="SARAWAGI CEMENT AGENCY"/>
    <n v="30"/>
    <n v="0"/>
    <n v="0"/>
    <n v="35.049999999999997"/>
    <n v="0"/>
    <n v="0"/>
    <n v="26.5"/>
    <n v="0"/>
    <n v="11.5"/>
    <n v="62"/>
    <n v="0"/>
    <n v="0"/>
    <n v="35"/>
    <n v="0"/>
    <n v="0"/>
    <n v="0"/>
    <n v="0"/>
    <n v="0"/>
    <n v="0"/>
    <n v="0"/>
    <n v="0"/>
    <n v="0"/>
    <n v="0"/>
    <n v="0"/>
    <n v="188.55"/>
    <n v="0"/>
    <n v="11.5"/>
    <s v="HANUMANGARH"/>
    <s v="SRI GANGANAGAR"/>
    <s v="RJ-SGNR"/>
    <d v="2017-09-01T00:00:00"/>
  </r>
  <r>
    <s v="806843171839"/>
    <x v="2033"/>
    <s v="SHYAM SUNDER"/>
    <n v="171839"/>
    <s v="SARAWAGI CEMENT AGENCY"/>
    <n v="43"/>
    <n v="0"/>
    <n v="0"/>
    <n v="50"/>
    <n v="0"/>
    <n v="0"/>
    <n v="37"/>
    <n v="0"/>
    <n v="15"/>
    <n v="30"/>
    <n v="0"/>
    <n v="0"/>
    <n v="73"/>
    <n v="0"/>
    <n v="0"/>
    <n v="70"/>
    <n v="0"/>
    <n v="45"/>
    <n v="0"/>
    <n v="0"/>
    <n v="0"/>
    <n v="10"/>
    <n v="0"/>
    <n v="0"/>
    <n v="313"/>
    <n v="0"/>
    <n v="60"/>
    <s v="HANUMANGARH"/>
    <s v="SRI GANGANAGAR"/>
    <s v="RJ-SGNR"/>
    <d v="2017-09-02T00:00:00"/>
  </r>
  <r>
    <s v="806862171839"/>
    <x v="2034"/>
    <s v="SAHARAN BUILDING MATERIAL"/>
    <n v="171839"/>
    <s v="SARAWAGI CEMENT AGENCY"/>
    <n v="22.5"/>
    <n v="0"/>
    <n v="0"/>
    <n v="50"/>
    <n v="0"/>
    <n v="0"/>
    <n v="30"/>
    <n v="0"/>
    <n v="15"/>
    <n v="24"/>
    <n v="0"/>
    <n v="0"/>
    <n v="35"/>
    <n v="0"/>
    <n v="0"/>
    <n v="70"/>
    <n v="0"/>
    <n v="0"/>
    <n v="0"/>
    <n v="0"/>
    <n v="0"/>
    <n v="28"/>
    <n v="0"/>
    <n v="0"/>
    <n v="259.5"/>
    <n v="0"/>
    <n v="15"/>
    <s v="HANUMANGARH"/>
    <s v="SRI GANGANAGAR"/>
    <s v="RJ-SGNR"/>
    <d v="2017-09-07T00:00:00"/>
  </r>
  <r>
    <s v="807912171839"/>
    <x v="2035"/>
    <s v="NARESH KUMAR"/>
    <n v="171839"/>
    <s v="SARAWAGI CEMENT AGENCY"/>
    <n v="142.5"/>
    <n v="0"/>
    <n v="0"/>
    <n v="74"/>
    <n v="0"/>
    <n v="0"/>
    <n v="136.5"/>
    <n v="0"/>
    <n v="0"/>
    <n v="118"/>
    <n v="0"/>
    <n v="45"/>
    <n v="141"/>
    <n v="0"/>
    <n v="21"/>
    <n v="93"/>
    <n v="0"/>
    <n v="0"/>
    <n v="0"/>
    <n v="0"/>
    <n v="0"/>
    <n v="90"/>
    <n v="0"/>
    <n v="0"/>
    <n v="795"/>
    <n v="0"/>
    <n v="66"/>
    <s v="HANUMANGARH"/>
    <s v="SRI GANGANAGAR"/>
    <s v="RJ-SGNR"/>
    <d v="2018-01-18T00:00:00"/>
  </r>
  <r>
    <s v="808154204318"/>
    <x v="2036"/>
    <s v="NIMIWAL STONE COMPANY"/>
    <n v="204318"/>
    <s v="KISAN BUILDING MATERIAL"/>
    <n v="0"/>
    <n v="0"/>
    <n v="0"/>
    <n v="27.5"/>
    <n v="0"/>
    <n v="0"/>
    <n v="22.5"/>
    <n v="0"/>
    <n v="0"/>
    <n v="15"/>
    <n v="0"/>
    <n v="0"/>
    <n v="29.5"/>
    <n v="0"/>
    <n v="0"/>
    <n v="30"/>
    <n v="0"/>
    <n v="0"/>
    <n v="10"/>
    <n v="0"/>
    <n v="10"/>
    <n v="25"/>
    <n v="0"/>
    <n v="10"/>
    <n v="159.5"/>
    <n v="0"/>
    <n v="10"/>
    <s v="HANUMANGARH"/>
    <s v="SRI GANGANAGAR"/>
    <s v="RJ-SGNR"/>
    <d v="2018-03-22T00:00:00"/>
  </r>
  <r>
    <s v="808426145394"/>
    <x v="2037"/>
    <s v="MUKESH TRADERS"/>
    <n v="145394"/>
    <s v="DEVRAJ AND SONS"/>
    <n v="107"/>
    <n v="0"/>
    <n v="0"/>
    <n v="85"/>
    <n v="0"/>
    <n v="0"/>
    <n v="138.4"/>
    <n v="8.4"/>
    <n v="35"/>
    <n v="55"/>
    <n v="0"/>
    <n v="15"/>
    <n v="85"/>
    <n v="0"/>
    <n v="20"/>
    <n v="85"/>
    <n v="0"/>
    <n v="0"/>
    <n v="95"/>
    <n v="0"/>
    <n v="0"/>
    <n v="73.5"/>
    <n v="0"/>
    <n v="0"/>
    <n v="723.9"/>
    <n v="8.4"/>
    <n v="70"/>
    <s v="HANUMANGARH"/>
    <s v="SRI GANGANAGAR"/>
    <s v="RJ-SGNR"/>
    <d v="2018-05-26T00:00:00"/>
  </r>
  <r>
    <s v="808427145394"/>
    <x v="2038"/>
    <s v="BABU SINGH"/>
    <n v="145394"/>
    <s v="DEVRAJ AND SONS"/>
    <n v="15"/>
    <n v="0"/>
    <n v="0"/>
    <n v="0"/>
    <n v="0"/>
    <n v="0"/>
    <n v="50"/>
    <n v="0"/>
    <n v="0"/>
    <n v="15"/>
    <n v="0"/>
    <n v="0"/>
    <n v="40"/>
    <n v="0"/>
    <n v="0"/>
    <n v="0"/>
    <n v="0"/>
    <n v="0"/>
    <n v="0"/>
    <n v="0"/>
    <n v="0"/>
    <n v="40"/>
    <n v="0"/>
    <n v="0"/>
    <n v="160"/>
    <n v="0"/>
    <n v="0"/>
    <s v="HANUMANGARH"/>
    <s v="SRI GANGANAGAR"/>
    <s v="RJ-SGNR"/>
    <d v="2018-05-26T00:00:00"/>
  </r>
  <r>
    <s v="808449149859"/>
    <x v="2039"/>
    <s v="MALI BUILDING MATERIAL STORE"/>
    <n v="149859"/>
    <s v="DHARM PAL AKSHAY KUMAR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HANUMANGARH"/>
    <s v="SRI GANGANAGAR"/>
    <s v="RJ-SGNR"/>
    <d v="2018-05-28T00:00:00"/>
  </r>
  <r>
    <s v="808492204318"/>
    <x v="2040"/>
    <s v="ALADIN KHAN"/>
    <n v="204318"/>
    <s v="KISAN BUILDING MATERIAL"/>
    <n v="10"/>
    <n v="0"/>
    <n v="0"/>
    <n v="25"/>
    <n v="0"/>
    <n v="0"/>
    <n v="40"/>
    <n v="0"/>
    <n v="0"/>
    <n v="15"/>
    <n v="0"/>
    <n v="0"/>
    <n v="15"/>
    <n v="0"/>
    <n v="0"/>
    <n v="25"/>
    <n v="0"/>
    <n v="2"/>
    <n v="15"/>
    <n v="0"/>
    <n v="0"/>
    <n v="30"/>
    <n v="0"/>
    <n v="0"/>
    <n v="175"/>
    <n v="0"/>
    <n v="2"/>
    <s v="HANUMANGARH"/>
    <s v="SRI GANGANAGAR"/>
    <s v="RJ-SGNR"/>
    <d v="2018-05-31T00:00:00"/>
  </r>
  <r>
    <s v="808569171839"/>
    <x v="2041"/>
    <s v="KANDOI TRADERS"/>
    <n v="171839"/>
    <s v="SARAWAGI CEMENT AGENCY"/>
    <n v="154"/>
    <n v="23"/>
    <n v="0"/>
    <n v="91.75"/>
    <n v="79"/>
    <n v="0"/>
    <n v="127"/>
    <n v="7"/>
    <n v="25"/>
    <n v="125"/>
    <n v="35"/>
    <n v="0"/>
    <n v="120"/>
    <n v="0"/>
    <n v="0"/>
    <n v="200"/>
    <n v="60"/>
    <n v="20"/>
    <n v="0"/>
    <n v="0"/>
    <n v="0"/>
    <n v="70"/>
    <n v="20"/>
    <n v="0"/>
    <n v="887.75"/>
    <n v="204"/>
    <n v="45"/>
    <s v="HANUMANGARH"/>
    <s v="SRI GANGANAGAR"/>
    <s v="RJ-SGNR"/>
    <d v="2018-06-12T00:00:00"/>
  </r>
  <r>
    <s v="809102171839"/>
    <x v="2042"/>
    <s v="MAYANK ENTERPRISES"/>
    <n v="171839"/>
    <s v="SARAWAGI CEMENT AGENCY"/>
    <n v="50"/>
    <n v="0"/>
    <n v="0"/>
    <n v="92.5"/>
    <n v="0"/>
    <n v="0"/>
    <n v="8.75"/>
    <n v="0"/>
    <n v="0"/>
    <n v="0"/>
    <n v="0"/>
    <n v="0"/>
    <n v="43.85"/>
    <n v="0"/>
    <n v="0"/>
    <n v="25"/>
    <n v="0"/>
    <n v="0"/>
    <n v="15"/>
    <n v="0"/>
    <n v="0"/>
    <n v="47.5"/>
    <n v="0"/>
    <n v="0"/>
    <n v="282.60000000000002"/>
    <n v="0"/>
    <n v="0"/>
    <s v="HANUMANGARH"/>
    <s v="SRI GANGANAGAR"/>
    <s v="RJ-SGNR"/>
    <d v="2019-02-08T00:00:00"/>
  </r>
  <r>
    <s v="809103171923"/>
    <x v="2043"/>
    <s v="GOPIRAM"/>
    <n v="171923"/>
    <s v="SHIV SHAKTI BUILDING MATERIAL"/>
    <n v="15"/>
    <n v="0"/>
    <n v="0"/>
    <n v="20"/>
    <n v="15"/>
    <n v="0"/>
    <n v="20"/>
    <n v="0"/>
    <n v="20"/>
    <n v="20"/>
    <n v="0"/>
    <n v="0"/>
    <n v="15"/>
    <n v="0"/>
    <n v="0"/>
    <n v="20"/>
    <n v="0"/>
    <n v="0"/>
    <n v="0"/>
    <n v="0"/>
    <n v="0"/>
    <n v="20"/>
    <n v="0"/>
    <n v="0"/>
    <n v="130"/>
    <n v="15"/>
    <n v="20"/>
    <s v="HANUMANGARH"/>
    <s v="SRI GANGANAGAR"/>
    <s v="RJ-SGNR"/>
    <d v="2019-02-08T00:00:00"/>
  </r>
  <r>
    <s v="809426171839"/>
    <x v="2044"/>
    <s v="RAJENDER"/>
    <n v="171839"/>
    <s v="SARAWAGI CEMENT AGENCY"/>
    <n v="18"/>
    <n v="0"/>
    <n v="0"/>
    <n v="2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n v="0"/>
    <n v="0"/>
    <s v="HANUMANGARH"/>
    <s v="SRI GANGANAGAR"/>
    <s v="RJ-SGNR"/>
    <d v="2019-04-23T00:00:00"/>
  </r>
  <r>
    <s v="809529145394"/>
    <x v="2045"/>
    <s v="SUBHASH CHANDER"/>
    <n v="145394"/>
    <s v="DEVRAJ AND SONS"/>
    <n v="20"/>
    <n v="0"/>
    <n v="0"/>
    <n v="50"/>
    <n v="0"/>
    <n v="0"/>
    <n v="60"/>
    <n v="0"/>
    <n v="30"/>
    <n v="45"/>
    <n v="0"/>
    <n v="0"/>
    <n v="45"/>
    <n v="0"/>
    <n v="0"/>
    <n v="35"/>
    <n v="0"/>
    <n v="0"/>
    <n v="35"/>
    <n v="0"/>
    <n v="0"/>
    <n v="55"/>
    <n v="0"/>
    <n v="0"/>
    <n v="345"/>
    <n v="0"/>
    <n v="30"/>
    <s v="HANUMANGARH"/>
    <s v="SRI GANGANAGAR"/>
    <s v="RJ-SGNR"/>
    <d v="2019-05-10T00:00:00"/>
  </r>
  <r>
    <s v="809908145394"/>
    <x v="2046"/>
    <s v="JAMINDARA SHUTTERING STORE"/>
    <n v="145394"/>
    <s v="DEVRAJ AND SONS"/>
    <n v="45"/>
    <n v="0"/>
    <n v="0"/>
    <n v="65"/>
    <n v="0"/>
    <n v="0"/>
    <n v="85"/>
    <n v="0"/>
    <n v="25"/>
    <n v="45"/>
    <n v="0"/>
    <n v="15"/>
    <n v="30"/>
    <n v="0"/>
    <n v="0"/>
    <n v="60"/>
    <n v="0"/>
    <n v="0"/>
    <n v="45"/>
    <n v="0"/>
    <n v="0"/>
    <n v="61.5"/>
    <n v="0"/>
    <n v="0"/>
    <n v="436.5"/>
    <n v="0"/>
    <n v="40"/>
    <s v="HANUMANGARH"/>
    <s v="SRI GANGANAGAR"/>
    <s v="RJ-SGNR"/>
    <d v="2019-07-12T00:00:00"/>
  </r>
  <r>
    <s v="809909145394"/>
    <x v="2047"/>
    <s v="SIDHU BUILDING MATERIAL STORE"/>
    <n v="145394"/>
    <s v="DEVRAJ AND SONS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HANUMANGARH"/>
    <s v="SRI GANGANAGAR"/>
    <s v="RJ-SGNR"/>
    <d v="2019-07-12T00:00:00"/>
  </r>
  <r>
    <s v="809909206407"/>
    <x v="2047"/>
    <s v="SIDHU BUILDING MATERIAL STORE"/>
    <n v="206407"/>
    <s v="ASHRAFI BUILDING MATERIAL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HANUMANGARH"/>
    <s v="SRI GANGANAGAR"/>
    <s v="RJ-SGNR"/>
    <d v="2019-07-12T00:00:00"/>
  </r>
  <r>
    <s v="810298172946"/>
    <x v="2048"/>
    <s v="NAKSHATRA SINGH"/>
    <n v="172946"/>
    <s v="RIDHI SIDHI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19-08-21T00:00:00"/>
  </r>
  <r>
    <s v="810386172946"/>
    <x v="2049"/>
    <s v="BRIJ MOHAN"/>
    <n v="172946"/>
    <s v="RIDHI SIDHI TRADERS"/>
    <n v="52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"/>
    <n v="0"/>
    <n v="0"/>
    <s v="HANUMANGARH"/>
    <s v="SRI GANGANAGAR"/>
    <s v="RJ-SGNR"/>
    <d v="2019-08-28T00:00:00"/>
  </r>
  <r>
    <s v="810584145394"/>
    <x v="2050"/>
    <s v="GANPATI TILES FACTORY"/>
    <n v="145394"/>
    <s v="DEVRAJ AND SONS"/>
    <n v="35"/>
    <n v="0"/>
    <n v="0"/>
    <n v="60"/>
    <n v="0"/>
    <n v="0"/>
    <n v="73"/>
    <n v="0"/>
    <n v="0"/>
    <n v="35"/>
    <n v="0"/>
    <n v="0"/>
    <n v="40"/>
    <n v="0"/>
    <n v="0"/>
    <n v="30"/>
    <n v="0"/>
    <n v="0"/>
    <n v="45"/>
    <n v="0"/>
    <n v="0"/>
    <n v="70"/>
    <n v="0"/>
    <n v="0"/>
    <n v="388"/>
    <n v="0"/>
    <n v="0"/>
    <s v="HANUMANGARH"/>
    <s v="SRI GANGANAGAR"/>
    <s v="RJ-SGNR"/>
    <d v="2019-10-01T00:00:00"/>
  </r>
  <r>
    <s v="811479145394"/>
    <x v="2051"/>
    <s v="CHATURBHUJ"/>
    <n v="145394"/>
    <s v="DEVRAJ AND SONS"/>
    <n v="45"/>
    <n v="0"/>
    <n v="0"/>
    <n v="30"/>
    <n v="0"/>
    <n v="0"/>
    <n v="30"/>
    <n v="0"/>
    <n v="20"/>
    <n v="30"/>
    <n v="0"/>
    <n v="0"/>
    <n v="25"/>
    <n v="0"/>
    <n v="0"/>
    <n v="20"/>
    <n v="0"/>
    <n v="0"/>
    <n v="45.05"/>
    <n v="0"/>
    <n v="15.05"/>
    <n v="30"/>
    <n v="0"/>
    <n v="0"/>
    <n v="255.05"/>
    <n v="0"/>
    <n v="35.049999999999997"/>
    <s v="HANUMANGARH"/>
    <s v="SRI GANGANAGAR"/>
    <s v="RJ-SGNR"/>
    <d v="2020-02-12T00:00:00"/>
  </r>
  <r>
    <s v="811647171839"/>
    <x v="2052"/>
    <s v="HIRALAL"/>
    <n v="171839"/>
    <s v="SARAWAGI CEMENT AGENCY"/>
    <n v="40"/>
    <n v="0"/>
    <n v="0"/>
    <n v="75"/>
    <n v="0"/>
    <n v="0"/>
    <n v="51.55"/>
    <n v="0"/>
    <n v="0"/>
    <n v="36"/>
    <n v="0"/>
    <n v="0"/>
    <n v="40"/>
    <n v="0"/>
    <n v="0"/>
    <n v="40"/>
    <n v="0"/>
    <n v="0"/>
    <n v="0"/>
    <n v="0"/>
    <n v="0"/>
    <n v="70"/>
    <n v="0"/>
    <n v="0"/>
    <n v="352.55"/>
    <n v="0"/>
    <n v="0"/>
    <s v="HANUMANGARH"/>
    <s v="SRI GANGANAGAR"/>
    <s v="RJ-SGNR"/>
    <d v="2020-02-29T00:00:00"/>
  </r>
  <r>
    <s v="811686171839"/>
    <x v="2053"/>
    <s v="OMPARKASH"/>
    <n v="171839"/>
    <s v="SARAWAGI CEMENT AGENCY"/>
    <n v="88"/>
    <n v="0"/>
    <n v="0"/>
    <n v="66"/>
    <n v="0"/>
    <n v="0"/>
    <n v="100"/>
    <n v="0"/>
    <n v="0"/>
    <n v="67"/>
    <n v="0"/>
    <n v="0"/>
    <n v="55"/>
    <n v="0"/>
    <n v="0"/>
    <n v="95"/>
    <n v="0"/>
    <n v="0"/>
    <n v="0"/>
    <n v="0"/>
    <n v="0"/>
    <n v="65"/>
    <n v="0"/>
    <n v="0"/>
    <n v="536"/>
    <n v="0"/>
    <n v="0"/>
    <s v="HANUMANGARH"/>
    <s v="SRI GANGANAGAR"/>
    <s v="RJ-SGNR"/>
    <d v="2020-03-05T00:00:00"/>
  </r>
  <r>
    <s v="811687143608"/>
    <x v="2054"/>
    <s v="BHAGIRATH"/>
    <n v="143608"/>
    <s v="OM IRON AND CEMENT AGENCY"/>
    <n v="60"/>
    <n v="15"/>
    <n v="0"/>
    <n v="60"/>
    <n v="0"/>
    <n v="0"/>
    <n v="64"/>
    <n v="0"/>
    <n v="0"/>
    <n v="45.95"/>
    <n v="10.95"/>
    <n v="0"/>
    <n v="80"/>
    <n v="0"/>
    <n v="0"/>
    <n v="56"/>
    <n v="21"/>
    <n v="0"/>
    <n v="30"/>
    <n v="0"/>
    <n v="0"/>
    <n v="80"/>
    <n v="0"/>
    <n v="0"/>
    <n v="475.95"/>
    <n v="46.95"/>
    <n v="0"/>
    <s v="HANUMANGARH"/>
    <s v="SRI GANGANAGAR"/>
    <s v="RJ-SGNR"/>
    <d v="2020-03-05T00:00:00"/>
  </r>
  <r>
    <s v="811918171839"/>
    <x v="2055"/>
    <s v="ARIF MOHAMMAD"/>
    <n v="171839"/>
    <s v="SARAWAGI CEMENT AGENCY"/>
    <n v="5"/>
    <n v="0"/>
    <n v="0"/>
    <n v="15"/>
    <n v="0"/>
    <n v="0"/>
    <n v="15"/>
    <n v="0"/>
    <n v="0"/>
    <n v="0"/>
    <n v="0"/>
    <n v="0"/>
    <n v="0"/>
    <n v="0"/>
    <n v="0"/>
    <n v="10"/>
    <n v="0"/>
    <n v="0"/>
    <n v="0"/>
    <n v="0"/>
    <n v="0"/>
    <n v="0"/>
    <n v="0"/>
    <n v="0"/>
    <n v="45"/>
    <n v="0"/>
    <n v="0"/>
    <s v="HANUMANGARH"/>
    <s v="SRI GANGANAGAR"/>
    <s v="RJ-SGNR"/>
    <d v="2020-06-13T00:00:00"/>
  </r>
  <r>
    <s v="812069202913"/>
    <x v="2056"/>
    <s v="YOGESH IRON STORE"/>
    <n v="202913"/>
    <s v="SACHIN CEMENT STORE"/>
    <n v="15"/>
    <n v="0"/>
    <n v="0"/>
    <n v="12"/>
    <n v="0"/>
    <n v="0"/>
    <n v="20"/>
    <n v="0"/>
    <n v="0"/>
    <n v="25"/>
    <n v="0"/>
    <n v="0"/>
    <n v="0"/>
    <n v="0"/>
    <n v="0"/>
    <n v="0"/>
    <n v="0"/>
    <n v="0"/>
    <n v="0"/>
    <n v="0"/>
    <n v="0"/>
    <n v="0"/>
    <n v="0"/>
    <n v="0"/>
    <n v="72"/>
    <n v="0"/>
    <n v="0"/>
    <s v="HANUMANGARH"/>
    <s v="SRI GANGANAGAR"/>
    <s v="RJ-SGNR"/>
    <d v="2020-06-29T00:00:00"/>
  </r>
  <r>
    <s v="812070202913"/>
    <x v="2057"/>
    <s v="KULWANT SINGH"/>
    <n v="202913"/>
    <s v="SACHIN CEMENT STORE"/>
    <n v="0"/>
    <n v="0"/>
    <n v="0"/>
    <n v="0"/>
    <n v="0"/>
    <n v="0"/>
    <n v="0"/>
    <n v="0"/>
    <n v="0"/>
    <n v="33.450000000000003"/>
    <n v="0"/>
    <n v="0"/>
    <n v="30"/>
    <n v="0"/>
    <n v="0"/>
    <n v="20"/>
    <n v="0"/>
    <n v="0"/>
    <n v="0"/>
    <n v="0"/>
    <n v="0"/>
    <n v="0"/>
    <n v="0"/>
    <n v="0"/>
    <n v="83.45"/>
    <n v="0"/>
    <n v="0"/>
    <s v="HANUMANGARH"/>
    <s v="SRI GANGANAGAR"/>
    <s v="RJ-SGNR"/>
    <d v="2020-06-29T00:00:00"/>
  </r>
  <r>
    <s v="812109171924"/>
    <x v="2058"/>
    <s v="LILADHAR"/>
    <n v="171924"/>
    <s v="BALAJI CEMENT AGENCY"/>
    <n v="90"/>
    <n v="0"/>
    <n v="0"/>
    <n v="45"/>
    <n v="0"/>
    <n v="0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0"/>
    <n v="0"/>
    <s v="HANUMANGARH"/>
    <s v="SRI GANGANAGAR"/>
    <s v="RJ-SGNR"/>
    <d v="2020-07-04T00:00:00"/>
  </r>
  <r>
    <s v="812663175340"/>
    <x v="2059"/>
    <s v="BHATI CEMENT &amp; BUILDING MATERI"/>
    <n v="175340"/>
    <s v="VISHNU CEMENT &amp; IRON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0-08-27T00:00:00"/>
  </r>
  <r>
    <s v="812665171839"/>
    <x v="2060"/>
    <s v="SHANKAR LAL"/>
    <n v="171839"/>
    <s v="SARAWAGI CEMENT AGENCY"/>
    <n v="0"/>
    <n v="0"/>
    <n v="0"/>
    <n v="10"/>
    <n v="0"/>
    <n v="0"/>
    <n v="110"/>
    <n v="45"/>
    <n v="0"/>
    <n v="35"/>
    <n v="0"/>
    <n v="0"/>
    <n v="65"/>
    <n v="0"/>
    <n v="0"/>
    <n v="85"/>
    <n v="0"/>
    <n v="0"/>
    <n v="0"/>
    <n v="0"/>
    <n v="0"/>
    <n v="50"/>
    <n v="0"/>
    <n v="30"/>
    <n v="355"/>
    <n v="45"/>
    <n v="0"/>
    <s v="HANUMANGARH"/>
    <s v="SRI GANGANAGAR"/>
    <s v="RJ-SGNR"/>
    <d v="2020-08-27T00:00:00"/>
  </r>
  <r>
    <s v="812665205949"/>
    <x v="2060"/>
    <s v="SHANKAR LAL"/>
    <n v="205949"/>
    <s v="BHAWANI CEMENT AGENCY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HANUMANGARH"/>
    <s v="SRI GANGANAGAR"/>
    <s v="RJ-SGNR"/>
    <d v="2020-08-27T00:00:00"/>
  </r>
  <r>
    <s v="812701202941"/>
    <x v="2061"/>
    <s v="KULDEEP KUMAR"/>
    <n v="202941"/>
    <s v="SHRI BALAJI BUILDING MATERIAL"/>
    <n v="15"/>
    <n v="0"/>
    <n v="0"/>
    <n v="30"/>
    <n v="0"/>
    <n v="0"/>
    <n v="47.5"/>
    <n v="0"/>
    <n v="0"/>
    <n v="20"/>
    <n v="0"/>
    <n v="0"/>
    <n v="0"/>
    <n v="0"/>
    <n v="0"/>
    <n v="0"/>
    <n v="0"/>
    <n v="0"/>
    <n v="0"/>
    <n v="0"/>
    <n v="0"/>
    <n v="0"/>
    <n v="0"/>
    <n v="0"/>
    <n v="112.5"/>
    <n v="0"/>
    <n v="0"/>
    <s v="HANUMANGARH"/>
    <s v="SRI GANGANAGAR"/>
    <s v="RJ-SGNR"/>
    <d v="2020-08-29T00:00:00"/>
  </r>
  <r>
    <s v="812712202913"/>
    <x v="2062"/>
    <s v="PARDEEP KUMAR"/>
    <n v="202913"/>
    <s v="SACHIN CEMENT STORE"/>
    <n v="55"/>
    <n v="0"/>
    <n v="0"/>
    <n v="120"/>
    <n v="0"/>
    <n v="0"/>
    <n v="87"/>
    <n v="0"/>
    <n v="0"/>
    <n v="40"/>
    <n v="0"/>
    <n v="0"/>
    <n v="70"/>
    <n v="0"/>
    <n v="0"/>
    <n v="55"/>
    <n v="0"/>
    <n v="0"/>
    <n v="25"/>
    <n v="0"/>
    <n v="0"/>
    <n v="64.5"/>
    <n v="0"/>
    <n v="0"/>
    <n v="516.5"/>
    <n v="0"/>
    <n v="0"/>
    <s v="HANUMANGARH"/>
    <s v="SRI GANGANAGAR"/>
    <s v="RJ-SGNR"/>
    <d v="2020-08-31T00:00:00"/>
  </r>
  <r>
    <s v="812729145394"/>
    <x v="2063"/>
    <s v="AGGARWAL BUILDING MATERIAL"/>
    <n v="145394"/>
    <s v="DEVRAJ AND SONS"/>
    <n v="0"/>
    <n v="0"/>
    <n v="0"/>
    <n v="25"/>
    <n v="0"/>
    <n v="0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51"/>
    <n v="0"/>
    <n v="0"/>
    <s v="HANUMANGARH"/>
    <s v="SRI GANGANAGAR"/>
    <s v="RJ-SGNR"/>
    <d v="2020-08-31T00:00:00"/>
  </r>
  <r>
    <s v="812852202941"/>
    <x v="2064"/>
    <s v="JOGENDRA"/>
    <n v="202941"/>
    <s v="SHRI BALAJI BUILDING MATERIAL"/>
    <n v="35"/>
    <n v="0"/>
    <n v="0"/>
    <n v="46"/>
    <n v="0"/>
    <n v="0"/>
    <n v="45"/>
    <n v="0"/>
    <n v="0"/>
    <n v="30"/>
    <n v="0"/>
    <n v="0"/>
    <n v="25"/>
    <n v="0"/>
    <n v="25"/>
    <n v="0"/>
    <n v="0"/>
    <n v="0"/>
    <n v="0"/>
    <n v="0"/>
    <n v="0"/>
    <n v="15"/>
    <n v="0"/>
    <n v="0"/>
    <n v="196"/>
    <n v="0"/>
    <n v="25"/>
    <s v="HANUMANGARH"/>
    <s v="SRI GANGANAGAR"/>
    <s v="RJ-SGNR"/>
    <d v="2020-09-09T00:00:00"/>
  </r>
  <r>
    <s v="812863145394"/>
    <x v="2065"/>
    <s v="DARSHAN SINGH"/>
    <n v="145394"/>
    <s v="DEVRAJ AND SONS"/>
    <n v="40"/>
    <n v="0"/>
    <n v="0"/>
    <n v="30.5"/>
    <n v="0"/>
    <n v="0"/>
    <n v="44.6"/>
    <n v="0"/>
    <n v="15"/>
    <n v="35"/>
    <n v="0"/>
    <n v="0"/>
    <n v="45"/>
    <n v="0"/>
    <n v="0"/>
    <n v="40"/>
    <n v="0"/>
    <n v="0"/>
    <n v="15"/>
    <n v="0"/>
    <n v="0"/>
    <n v="45"/>
    <n v="0"/>
    <n v="0"/>
    <n v="295.10000000000002"/>
    <n v="0"/>
    <n v="15"/>
    <s v="HANUMANGARH"/>
    <s v="SRI GANGANAGAR"/>
    <s v="RJ-SGNR"/>
    <d v="2020-09-09T00:00:00"/>
  </r>
  <r>
    <s v="812869202913"/>
    <x v="2066"/>
    <s v="GOYAL STONE SUPPLIERS"/>
    <n v="202913"/>
    <s v="SACHIN CEMENT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0-09-10T00:00:00"/>
  </r>
  <r>
    <s v="812897202329"/>
    <x v="2067"/>
    <s v="SHYAM LAL"/>
    <n v="202329"/>
    <s v="SHREE SHYAM STONE COMPANY"/>
    <n v="45"/>
    <n v="15"/>
    <n v="0"/>
    <n v="55"/>
    <n v="0"/>
    <n v="0"/>
    <n v="85"/>
    <n v="0"/>
    <n v="45"/>
    <n v="45"/>
    <n v="0"/>
    <n v="0"/>
    <n v="53.45"/>
    <n v="0"/>
    <n v="12.45"/>
    <n v="47.45"/>
    <n v="9.9499999999999993"/>
    <n v="2.5"/>
    <n v="35"/>
    <n v="0"/>
    <n v="0"/>
    <n v="15"/>
    <n v="0"/>
    <n v="0"/>
    <n v="380.9"/>
    <n v="24.95"/>
    <n v="59.95"/>
    <s v="HANUMANGARH"/>
    <s v="SRI GANGANAGAR"/>
    <s v="RJ-SGNR"/>
    <d v="2020-09-12T00:00:00"/>
  </r>
  <r>
    <s v="812899202329"/>
    <x v="2068"/>
    <s v="BALAJI CEMENT STORE"/>
    <n v="202329"/>
    <s v="SHREE SHYAM STONE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0-09-12T00:00:00"/>
  </r>
  <r>
    <s v="812903203421"/>
    <x v="2069"/>
    <s v="BHAGA RAM"/>
    <n v="203421"/>
    <s v="ANGEL CONSTRUCTION COMPANY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HANUMANGARH"/>
    <s v="SRI GANGANAGAR"/>
    <s v="RJ-SGNR"/>
    <d v="2020-09-12T00:00:00"/>
  </r>
  <r>
    <s v="812903212349"/>
    <x v="2069"/>
    <s v="BHAGA RAM"/>
    <n v="212349"/>
    <s v="ANGEL CEMENT AGENCY"/>
    <n v="35"/>
    <n v="0"/>
    <n v="0"/>
    <n v="55"/>
    <n v="0"/>
    <n v="0"/>
    <n v="77.5"/>
    <n v="0"/>
    <n v="0"/>
    <n v="60"/>
    <n v="0"/>
    <n v="0"/>
    <n v="70"/>
    <n v="0"/>
    <n v="0"/>
    <n v="45"/>
    <n v="0"/>
    <n v="0"/>
    <n v="40"/>
    <n v="0"/>
    <n v="0"/>
    <n v="35"/>
    <n v="0"/>
    <n v="0"/>
    <n v="417.5"/>
    <n v="0"/>
    <n v="0"/>
    <s v="HANUMANGARH"/>
    <s v="SRI GANGANAGAR"/>
    <s v="RJ-SGNR"/>
    <d v="2020-09-12T00:00:00"/>
  </r>
  <r>
    <s v="812949204208"/>
    <x v="2070"/>
    <s v="NARENDER"/>
    <n v="204208"/>
    <s v="NIMBIWAL BUILDING MATERIAL&amp;SUP"/>
    <n v="85"/>
    <n v="0"/>
    <n v="0"/>
    <n v="50"/>
    <n v="0"/>
    <n v="0"/>
    <n v="65"/>
    <n v="0"/>
    <n v="0"/>
    <n v="60"/>
    <n v="0"/>
    <n v="0"/>
    <n v="35"/>
    <n v="0"/>
    <n v="0"/>
    <n v="10"/>
    <n v="0"/>
    <n v="0"/>
    <n v="25"/>
    <n v="0"/>
    <n v="0"/>
    <n v="15"/>
    <n v="0"/>
    <n v="0"/>
    <n v="345"/>
    <n v="0"/>
    <n v="0"/>
    <s v="HANUMANGARH"/>
    <s v="SRI GANGANAGAR"/>
    <s v="RJ-SGNR"/>
    <d v="2020-09-17T00:00:00"/>
  </r>
  <r>
    <s v="813008145394"/>
    <x v="2071"/>
    <s v="RAJESH KUMAR"/>
    <n v="145394"/>
    <s v="DEVRAJ AND SONS"/>
    <n v="50"/>
    <n v="0"/>
    <n v="0"/>
    <n v="37"/>
    <n v="0"/>
    <n v="0"/>
    <n v="59"/>
    <n v="0"/>
    <n v="0"/>
    <n v="50"/>
    <n v="0"/>
    <n v="0"/>
    <n v="50"/>
    <n v="0"/>
    <n v="0"/>
    <n v="35"/>
    <n v="0"/>
    <n v="0"/>
    <n v="35"/>
    <n v="0"/>
    <n v="0"/>
    <n v="27"/>
    <n v="0"/>
    <n v="0"/>
    <n v="343"/>
    <n v="0"/>
    <n v="0"/>
    <s v="HANUMANGARH"/>
    <s v="SRI GANGANAGAR"/>
    <s v="RJ-SGNR"/>
    <d v="2020-09-22T00:00:00"/>
  </r>
  <r>
    <s v="813010145394"/>
    <x v="2072"/>
    <s v="JAGSEER SINGH"/>
    <n v="145394"/>
    <s v="DEVRAJ AND SONS"/>
    <n v="25"/>
    <n v="0"/>
    <n v="0"/>
    <n v="15"/>
    <n v="0"/>
    <n v="0"/>
    <n v="51.5"/>
    <n v="0"/>
    <n v="0"/>
    <n v="15"/>
    <n v="0"/>
    <n v="0"/>
    <n v="30"/>
    <n v="0"/>
    <n v="0"/>
    <n v="20"/>
    <n v="0"/>
    <n v="0"/>
    <n v="15"/>
    <n v="0"/>
    <n v="0"/>
    <n v="15"/>
    <n v="0"/>
    <n v="0"/>
    <n v="186.5"/>
    <n v="0"/>
    <n v="0"/>
    <s v="HANUMANGARH"/>
    <s v="SRI GANGANAGAR"/>
    <s v="RJ-SGNR"/>
    <d v="2020-09-22T00:00:00"/>
  </r>
  <r>
    <s v="813366205949"/>
    <x v="2073"/>
    <s v="PAPU"/>
    <n v="205949"/>
    <s v="BHAWAN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0-10-23T00:00:00"/>
  </r>
  <r>
    <s v="813388204318"/>
    <x v="2074"/>
    <s v="SUNIL KUMAR"/>
    <n v="204318"/>
    <s v="KISAN BUILDING MATERIAL"/>
    <n v="30"/>
    <n v="0"/>
    <n v="0"/>
    <n v="25"/>
    <n v="0"/>
    <n v="0"/>
    <n v="17.5"/>
    <n v="0"/>
    <n v="0"/>
    <n v="19.899999999999999"/>
    <n v="0"/>
    <n v="0"/>
    <n v="27.5"/>
    <n v="2.5"/>
    <n v="0"/>
    <n v="32.5"/>
    <n v="6.5"/>
    <n v="1"/>
    <n v="10"/>
    <n v="0"/>
    <n v="0"/>
    <n v="30"/>
    <n v="0"/>
    <n v="0"/>
    <n v="192.4"/>
    <n v="9"/>
    <n v="1"/>
    <s v="HANUMANGARH"/>
    <s v="SRI GANGANAGAR"/>
    <s v="RJ-SGNR"/>
    <d v="2020-10-26T00:00:00"/>
  </r>
  <r>
    <s v="813450202913"/>
    <x v="2075"/>
    <s v="SHANKAER LAL"/>
    <n v="202913"/>
    <s v="SACHIN CEMENT STORE"/>
    <n v="0"/>
    <n v="0"/>
    <n v="0"/>
    <n v="25"/>
    <n v="0"/>
    <n v="0"/>
    <n v="57"/>
    <n v="5.5"/>
    <n v="0"/>
    <n v="47.5"/>
    <n v="0"/>
    <n v="0"/>
    <n v="20"/>
    <n v="0"/>
    <n v="0"/>
    <n v="25"/>
    <n v="0"/>
    <n v="0"/>
    <n v="0"/>
    <n v="0"/>
    <n v="0"/>
    <n v="30"/>
    <n v="0"/>
    <n v="0"/>
    <n v="204.5"/>
    <n v="5.5"/>
    <n v="0"/>
    <s v="HANUMANGARH"/>
    <s v="SRI GANGANAGAR"/>
    <s v="RJ-SGNR"/>
    <d v="2020-10-30T00:00:00"/>
  </r>
  <r>
    <s v="813619204318"/>
    <x v="2076"/>
    <s v="AMAJAD KHAN"/>
    <n v="204318"/>
    <s v="KISAN BUILDING MATERIAL"/>
    <n v="48"/>
    <n v="0"/>
    <n v="0"/>
    <n v="60.5"/>
    <n v="0"/>
    <n v="0"/>
    <n v="98"/>
    <n v="0"/>
    <n v="0"/>
    <n v="45"/>
    <n v="0"/>
    <n v="0"/>
    <n v="67.5"/>
    <n v="5"/>
    <n v="5"/>
    <n v="73.5"/>
    <n v="8.5"/>
    <n v="0"/>
    <n v="35"/>
    <n v="0"/>
    <n v="0"/>
    <n v="65"/>
    <n v="0"/>
    <n v="0"/>
    <n v="492.5"/>
    <n v="13.5"/>
    <n v="5"/>
    <s v="HANUMANGARH"/>
    <s v="SRI GANGANAGAR"/>
    <s v="RJ-SGNR"/>
    <d v="2020-11-24T00:00:00"/>
  </r>
  <r>
    <s v="814433206302"/>
    <x v="2077"/>
    <s v="SAI BUILDING MATERIAL AND SUPP"/>
    <n v="206302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1-02-09T00:00:00"/>
  </r>
  <r>
    <s v="814434176097"/>
    <x v="2078"/>
    <s v="BALWANT KUMAR"/>
    <n v="176097"/>
    <s v="GODARA BUILDING MATERIAL STORE"/>
    <n v="20"/>
    <n v="0"/>
    <n v="0"/>
    <n v="52"/>
    <n v="0"/>
    <n v="0"/>
    <n v="30"/>
    <n v="0"/>
    <n v="0"/>
    <n v="70"/>
    <n v="0"/>
    <n v="0"/>
    <n v="0"/>
    <n v="0"/>
    <n v="0"/>
    <n v="140"/>
    <n v="0"/>
    <n v="0"/>
    <n v="20"/>
    <n v="0"/>
    <n v="0"/>
    <n v="70"/>
    <n v="0"/>
    <n v="0"/>
    <n v="402"/>
    <n v="0"/>
    <n v="0"/>
    <s v="HANUMANGARH"/>
    <s v="SRI GANGANAGAR"/>
    <s v="RJ-SGNR"/>
    <d v="2021-02-10T00:00:00"/>
  </r>
  <r>
    <s v="814444175939"/>
    <x v="2079"/>
    <s v="KISSAN CEMENT AGENCY"/>
    <n v="175939"/>
    <s v="SHRI GURUNANAK CEMENT AGENCIES"/>
    <n v="43"/>
    <n v="0"/>
    <n v="0"/>
    <n v="56.5"/>
    <n v="0"/>
    <n v="0"/>
    <n v="0"/>
    <n v="0"/>
    <n v="0"/>
    <n v="82.5"/>
    <n v="0"/>
    <n v="0"/>
    <n v="65"/>
    <n v="0"/>
    <n v="0"/>
    <n v="85"/>
    <n v="0"/>
    <n v="0"/>
    <n v="0"/>
    <n v="0"/>
    <n v="0"/>
    <n v="60"/>
    <n v="0"/>
    <n v="0"/>
    <n v="392"/>
    <n v="0"/>
    <n v="0"/>
    <s v="HANUMANGARH"/>
    <s v="SRI GANGANAGAR"/>
    <s v="RJ-SGNR"/>
    <d v="2021-02-11T00:00:00"/>
  </r>
  <r>
    <s v="814786171924"/>
    <x v="2080"/>
    <s v="MADAN LAL"/>
    <n v="171924"/>
    <s v="BALAJI CEMENT AGENCY"/>
    <n v="0"/>
    <n v="0"/>
    <n v="0"/>
    <n v="45"/>
    <n v="0"/>
    <n v="0"/>
    <n v="0"/>
    <n v="0"/>
    <n v="0"/>
    <n v="23"/>
    <n v="0"/>
    <n v="0"/>
    <n v="0"/>
    <n v="0"/>
    <n v="0"/>
    <n v="0"/>
    <n v="0"/>
    <n v="0"/>
    <n v="0"/>
    <n v="0"/>
    <n v="0"/>
    <n v="0"/>
    <n v="0"/>
    <n v="0"/>
    <n v="68"/>
    <n v="0"/>
    <n v="0"/>
    <s v="HANUMANGARH"/>
    <s v="SRI GANGANAGAR"/>
    <s v="RJ-SGNR"/>
    <d v="2021-03-18T00:00:00"/>
  </r>
  <r>
    <s v="814786178309"/>
    <x v="2080"/>
    <s v="MADAN LAL"/>
    <n v="178309"/>
    <s v="BALAJI BUILDING MATERIAL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1-03-18T00:00:00"/>
  </r>
  <r>
    <s v="814868171839"/>
    <x v="2081"/>
    <s v="PREM BUILDING MATERIAL"/>
    <n v="171839"/>
    <s v="SARAWAGI CEMENT AGENCY"/>
    <n v="33"/>
    <n v="0"/>
    <n v="0"/>
    <n v="30"/>
    <n v="0"/>
    <n v="0"/>
    <n v="56"/>
    <n v="0"/>
    <n v="0"/>
    <n v="35"/>
    <n v="0"/>
    <n v="0"/>
    <n v="30"/>
    <n v="0"/>
    <n v="0"/>
    <n v="35"/>
    <n v="0"/>
    <n v="0"/>
    <n v="0"/>
    <n v="0"/>
    <n v="0"/>
    <n v="60"/>
    <n v="0"/>
    <n v="0"/>
    <n v="279"/>
    <n v="0"/>
    <n v="0"/>
    <s v="HANUMANGARH"/>
    <s v="SRI GANGANAGAR"/>
    <s v="RJ-SGNR"/>
    <d v="2021-03-30T00:00:00"/>
  </r>
  <r>
    <s v="814883143608"/>
    <x v="2082"/>
    <s v="SATGURU BRICKS"/>
    <n v="143608"/>
    <s v="OM IRON AND CEMENT AGENCY"/>
    <n v="37"/>
    <n v="0"/>
    <n v="0"/>
    <n v="41.5"/>
    <n v="0"/>
    <n v="0"/>
    <n v="40"/>
    <n v="0"/>
    <n v="0"/>
    <n v="40.049999999999997"/>
    <n v="0"/>
    <n v="20.05"/>
    <n v="40"/>
    <n v="0"/>
    <n v="0"/>
    <n v="45"/>
    <n v="0"/>
    <n v="0"/>
    <n v="0"/>
    <n v="0"/>
    <n v="0"/>
    <n v="40"/>
    <n v="0"/>
    <n v="0"/>
    <n v="283.55"/>
    <n v="0"/>
    <n v="20.05"/>
    <s v="HANUMANGARH"/>
    <s v="SRI GANGANAGAR"/>
    <s v="RJ-SGNR"/>
    <d v="2021-03-31T00:00:00"/>
  </r>
  <r>
    <s v="814917202913"/>
    <x v="2083"/>
    <s v="SAROJ"/>
    <n v="202913"/>
    <s v="SACHIN CEMENT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1-04-08T00:00:00"/>
  </r>
  <r>
    <s v="815134204318"/>
    <x v="2084"/>
    <s v="BHAJN LAL"/>
    <n v="204318"/>
    <s v="KISAN BUILDING MATERIAL"/>
    <n v="62.5"/>
    <n v="0"/>
    <n v="0"/>
    <n v="27.5"/>
    <n v="0"/>
    <n v="0"/>
    <n v="60"/>
    <n v="0"/>
    <n v="0"/>
    <n v="30"/>
    <n v="0"/>
    <n v="0"/>
    <n v="38.5"/>
    <n v="0"/>
    <n v="6"/>
    <n v="30"/>
    <n v="0"/>
    <n v="0"/>
    <n v="35"/>
    <n v="0"/>
    <n v="0"/>
    <n v="25"/>
    <n v="0"/>
    <n v="0"/>
    <n v="308.5"/>
    <n v="0"/>
    <n v="6"/>
    <s v="HANUMANGARH"/>
    <s v="SRI GANGANAGAR"/>
    <s v="RJ-SGNR"/>
    <d v="2021-06-10T00:00:00"/>
  </r>
  <r>
    <s v="815600202913"/>
    <x v="2085"/>
    <s v="SRI BALAJI STONE COMPANY"/>
    <n v="202913"/>
    <s v="SACHIN CEMENT STORE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32"/>
    <n v="0"/>
    <n v="0"/>
    <n v="30"/>
    <n v="0"/>
    <n v="0"/>
    <n v="82"/>
    <n v="0"/>
    <n v="0"/>
    <s v="HANUMANGARH"/>
    <s v="SRI GANGANAGAR"/>
    <s v="RJ-SGNR"/>
    <d v="2021-07-22T00:00:00"/>
  </r>
  <r>
    <s v="815602202913"/>
    <x v="2086"/>
    <s v="JHAJHRIYA CEMENT STORE"/>
    <n v="202913"/>
    <s v="SACHIN CEMENT STORE"/>
    <n v="0"/>
    <n v="0"/>
    <n v="0"/>
    <n v="16.55"/>
    <n v="0"/>
    <n v="0"/>
    <n v="25"/>
    <n v="0"/>
    <n v="0"/>
    <n v="10"/>
    <n v="0"/>
    <n v="0"/>
    <n v="0"/>
    <n v="0"/>
    <n v="0"/>
    <n v="25"/>
    <n v="0"/>
    <n v="0"/>
    <n v="0"/>
    <n v="0"/>
    <n v="0"/>
    <n v="19"/>
    <n v="0"/>
    <n v="0"/>
    <n v="95.55"/>
    <n v="0"/>
    <n v="0"/>
    <s v="HANUMANGARH"/>
    <s v="SRI GANGANAGAR"/>
    <s v="RJ-SGNR"/>
    <d v="2021-07-22T00:00:00"/>
  </r>
  <r>
    <s v="815815204318"/>
    <x v="2087"/>
    <s v="KUNAN MAL"/>
    <n v="204318"/>
    <s v="KISAN BUILDING MATERIAL"/>
    <n v="10"/>
    <n v="0"/>
    <n v="0"/>
    <n v="15"/>
    <n v="0"/>
    <n v="0"/>
    <n v="9"/>
    <n v="0"/>
    <n v="0"/>
    <n v="15"/>
    <n v="0"/>
    <n v="0"/>
    <n v="10"/>
    <n v="0"/>
    <n v="0"/>
    <n v="10"/>
    <n v="0"/>
    <n v="0"/>
    <n v="10"/>
    <n v="0"/>
    <n v="0"/>
    <n v="10"/>
    <n v="0"/>
    <n v="0"/>
    <n v="89"/>
    <n v="0"/>
    <n v="0"/>
    <s v="HANUMANGARH"/>
    <s v="SRI GANGANAGAR"/>
    <s v="RJ-SGNR"/>
    <d v="2021-08-03T00:00:00"/>
  </r>
  <r>
    <s v="815816175939"/>
    <x v="2088"/>
    <s v="RAJENDRA SINGH"/>
    <n v="175939"/>
    <s v="SHRI GURUNANAK CEMENT AGENCIES"/>
    <n v="0"/>
    <n v="0"/>
    <n v="0"/>
    <n v="28"/>
    <n v="0"/>
    <n v="0"/>
    <n v="0"/>
    <n v="0"/>
    <n v="0"/>
    <n v="20"/>
    <n v="0"/>
    <n v="0"/>
    <n v="15"/>
    <n v="0"/>
    <n v="0"/>
    <n v="30"/>
    <n v="0"/>
    <n v="0"/>
    <n v="0"/>
    <n v="0"/>
    <n v="0"/>
    <n v="15"/>
    <n v="0"/>
    <n v="0"/>
    <n v="108"/>
    <n v="0"/>
    <n v="0"/>
    <s v="HANUMANGARH"/>
    <s v="SRI GANGANAGAR"/>
    <s v="RJ-SGNR"/>
    <d v="2021-08-03T00:00:00"/>
  </r>
  <r>
    <s v="815866202941"/>
    <x v="2089"/>
    <s v="CHHOTU LAL"/>
    <n v="202941"/>
    <s v="SHRI BALAJI BUILDING MATERIAL"/>
    <n v="40"/>
    <n v="0"/>
    <n v="0"/>
    <n v="35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95"/>
    <n v="0"/>
    <n v="0"/>
    <s v="HANUMANGARH"/>
    <s v="SRI GANGANAGAR"/>
    <s v="RJ-SGNR"/>
    <d v="2021-08-07T00:00:00"/>
  </r>
  <r>
    <s v="815867202941"/>
    <x v="2090"/>
    <s v="KARANI SINGH"/>
    <n v="202941"/>
    <s v="SHRI BALAJI BUILDING MATERIAL"/>
    <n v="25"/>
    <n v="0"/>
    <n v="0"/>
    <n v="25"/>
    <n v="0"/>
    <n v="0"/>
    <n v="30"/>
    <n v="0"/>
    <n v="0"/>
    <n v="0"/>
    <n v="0"/>
    <n v="0"/>
    <n v="25"/>
    <n v="0"/>
    <n v="0"/>
    <n v="15"/>
    <n v="0"/>
    <n v="0"/>
    <n v="15"/>
    <n v="0"/>
    <n v="0"/>
    <n v="11.5"/>
    <n v="0"/>
    <n v="0"/>
    <n v="146.5"/>
    <n v="0"/>
    <n v="0"/>
    <s v="HANUMANGARH"/>
    <s v="SRI GANGANAGAR"/>
    <s v="RJ-SGNR"/>
    <d v="2021-08-07T00:00:00"/>
  </r>
  <r>
    <s v="815868171839"/>
    <x v="2091"/>
    <s v="KANWAR PAL"/>
    <n v="171839"/>
    <s v="SARAWAGI CEMENT AGENCY"/>
    <n v="55"/>
    <n v="0"/>
    <n v="0"/>
    <n v="65"/>
    <n v="0"/>
    <n v="0"/>
    <n v="50"/>
    <n v="0"/>
    <n v="0"/>
    <n v="12"/>
    <n v="0"/>
    <n v="0"/>
    <n v="35"/>
    <n v="0"/>
    <n v="0"/>
    <n v="50"/>
    <n v="20"/>
    <n v="0"/>
    <n v="0"/>
    <n v="0"/>
    <n v="0"/>
    <n v="0"/>
    <n v="0"/>
    <n v="0"/>
    <n v="267"/>
    <n v="20"/>
    <n v="0"/>
    <s v="HANUMANGARH"/>
    <s v="SRI GANGANAGAR"/>
    <s v="RJ-SGNR"/>
    <d v="2021-08-07T00:00:00"/>
  </r>
  <r>
    <s v="815870209130"/>
    <x v="2092"/>
    <s v="HIRA LAL"/>
    <n v="209130"/>
    <s v="CHOUDHARY BUILDING MATERIAL"/>
    <n v="50"/>
    <n v="9"/>
    <n v="0"/>
    <n v="109"/>
    <n v="0"/>
    <n v="0"/>
    <n v="145.30000000000001"/>
    <n v="15.3"/>
    <n v="0"/>
    <n v="50"/>
    <n v="0"/>
    <n v="0"/>
    <n v="0"/>
    <n v="0"/>
    <n v="0"/>
    <n v="0"/>
    <n v="0"/>
    <n v="0"/>
    <n v="0"/>
    <n v="0"/>
    <n v="0"/>
    <n v="0"/>
    <n v="0"/>
    <n v="0"/>
    <n v="354.3"/>
    <n v="24.3"/>
    <n v="0"/>
    <s v="HANUMANGARH"/>
    <s v="SRI GANGANAGAR"/>
    <s v="RJ-SGNR"/>
    <d v="2021-08-07T00:00:00"/>
  </r>
  <r>
    <s v="815899175340"/>
    <x v="2093"/>
    <s v="GANPATI BUILDING MATERIAL"/>
    <n v="175340"/>
    <s v="VISHNU CEMENT &amp; IRON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1-08-10T00:00:00"/>
  </r>
  <r>
    <s v="815904175340"/>
    <x v="2094"/>
    <s v="SATVEER SINGH"/>
    <n v="175340"/>
    <s v="VISHNU CEMENT &amp; IRON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1-08-11T00:00:00"/>
  </r>
  <r>
    <s v="815934206302"/>
    <x v="2095"/>
    <s v="MANGI LAL"/>
    <n v="206302"/>
    <s v="BALAJI CEMENT AGENCY"/>
    <n v="50"/>
    <n v="0"/>
    <n v="0"/>
    <n v="50"/>
    <n v="0"/>
    <n v="0"/>
    <n v="55"/>
    <n v="0"/>
    <n v="20"/>
    <n v="150"/>
    <n v="0"/>
    <n v="105"/>
    <n v="131"/>
    <n v="0"/>
    <n v="0"/>
    <n v="97"/>
    <n v="0"/>
    <n v="30"/>
    <n v="85"/>
    <n v="0"/>
    <n v="0"/>
    <n v="163"/>
    <n v="0"/>
    <n v="35"/>
    <n v="781"/>
    <n v="0"/>
    <n v="155"/>
    <s v="HANUMANGARH"/>
    <s v="SRI GANGANAGAR"/>
    <s v="RJ-SGNR"/>
    <d v="2021-08-14T00:00:00"/>
  </r>
  <r>
    <s v="816109206302"/>
    <x v="2096"/>
    <s v="BALAJI CONSTRUCTION COMPANY"/>
    <n v="206302"/>
    <s v="BALAJI CEMENT AGENCY"/>
    <n v="20"/>
    <n v="0"/>
    <n v="0"/>
    <n v="50"/>
    <n v="0"/>
    <n v="0"/>
    <n v="80"/>
    <n v="0"/>
    <n v="0"/>
    <n v="71"/>
    <n v="0"/>
    <n v="26"/>
    <n v="30"/>
    <n v="0"/>
    <n v="30"/>
    <n v="60"/>
    <n v="0"/>
    <n v="30"/>
    <n v="30.5"/>
    <n v="0"/>
    <n v="0"/>
    <n v="52"/>
    <n v="0"/>
    <n v="0"/>
    <n v="393.5"/>
    <n v="0"/>
    <n v="86"/>
    <s v="HANUMANGARH"/>
    <s v="SRI GANGANAGAR"/>
    <s v="RJ-SGNR"/>
    <d v="2021-08-25T00:00:00"/>
  </r>
  <r>
    <s v="816142172946"/>
    <x v="2097"/>
    <s v="SANJAY KUMAR"/>
    <n v="172946"/>
    <s v="RIDHI SIDHI TRADERS"/>
    <n v="18"/>
    <n v="5"/>
    <n v="0"/>
    <n v="25"/>
    <n v="0"/>
    <n v="0"/>
    <n v="50"/>
    <n v="0"/>
    <n v="0"/>
    <n v="60"/>
    <n v="0"/>
    <n v="0"/>
    <n v="32.5"/>
    <n v="0"/>
    <n v="0"/>
    <n v="73.5"/>
    <n v="0"/>
    <n v="17.5"/>
    <n v="20"/>
    <n v="0"/>
    <n v="0"/>
    <n v="63"/>
    <n v="0"/>
    <n v="0"/>
    <n v="342"/>
    <n v="5"/>
    <n v="17.5"/>
    <s v="HANUMANGARH"/>
    <s v="SRI GANGANAGAR"/>
    <s v="RJ-SGNR"/>
    <d v="2021-08-27T00:00:00"/>
  </r>
  <r>
    <s v="816719209130"/>
    <x v="2098"/>
    <s v="SHRI BALAJI TILES UDYOG"/>
    <n v="209130"/>
    <s v="CHOUDHARY BUILDING MATERIAL"/>
    <n v="50"/>
    <n v="0"/>
    <n v="0"/>
    <n v="45"/>
    <n v="0"/>
    <n v="0"/>
    <n v="71"/>
    <n v="0"/>
    <n v="0"/>
    <n v="7"/>
    <n v="0"/>
    <n v="0"/>
    <n v="85"/>
    <n v="15"/>
    <n v="0"/>
    <n v="89"/>
    <n v="0"/>
    <n v="3"/>
    <n v="25"/>
    <n v="0"/>
    <n v="0"/>
    <n v="60"/>
    <n v="0"/>
    <n v="0"/>
    <n v="432"/>
    <n v="15"/>
    <n v="3"/>
    <s v="HANUMANGARH"/>
    <s v="SRI GANGANAGAR"/>
    <s v="RJ-SGNR"/>
    <d v="2021-10-13T00:00:00"/>
  </r>
  <r>
    <s v="817196204208"/>
    <x v="2099"/>
    <s v="SURESH"/>
    <n v="204208"/>
    <s v="NIMBIWAL BUILDING MATERIAL&amp;SUP"/>
    <n v="50"/>
    <n v="0"/>
    <n v="0"/>
    <n v="65"/>
    <n v="0"/>
    <n v="0"/>
    <n v="65"/>
    <n v="0"/>
    <n v="0"/>
    <n v="65"/>
    <n v="0"/>
    <n v="0"/>
    <n v="15"/>
    <n v="0"/>
    <n v="0"/>
    <n v="0"/>
    <n v="0"/>
    <n v="0"/>
    <n v="15"/>
    <n v="0"/>
    <n v="0"/>
    <n v="0"/>
    <n v="0"/>
    <n v="0"/>
    <n v="275"/>
    <n v="0"/>
    <n v="0"/>
    <s v="HANUMANGARH"/>
    <s v="SRI GANGANAGAR"/>
    <s v="RJ-SGNR"/>
    <d v="2021-12-02T00:00:00"/>
  </r>
  <r>
    <s v="817208145394"/>
    <x v="2100"/>
    <s v="DEEPAK KUMAR"/>
    <n v="145394"/>
    <s v="DEVRAJ AND SONS"/>
    <n v="15"/>
    <n v="0"/>
    <n v="0"/>
    <n v="20"/>
    <n v="0"/>
    <n v="0"/>
    <n v="20"/>
    <n v="0"/>
    <n v="0"/>
    <n v="15"/>
    <n v="0"/>
    <n v="0"/>
    <n v="0"/>
    <n v="0"/>
    <n v="0"/>
    <n v="25"/>
    <n v="0"/>
    <n v="0"/>
    <n v="0"/>
    <n v="0"/>
    <n v="0"/>
    <n v="0"/>
    <n v="0"/>
    <n v="0"/>
    <n v="95"/>
    <n v="0"/>
    <n v="0"/>
    <s v="HANUMANGARH"/>
    <s v="SRI GANGANAGAR"/>
    <s v="RJ-SGNR"/>
    <d v="2021-12-04T00:00:00"/>
  </r>
  <r>
    <s v="817368143608"/>
    <x v="2101"/>
    <s v="RAM KUMAR"/>
    <n v="143608"/>
    <s v="OM IRON AND CEMENT AGENCY"/>
    <n v="55"/>
    <n v="0"/>
    <n v="0"/>
    <n v="46"/>
    <n v="0"/>
    <n v="0"/>
    <n v="62.5"/>
    <n v="22.5"/>
    <n v="0"/>
    <n v="40"/>
    <n v="0"/>
    <n v="0"/>
    <n v="0"/>
    <n v="0"/>
    <n v="0"/>
    <n v="23.05"/>
    <n v="0"/>
    <n v="0"/>
    <n v="0"/>
    <n v="0"/>
    <n v="0"/>
    <n v="23"/>
    <n v="0"/>
    <n v="0"/>
    <n v="249.55"/>
    <n v="22.5"/>
    <n v="0"/>
    <s v="HANUMANGARH"/>
    <s v="SRI GANGANAGAR"/>
    <s v="RJ-SGNR"/>
    <d v="2021-12-18T00:00:00"/>
  </r>
  <r>
    <s v="817598171839"/>
    <x v="2102"/>
    <s v="SHREE CONSTRUCTION"/>
    <n v="171839"/>
    <s v="SARAWAGI CEMENT AGENCY"/>
    <n v="15"/>
    <n v="0"/>
    <n v="0"/>
    <n v="50"/>
    <n v="0"/>
    <n v="0"/>
    <n v="56"/>
    <n v="0"/>
    <n v="15"/>
    <n v="34.5"/>
    <n v="0"/>
    <n v="0"/>
    <n v="40"/>
    <n v="0"/>
    <n v="0"/>
    <n v="40.5"/>
    <n v="0"/>
    <n v="0"/>
    <n v="0"/>
    <n v="0"/>
    <n v="0"/>
    <n v="60"/>
    <n v="0"/>
    <n v="0"/>
    <n v="296"/>
    <n v="0"/>
    <n v="15"/>
    <s v="HANUMANGARH"/>
    <s v="SRI GANGANAGAR"/>
    <s v="RJ-SGNR"/>
    <d v="2022-01-05T00:00:00"/>
  </r>
  <r>
    <s v="817650171839"/>
    <x v="2103"/>
    <s v="NARENDER KUMAR"/>
    <n v="171839"/>
    <s v="SARAWAGI CEMENT AGENCY"/>
    <n v="150"/>
    <n v="0"/>
    <n v="0"/>
    <n v="64"/>
    <n v="0"/>
    <n v="0"/>
    <n v="100"/>
    <n v="0"/>
    <n v="30"/>
    <n v="18.5"/>
    <n v="0"/>
    <n v="0"/>
    <n v="30"/>
    <n v="0"/>
    <n v="0"/>
    <n v="35"/>
    <n v="0"/>
    <n v="0"/>
    <n v="0"/>
    <n v="0"/>
    <n v="0"/>
    <n v="30"/>
    <n v="10"/>
    <n v="0"/>
    <n v="427.5"/>
    <n v="0"/>
    <n v="30"/>
    <s v="HANUMANGARH"/>
    <s v="SRI GANGANAGAR"/>
    <s v="RJ-SGNR"/>
    <d v="2022-01-12T00:00:00"/>
  </r>
  <r>
    <s v="817847206302"/>
    <x v="2104"/>
    <s v="SURAJ SHARMA"/>
    <n v="206302"/>
    <s v="BALAJ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2-01-27T00:00:00"/>
  </r>
  <r>
    <s v="817848149859"/>
    <x v="2105"/>
    <s v="SHER SINGH"/>
    <n v="149859"/>
    <s v="DHARM PAL AKSHAY KUM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HANUMANGARH"/>
    <s v="SRI GANGANAGAR"/>
    <s v="RJ-SGNR"/>
    <d v="2022-01-27T00:00:00"/>
  </r>
  <r>
    <s v="817848212351"/>
    <x v="2105"/>
    <s v="SHER SINGH"/>
    <n v="212351"/>
    <s v="MALI BUILDING MATERIAL STORE"/>
    <n v="0"/>
    <n v="0"/>
    <n v="0"/>
    <n v="31.5"/>
    <n v="0"/>
    <n v="0"/>
    <n v="55"/>
    <n v="0"/>
    <n v="0"/>
    <n v="20"/>
    <n v="0"/>
    <n v="0"/>
    <n v="36"/>
    <n v="0"/>
    <n v="0"/>
    <n v="73.5"/>
    <n v="0"/>
    <n v="0"/>
    <n v="20"/>
    <n v="0"/>
    <n v="0"/>
    <n v="54"/>
    <n v="0"/>
    <n v="0"/>
    <n v="290"/>
    <n v="0"/>
    <n v="0"/>
    <s v="HANUMANGARH"/>
    <s v="SRI GANGANAGAR"/>
    <s v="RJ-SGNR"/>
    <d v="2022-01-27T00:00:00"/>
  </r>
  <r>
    <s v="817868202941"/>
    <x v="2106"/>
    <s v="SHREE SHYAM TRADING AND ENTERP"/>
    <n v="202941"/>
    <s v="SHRI BALAJI BUILDING MATERIAL"/>
    <n v="30"/>
    <n v="0"/>
    <n v="0"/>
    <n v="27.05"/>
    <n v="0"/>
    <n v="0"/>
    <n v="57.5"/>
    <n v="10"/>
    <n v="20"/>
    <n v="22.5"/>
    <n v="0"/>
    <n v="0"/>
    <n v="20"/>
    <n v="0"/>
    <n v="0"/>
    <n v="20"/>
    <n v="0"/>
    <n v="0"/>
    <n v="30"/>
    <n v="0"/>
    <n v="0"/>
    <n v="15"/>
    <n v="0"/>
    <n v="0"/>
    <n v="222.05"/>
    <n v="10"/>
    <n v="20"/>
    <s v="HANUMANGARH"/>
    <s v="SRI GANGANAGAR"/>
    <s v="RJ-SGNR"/>
    <d v="2022-01-28T00:00:00"/>
  </r>
  <r>
    <s v="818134171839"/>
    <x v="2107"/>
    <s v="RAMDEV"/>
    <n v="171839"/>
    <s v="SARAWAGI CEMENT AGENCY"/>
    <n v="15"/>
    <n v="0"/>
    <n v="0"/>
    <n v="15"/>
    <n v="0"/>
    <n v="0"/>
    <n v="15"/>
    <n v="0"/>
    <n v="0"/>
    <n v="0"/>
    <n v="0"/>
    <n v="0"/>
    <n v="15"/>
    <n v="0"/>
    <n v="0"/>
    <n v="10"/>
    <n v="0"/>
    <n v="0"/>
    <n v="0"/>
    <n v="0"/>
    <n v="0"/>
    <n v="0"/>
    <n v="0"/>
    <n v="0"/>
    <n v="70"/>
    <n v="0"/>
    <n v="0"/>
    <s v="HANUMANGARH"/>
    <s v="SRI GANGANAGAR"/>
    <s v="RJ-SGNR"/>
    <d v="2022-02-24T00:00:00"/>
  </r>
  <r>
    <s v="818478202941"/>
    <x v="2108"/>
    <s v="ISPAK KHAN"/>
    <n v="202941"/>
    <s v="SHRI BALAJI BUILDING MATERIAL"/>
    <n v="0"/>
    <n v="0"/>
    <n v="0"/>
    <n v="20"/>
    <n v="0"/>
    <n v="0"/>
    <n v="40"/>
    <n v="0"/>
    <n v="25"/>
    <n v="7.5"/>
    <n v="0"/>
    <n v="0"/>
    <n v="20"/>
    <n v="0"/>
    <n v="20"/>
    <n v="0"/>
    <n v="0"/>
    <n v="0"/>
    <n v="0"/>
    <n v="0"/>
    <n v="0"/>
    <n v="15"/>
    <n v="0"/>
    <n v="0"/>
    <n v="102.5"/>
    <n v="0"/>
    <n v="45"/>
    <s v="HANUMANGARH"/>
    <s v="SRI GANGANAGAR"/>
    <s v="RJ-SGNR"/>
    <d v="2022-03-26T00:00:00"/>
  </r>
  <r>
    <s v="818811171923"/>
    <x v="2109"/>
    <s v="RAMNIWAS"/>
    <n v="171923"/>
    <s v="SHIV SHAKTI BUILDING MATERIAL"/>
    <n v="0"/>
    <n v="0"/>
    <n v="0"/>
    <n v="55"/>
    <n v="0"/>
    <n v="0"/>
    <n v="65"/>
    <n v="0"/>
    <n v="25"/>
    <n v="52"/>
    <n v="0"/>
    <n v="0"/>
    <n v="19.5"/>
    <n v="0"/>
    <n v="0"/>
    <n v="60"/>
    <n v="0"/>
    <n v="0"/>
    <n v="35"/>
    <n v="0"/>
    <n v="0"/>
    <n v="10"/>
    <n v="0"/>
    <n v="10"/>
    <n v="296.5"/>
    <n v="0"/>
    <n v="25"/>
    <s v="HANUMANGARH"/>
    <s v="SRI GANGANAGAR"/>
    <s v="RJ-SGNR"/>
    <d v="2022-04-30T00:00:00"/>
  </r>
  <r>
    <s v="818946171924"/>
    <x v="2110"/>
    <s v="RAMJI LAL"/>
    <n v="171924"/>
    <s v="BALAJI CEMENT AGENCY"/>
    <n v="0"/>
    <n v="0"/>
    <n v="0"/>
    <n v="0"/>
    <n v="0"/>
    <n v="0"/>
    <n v="45"/>
    <n v="0"/>
    <n v="0"/>
    <n v="22"/>
    <n v="0"/>
    <n v="0"/>
    <n v="45"/>
    <n v="0"/>
    <n v="0"/>
    <n v="115"/>
    <n v="0"/>
    <n v="0"/>
    <n v="52"/>
    <n v="0"/>
    <n v="0"/>
    <n v="90"/>
    <n v="0"/>
    <n v="45"/>
    <n v="369"/>
    <n v="0"/>
    <n v="0"/>
    <s v="HANUMANGARH"/>
    <s v="SRI GANGANAGAR"/>
    <s v="RJ-SGNR"/>
    <d v="2022-05-16T00:00:00"/>
  </r>
  <r>
    <s v="819222202913"/>
    <x v="2111"/>
    <s v="GHANSHYAM DAS"/>
    <n v="202913"/>
    <s v="SACHIN CEMENT STORE"/>
    <n v="0"/>
    <n v="0"/>
    <n v="0"/>
    <n v="0"/>
    <n v="0"/>
    <n v="0"/>
    <n v="54"/>
    <n v="0"/>
    <n v="0"/>
    <n v="22.5"/>
    <n v="6"/>
    <n v="0"/>
    <n v="25"/>
    <n v="0"/>
    <n v="0"/>
    <n v="15"/>
    <n v="0"/>
    <n v="0"/>
    <n v="30"/>
    <n v="0"/>
    <n v="0"/>
    <n v="60"/>
    <n v="0"/>
    <n v="0"/>
    <n v="206.5"/>
    <n v="6"/>
    <n v="0"/>
    <s v="HANUMANGARH"/>
    <s v="SRI GANGANAGAR"/>
    <s v="RJ-SGNR"/>
    <d v="2022-06-07T00:00:00"/>
  </r>
  <r>
    <s v="819440171839"/>
    <x v="2112"/>
    <s v="SHRI SHYAM AGRICULTURE WORKS A"/>
    <n v="171839"/>
    <s v="SARAWAGI CEMENT AGENCY"/>
    <n v="0"/>
    <n v="0"/>
    <n v="0"/>
    <n v="0"/>
    <n v="0"/>
    <n v="0"/>
    <n v="102"/>
    <n v="0"/>
    <n v="45"/>
    <n v="47"/>
    <n v="0"/>
    <n v="0"/>
    <n v="100"/>
    <n v="0"/>
    <n v="0"/>
    <n v="55.45"/>
    <n v="0"/>
    <n v="15.45"/>
    <n v="0"/>
    <n v="0"/>
    <n v="0"/>
    <n v="23.5"/>
    <n v="0"/>
    <n v="0"/>
    <n v="327.95"/>
    <n v="0"/>
    <n v="60.45"/>
    <s v="HANUMANGARH"/>
    <s v="SRI GANGANAGAR"/>
    <s v="RJ-SGNR"/>
    <d v="2022-06-22T00:00:00"/>
  </r>
  <r>
    <s v="820072207496"/>
    <x v="2113"/>
    <s v="PREM KUMAR"/>
    <n v="207496"/>
    <s v="SHRI GURUNANAK BUILDING MATERA"/>
    <n v="0"/>
    <n v="0"/>
    <n v="0"/>
    <n v="0"/>
    <n v="0"/>
    <n v="0"/>
    <n v="0"/>
    <n v="0"/>
    <n v="0"/>
    <n v="0"/>
    <n v="0"/>
    <n v="0"/>
    <n v="78"/>
    <n v="0"/>
    <n v="0"/>
    <n v="106.25"/>
    <n v="6.25"/>
    <n v="0"/>
    <n v="14"/>
    <n v="0"/>
    <n v="0"/>
    <n v="110"/>
    <n v="0"/>
    <n v="0"/>
    <n v="308.25"/>
    <n v="6.25"/>
    <n v="0"/>
    <s v="HANUMANGARH"/>
    <s v="SRI GANGANAGAR"/>
    <s v="RJ-SGNR"/>
    <d v="2022-08-06T00:00:00"/>
  </r>
  <r>
    <s v="820096210335"/>
    <x v="2114"/>
    <s v="SUNNY GARG"/>
    <n v="210335"/>
    <s v="RAGHAV STEEL"/>
    <n v="0"/>
    <n v="0"/>
    <n v="0"/>
    <n v="0"/>
    <n v="0"/>
    <n v="0"/>
    <n v="0"/>
    <n v="0"/>
    <n v="0"/>
    <n v="0"/>
    <n v="0"/>
    <n v="0"/>
    <n v="105"/>
    <n v="0"/>
    <n v="0"/>
    <n v="190"/>
    <n v="0"/>
    <n v="0"/>
    <n v="185"/>
    <n v="0"/>
    <n v="0"/>
    <n v="175"/>
    <n v="0"/>
    <n v="0"/>
    <n v="655"/>
    <n v="0"/>
    <n v="0"/>
    <s v="HANUMANGARH"/>
    <s v="SRI GANGANAGAR"/>
    <s v="RJ-SGNR"/>
    <d v="2022-08-08T00:00:00"/>
  </r>
  <r>
    <s v="820186212351"/>
    <x v="2115"/>
    <s v="AKSHAY KUMAR"/>
    <n v="212351"/>
    <s v="MALI BUILDING MATERIAL STORE"/>
    <n v="0"/>
    <n v="0"/>
    <n v="0"/>
    <n v="0"/>
    <n v="0"/>
    <n v="0"/>
    <n v="0"/>
    <n v="0"/>
    <n v="0"/>
    <n v="0"/>
    <n v="0"/>
    <n v="0"/>
    <n v="30"/>
    <n v="0"/>
    <n v="0"/>
    <n v="46.5"/>
    <n v="0"/>
    <n v="0"/>
    <n v="20"/>
    <n v="0"/>
    <n v="0"/>
    <n v="20"/>
    <n v="0"/>
    <n v="0"/>
    <n v="116.5"/>
    <n v="0"/>
    <n v="0"/>
    <s v="HANUMANGARH"/>
    <s v="SRI GANGANAGAR"/>
    <s v="RJ-SGNR"/>
    <d v="2022-08-20T00:00:00"/>
  </r>
  <r>
    <s v="820296147892"/>
    <x v="2116"/>
    <s v="SHRI GURUNANAK BUILDING MATERI"/>
    <s v="147892"/>
    <s v="RAMDEV TRADERS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13"/>
    <n v="0"/>
    <n v="0"/>
    <n v="27.5"/>
    <n v="0"/>
    <n v="0"/>
    <n v="85.5"/>
    <n v="0"/>
    <n v="0"/>
    <s v="HANUMANGARH"/>
    <s v="SRI GANGANAGAR"/>
    <s v="RJ-SGNR"/>
    <d v="2022-08-29T00:00:00"/>
  </r>
  <r>
    <s v="820539145394"/>
    <x v="2117"/>
    <s v="SUBHASH CHANDRA"/>
    <n v="145394"/>
    <s v="DEVRAJ AND SONS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35"/>
    <n v="0"/>
    <n v="0"/>
    <n v="35"/>
    <n v="0"/>
    <n v="0"/>
    <n v="120"/>
    <n v="0"/>
    <n v="0"/>
    <s v="HANUMANGARH"/>
    <s v="SRI GANGANAGAR"/>
    <s v="RJ-SGNR"/>
    <d v="2022-09-15T00:00:00"/>
  </r>
  <r>
    <s v="820609171839"/>
    <x v="2118"/>
    <s v="SEEMA CHACHAN"/>
    <n v="171839"/>
    <s v="SARAWAGI CEMENT AGENCY"/>
    <n v="0"/>
    <n v="0"/>
    <n v="0"/>
    <n v="0"/>
    <n v="0"/>
    <n v="0"/>
    <n v="0"/>
    <n v="0"/>
    <n v="0"/>
    <n v="0"/>
    <n v="0"/>
    <n v="0"/>
    <n v="0"/>
    <n v="0"/>
    <n v="0"/>
    <n v="75"/>
    <n v="0"/>
    <n v="0"/>
    <n v="1"/>
    <n v="0"/>
    <n v="0"/>
    <n v="35"/>
    <n v="0"/>
    <n v="0"/>
    <n v="111"/>
    <n v="0"/>
    <n v="0"/>
    <s v="HANUMANGARH"/>
    <s v="SRI GANGANAGAR"/>
    <s v="RJ-SGNR"/>
    <d v="2022-09-19T00:00:00"/>
  </r>
  <r>
    <s v="820614171839"/>
    <x v="2119"/>
    <s v="RAHUL KUMAR"/>
    <n v="171839"/>
    <s v="SARAWAGI CEMENT AGENCY"/>
    <n v="0"/>
    <n v="0"/>
    <n v="0"/>
    <n v="0"/>
    <n v="0"/>
    <n v="0"/>
    <n v="0"/>
    <n v="0"/>
    <n v="0"/>
    <n v="0"/>
    <n v="0"/>
    <n v="0"/>
    <n v="0"/>
    <n v="0"/>
    <n v="0"/>
    <n v="60.5"/>
    <n v="0"/>
    <n v="0"/>
    <n v="1"/>
    <n v="0"/>
    <n v="0"/>
    <n v="80"/>
    <n v="0"/>
    <n v="0"/>
    <n v="141.5"/>
    <n v="0"/>
    <n v="0"/>
    <s v="HANUMANGARH"/>
    <s v="SRI GANGANAGAR"/>
    <s v="RJ-SGNR"/>
    <d v="2022-09-19T00:00:00"/>
  </r>
  <r>
    <s v="820612204318"/>
    <x v="2120"/>
    <s v="KRISHAN KUMAR"/>
    <n v="204318"/>
    <s v="KISAN BUILDING MATERIAL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n v="10"/>
    <n v="0"/>
    <n v="0"/>
    <n v="30"/>
    <n v="0"/>
    <n v="0"/>
    <s v="HANUMANGARH"/>
    <s v="SRI GANGANAGAR"/>
    <s v="RJ-SGNR"/>
    <d v="2022-09-19T00:00:00"/>
  </r>
  <r>
    <s v="820835171839"/>
    <x v="2121"/>
    <s v="PURUSHOTAM"/>
    <n v="171839"/>
    <s v="SARAWAG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2"/>
    <n v="0"/>
    <n v="0"/>
    <n v="67"/>
    <n v="0"/>
    <n v="0"/>
    <s v="HANUMANGARH"/>
    <s v="SRI GANGANAGAR"/>
    <s v="RJ-SGNR"/>
    <d v="2022-09-30T00:00:00"/>
  </r>
  <r>
    <s v="812141212351"/>
    <x v="2122"/>
    <s v="INDRAJ"/>
    <n v="212351"/>
    <s v="MALI BUILDING MATERIAL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HANUMANGARH"/>
    <s v="SRI GANGANAGAR"/>
    <s v="RJ-SGNR"/>
    <d v="2020-07-07T00:00:00"/>
  </r>
  <r>
    <s v="821143171839"/>
    <x v="2123"/>
    <s v="SANT LAL SHAKARWAL"/>
    <n v="171839"/>
    <s v="SARAWAGI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4"/>
    <n v="0"/>
    <n v="4"/>
    <n v="49"/>
    <n v="0"/>
    <n v="0"/>
    <s v="HANUMANGARH"/>
    <s v="SRI GANGANAGAR"/>
    <s v="RJ-SGNR"/>
    <d v="2022-11-04T00:00:00"/>
  </r>
  <r>
    <s v="821201178038"/>
    <x v="2124"/>
    <s v="RAM KUMAR"/>
    <n v="178038"/>
    <s v="LAXMI CEMENT AGENCI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HANUMANGARH"/>
    <s v="SRI GANGANAGAR"/>
    <s v="RJ-SGNR"/>
    <d v="2022-11-11T00:00:00"/>
  </r>
  <r>
    <s v="821380119038"/>
    <x v="2125"/>
    <s v="RITIR CEMENT AGENCY"/>
    <n v="119038"/>
    <s v="NAVEEN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JODHPUR"/>
    <s v="SRI GANGANAGAR"/>
    <s v="RJ-SGNR"/>
    <d v="2022-11-26T00:00:00"/>
  </r>
  <r>
    <s v="817791202509"/>
    <x v="448"/>
    <s v="GHANSHYAM AGRO AGENCY"/>
    <n v="202509"/>
    <s v="BALAJI KHAD BEEJ BHAND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25"/>
    <n v="0"/>
    <n v="0"/>
    <s v="KARAULI"/>
    <s v="SRI GANGANAGAR"/>
    <s v="RJ-SGNR"/>
    <d v="2022-01-24T00:00:00"/>
  </r>
  <r>
    <s v="821381213875"/>
    <x v="2126"/>
    <s v="AMBIKA HARDWARE ELECTRICALS &amp;"/>
    <n v="213875"/>
    <s v="SHRI SATIMATA HARDWARE ELECTR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.5"/>
    <n v="0"/>
    <n v="2.5"/>
    <n v="17.5"/>
    <n v="0"/>
    <n v="0"/>
    <s v="PALI"/>
    <s v="SRI GANGANAGAR"/>
    <s v="RJ-SGNR"/>
    <d v="2022-11-26T00:00:00"/>
  </r>
  <r>
    <s v="802068141556"/>
    <x v="2127"/>
    <s v="JAI BAJRANG PAD STORE"/>
    <n v="141556"/>
    <s v="GYANI BUILDING MATERIALS"/>
    <n v="15"/>
    <n v="0"/>
    <n v="0"/>
    <n v="30"/>
    <n v="0"/>
    <n v="0"/>
    <n v="30"/>
    <n v="0"/>
    <n v="0"/>
    <n v="10"/>
    <n v="0"/>
    <n v="0"/>
    <n v="52"/>
    <n v="0"/>
    <n v="0"/>
    <n v="20"/>
    <n v="0"/>
    <n v="0"/>
    <n v="35"/>
    <n v="0"/>
    <n v="0"/>
    <n v="20"/>
    <n v="0"/>
    <n v="0"/>
    <n v="212"/>
    <n v="0"/>
    <n v="0"/>
    <s v="SRI GANGANAGAR"/>
    <s v="SRI GANGANAGAR"/>
    <s v="RJ-SGNR"/>
    <d v="2013-06-03T00:00:00"/>
  </r>
  <r>
    <s v="802376119031"/>
    <x v="2128"/>
    <s v="CHHABRA BUILDING MATERIAL STOR"/>
    <n v="119031"/>
    <s v="RAMESH CHANDRA RAJENDRA KUMAR"/>
    <n v="15"/>
    <n v="0"/>
    <n v="0"/>
    <n v="5"/>
    <n v="0"/>
    <n v="0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0"/>
    <n v="0"/>
    <s v="SRI GANGANAGAR"/>
    <s v="SRI GANGANAGAR"/>
    <s v="RJ-SGNR"/>
    <d v="2013-08-12T00:00:00"/>
  </r>
  <r>
    <s v="803240119227"/>
    <x v="2129"/>
    <s v="SHIVANGI CEMENT AGENCY"/>
    <n v="119227"/>
    <s v="KHEM CHAND &amp; SONS"/>
    <n v="80"/>
    <n v="0"/>
    <n v="0"/>
    <n v="38"/>
    <n v="0"/>
    <n v="0"/>
    <n v="20"/>
    <n v="0"/>
    <n v="20"/>
    <n v="15"/>
    <n v="0"/>
    <n v="0"/>
    <n v="10"/>
    <n v="0"/>
    <n v="0"/>
    <n v="0"/>
    <n v="0"/>
    <n v="0"/>
    <n v="0"/>
    <n v="0"/>
    <n v="0"/>
    <n v="0"/>
    <n v="0"/>
    <n v="0"/>
    <n v="163"/>
    <n v="0"/>
    <n v="20"/>
    <s v="SRI GANGANAGAR"/>
    <s v="SRI GANGANAGAR"/>
    <s v="RJ-SGNR"/>
    <d v="2014-03-21T00:00:00"/>
  </r>
  <r>
    <s v="803501172942"/>
    <x v="2130"/>
    <s v="RANA BUILDING MATERIAL STORE"/>
    <n v="172942"/>
    <s v="LAXMI IRON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14-07-25T00:00:00"/>
  </r>
  <r>
    <s v="803769119031"/>
    <x v="2131"/>
    <s v="AGGARWAL PAINTS &amp; BUILDING MAT"/>
    <n v="119031"/>
    <s v="RAMESH CHANDRA RAJENDRA KUMAR"/>
    <n v="30"/>
    <n v="0"/>
    <n v="0"/>
    <n v="5"/>
    <n v="0"/>
    <n v="0"/>
    <n v="47"/>
    <n v="0"/>
    <n v="0"/>
    <n v="80"/>
    <n v="0"/>
    <n v="0"/>
    <n v="35"/>
    <n v="0"/>
    <n v="0"/>
    <n v="92"/>
    <n v="0"/>
    <n v="0"/>
    <n v="70"/>
    <n v="0"/>
    <n v="0"/>
    <n v="45"/>
    <n v="0"/>
    <n v="0"/>
    <n v="404"/>
    <n v="0"/>
    <n v="0"/>
    <s v="SRI GANGANAGAR"/>
    <s v="SRI GANGANAGAR"/>
    <s v="RJ-SGNR"/>
    <d v="2014-12-23T00:00:00"/>
  </r>
  <r>
    <s v="803770119031"/>
    <x v="2132"/>
    <s v="R S BUILDING MATERIAL STORE"/>
    <n v="119031"/>
    <s v="RAMESH CHANDRA RAJENDRA KUMAR"/>
    <n v="0"/>
    <n v="0"/>
    <n v="0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s v="SRI GANGANAGAR"/>
    <s v="SRI GANGANAGAR"/>
    <s v="RJ-SGNR"/>
    <d v="2014-12-23T00:00:00"/>
  </r>
  <r>
    <s v="803885119263"/>
    <x v="2133"/>
    <s v="SUNIL CEMENT AGENCY"/>
    <n v="119263"/>
    <s v="KUKKAR ENTERPRISES"/>
    <n v="42"/>
    <n v="0"/>
    <n v="0"/>
    <n v="30"/>
    <n v="0"/>
    <n v="0"/>
    <n v="87"/>
    <n v="0"/>
    <n v="0"/>
    <n v="70"/>
    <n v="0"/>
    <n v="0"/>
    <n v="100"/>
    <n v="15"/>
    <n v="40"/>
    <n v="89"/>
    <n v="0"/>
    <n v="11"/>
    <n v="93"/>
    <n v="0"/>
    <n v="30"/>
    <n v="40"/>
    <n v="0"/>
    <n v="3"/>
    <n v="551"/>
    <n v="15"/>
    <n v="81"/>
    <s v="SRI GANGANAGAR"/>
    <s v="SRI GANGANAGAR"/>
    <s v="RJ-SGNR"/>
    <d v="2015-03-03T00:00:00"/>
  </r>
  <r>
    <s v="804080141556"/>
    <x v="2134"/>
    <s v="JAIMINI PED STORE"/>
    <n v="141556"/>
    <s v="GYANI BUILDING MATERIALS"/>
    <n v="9"/>
    <n v="0"/>
    <n v="0"/>
    <n v="20"/>
    <n v="0"/>
    <n v="0"/>
    <n v="67"/>
    <n v="0"/>
    <n v="0"/>
    <n v="73"/>
    <n v="0"/>
    <n v="0"/>
    <n v="65"/>
    <n v="0"/>
    <n v="0"/>
    <n v="82"/>
    <n v="0"/>
    <n v="0"/>
    <n v="40"/>
    <n v="0"/>
    <n v="0"/>
    <n v="35"/>
    <n v="0"/>
    <n v="0"/>
    <n v="391"/>
    <n v="0"/>
    <n v="0"/>
    <s v="SRI GANGANAGAR"/>
    <s v="SRI GANGANAGAR"/>
    <s v="RJ-SGNR"/>
    <d v="2015-06-19T00:00:00"/>
  </r>
  <r>
    <s v="804082119263"/>
    <x v="2135"/>
    <s v="KAMRA CEMENT AGENCY"/>
    <n v="119263"/>
    <s v="KUKKAR ENTERPRISES"/>
    <n v="105"/>
    <n v="0"/>
    <n v="0"/>
    <n v="63"/>
    <n v="0"/>
    <n v="0"/>
    <n v="77"/>
    <n v="0"/>
    <n v="0"/>
    <n v="107.3"/>
    <n v="7"/>
    <n v="10.3"/>
    <n v="35"/>
    <n v="0"/>
    <n v="0"/>
    <n v="46.5"/>
    <n v="0"/>
    <n v="16"/>
    <n v="42"/>
    <n v="0"/>
    <n v="0"/>
    <n v="62"/>
    <n v="12"/>
    <n v="0"/>
    <n v="537.79999999999995"/>
    <n v="7"/>
    <n v="26.3"/>
    <s v="SRI GANGANAGAR"/>
    <s v="SRI GANGANAGAR"/>
    <s v="RJ-SGNR"/>
    <d v="2015-06-19T00:00:00"/>
  </r>
  <r>
    <s v="804833119263"/>
    <x v="2136"/>
    <s v="BAWEJA CEMENT AGENCY"/>
    <n v="119263"/>
    <s v="KUKKAR ENTERPRISES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20"/>
    <n v="0"/>
    <n v="0"/>
    <n v="10"/>
    <n v="0"/>
    <n v="0"/>
    <n v="40"/>
    <n v="0"/>
    <n v="0"/>
    <s v="SRI GANGANAGAR"/>
    <s v="SRI GANGANAGAR"/>
    <s v="RJ-SGNR"/>
    <d v="2016-02-11T00:00:00"/>
  </r>
  <r>
    <s v="804876119031"/>
    <x v="2137"/>
    <s v="GAUR BUILDING MATERIAL"/>
    <n v="119031"/>
    <s v="RAMESH CHANDRA RAJENDRA KUMAR"/>
    <n v="20"/>
    <n v="0"/>
    <n v="0"/>
    <n v="5"/>
    <n v="0"/>
    <n v="0"/>
    <n v="30"/>
    <n v="0"/>
    <n v="0"/>
    <n v="35"/>
    <n v="0"/>
    <n v="0"/>
    <n v="35"/>
    <n v="0"/>
    <n v="0"/>
    <n v="57"/>
    <n v="0"/>
    <n v="0"/>
    <n v="25"/>
    <n v="0"/>
    <n v="0"/>
    <n v="35"/>
    <n v="0"/>
    <n v="0"/>
    <n v="242"/>
    <n v="0"/>
    <n v="0"/>
    <s v="SRI GANGANAGAR"/>
    <s v="SRI GANGANAGAR"/>
    <s v="RJ-SGNR"/>
    <d v="2016-03-02T00:00:00"/>
  </r>
  <r>
    <s v="805545149764"/>
    <x v="2138"/>
    <s v="JAI SHREE LAKSHMI PAD &amp; BUILDI"/>
    <n v="149764"/>
    <s v="JMD CEMENT &amp; IRON STORE"/>
    <n v="27"/>
    <n v="0"/>
    <n v="0"/>
    <n v="80"/>
    <n v="0"/>
    <n v="0"/>
    <n v="30"/>
    <n v="0"/>
    <n v="20"/>
    <n v="57"/>
    <n v="0"/>
    <n v="20"/>
    <n v="29.5"/>
    <n v="0"/>
    <n v="19.5"/>
    <n v="92"/>
    <n v="0"/>
    <n v="17"/>
    <n v="45"/>
    <n v="0"/>
    <n v="0"/>
    <n v="40"/>
    <n v="0"/>
    <n v="0"/>
    <n v="400.5"/>
    <n v="0"/>
    <n v="76.5"/>
    <s v="SRI GANGANAGAR"/>
    <s v="SRI GANGANAGAR"/>
    <s v="RJ-SGNR"/>
    <d v="2016-09-21T00:00:00"/>
  </r>
  <r>
    <s v="805572148629"/>
    <x v="2139"/>
    <s v="BRIJ PARKASH BUILDING MATERIAL"/>
    <n v="148629"/>
    <s v="AGGARWAL SANITARY &amp; PIPE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16-09-28T00:00:00"/>
  </r>
  <r>
    <s v="806620148629"/>
    <x v="2140"/>
    <s v="TULSI PIPE STORE"/>
    <n v="148629"/>
    <s v="AGGARWAL SANITARY &amp; PIPE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17-07-19T00:00:00"/>
  </r>
  <r>
    <s v="806620119031"/>
    <x v="2140"/>
    <s v="TULSI PIPE STORE"/>
    <n v="119031"/>
    <s v="RAMESH CHANDER RAJENDER KUMAR"/>
    <n v="0"/>
    <n v="0"/>
    <n v="0"/>
    <n v="0"/>
    <n v="0"/>
    <n v="0"/>
    <n v="0"/>
    <n v="0"/>
    <n v="0"/>
    <n v="0"/>
    <n v="0"/>
    <n v="0"/>
    <n v="47"/>
    <n v="0"/>
    <n v="0"/>
    <n v="55"/>
    <n v="0"/>
    <n v="0"/>
    <n v="30"/>
    <n v="0"/>
    <n v="0"/>
    <n v="45"/>
    <n v="0"/>
    <n v="0"/>
    <n v="177"/>
    <n v="0"/>
    <n v="0"/>
    <s v="SRI GANGANAGAR"/>
    <s v="SRI GANGANAGAR"/>
    <s v="RJ-SGNR"/>
    <d v="2017-07-19T00:00:00"/>
  </r>
  <r>
    <s v="806939141556"/>
    <x v="2141"/>
    <s v="GOKUL PAD STORE"/>
    <n v="141556"/>
    <s v="GYANI BUILDING MATERIALS"/>
    <n v="45"/>
    <n v="0"/>
    <n v="0"/>
    <n v="70"/>
    <n v="0"/>
    <n v="0"/>
    <n v="77"/>
    <n v="0"/>
    <n v="0"/>
    <n v="70"/>
    <n v="0"/>
    <n v="0"/>
    <n v="60"/>
    <n v="0"/>
    <n v="0"/>
    <n v="80"/>
    <n v="0"/>
    <n v="0"/>
    <n v="35"/>
    <n v="0"/>
    <n v="0"/>
    <n v="25"/>
    <n v="0"/>
    <n v="0"/>
    <n v="462"/>
    <n v="0"/>
    <n v="0"/>
    <s v="SRI GANGANAGAR"/>
    <s v="SRI GANGANAGAR"/>
    <s v="RJ-SGNR"/>
    <d v="2017-09-29T00:00:00"/>
  </r>
  <r>
    <s v="807393119177"/>
    <x v="2142"/>
    <s v="VIKRAMJEET"/>
    <n v="119177"/>
    <s v="G.S.SALES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18-12-22T00:00:00"/>
  </r>
  <r>
    <s v="807394119177"/>
    <x v="2143"/>
    <s v="JASVEER SINGH"/>
    <n v="119177"/>
    <s v="G.S.SALES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18-12-22T00:00:00"/>
  </r>
  <r>
    <s v="807682206219"/>
    <x v="2144"/>
    <s v="G L ENTERPRISES"/>
    <n v="206219"/>
    <s v="SALASAR TRADERS"/>
    <n v="60"/>
    <n v="0"/>
    <n v="0"/>
    <n v="100"/>
    <n v="0"/>
    <n v="0"/>
    <n v="130"/>
    <n v="0"/>
    <n v="0"/>
    <n v="95"/>
    <n v="0"/>
    <n v="30"/>
    <n v="70"/>
    <n v="0"/>
    <n v="15"/>
    <n v="125"/>
    <n v="0"/>
    <n v="0"/>
    <n v="160"/>
    <n v="0"/>
    <n v="20"/>
    <n v="35"/>
    <n v="0"/>
    <n v="0"/>
    <n v="775"/>
    <n v="0"/>
    <n v="65"/>
    <s v="SRI GANGANAGAR"/>
    <s v="SRI GANGANAGAR"/>
    <s v="RJ-SGNR"/>
    <d v="2017-12-30T00:00:00"/>
  </r>
  <r>
    <s v="807684206219"/>
    <x v="2145"/>
    <s v="VERMA BUILDING MATERIAL"/>
    <n v="206219"/>
    <s v="SALASAR TRADERS"/>
    <n v="34"/>
    <n v="0"/>
    <n v="0"/>
    <n v="40"/>
    <n v="0"/>
    <n v="0"/>
    <n v="40.5"/>
    <n v="0"/>
    <n v="0"/>
    <n v="43"/>
    <n v="0"/>
    <n v="0"/>
    <n v="59"/>
    <n v="0"/>
    <n v="0"/>
    <n v="25"/>
    <n v="0"/>
    <n v="0"/>
    <n v="0"/>
    <n v="0"/>
    <n v="0"/>
    <n v="25"/>
    <n v="0"/>
    <n v="0"/>
    <n v="266.5"/>
    <n v="0"/>
    <n v="0"/>
    <s v="SRI GANGANAGAR"/>
    <s v="SRI GANGANAGAR"/>
    <s v="RJ-SGNR"/>
    <d v="2017-12-30T00:00:00"/>
  </r>
  <r>
    <s v="807711142843"/>
    <x v="2146"/>
    <s v="HARJINDER SINGH"/>
    <n v="142843"/>
    <s v="GURUNANAK IRON STORE"/>
    <n v="123"/>
    <n v="0"/>
    <n v="0"/>
    <n v="28.5"/>
    <n v="0"/>
    <n v="0"/>
    <n v="55"/>
    <n v="0"/>
    <n v="20"/>
    <n v="15"/>
    <n v="0"/>
    <n v="0"/>
    <n v="22"/>
    <n v="0"/>
    <n v="0"/>
    <n v="20"/>
    <n v="0"/>
    <n v="0"/>
    <n v="15"/>
    <n v="0"/>
    <n v="0"/>
    <n v="20"/>
    <n v="0"/>
    <n v="0"/>
    <n v="298.5"/>
    <n v="0"/>
    <n v="20"/>
    <s v="SRI GANGANAGAR"/>
    <s v="SRI GANGANAGAR"/>
    <s v="RJ-SGNR"/>
    <d v="2019-01-10T00:00:00"/>
  </r>
  <r>
    <s v="807883206219"/>
    <x v="2147"/>
    <s v="YOGESH BUILDING MATERIAL"/>
    <n v="206219"/>
    <s v="SALASAR TRADERS"/>
    <n v="144.5"/>
    <n v="0"/>
    <n v="0"/>
    <n v="70"/>
    <n v="24"/>
    <n v="0"/>
    <n v="115"/>
    <n v="0"/>
    <n v="0"/>
    <n v="62"/>
    <n v="0"/>
    <n v="15"/>
    <n v="86"/>
    <n v="10"/>
    <n v="15"/>
    <n v="72"/>
    <n v="0"/>
    <n v="15"/>
    <n v="42.5"/>
    <n v="0"/>
    <n v="15"/>
    <n v="50"/>
    <n v="0"/>
    <n v="20"/>
    <n v="642"/>
    <n v="34"/>
    <n v="60"/>
    <s v="SRI GANGANAGAR"/>
    <s v="SRI GANGANAGAR"/>
    <s v="RJ-SGNR"/>
    <d v="2018-01-09T00:00:00"/>
  </r>
  <r>
    <s v="807887206219"/>
    <x v="2148"/>
    <s v="VIKASH TRADING COMPANY"/>
    <n v="206219"/>
    <s v="SALASAR TRADERS"/>
    <n v="75"/>
    <n v="0"/>
    <n v="0"/>
    <n v="58.15"/>
    <n v="30"/>
    <n v="0"/>
    <n v="100"/>
    <n v="0"/>
    <n v="65"/>
    <n v="77"/>
    <n v="0"/>
    <n v="0"/>
    <n v="60"/>
    <n v="0"/>
    <n v="15"/>
    <n v="77"/>
    <n v="0"/>
    <n v="15"/>
    <n v="10"/>
    <n v="0"/>
    <n v="0"/>
    <n v="35"/>
    <n v="0"/>
    <n v="0"/>
    <n v="492.15"/>
    <n v="30"/>
    <n v="95"/>
    <s v="SRI GANGANAGAR"/>
    <s v="SRI GANGANAGAR"/>
    <s v="RJ-SGNR"/>
    <d v="2018-01-09T00:00:00"/>
  </r>
  <r>
    <s v="807976172942"/>
    <x v="2149"/>
    <s v="AAYUSH BUILDING MATERIAL"/>
    <n v="172942"/>
    <s v="LAXMI IRON STORE"/>
    <n v="10"/>
    <n v="0"/>
    <n v="0"/>
    <n v="10"/>
    <n v="0"/>
    <n v="0"/>
    <n v="46"/>
    <n v="0"/>
    <n v="20"/>
    <n v="75"/>
    <n v="0"/>
    <n v="20"/>
    <n v="90"/>
    <n v="0"/>
    <n v="0"/>
    <n v="175"/>
    <n v="0"/>
    <n v="0"/>
    <n v="55"/>
    <n v="0"/>
    <n v="20"/>
    <n v="75"/>
    <n v="0"/>
    <n v="0"/>
    <n v="536"/>
    <n v="0"/>
    <n v="60"/>
    <s v="SRI GANGANAGAR"/>
    <s v="SRI GANGANAGAR"/>
    <s v="RJ-SGNR"/>
    <d v="2018-02-06T00:00:00"/>
  </r>
  <r>
    <s v="808147119031"/>
    <x v="2150"/>
    <s v="PAREEK TRADERS"/>
    <n v="119031"/>
    <s v="RAMESH CHANDRA RAJENDRA KUMAR"/>
    <n v="45"/>
    <n v="0"/>
    <n v="0"/>
    <n v="100"/>
    <n v="0"/>
    <n v="0"/>
    <n v="112"/>
    <n v="0"/>
    <n v="20"/>
    <n v="85"/>
    <n v="0"/>
    <n v="0"/>
    <n v="75.5"/>
    <n v="0"/>
    <n v="3.5"/>
    <n v="126.5"/>
    <n v="0"/>
    <n v="0"/>
    <n v="80"/>
    <n v="0"/>
    <n v="0"/>
    <n v="80"/>
    <n v="0"/>
    <n v="0"/>
    <n v="704"/>
    <n v="0"/>
    <n v="23.5"/>
    <s v="SRI GANGANAGAR"/>
    <s v="SRI GANGANAGAR"/>
    <s v="RJ-SGNR"/>
    <d v="2018-03-21T00:00:00"/>
  </r>
  <r>
    <s v="808172142843"/>
    <x v="2151"/>
    <s v="PUNJAB IRON STORE"/>
    <n v="142843"/>
    <s v="GURUNANAK IRON STORE"/>
    <n v="122.5"/>
    <n v="0"/>
    <n v="0"/>
    <n v="70"/>
    <n v="12.5"/>
    <n v="0"/>
    <n v="109.75"/>
    <n v="0"/>
    <n v="45"/>
    <n v="117"/>
    <n v="0"/>
    <n v="55"/>
    <n v="70"/>
    <n v="0"/>
    <n v="0"/>
    <n v="89"/>
    <n v="0"/>
    <n v="39"/>
    <n v="79"/>
    <n v="0"/>
    <n v="0"/>
    <n v="25"/>
    <n v="0"/>
    <n v="0"/>
    <n v="682.25"/>
    <n v="12.5"/>
    <n v="139"/>
    <s v="SRI GANGANAGAR"/>
    <s v="SRI GANGANAGAR"/>
    <s v="RJ-SGNR"/>
    <d v="2018-03-27T00:00:00"/>
  </r>
  <r>
    <s v="808229172942"/>
    <x v="2152"/>
    <s v="DAYAMA BUILDING MATERIAL STORE"/>
    <n v="172942"/>
    <s v="LAXMI IRON STORE"/>
    <n v="40"/>
    <n v="0"/>
    <n v="0"/>
    <n v="25"/>
    <n v="0"/>
    <n v="0"/>
    <n v="55"/>
    <n v="0"/>
    <n v="0"/>
    <n v="35"/>
    <n v="0"/>
    <n v="0"/>
    <n v="0"/>
    <n v="0"/>
    <n v="0"/>
    <n v="0"/>
    <n v="0"/>
    <n v="0"/>
    <n v="0"/>
    <n v="0"/>
    <n v="0"/>
    <n v="35"/>
    <n v="0"/>
    <n v="0"/>
    <n v="190"/>
    <n v="0"/>
    <n v="0"/>
    <s v="SRI GANGANAGAR"/>
    <s v="SRI GANGANAGAR"/>
    <s v="RJ-SGNR"/>
    <d v="2018-04-17T00:00:00"/>
  </r>
  <r>
    <s v="808309177104"/>
    <x v="2153"/>
    <s v="SWAMI PAD STORE"/>
    <n v="177104"/>
    <s v="GARG SUPPLIERS"/>
    <n v="45"/>
    <n v="0"/>
    <n v="0"/>
    <n v="5.5"/>
    <n v="0"/>
    <n v="0"/>
    <n v="46"/>
    <n v="0"/>
    <n v="0"/>
    <n v="20"/>
    <n v="0"/>
    <n v="0"/>
    <n v="24"/>
    <n v="0"/>
    <n v="0"/>
    <n v="0"/>
    <n v="0"/>
    <n v="0"/>
    <n v="20"/>
    <n v="0"/>
    <n v="0"/>
    <n v="0"/>
    <n v="0"/>
    <n v="0"/>
    <n v="160.5"/>
    <n v="0"/>
    <n v="0"/>
    <s v="SRI GANGANAGAR"/>
    <s v="SRI GANGANAGAR"/>
    <s v="RJ-SGNR"/>
    <d v="2018-05-05T00:00:00"/>
  </r>
  <r>
    <s v="808443119263"/>
    <x v="2154"/>
    <s v="SONU CEMENT AGENCY"/>
    <n v="119263"/>
    <s v="KUKKAR ENTERPRISES"/>
    <n v="0"/>
    <n v="0"/>
    <n v="0"/>
    <n v="56"/>
    <n v="0"/>
    <n v="0"/>
    <n v="80"/>
    <n v="0"/>
    <n v="25"/>
    <n v="35"/>
    <n v="0"/>
    <n v="0"/>
    <n v="44"/>
    <n v="0"/>
    <n v="4"/>
    <n v="60"/>
    <n v="0"/>
    <n v="10"/>
    <n v="36.5"/>
    <n v="0"/>
    <n v="11.5"/>
    <n v="0"/>
    <n v="0"/>
    <n v="0"/>
    <n v="311.5"/>
    <n v="0"/>
    <n v="50.5"/>
    <s v="SRI GANGANAGAR"/>
    <s v="SRI GANGANAGAR"/>
    <s v="RJ-SGNR"/>
    <d v="2018-05-28T00:00:00"/>
  </r>
  <r>
    <s v="808448206219"/>
    <x v="2155"/>
    <s v="NANDIWAL PESTICIDES"/>
    <n v="206219"/>
    <s v="SALASAR TRADERS"/>
    <n v="148.9"/>
    <n v="10"/>
    <n v="0"/>
    <n v="55"/>
    <n v="15"/>
    <n v="0"/>
    <n v="94.5"/>
    <n v="15"/>
    <n v="29.5"/>
    <n v="87.5"/>
    <n v="12.5"/>
    <n v="5"/>
    <n v="62.85"/>
    <n v="0"/>
    <n v="17.850000000000001"/>
    <n v="89"/>
    <n v="0"/>
    <n v="9"/>
    <n v="50"/>
    <n v="0"/>
    <n v="0"/>
    <n v="25"/>
    <n v="0"/>
    <n v="25"/>
    <n v="612.75"/>
    <n v="52.5"/>
    <n v="61.35"/>
    <s v="SRI GANGANAGAR"/>
    <s v="SRI GANGANAGAR"/>
    <s v="RJ-SGNR"/>
    <d v="2018-05-28T00:00:00"/>
  </r>
  <r>
    <s v="808487141556"/>
    <x v="2156"/>
    <s v="KHAN PAD STORE"/>
    <n v="141556"/>
    <s v="GYANI BUILDING MATERIALS"/>
    <n v="0"/>
    <n v="0"/>
    <n v="0"/>
    <n v="65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80"/>
    <n v="0"/>
    <n v="0"/>
    <s v="SRI GANGANAGAR"/>
    <s v="SRI GANGANAGAR"/>
    <s v="RJ-SGNR"/>
    <d v="2018-05-31T00:00:00"/>
  </r>
  <r>
    <s v="808495172942"/>
    <x v="2157"/>
    <s v="LALCHAND BUILDING MATERIAL"/>
    <n v="172942"/>
    <s v="LAXMI IRON STORE"/>
    <n v="0"/>
    <n v="0"/>
    <n v="0"/>
    <n v="45"/>
    <n v="0"/>
    <n v="0"/>
    <n v="20"/>
    <n v="0"/>
    <n v="20"/>
    <n v="20"/>
    <n v="0"/>
    <n v="0"/>
    <n v="15"/>
    <n v="0"/>
    <n v="0"/>
    <n v="20"/>
    <n v="0"/>
    <n v="0"/>
    <n v="45"/>
    <n v="0"/>
    <n v="0"/>
    <n v="45"/>
    <n v="0"/>
    <n v="0"/>
    <n v="210"/>
    <n v="0"/>
    <n v="20"/>
    <s v="SRI GANGANAGAR"/>
    <s v="SRI GANGANAGAR"/>
    <s v="RJ-SGNR"/>
    <d v="2018-06-02T00:00:00"/>
  </r>
  <r>
    <s v="808496141556"/>
    <x v="2158"/>
    <s v="RAJASTHAN CEMENT AGENCY"/>
    <n v="141556"/>
    <s v="GYANI BUILDING MATERIALS"/>
    <n v="65"/>
    <n v="0"/>
    <n v="0"/>
    <n v="77"/>
    <n v="0"/>
    <n v="0"/>
    <n v="92"/>
    <n v="0"/>
    <n v="0"/>
    <n v="95"/>
    <n v="0"/>
    <n v="0"/>
    <n v="142"/>
    <n v="0"/>
    <n v="22"/>
    <n v="67"/>
    <n v="0"/>
    <n v="0"/>
    <n v="80"/>
    <n v="0"/>
    <n v="0"/>
    <n v="65"/>
    <n v="0"/>
    <n v="0"/>
    <n v="683"/>
    <n v="0"/>
    <n v="22"/>
    <s v="SRI GANGANAGAR"/>
    <s v="SRI GANGANAGAR"/>
    <s v="RJ-SGNR"/>
    <d v="2018-06-02T00:00:00"/>
  </r>
  <r>
    <s v="808497141556"/>
    <x v="2159"/>
    <s v="K S BUILDING MATERIAL"/>
    <n v="141556"/>
    <s v="GYANI BUILDING MATERIALS"/>
    <n v="20"/>
    <n v="0"/>
    <n v="0"/>
    <n v="40"/>
    <n v="0"/>
    <n v="0"/>
    <n v="32"/>
    <n v="0"/>
    <n v="0"/>
    <n v="20"/>
    <n v="0"/>
    <n v="0"/>
    <n v="45"/>
    <n v="0"/>
    <n v="0"/>
    <n v="35"/>
    <n v="0"/>
    <n v="0"/>
    <n v="20"/>
    <n v="0"/>
    <n v="0"/>
    <n v="0"/>
    <n v="0"/>
    <n v="0"/>
    <n v="212"/>
    <n v="0"/>
    <n v="0"/>
    <s v="SRI GANGANAGAR"/>
    <s v="SRI GANGANAGAR"/>
    <s v="RJ-SGNR"/>
    <d v="2018-06-02T00:00:00"/>
  </r>
  <r>
    <s v="808610141556"/>
    <x v="2160"/>
    <s v="BALAJI PROVISIONAL STORE"/>
    <n v="141556"/>
    <s v="GYANI BUILDING MATERIA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18-06-20T00:00:00"/>
  </r>
  <r>
    <s v="808611149764"/>
    <x v="2161"/>
    <s v="NEW BALAJI BUILDING MATERIAL"/>
    <n v="149764"/>
    <s v="JMD CEMENT &amp; IRON STORE"/>
    <n v="116.9"/>
    <n v="0"/>
    <n v="0"/>
    <n v="87"/>
    <n v="0"/>
    <n v="0"/>
    <n v="100"/>
    <n v="0"/>
    <n v="25"/>
    <n v="62"/>
    <n v="0"/>
    <n v="0"/>
    <n v="75"/>
    <n v="0"/>
    <n v="30"/>
    <n v="110"/>
    <n v="0"/>
    <n v="45"/>
    <n v="110"/>
    <n v="0"/>
    <n v="0"/>
    <n v="135"/>
    <n v="0"/>
    <n v="0"/>
    <n v="795.9"/>
    <n v="0"/>
    <n v="100"/>
    <s v="SRI GANGANAGAR"/>
    <s v="SRI GANGANAGAR"/>
    <s v="RJ-SGNR"/>
    <d v="2018-06-20T00:00:00"/>
  </r>
  <r>
    <s v="808934142843"/>
    <x v="2162"/>
    <s v="DEEP BUILDING MATERIAL"/>
    <n v="142843"/>
    <s v="GURUNANAK IRON STORE"/>
    <n v="148"/>
    <n v="0"/>
    <n v="0"/>
    <n v="82.55"/>
    <n v="0"/>
    <n v="0"/>
    <n v="145"/>
    <n v="0"/>
    <n v="25"/>
    <n v="99"/>
    <n v="0"/>
    <n v="39"/>
    <n v="50"/>
    <n v="0"/>
    <n v="10"/>
    <n v="52"/>
    <n v="0"/>
    <n v="0"/>
    <n v="136"/>
    <n v="0"/>
    <n v="45"/>
    <n v="50"/>
    <n v="0"/>
    <n v="0"/>
    <n v="762.55"/>
    <n v="0"/>
    <n v="119"/>
    <s v="SRI GANGANAGAR"/>
    <s v="SRI GANGANAGAR"/>
    <s v="RJ-SGNR"/>
    <d v="2018-07-13T00:00:00"/>
  </r>
  <r>
    <s v="809180174299"/>
    <x v="2163"/>
    <s v="MAHADEV INT UDHYOG"/>
    <n v="174299"/>
    <s v="DEEPAK CEMENT AGENCY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SRI GANGANAGAR"/>
    <s v="SRI GANGANAGAR"/>
    <s v="RJ-SGNR"/>
    <d v="2019-02-22T00:00:00"/>
  </r>
  <r>
    <s v="809205174299"/>
    <x v="2164"/>
    <s v="GANPATI TRADERS"/>
    <n v="174299"/>
    <s v="DEEPAK CEMENT AGENCY"/>
    <n v="15"/>
    <n v="0"/>
    <n v="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"/>
    <n v="0"/>
    <n v="0"/>
    <s v="SRI GANGANAGAR"/>
    <s v="SRI GANGANAGAR"/>
    <s v="RJ-SGNR"/>
    <d v="2019-02-28T00:00:00"/>
  </r>
  <r>
    <s v="809267177104"/>
    <x v="2165"/>
    <s v="RAJENDER KUMAR"/>
    <n v="177104"/>
    <s v="GARG SUPPLIERS"/>
    <n v="209.5"/>
    <n v="0"/>
    <n v="0"/>
    <n v="87.5"/>
    <n v="6"/>
    <n v="0"/>
    <n v="75"/>
    <n v="0"/>
    <n v="0"/>
    <n v="60"/>
    <n v="0"/>
    <n v="0"/>
    <n v="37"/>
    <n v="0"/>
    <n v="0"/>
    <n v="27.5"/>
    <n v="0"/>
    <n v="0"/>
    <n v="25"/>
    <n v="0"/>
    <n v="0"/>
    <n v="67"/>
    <n v="0"/>
    <n v="0"/>
    <n v="588.5"/>
    <n v="6"/>
    <n v="0"/>
    <s v="SRI GANGANAGAR"/>
    <s v="SRI GANGANAGAR"/>
    <s v="RJ-SGNR"/>
    <d v="2019-03-12T00:00:00"/>
  </r>
  <r>
    <s v="809620119031"/>
    <x v="2166"/>
    <s v="BRAR CEMENT AGENCY"/>
    <n v="119031"/>
    <s v="RAMESH CHANDRA RAJENDRA KUM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19-05-24T00:00:00"/>
  </r>
  <r>
    <s v="809621142843"/>
    <x v="2167"/>
    <s v="ANIL KUMAR"/>
    <n v="142843"/>
    <s v="GURUNANAK IRON STORE"/>
    <n v="73.5"/>
    <n v="0"/>
    <n v="0"/>
    <n v="60"/>
    <n v="8.5"/>
    <n v="0"/>
    <n v="15"/>
    <n v="0"/>
    <n v="0"/>
    <n v="60"/>
    <n v="0"/>
    <n v="15"/>
    <n v="42"/>
    <n v="0"/>
    <n v="0"/>
    <n v="60"/>
    <n v="0"/>
    <n v="20"/>
    <n v="35"/>
    <n v="0"/>
    <n v="0"/>
    <n v="0"/>
    <n v="0"/>
    <n v="0"/>
    <n v="345.5"/>
    <n v="8.5"/>
    <n v="35"/>
    <s v="SRI GANGANAGAR"/>
    <s v="SRI GANGANAGAR"/>
    <s v="RJ-SGNR"/>
    <d v="2019-05-24T00:00:00"/>
  </r>
  <r>
    <s v="809644119031"/>
    <x v="2168"/>
    <s v="MANPREET SINGH"/>
    <n v="119031"/>
    <s v="RAMESH CHANDER RAJENDER KUMAR"/>
    <n v="0"/>
    <n v="0"/>
    <n v="0"/>
    <n v="0"/>
    <n v="0"/>
    <n v="0"/>
    <n v="45"/>
    <n v="0"/>
    <n v="0"/>
    <n v="0"/>
    <n v="0"/>
    <n v="0"/>
    <n v="0"/>
    <n v="0"/>
    <n v="0"/>
    <n v="10"/>
    <n v="0"/>
    <n v="0"/>
    <n v="0"/>
    <n v="0"/>
    <n v="0"/>
    <n v="0"/>
    <n v="0"/>
    <n v="0"/>
    <n v="55"/>
    <n v="0"/>
    <n v="0"/>
    <s v="SRI GANGANAGAR"/>
    <s v="SRI GANGANAGAR"/>
    <s v="RJ-SGNR"/>
    <d v="2019-05-29T00:00:00"/>
  </r>
  <r>
    <s v="809780206219"/>
    <x v="2169"/>
    <s v="BALRAM VERMA"/>
    <n v="206219"/>
    <s v="SALASAR TRADERS"/>
    <n v="63"/>
    <n v="0"/>
    <n v="0"/>
    <n v="43.75"/>
    <n v="0"/>
    <n v="0"/>
    <n v="55"/>
    <n v="0"/>
    <n v="0"/>
    <n v="50.75"/>
    <n v="0"/>
    <n v="0"/>
    <n v="60"/>
    <n v="0"/>
    <n v="15"/>
    <n v="59"/>
    <n v="0"/>
    <n v="0"/>
    <n v="50"/>
    <n v="0"/>
    <n v="0"/>
    <n v="35"/>
    <n v="0"/>
    <n v="0"/>
    <n v="416.5"/>
    <n v="0"/>
    <n v="15"/>
    <s v="SRI GANGANAGAR"/>
    <s v="SRI GANGANAGAR"/>
    <s v="RJ-SGNR"/>
    <d v="2019-06-22T00:00:00"/>
  </r>
  <r>
    <s v="809781141556"/>
    <x v="2170"/>
    <s v="SANDHU BUILDING MATERIAL"/>
    <n v="141556"/>
    <s v="GYANI BUILDING MATERIALS"/>
    <n v="0"/>
    <n v="0"/>
    <n v="0"/>
    <n v="85"/>
    <n v="0"/>
    <n v="0"/>
    <n v="85"/>
    <n v="0"/>
    <n v="0"/>
    <n v="30"/>
    <n v="0"/>
    <n v="0"/>
    <n v="0"/>
    <n v="0"/>
    <n v="0"/>
    <n v="0"/>
    <n v="0"/>
    <n v="0"/>
    <n v="0"/>
    <n v="0"/>
    <n v="0"/>
    <n v="0"/>
    <n v="0"/>
    <n v="0"/>
    <n v="200"/>
    <n v="0"/>
    <n v="0"/>
    <s v="SRI GANGANAGAR"/>
    <s v="SRI GANGANAGAR"/>
    <s v="RJ-SGNR"/>
    <d v="2019-06-22T00:00:00"/>
  </r>
  <r>
    <s v="809794119031"/>
    <x v="2171"/>
    <s v="SUBHASH BAJAJ AND SONS"/>
    <n v="119031"/>
    <s v="RAMESH CHANDRA RAJENDRA KUMAR"/>
    <n v="40"/>
    <n v="0"/>
    <n v="0"/>
    <n v="77"/>
    <n v="10"/>
    <n v="0"/>
    <n v="125"/>
    <n v="15"/>
    <n v="25"/>
    <n v="105"/>
    <n v="0"/>
    <n v="0"/>
    <n v="119"/>
    <n v="0"/>
    <n v="0"/>
    <n v="100"/>
    <n v="0"/>
    <n v="30"/>
    <n v="55"/>
    <n v="0"/>
    <n v="0"/>
    <n v="95"/>
    <n v="0"/>
    <n v="0"/>
    <n v="716"/>
    <n v="25"/>
    <n v="55"/>
    <s v="SRI GANGANAGAR"/>
    <s v="SRI GANGANAGAR"/>
    <s v="RJ-SGNR"/>
    <d v="2019-06-25T00:00:00"/>
  </r>
  <r>
    <s v="810105206219"/>
    <x v="2172"/>
    <s v="VIKAS SHARMA"/>
    <n v="206219"/>
    <s v="SALASAR TRADERS"/>
    <n v="48.5"/>
    <n v="0"/>
    <n v="0"/>
    <n v="50"/>
    <n v="0"/>
    <n v="0"/>
    <n v="45"/>
    <n v="0"/>
    <n v="45"/>
    <n v="67.5"/>
    <n v="0"/>
    <n v="22.5"/>
    <n v="82"/>
    <n v="0"/>
    <n v="0"/>
    <n v="78.150000000000006"/>
    <n v="0"/>
    <n v="45"/>
    <n v="30"/>
    <n v="0"/>
    <n v="0"/>
    <n v="52"/>
    <n v="0"/>
    <n v="22"/>
    <n v="453.15"/>
    <n v="0"/>
    <n v="112.5"/>
    <s v="SRI GANGANAGAR"/>
    <s v="SRI GANGANAGAR"/>
    <s v="RJ-SGNR"/>
    <d v="2019-07-31T00:00:00"/>
  </r>
  <r>
    <s v="810155149764"/>
    <x v="2173"/>
    <s v="SRI RAM FABRICATION"/>
    <n v="149764"/>
    <s v="JMD CEMENT &amp; IRON STORE"/>
    <n v="55"/>
    <n v="0"/>
    <n v="0"/>
    <n v="80"/>
    <n v="0"/>
    <n v="0"/>
    <n v="70"/>
    <n v="0"/>
    <n v="25"/>
    <n v="80"/>
    <n v="0"/>
    <n v="25"/>
    <n v="92"/>
    <n v="0"/>
    <n v="22"/>
    <n v="85"/>
    <n v="0"/>
    <n v="0"/>
    <n v="80"/>
    <n v="0"/>
    <n v="0"/>
    <n v="72"/>
    <n v="0"/>
    <n v="0"/>
    <n v="614"/>
    <n v="0"/>
    <n v="72"/>
    <s v="SRI GANGANAGAR"/>
    <s v="SRI GANGANAGAR"/>
    <s v="RJ-SGNR"/>
    <d v="2019-08-05T00:00:00"/>
  </r>
  <r>
    <s v="810222119263"/>
    <x v="2174"/>
    <s v="INDER SAIN"/>
    <n v="119263"/>
    <s v="KUKKAR ENTERPRISES"/>
    <n v="40"/>
    <n v="0"/>
    <n v="0"/>
    <n v="20"/>
    <n v="0"/>
    <n v="0"/>
    <n v="49.5"/>
    <n v="15"/>
    <n v="16.5"/>
    <n v="30"/>
    <n v="0"/>
    <n v="0"/>
    <n v="34"/>
    <n v="0"/>
    <n v="0"/>
    <n v="45"/>
    <n v="0"/>
    <n v="10"/>
    <n v="8"/>
    <n v="0"/>
    <n v="0"/>
    <n v="48"/>
    <n v="0"/>
    <n v="0"/>
    <n v="274.5"/>
    <n v="15"/>
    <n v="26.5"/>
    <s v="SRI GANGANAGAR"/>
    <s v="SRI GANGANAGAR"/>
    <s v="RJ-SGNR"/>
    <d v="2019-08-12T00:00:00"/>
  </r>
  <r>
    <s v="810223177104"/>
    <x v="2175"/>
    <s v="SATGURU TRADERS"/>
    <n v="177104"/>
    <s v="GARG SUPPLIERS"/>
    <n v="182.9"/>
    <n v="0"/>
    <n v="0"/>
    <n v="90"/>
    <n v="0"/>
    <n v="0"/>
    <n v="70"/>
    <n v="0"/>
    <n v="20"/>
    <n v="20"/>
    <n v="0"/>
    <n v="0"/>
    <n v="25"/>
    <n v="0"/>
    <n v="0"/>
    <n v="32.5"/>
    <n v="0"/>
    <n v="0"/>
    <n v="45"/>
    <n v="0"/>
    <n v="0"/>
    <n v="70"/>
    <n v="0"/>
    <n v="0"/>
    <n v="535.4"/>
    <n v="0"/>
    <n v="20"/>
    <s v="SRI GANGANAGAR"/>
    <s v="SRI GANGANAGAR"/>
    <s v="RJ-SGNR"/>
    <d v="2019-08-12T00:00:00"/>
  </r>
  <r>
    <s v="810387142843"/>
    <x v="2176"/>
    <s v="GARG ENTERPRISES"/>
    <n v="142843"/>
    <s v="GURUNANAK IRON STORE"/>
    <n v="35"/>
    <n v="0"/>
    <n v="0"/>
    <n v="15"/>
    <n v="0"/>
    <n v="0"/>
    <n v="14"/>
    <n v="0"/>
    <n v="0"/>
    <n v="15"/>
    <n v="0"/>
    <n v="0"/>
    <n v="12"/>
    <n v="0"/>
    <n v="0"/>
    <n v="15"/>
    <n v="0"/>
    <n v="0"/>
    <n v="65"/>
    <n v="0"/>
    <n v="20"/>
    <n v="60"/>
    <n v="0"/>
    <n v="45"/>
    <n v="231"/>
    <n v="0"/>
    <n v="20"/>
    <s v="SRI GANGANAGAR"/>
    <s v="SRI GANGANAGAR"/>
    <s v="RJ-SGNR"/>
    <d v="2019-08-28T00:00:00"/>
  </r>
  <r>
    <s v="810653142843"/>
    <x v="2177"/>
    <s v="VIJAY KUMAR"/>
    <n v="142843"/>
    <s v="GURUNANAK IRON STORE"/>
    <n v="55"/>
    <n v="0"/>
    <n v="0"/>
    <n v="22.45"/>
    <n v="0"/>
    <n v="0"/>
    <n v="44"/>
    <n v="0"/>
    <n v="0"/>
    <n v="60"/>
    <n v="0"/>
    <n v="0"/>
    <n v="63"/>
    <n v="0"/>
    <n v="20"/>
    <n v="57"/>
    <n v="0"/>
    <n v="22"/>
    <n v="0"/>
    <n v="0"/>
    <n v="0"/>
    <n v="35"/>
    <n v="0"/>
    <n v="0"/>
    <n v="336.45"/>
    <n v="0"/>
    <n v="42"/>
    <s v="SRI GANGANAGAR"/>
    <s v="SRI GANGANAGAR"/>
    <s v="RJ-SGNR"/>
    <d v="2019-10-18T00:00:00"/>
  </r>
  <r>
    <s v="810798119031"/>
    <x v="2178"/>
    <s v="PREM KUMAR SINGLA"/>
    <n v="119031"/>
    <s v="RAMESH CHANDRA RAJENDRA KUMAR"/>
    <n v="189.3"/>
    <n v="0"/>
    <n v="0"/>
    <n v="102"/>
    <n v="0"/>
    <n v="0"/>
    <n v="142"/>
    <n v="0"/>
    <n v="25"/>
    <n v="117"/>
    <n v="3.5"/>
    <n v="0"/>
    <n v="169.5"/>
    <n v="0"/>
    <n v="0"/>
    <n v="113"/>
    <n v="0"/>
    <n v="0"/>
    <n v="72"/>
    <n v="0"/>
    <n v="0"/>
    <n v="165"/>
    <n v="0"/>
    <n v="0"/>
    <n v="1069.8"/>
    <n v="3.5"/>
    <n v="25"/>
    <s v="SRI GANGANAGAR"/>
    <s v="SRI GANGANAGAR"/>
    <s v="RJ-SGNR"/>
    <d v="2019-11-18T00:00:00"/>
  </r>
  <r>
    <s v="810799206219"/>
    <x v="2179"/>
    <s v="SHYAM LAL"/>
    <n v="206219"/>
    <s v="SALASAR TRADERS"/>
    <n v="11"/>
    <n v="0"/>
    <n v="0"/>
    <n v="13"/>
    <n v="0"/>
    <n v="0"/>
    <n v="34"/>
    <n v="0"/>
    <n v="0"/>
    <n v="26.75"/>
    <n v="0"/>
    <n v="0"/>
    <n v="23.9"/>
    <n v="0"/>
    <n v="0"/>
    <n v="15"/>
    <n v="0"/>
    <n v="0"/>
    <n v="10"/>
    <n v="0"/>
    <n v="0"/>
    <n v="35"/>
    <n v="0"/>
    <n v="0"/>
    <n v="168.65"/>
    <n v="0"/>
    <n v="0"/>
    <s v="SRI GANGANAGAR"/>
    <s v="SRI GANGANAGAR"/>
    <s v="RJ-SGNR"/>
    <d v="2019-11-18T00:00:00"/>
  </r>
  <r>
    <s v="811315119031"/>
    <x v="2180"/>
    <s v="SEEMA RANI"/>
    <n v="119031"/>
    <s v="RAMESH CHANDRA RAJENDRA KUMAR"/>
    <n v="0"/>
    <n v="0"/>
    <n v="0"/>
    <n v="0"/>
    <n v="0"/>
    <n v="0"/>
    <n v="50"/>
    <n v="0"/>
    <n v="0"/>
    <n v="5"/>
    <n v="0"/>
    <n v="0"/>
    <n v="45"/>
    <n v="0"/>
    <n v="0"/>
    <n v="132"/>
    <n v="0"/>
    <n v="0"/>
    <n v="45"/>
    <n v="0"/>
    <n v="0"/>
    <n v="135"/>
    <n v="0"/>
    <n v="0"/>
    <n v="412"/>
    <n v="0"/>
    <n v="0"/>
    <s v="SRI GANGANAGAR"/>
    <s v="SRI GANGANAGAR"/>
    <s v="RJ-SGNR"/>
    <d v="2020-01-24T00:00:00"/>
  </r>
  <r>
    <s v="811510206219"/>
    <x v="2181"/>
    <s v="SATPAL"/>
    <n v="206219"/>
    <s v="SALASAR TRADERS"/>
    <n v="34"/>
    <n v="34.5"/>
    <n v="0"/>
    <n v="104.5"/>
    <n v="0"/>
    <n v="0"/>
    <n v="94.5"/>
    <n v="0"/>
    <n v="5"/>
    <n v="71.099999999999994"/>
    <n v="0"/>
    <n v="30"/>
    <n v="65"/>
    <n v="0"/>
    <n v="20"/>
    <n v="84.6"/>
    <n v="7.1"/>
    <n v="17.5"/>
    <n v="65"/>
    <n v="0"/>
    <n v="0"/>
    <n v="10"/>
    <n v="0"/>
    <n v="0"/>
    <n v="528.70000000000005"/>
    <n v="41.6"/>
    <n v="72.5"/>
    <s v="SRI GANGANAGAR"/>
    <s v="SRI GANGANAGAR"/>
    <s v="RJ-SGNR"/>
    <d v="2020-02-14T00:00:00"/>
  </r>
  <r>
    <s v="811870206219"/>
    <x v="2182"/>
    <s v="TEJARAM"/>
    <n v="206219"/>
    <s v="SALASAR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20-06-08T00:00:00"/>
  </r>
  <r>
    <s v="811871206219"/>
    <x v="2183"/>
    <s v="PANKAJ GARG"/>
    <n v="206219"/>
    <s v="SALASAR TRADERS"/>
    <n v="142"/>
    <n v="10"/>
    <n v="0"/>
    <n v="155"/>
    <n v="0"/>
    <n v="0"/>
    <n v="138.5"/>
    <n v="0"/>
    <n v="93.5"/>
    <n v="94.1"/>
    <n v="0"/>
    <n v="34.1"/>
    <n v="90"/>
    <n v="0"/>
    <n v="37.5"/>
    <n v="115"/>
    <n v="0"/>
    <n v="55"/>
    <n v="65"/>
    <n v="0"/>
    <n v="20"/>
    <n v="71"/>
    <n v="0"/>
    <n v="36"/>
    <n v="870.6"/>
    <n v="10"/>
    <n v="240.1"/>
    <s v="SRI GANGANAGAR"/>
    <s v="SRI GANGANAGAR"/>
    <s v="RJ-SGNR"/>
    <d v="2020-06-08T00:00:00"/>
  </r>
  <r>
    <s v="812551203137"/>
    <x v="2184"/>
    <s v="VARUN GOYAL"/>
    <n v="203137"/>
    <s v="GOYAL BUILDING MATERIAL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20-08-17T00:00:00"/>
  </r>
  <r>
    <s v="812563141556"/>
    <x v="2185"/>
    <s v="SAVETA CEMENT AGENCY"/>
    <n v="141556"/>
    <s v="GYANI BUILDING MATERIALS"/>
    <n v="40"/>
    <n v="0"/>
    <n v="0"/>
    <n v="55"/>
    <n v="0"/>
    <n v="0"/>
    <n v="100"/>
    <n v="0"/>
    <n v="0"/>
    <n v="35"/>
    <n v="0"/>
    <n v="0"/>
    <n v="80"/>
    <n v="0"/>
    <n v="0"/>
    <n v="40"/>
    <n v="0"/>
    <n v="0"/>
    <n v="75"/>
    <n v="0"/>
    <n v="0"/>
    <n v="15"/>
    <n v="0"/>
    <n v="0"/>
    <n v="440"/>
    <n v="0"/>
    <n v="0"/>
    <s v="SRI GANGANAGAR"/>
    <s v="SRI GANGANAGAR"/>
    <s v="RJ-SGNR"/>
    <d v="2020-08-18T00:00:00"/>
  </r>
  <r>
    <s v="812564141556"/>
    <x v="2186"/>
    <s v="BHAMBHU TILES"/>
    <n v="141556"/>
    <s v="GYANI BUILDING MATERIALS"/>
    <n v="1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50"/>
    <n v="0"/>
    <n v="0"/>
    <s v="SRI GANGANAGAR"/>
    <s v="SRI GANGANAGAR"/>
    <s v="RJ-SGNR"/>
    <d v="2020-08-18T00:00:00"/>
  </r>
  <r>
    <s v="812807177104"/>
    <x v="2187"/>
    <s v="DHANNARAM"/>
    <n v="177104"/>
    <s v="GARG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24"/>
    <n v="0"/>
    <n v="0"/>
    <s v="SRI GANGANAGAR"/>
    <s v="SRI GANGANAGAR"/>
    <s v="RJ-SGNR"/>
    <d v="2020-09-07T00:00:00"/>
  </r>
  <r>
    <s v="812821177104"/>
    <x v="2188"/>
    <s v="AMAR CHAND"/>
    <n v="177104"/>
    <s v="GARG SUPPLIERS"/>
    <n v="98"/>
    <n v="0"/>
    <n v="0"/>
    <n v="30"/>
    <n v="0"/>
    <n v="0"/>
    <n v="30"/>
    <n v="0"/>
    <n v="0"/>
    <n v="10"/>
    <n v="0"/>
    <n v="0"/>
    <n v="15"/>
    <n v="0"/>
    <n v="0"/>
    <n v="0"/>
    <n v="0"/>
    <n v="0"/>
    <n v="20"/>
    <n v="0"/>
    <n v="0"/>
    <n v="10"/>
    <n v="0"/>
    <n v="0"/>
    <n v="213"/>
    <n v="0"/>
    <n v="0"/>
    <s v="SRI GANGANAGAR"/>
    <s v="SRI GANGANAGAR"/>
    <s v="RJ-SGNR"/>
    <d v="2020-09-08T00:00:00"/>
  </r>
  <r>
    <s v="812823142843"/>
    <x v="2189"/>
    <s v="NARATARAM NEELKAMAL"/>
    <n v="142843"/>
    <s v="GURUNANAK IRON STORE"/>
    <n v="139.4"/>
    <n v="0"/>
    <n v="0"/>
    <n v="40"/>
    <n v="0"/>
    <n v="0"/>
    <n v="108"/>
    <n v="0"/>
    <n v="25"/>
    <n v="99.5"/>
    <n v="0"/>
    <n v="40"/>
    <n v="100"/>
    <n v="0"/>
    <n v="0"/>
    <n v="40"/>
    <n v="0"/>
    <n v="20"/>
    <n v="20"/>
    <n v="0"/>
    <n v="0"/>
    <n v="15"/>
    <n v="0"/>
    <n v="0"/>
    <n v="561.9"/>
    <n v="0"/>
    <n v="85"/>
    <s v="SRI GANGANAGAR"/>
    <s v="SRI GANGANAGAR"/>
    <s v="RJ-SGNR"/>
    <d v="2020-09-08T00:00:00"/>
  </r>
  <r>
    <s v="812838119031"/>
    <x v="2190"/>
    <s v="CHANDER SHEKHAR"/>
    <n v="119031"/>
    <s v="RAMESH CHANDRA RAJENDRA KUMAR"/>
    <n v="110"/>
    <n v="17"/>
    <n v="0"/>
    <n v="112"/>
    <n v="10"/>
    <n v="0"/>
    <n v="149"/>
    <n v="0"/>
    <n v="45"/>
    <n v="93.5"/>
    <n v="0"/>
    <n v="0"/>
    <n v="127"/>
    <n v="0"/>
    <n v="0"/>
    <n v="122"/>
    <n v="9"/>
    <n v="25"/>
    <n v="170"/>
    <n v="0"/>
    <n v="0"/>
    <n v="126"/>
    <n v="11"/>
    <n v="0"/>
    <n v="1009.5"/>
    <n v="36"/>
    <n v="70"/>
    <s v="SRI GANGANAGAR"/>
    <s v="SRI GANGANAGAR"/>
    <s v="RJ-SGNR"/>
    <d v="2020-09-09T00:00:00"/>
  </r>
  <r>
    <s v="814257206219"/>
    <x v="2191"/>
    <s v="SHESH KARAN BISHNOI"/>
    <n v="206219"/>
    <s v="SALASAR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21-01-25T00:00:00"/>
  </r>
  <r>
    <s v="814459172942"/>
    <x v="2192"/>
    <s v="S L IRON STORE"/>
    <n v="172942"/>
    <s v="LAXMI IRON STORE"/>
    <n v="55"/>
    <n v="0"/>
    <n v="0"/>
    <n v="110"/>
    <n v="0"/>
    <n v="0"/>
    <n v="151"/>
    <n v="0"/>
    <n v="45"/>
    <n v="60"/>
    <n v="0"/>
    <n v="35"/>
    <n v="35"/>
    <n v="0"/>
    <n v="0"/>
    <n v="38"/>
    <n v="0"/>
    <n v="16"/>
    <n v="20"/>
    <n v="0"/>
    <n v="0"/>
    <n v="40"/>
    <n v="0"/>
    <n v="0"/>
    <n v="509"/>
    <n v="0"/>
    <n v="96"/>
    <s v="SRI GANGANAGAR"/>
    <s v="SRI GANGANAGAR"/>
    <s v="RJ-SGNR"/>
    <d v="2021-02-12T00:00:00"/>
  </r>
  <r>
    <s v="814672142843"/>
    <x v="2193"/>
    <s v="SIYAL BUILDING MATERIAL"/>
    <n v="142843"/>
    <s v="GURUNANAK IRON STORE"/>
    <n v="122"/>
    <n v="0"/>
    <n v="0"/>
    <n v="85"/>
    <n v="0"/>
    <n v="0"/>
    <n v="80"/>
    <n v="0"/>
    <n v="0"/>
    <n v="48.5"/>
    <n v="0"/>
    <n v="48.5"/>
    <n v="45"/>
    <n v="0"/>
    <n v="0"/>
    <n v="15"/>
    <n v="0"/>
    <n v="0"/>
    <n v="40"/>
    <n v="0"/>
    <n v="0"/>
    <n v="40"/>
    <n v="0"/>
    <n v="0"/>
    <n v="475.5"/>
    <n v="0"/>
    <n v="48.5"/>
    <s v="SRI GANGANAGAR"/>
    <s v="SRI GANGANAGAR"/>
    <s v="RJ-SGNR"/>
    <d v="2021-03-02T00:00:00"/>
  </r>
  <r>
    <s v="814789119031"/>
    <x v="2194"/>
    <s v="ROSHAN BUILDERS AND SUPPLIERS"/>
    <n v="119031"/>
    <s v="RAMESH CHANDRA RAJENDRA KUMAR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5"/>
    <n v="0"/>
    <n v="0"/>
    <s v="SRI GANGANAGAR"/>
    <s v="SRI GANGANAGAR"/>
    <s v="RJ-SGNR"/>
    <d v="2021-03-19T00:00:00"/>
  </r>
  <r>
    <s v="814790119031"/>
    <x v="2195"/>
    <s v="NISHAN SINGH"/>
    <n v="119031"/>
    <s v="RAMESH CHANDRA RAJENDRA KUMAR"/>
    <n v="25"/>
    <n v="0"/>
    <n v="0"/>
    <n v="85"/>
    <n v="0"/>
    <n v="0"/>
    <n v="67.5"/>
    <n v="0"/>
    <n v="0"/>
    <n v="73.349999999999994"/>
    <n v="0"/>
    <n v="0"/>
    <n v="80"/>
    <n v="0"/>
    <n v="0"/>
    <n v="57"/>
    <n v="0"/>
    <n v="0"/>
    <n v="83.35"/>
    <n v="8.35"/>
    <n v="0"/>
    <n v="62"/>
    <n v="0"/>
    <n v="0"/>
    <n v="533.20000000000005"/>
    <n v="8.35"/>
    <n v="0"/>
    <s v="SRI GANGANAGAR"/>
    <s v="SRI GANGANAGAR"/>
    <s v="RJ-SGNR"/>
    <d v="2021-03-19T00:00:00"/>
  </r>
  <r>
    <s v="814791172942"/>
    <x v="2196"/>
    <s v="SHRI BALAJI BUILDING MATERIAL"/>
    <n v="172942"/>
    <s v="LAXMI IRON STORE"/>
    <n v="0"/>
    <n v="0"/>
    <n v="0"/>
    <n v="0"/>
    <n v="0"/>
    <n v="0"/>
    <n v="20"/>
    <n v="0"/>
    <n v="0"/>
    <n v="15"/>
    <n v="0"/>
    <n v="0"/>
    <n v="0"/>
    <n v="0"/>
    <n v="0"/>
    <n v="7"/>
    <n v="0"/>
    <n v="0"/>
    <n v="10"/>
    <n v="0"/>
    <n v="0"/>
    <n v="10"/>
    <n v="0"/>
    <n v="0"/>
    <n v="62"/>
    <n v="0"/>
    <n v="0"/>
    <s v="SRI GANGANAGAR"/>
    <s v="SRI GANGANAGAR"/>
    <s v="RJ-SGNR"/>
    <d v="2021-03-19T00:00:00"/>
  </r>
  <r>
    <s v="815167206219"/>
    <x v="2197"/>
    <s v="SANDHU SANITARY &amp;CEMENT STORE"/>
    <n v="206219"/>
    <s v="SALASAR TRADERS"/>
    <n v="128.9"/>
    <n v="0"/>
    <n v="0"/>
    <n v="60"/>
    <n v="0"/>
    <n v="0"/>
    <n v="105"/>
    <n v="0"/>
    <n v="0"/>
    <n v="67.5"/>
    <n v="0"/>
    <n v="0"/>
    <n v="65"/>
    <n v="0"/>
    <n v="0"/>
    <n v="67"/>
    <n v="0"/>
    <n v="0"/>
    <n v="30"/>
    <n v="0"/>
    <n v="20"/>
    <n v="93.75"/>
    <n v="0"/>
    <n v="30"/>
    <n v="617.15"/>
    <n v="0"/>
    <n v="20"/>
    <s v="SRI GANGANAGAR"/>
    <s v="SRI GANGANAGAR"/>
    <s v="RJ-SGNR"/>
    <d v="2021-06-16T00:00:00"/>
  </r>
  <r>
    <s v="815168177104"/>
    <x v="2198"/>
    <s v="ISMAIL KHAN"/>
    <n v="177104"/>
    <s v="GARG SUPPLIERS"/>
    <n v="45.9"/>
    <n v="0"/>
    <n v="0"/>
    <n v="105"/>
    <n v="0"/>
    <n v="0"/>
    <n v="57"/>
    <n v="0"/>
    <n v="0"/>
    <n v="20"/>
    <n v="0"/>
    <n v="0"/>
    <n v="41"/>
    <n v="0"/>
    <n v="0"/>
    <n v="0"/>
    <n v="0"/>
    <n v="0"/>
    <n v="10"/>
    <n v="0"/>
    <n v="0"/>
    <n v="23"/>
    <n v="0"/>
    <n v="0"/>
    <n v="301.89999999999998"/>
    <n v="0"/>
    <n v="0"/>
    <s v="SRI GANGANAGAR"/>
    <s v="SRI GANGANAGAR"/>
    <s v="RJ-SGNR"/>
    <d v="2021-06-16T00:00:00"/>
  </r>
  <r>
    <s v="815512206219"/>
    <x v="2199"/>
    <s v="ROSHAN LAL"/>
    <n v="206219"/>
    <s v="SALASAR TRADERS"/>
    <n v="50"/>
    <n v="0"/>
    <n v="0"/>
    <n v="12.95"/>
    <n v="0"/>
    <n v="0"/>
    <n v="91"/>
    <n v="0"/>
    <n v="0"/>
    <n v="30"/>
    <n v="0"/>
    <n v="0"/>
    <n v="18"/>
    <n v="0"/>
    <n v="0"/>
    <n v="23"/>
    <n v="0"/>
    <n v="0"/>
    <n v="45"/>
    <n v="0"/>
    <n v="0"/>
    <n v="10"/>
    <n v="0"/>
    <n v="0"/>
    <n v="279.95"/>
    <n v="0"/>
    <n v="0"/>
    <s v="SRI GANGANAGAR"/>
    <s v="SRI GANGANAGAR"/>
    <s v="RJ-SGNR"/>
    <d v="2021-07-14T00:00:00"/>
  </r>
  <r>
    <s v="815871149764"/>
    <x v="2200"/>
    <s v="TARUN BANSAL"/>
    <n v="149764"/>
    <s v="JMD CEMENT &amp; IRON STORE"/>
    <n v="75"/>
    <n v="0"/>
    <n v="0"/>
    <n v="35"/>
    <n v="0"/>
    <n v="0"/>
    <n v="40"/>
    <n v="0"/>
    <n v="25"/>
    <n v="0"/>
    <n v="0"/>
    <n v="0"/>
    <n v="33"/>
    <n v="0"/>
    <n v="0"/>
    <n v="42"/>
    <n v="0"/>
    <n v="0"/>
    <n v="5"/>
    <n v="0"/>
    <n v="0"/>
    <n v="35"/>
    <n v="0"/>
    <n v="0"/>
    <n v="265"/>
    <n v="0"/>
    <n v="25"/>
    <s v="SRI GANGANAGAR"/>
    <s v="SRI GANGANAGAR"/>
    <s v="RJ-SGNR"/>
    <d v="2021-08-07T00:00:00"/>
  </r>
  <r>
    <s v="815947172942"/>
    <x v="2201"/>
    <s v="REWARI BUILDING MATERIAL STORE"/>
    <n v="172942"/>
    <s v="LAXMI IRON STORE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0"/>
    <n v="0"/>
    <n v="0"/>
    <n v="21"/>
    <n v="0"/>
    <n v="0"/>
    <n v="46"/>
    <n v="0"/>
    <n v="0"/>
    <s v="SRI GANGANAGAR"/>
    <s v="SRI GANGANAGAR"/>
    <s v="RJ-SGNR"/>
    <d v="2021-08-16T00:00:00"/>
  </r>
  <r>
    <s v="816094141556"/>
    <x v="2202"/>
    <s v="SHIVA BUILDING MATERIAL"/>
    <n v="141556"/>
    <s v="GYANI BUILDING MATERIA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21-08-24T00:00:00"/>
  </r>
  <r>
    <s v="816095141556"/>
    <x v="2203"/>
    <s v="BALAJI PAD STORE"/>
    <n v="141556"/>
    <s v="GYANI BUILDING MATERIALS"/>
    <n v="0"/>
    <n v="0"/>
    <n v="0"/>
    <n v="40"/>
    <n v="0"/>
    <n v="0"/>
    <n v="30"/>
    <n v="0"/>
    <n v="0"/>
    <n v="39"/>
    <n v="0"/>
    <n v="0"/>
    <n v="40"/>
    <n v="0"/>
    <n v="0"/>
    <n v="55"/>
    <n v="0"/>
    <n v="0"/>
    <n v="15"/>
    <n v="0"/>
    <n v="0"/>
    <n v="0"/>
    <n v="0"/>
    <n v="0"/>
    <n v="219"/>
    <n v="0"/>
    <n v="0"/>
    <s v="SRI GANGANAGAR"/>
    <s v="SRI GANGANAGAR"/>
    <s v="RJ-SGNR"/>
    <d v="2021-08-24T00:00:00"/>
  </r>
  <r>
    <s v="816144119031"/>
    <x v="2204"/>
    <s v="SHRI BALAJI TRADERS"/>
    <n v="119031"/>
    <s v="RAMESH CHANDRA RAJENDRA KUMAR"/>
    <n v="0"/>
    <n v="0"/>
    <n v="0"/>
    <n v="15"/>
    <n v="0"/>
    <n v="0"/>
    <n v="31.5"/>
    <n v="0"/>
    <n v="0"/>
    <n v="60"/>
    <n v="0"/>
    <n v="0"/>
    <n v="60"/>
    <n v="0"/>
    <n v="0"/>
    <n v="70"/>
    <n v="0"/>
    <n v="0"/>
    <n v="30"/>
    <n v="0"/>
    <n v="0"/>
    <n v="82"/>
    <n v="0"/>
    <n v="0"/>
    <n v="348.5"/>
    <n v="0"/>
    <n v="0"/>
    <s v="SRI GANGANAGAR"/>
    <s v="SRI GANGANAGAR"/>
    <s v="RJ-SGNR"/>
    <d v="2021-08-27T00:00:00"/>
  </r>
  <r>
    <s v="816290209497"/>
    <x v="2205"/>
    <s v="KEVLEEN BUILDING MATERIAL"/>
    <n v="209497"/>
    <s v="GURSAANJ IRON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SRI GANGANAGAR"/>
    <s v="SRI GANGANAGAR"/>
    <s v="RJ-SGNR"/>
    <d v="2021-09-08T00:00:00"/>
  </r>
  <r>
    <s v="816290212429"/>
    <x v="2205"/>
    <s v="KEVLEEN BUILDING MATERIAL"/>
    <n v="212429"/>
    <s v="KAMBOJ BUILDING MATERIAL"/>
    <n v="0"/>
    <n v="15.45"/>
    <n v="0"/>
    <n v="45.45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65.45"/>
    <n v="15.45"/>
    <n v="0"/>
    <s v="SRI GANGANAGAR"/>
    <s v="SRI GANGANAGAR"/>
    <s v="RJ-SGNR"/>
    <d v="2021-09-08T00:00:00"/>
  </r>
  <r>
    <s v="816477119031"/>
    <x v="2206"/>
    <s v="ASHUKA SHUTTERING AND BUILDING"/>
    <n v="119031"/>
    <s v="RAMESH CHANDRA RAJENDRA KUMAR"/>
    <n v="31"/>
    <n v="0"/>
    <n v="0"/>
    <n v="95"/>
    <n v="0"/>
    <n v="0"/>
    <n v="165"/>
    <n v="0"/>
    <n v="0"/>
    <n v="90"/>
    <n v="0"/>
    <n v="0"/>
    <n v="117"/>
    <n v="0"/>
    <n v="0"/>
    <n v="137.5"/>
    <n v="0"/>
    <n v="20"/>
    <n v="88"/>
    <n v="0"/>
    <n v="0"/>
    <n v="88"/>
    <n v="0"/>
    <n v="0"/>
    <n v="811.5"/>
    <n v="0"/>
    <n v="20"/>
    <s v="SRI GANGANAGAR"/>
    <s v="SRI GANGANAGAR"/>
    <s v="RJ-SGNR"/>
    <d v="2021-09-24T00:00:00"/>
  </r>
  <r>
    <s v="817038149764"/>
    <x v="2207"/>
    <s v="DEEPAK SINGAL"/>
    <n v="149764"/>
    <s v="JMD CEMENT &amp; IRON STORE"/>
    <n v="25"/>
    <n v="0"/>
    <n v="0"/>
    <n v="80"/>
    <n v="0"/>
    <n v="0"/>
    <n v="61.5"/>
    <n v="0"/>
    <n v="16.5"/>
    <n v="22"/>
    <n v="0"/>
    <n v="0"/>
    <n v="67"/>
    <n v="0"/>
    <n v="0"/>
    <n v="95"/>
    <n v="5"/>
    <n v="0"/>
    <n v="140"/>
    <n v="0"/>
    <n v="0"/>
    <n v="203"/>
    <n v="0"/>
    <n v="0"/>
    <n v="693.5"/>
    <n v="5"/>
    <n v="16.5"/>
    <s v="SRI GANGANAGAR"/>
    <s v="SRI GANGANAGAR"/>
    <s v="RJ-SGNR"/>
    <d v="2021-11-17T00:00:00"/>
  </r>
  <r>
    <s v="817041119031"/>
    <x v="2208"/>
    <s v="DASHMESH SHUTTERING STORE"/>
    <n v="119031"/>
    <s v="RAMESH CHANDRA RAJENDRA KUMAR"/>
    <n v="20"/>
    <n v="25"/>
    <n v="0"/>
    <n v="25"/>
    <n v="0"/>
    <n v="0"/>
    <n v="25"/>
    <n v="0"/>
    <n v="0"/>
    <n v="20"/>
    <n v="0"/>
    <n v="0"/>
    <n v="22.5"/>
    <n v="0"/>
    <n v="7.5"/>
    <n v="10"/>
    <n v="0"/>
    <n v="0"/>
    <n v="0"/>
    <n v="0"/>
    <n v="0"/>
    <n v="25"/>
    <n v="0"/>
    <n v="0"/>
    <n v="147.5"/>
    <n v="25"/>
    <n v="7.5"/>
    <s v="SRI GANGANAGAR"/>
    <s v="SRI GANGANAGAR"/>
    <s v="RJ-SGNR"/>
    <d v="2021-11-17T00:00:00"/>
  </r>
  <r>
    <s v="817644172942"/>
    <x v="2209"/>
    <s v="SATPAL"/>
    <n v="172942"/>
    <s v="LAXMI IRON STORE"/>
    <n v="55"/>
    <n v="0"/>
    <n v="0"/>
    <n v="30"/>
    <n v="0"/>
    <n v="0"/>
    <n v="91"/>
    <n v="0"/>
    <n v="16"/>
    <n v="45"/>
    <n v="0"/>
    <n v="25"/>
    <n v="37"/>
    <n v="0"/>
    <n v="20"/>
    <n v="75"/>
    <n v="0"/>
    <n v="40"/>
    <n v="0"/>
    <n v="0"/>
    <n v="0"/>
    <n v="46"/>
    <n v="0"/>
    <n v="15"/>
    <n v="379"/>
    <n v="0"/>
    <n v="101"/>
    <s v="SRI GANGANAGAR"/>
    <s v="SRI GANGANAGAR"/>
    <s v="RJ-SGNR"/>
    <d v="2022-01-10T00:00:00"/>
  </r>
  <r>
    <s v="817677142843"/>
    <x v="2210"/>
    <s v="ASHA &amp; SONS"/>
    <n v="142843"/>
    <s v="GURUNANAK IRON STORE"/>
    <n v="20"/>
    <n v="0"/>
    <n v="0"/>
    <n v="25"/>
    <n v="0"/>
    <n v="0"/>
    <n v="61"/>
    <n v="0"/>
    <n v="0"/>
    <n v="17"/>
    <n v="0"/>
    <n v="0"/>
    <n v="15"/>
    <n v="0"/>
    <n v="0"/>
    <n v="12"/>
    <n v="0"/>
    <n v="0"/>
    <n v="0"/>
    <n v="0"/>
    <n v="0"/>
    <n v="25"/>
    <n v="0"/>
    <n v="0"/>
    <n v="175"/>
    <n v="0"/>
    <n v="0"/>
    <s v="SRI GANGANAGAR"/>
    <s v="SRI GANGANAGAR"/>
    <s v="RJ-SGNR"/>
    <d v="2022-01-13T00:00:00"/>
  </r>
  <r>
    <s v="818004149764"/>
    <x v="2211"/>
    <s v="RADHIKA ELECTRICAL AND BUILDIN"/>
    <n v="149764"/>
    <s v="JMD CEMENT &amp; IRON STORE"/>
    <n v="88.9"/>
    <n v="0"/>
    <n v="0"/>
    <n v="90"/>
    <n v="0"/>
    <n v="0"/>
    <n v="77.5"/>
    <n v="0"/>
    <n v="16.5"/>
    <n v="87"/>
    <n v="0"/>
    <n v="20"/>
    <n v="100"/>
    <n v="0"/>
    <n v="0"/>
    <n v="92"/>
    <n v="0"/>
    <n v="0"/>
    <n v="60"/>
    <n v="0"/>
    <n v="0"/>
    <n v="100"/>
    <n v="0"/>
    <n v="0"/>
    <n v="695.4"/>
    <n v="0"/>
    <n v="36.5"/>
    <s v="SRI GANGANAGAR"/>
    <s v="SRI GANGANAGAR"/>
    <s v="RJ-SGNR"/>
    <d v="2022-02-09T00:00:00"/>
  </r>
  <r>
    <s v="818159211282"/>
    <x v="2212"/>
    <s v="YAWAN BUILDING MATERIALS"/>
    <n v="211282"/>
    <s v="VINAYAK BUILDING MATERIALS"/>
    <n v="26"/>
    <n v="0"/>
    <n v="0"/>
    <n v="70"/>
    <n v="0"/>
    <n v="0"/>
    <n v="40"/>
    <n v="0"/>
    <n v="0"/>
    <n v="25"/>
    <n v="0"/>
    <n v="0"/>
    <n v="40"/>
    <n v="0"/>
    <n v="0"/>
    <n v="45"/>
    <n v="0"/>
    <n v="5"/>
    <n v="15"/>
    <n v="0"/>
    <n v="0"/>
    <n v="18"/>
    <n v="0"/>
    <n v="0"/>
    <n v="279"/>
    <n v="0"/>
    <n v="5"/>
    <s v="SRI GANGANAGAR"/>
    <s v="SRI GANGANAGAR"/>
    <s v="RJ-SGNR"/>
    <d v="2022-02-25T00:00:00"/>
  </r>
  <r>
    <s v="818161211282"/>
    <x v="2213"/>
    <s v="ARUN TRADERS"/>
    <n v="211282"/>
    <s v="VINAYAK BUILDING MATERIALS"/>
    <n v="44"/>
    <n v="0"/>
    <n v="0"/>
    <n v="110"/>
    <n v="0"/>
    <n v="0"/>
    <n v="85"/>
    <n v="0"/>
    <n v="20"/>
    <n v="46"/>
    <n v="0"/>
    <n v="0"/>
    <n v="56"/>
    <n v="0"/>
    <n v="0"/>
    <n v="50"/>
    <n v="0"/>
    <n v="20"/>
    <n v="55"/>
    <n v="0"/>
    <n v="30"/>
    <n v="27"/>
    <n v="0"/>
    <n v="0"/>
    <n v="473"/>
    <n v="0"/>
    <n v="70"/>
    <s v="SRI GANGANAGAR"/>
    <s v="SRI GANGANAGAR"/>
    <s v="RJ-SGNR"/>
    <d v="2022-02-25T00:00:00"/>
  </r>
  <r>
    <s v="818292212429"/>
    <x v="2214"/>
    <s v="KUBER TRADING COMPANY"/>
    <n v="212429"/>
    <s v="KAMBOJ BUILDING MATERIAL"/>
    <n v="0"/>
    <n v="0"/>
    <n v="0"/>
    <n v="0"/>
    <n v="0"/>
    <n v="0"/>
    <n v="50"/>
    <n v="0"/>
    <n v="25"/>
    <n v="45"/>
    <n v="0"/>
    <n v="45"/>
    <n v="0"/>
    <n v="0"/>
    <n v="0"/>
    <n v="0"/>
    <n v="0"/>
    <n v="0"/>
    <n v="0"/>
    <n v="0"/>
    <n v="0"/>
    <n v="0"/>
    <n v="0"/>
    <n v="0"/>
    <n v="95"/>
    <n v="0"/>
    <n v="70"/>
    <s v="SRI GANGANAGAR"/>
    <s v="SRI GANGANAGAR"/>
    <s v="RJ-SGNR"/>
    <d v="2022-03-07T00:00:00"/>
  </r>
  <r>
    <s v="818460211282"/>
    <x v="2215"/>
    <s v="CHOUDARY BUILDING MATERIAL"/>
    <n v="211282"/>
    <s v="VINAYAK BUILDING MATERIALS"/>
    <n v="0"/>
    <n v="0"/>
    <n v="0"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25"/>
    <n v="0"/>
    <n v="0"/>
    <s v="SRI GANGANAGAR"/>
    <s v="SRI GANGANAGAR"/>
    <s v="RJ-SGNR"/>
    <d v="2022-03-24T00:00:00"/>
  </r>
  <r>
    <s v="818585142843"/>
    <x v="2216"/>
    <s v="DARIYA SINGH"/>
    <n v="142843"/>
    <s v="GURUNANAK IRON STORE"/>
    <n v="0"/>
    <n v="0"/>
    <n v="0"/>
    <n v="90"/>
    <n v="0"/>
    <n v="0"/>
    <n v="142.44999999999999"/>
    <n v="0"/>
    <n v="32.450000000000003"/>
    <n v="137"/>
    <n v="0"/>
    <n v="30"/>
    <n v="15"/>
    <n v="0"/>
    <n v="0"/>
    <n v="85"/>
    <n v="0"/>
    <n v="0"/>
    <n v="15"/>
    <n v="0"/>
    <n v="0"/>
    <n v="22"/>
    <n v="0"/>
    <n v="0"/>
    <n v="506.45"/>
    <n v="0"/>
    <n v="62.45"/>
    <s v="SRI GANGANAGAR"/>
    <s v="SRI GANGANAGAR"/>
    <s v="RJ-SGNR"/>
    <d v="2022-04-06T00:00:00"/>
  </r>
  <r>
    <s v="818600119263"/>
    <x v="2217"/>
    <s v="RAMESH CHAND"/>
    <n v="119263"/>
    <s v="KUKKAR ENTERPRISES"/>
    <n v="35"/>
    <n v="0"/>
    <n v="0"/>
    <n v="43"/>
    <n v="0"/>
    <n v="0"/>
    <n v="37"/>
    <n v="0"/>
    <n v="27"/>
    <n v="55"/>
    <n v="0"/>
    <n v="40"/>
    <n v="28"/>
    <n v="0"/>
    <n v="13"/>
    <n v="67"/>
    <n v="0"/>
    <n v="11"/>
    <n v="30"/>
    <n v="0"/>
    <n v="0"/>
    <n v="0"/>
    <n v="0"/>
    <n v="0"/>
    <n v="295"/>
    <n v="0"/>
    <n v="91"/>
    <s v="SRI GANGANAGAR"/>
    <s v="SRI GANGANAGAR"/>
    <s v="RJ-SGNR"/>
    <d v="2022-04-08T00:00:00"/>
  </r>
  <r>
    <s v="818812119031"/>
    <x v="2218"/>
    <s v="PREMI BUILDING MATERIAL STORE"/>
    <n v="119031"/>
    <s v="RAMESH CHANDER RAJENDER KUMAR"/>
    <n v="0"/>
    <n v="0"/>
    <n v="0"/>
    <n v="125"/>
    <n v="0"/>
    <n v="0"/>
    <n v="172"/>
    <n v="0"/>
    <n v="20"/>
    <n v="66"/>
    <n v="0"/>
    <n v="0"/>
    <n v="180"/>
    <n v="0"/>
    <n v="0"/>
    <n v="133"/>
    <n v="0"/>
    <n v="0"/>
    <n v="249.5"/>
    <n v="0"/>
    <n v="0"/>
    <n v="200"/>
    <n v="0"/>
    <n v="0"/>
    <n v="1125.5"/>
    <n v="0"/>
    <n v="20"/>
    <s v="SRI GANGANAGAR"/>
    <s v="SRI GANGANAGAR"/>
    <s v="RJ-SGNR"/>
    <d v="2022-04-30T00:00:00"/>
  </r>
  <r>
    <s v="818858211282"/>
    <x v="2219"/>
    <s v="SHREE GANPATI BUILDING MATERIA"/>
    <n v="211282"/>
    <s v="VINAYAK BUILDING MATERIALS"/>
    <n v="0"/>
    <n v="0"/>
    <n v="0"/>
    <n v="50"/>
    <n v="0"/>
    <n v="0"/>
    <n v="60"/>
    <n v="0"/>
    <n v="0"/>
    <n v="35"/>
    <n v="0"/>
    <n v="10"/>
    <n v="51"/>
    <n v="0"/>
    <n v="0"/>
    <n v="50"/>
    <n v="0"/>
    <n v="25"/>
    <n v="49.3"/>
    <n v="0"/>
    <n v="19.3"/>
    <n v="0"/>
    <n v="0"/>
    <n v="0"/>
    <n v="295.3"/>
    <n v="0"/>
    <n v="54.3"/>
    <s v="SRI GANGANAGAR"/>
    <s v="SRI GANGANAGAR"/>
    <s v="RJ-SGNR"/>
    <d v="2022-05-06T00:00:00"/>
  </r>
  <r>
    <s v="818943206219"/>
    <x v="2220"/>
    <s v="PRTIBHA"/>
    <n v="206219"/>
    <s v="SALASAR TRADERS"/>
    <n v="0"/>
    <n v="0"/>
    <n v="0"/>
    <n v="63.25"/>
    <n v="0"/>
    <n v="0"/>
    <n v="25"/>
    <n v="0"/>
    <n v="0"/>
    <n v="46"/>
    <n v="0"/>
    <n v="0"/>
    <n v="25"/>
    <n v="0"/>
    <n v="0"/>
    <n v="70"/>
    <n v="0"/>
    <n v="15"/>
    <n v="0"/>
    <n v="0"/>
    <n v="0"/>
    <n v="30"/>
    <n v="0"/>
    <n v="20"/>
    <n v="259.25"/>
    <n v="0"/>
    <n v="15"/>
    <s v="SRI GANGANAGAR"/>
    <s v="SRI GANGANAGAR"/>
    <s v="RJ-SGNR"/>
    <d v="2022-05-16T00:00:00"/>
  </r>
  <r>
    <s v="818945206219"/>
    <x v="2221"/>
    <s v="SHISHPAL"/>
    <n v="206219"/>
    <s v="SALASAR TRADERS"/>
    <n v="0"/>
    <n v="9"/>
    <n v="0"/>
    <n v="117.25"/>
    <n v="0"/>
    <n v="0"/>
    <n v="142.55000000000001"/>
    <n v="0"/>
    <n v="2.5499999999999998"/>
    <n v="87"/>
    <n v="0"/>
    <n v="0"/>
    <n v="126.5"/>
    <n v="0"/>
    <n v="71.5"/>
    <n v="209.5"/>
    <n v="0"/>
    <n v="30"/>
    <n v="65"/>
    <n v="0"/>
    <n v="20"/>
    <n v="45"/>
    <n v="0"/>
    <n v="0"/>
    <n v="792.8"/>
    <n v="9"/>
    <n v="124.05"/>
    <s v="SRI GANGANAGAR"/>
    <s v="SRI GANGANAGAR"/>
    <s v="RJ-SGNR"/>
    <d v="2022-05-16T00:00:00"/>
  </r>
  <r>
    <s v="818958206219"/>
    <x v="2222"/>
    <s v="VINAYAK ENTERPRISES"/>
    <n v="206219"/>
    <s v="SALASAR TRADERS"/>
    <n v="0"/>
    <n v="0"/>
    <n v="0"/>
    <n v="80"/>
    <n v="0"/>
    <n v="0"/>
    <n v="60"/>
    <n v="0"/>
    <n v="0"/>
    <n v="7.15"/>
    <n v="0"/>
    <n v="7.15"/>
    <n v="10"/>
    <n v="0"/>
    <n v="0"/>
    <n v="45"/>
    <n v="0"/>
    <n v="0"/>
    <n v="32"/>
    <n v="0"/>
    <n v="0"/>
    <n v="30"/>
    <n v="0"/>
    <n v="0"/>
    <n v="264.14999999999998"/>
    <n v="0"/>
    <n v="7.15"/>
    <s v="SRI GANGANAGAR"/>
    <s v="SRI GANGANAGAR"/>
    <s v="RJ-SGNR"/>
    <d v="2022-05-16T00:00:00"/>
  </r>
  <r>
    <s v="819136212392"/>
    <x v="2223"/>
    <s v="PROGRESSIVE CONSTRUCTION"/>
    <n v="212392"/>
    <s v="HARBHAJAN DASS BHAGWAN DASS"/>
    <n v="0"/>
    <n v="0"/>
    <n v="0"/>
    <n v="0"/>
    <n v="0"/>
    <n v="0"/>
    <n v="108"/>
    <n v="0"/>
    <n v="20"/>
    <n v="83"/>
    <n v="0"/>
    <n v="35"/>
    <n v="90"/>
    <n v="0"/>
    <n v="25"/>
    <n v="46"/>
    <n v="0"/>
    <n v="0"/>
    <n v="25"/>
    <n v="0"/>
    <n v="0"/>
    <n v="0"/>
    <n v="0"/>
    <n v="0"/>
    <n v="352"/>
    <n v="0"/>
    <n v="80"/>
    <s v="SRI GANGANAGAR"/>
    <s v="SRI GANGANAGAR"/>
    <s v="RJ-SGNR"/>
    <d v="2022-05-31T00:00:00"/>
  </r>
  <r>
    <s v="819165211282"/>
    <x v="2224"/>
    <s v="GATHER COMPUTERIZED DHARAMKANT"/>
    <n v="211282"/>
    <s v="VINAYAK BUILDING MATERIALS"/>
    <n v="0"/>
    <n v="0"/>
    <n v="0"/>
    <n v="0"/>
    <n v="0"/>
    <n v="0"/>
    <n v="60"/>
    <n v="0"/>
    <n v="0"/>
    <n v="35"/>
    <n v="0"/>
    <n v="0"/>
    <n v="20"/>
    <n v="0"/>
    <n v="0"/>
    <n v="34"/>
    <n v="0"/>
    <n v="0"/>
    <n v="20"/>
    <n v="0"/>
    <n v="0"/>
    <n v="8"/>
    <n v="0"/>
    <n v="0"/>
    <n v="177"/>
    <n v="0"/>
    <n v="0"/>
    <s v="SRI GANGANAGAR"/>
    <s v="SRI GANGANAGAR"/>
    <s v="RJ-SGNR"/>
    <d v="2022-06-02T00:00:00"/>
  </r>
  <r>
    <s v="819180142843"/>
    <x v="2225"/>
    <s v="RAJVEER"/>
    <n v="142843"/>
    <s v="GURUNANAK IRON STORE"/>
    <n v="0"/>
    <n v="0"/>
    <n v="0"/>
    <n v="0"/>
    <n v="0"/>
    <n v="0"/>
    <n v="90"/>
    <n v="0"/>
    <n v="45"/>
    <n v="26"/>
    <n v="0"/>
    <n v="11"/>
    <n v="23"/>
    <n v="0"/>
    <n v="0"/>
    <n v="31.4"/>
    <n v="0"/>
    <n v="15"/>
    <n v="75"/>
    <n v="0"/>
    <n v="20"/>
    <n v="25"/>
    <n v="0"/>
    <n v="0"/>
    <n v="270.39999999999998"/>
    <n v="0"/>
    <n v="91"/>
    <s v="SRI GANGANAGAR"/>
    <s v="SRI GANGANAGAR"/>
    <s v="RJ-SGNR"/>
    <d v="2022-06-03T00:00:00"/>
  </r>
  <r>
    <s v="819182212380"/>
    <x v="2226"/>
    <s v="RAJVEER SINGH"/>
    <n v="212380"/>
    <s v="AMBIKA IRON STORE"/>
    <n v="0"/>
    <n v="0"/>
    <n v="0"/>
    <n v="0"/>
    <n v="0"/>
    <n v="0"/>
    <n v="71"/>
    <n v="0"/>
    <n v="60"/>
    <n v="145"/>
    <n v="0"/>
    <n v="0"/>
    <n v="65"/>
    <n v="0"/>
    <n v="55"/>
    <n v="105.9"/>
    <n v="0"/>
    <n v="71.400000000000006"/>
    <n v="30"/>
    <n v="0"/>
    <n v="0"/>
    <n v="11"/>
    <n v="0"/>
    <n v="0"/>
    <n v="427.9"/>
    <n v="0"/>
    <n v="186.4"/>
    <s v="SRI GANGANAGAR"/>
    <s v="SRI GANGANAGAR"/>
    <s v="RJ-SGNR"/>
    <d v="2022-06-03T00:00:00"/>
  </r>
  <r>
    <s v="819242212392"/>
    <x v="2227"/>
    <s v="SUBHASH CHANDRA"/>
    <n v="212392"/>
    <s v="HARBHAJAN DASS BHAGWAN DASS"/>
    <n v="0"/>
    <n v="0"/>
    <n v="0"/>
    <n v="0"/>
    <n v="0"/>
    <n v="0"/>
    <n v="90"/>
    <n v="0"/>
    <n v="5"/>
    <n v="59"/>
    <n v="0"/>
    <n v="31"/>
    <n v="115"/>
    <n v="0"/>
    <n v="65"/>
    <n v="108"/>
    <n v="0"/>
    <n v="87"/>
    <n v="15"/>
    <n v="0"/>
    <n v="0"/>
    <n v="68"/>
    <n v="0"/>
    <n v="38"/>
    <n v="455"/>
    <n v="0"/>
    <n v="188"/>
    <s v="SRI GANGANAGAR"/>
    <s v="SRI GANGANAGAR"/>
    <s v="RJ-SGNR"/>
    <d v="2022-06-09T00:00:00"/>
  </r>
  <r>
    <s v="819259212392"/>
    <x v="2228"/>
    <s v="TULSI RAM"/>
    <n v="212392"/>
    <s v="HARBHAJAN DASS BHAGWAN DASS"/>
    <n v="0"/>
    <n v="0"/>
    <n v="0"/>
    <n v="0"/>
    <n v="0"/>
    <n v="0"/>
    <n v="62"/>
    <n v="0"/>
    <n v="0"/>
    <n v="73"/>
    <n v="0"/>
    <n v="15"/>
    <n v="45"/>
    <n v="0"/>
    <n v="0"/>
    <n v="49.5"/>
    <n v="0"/>
    <n v="14"/>
    <n v="20"/>
    <n v="0"/>
    <n v="0"/>
    <n v="50"/>
    <n v="0"/>
    <n v="0"/>
    <n v="299.5"/>
    <n v="0"/>
    <n v="29"/>
    <s v="SRI GANGANAGAR"/>
    <s v="SRI GANGANAGAR"/>
    <s v="RJ-SGNR"/>
    <d v="2022-06-11T00:00:00"/>
  </r>
  <r>
    <s v="819866212380"/>
    <x v="2229"/>
    <s v="SITARAM"/>
    <n v="212380"/>
    <s v="AMBIKA IRON STORE"/>
    <n v="0"/>
    <n v="0"/>
    <n v="0"/>
    <n v="0"/>
    <n v="0"/>
    <n v="0"/>
    <n v="0"/>
    <n v="0"/>
    <n v="0"/>
    <n v="92"/>
    <n v="0"/>
    <n v="20"/>
    <n v="77.5"/>
    <n v="0"/>
    <n v="30"/>
    <n v="100"/>
    <n v="0"/>
    <n v="45"/>
    <n v="26"/>
    <n v="0"/>
    <n v="0"/>
    <n v="53"/>
    <n v="0"/>
    <n v="0"/>
    <n v="348.5"/>
    <n v="0"/>
    <n v="95"/>
    <s v="SRI GANGANAGAR"/>
    <s v="SRI GANGANAGAR"/>
    <s v="RJ-SGNR"/>
    <d v="2022-07-21T00:00:00"/>
  </r>
  <r>
    <s v="820080213018"/>
    <x v="2230"/>
    <s v="JP BUILDING MATERIAL"/>
    <n v="213018"/>
    <s v="KEVLEEN BUILDING MATERIAL"/>
    <n v="0"/>
    <n v="0"/>
    <n v="0"/>
    <n v="0"/>
    <n v="0"/>
    <n v="0"/>
    <n v="0"/>
    <n v="0"/>
    <n v="0"/>
    <n v="0"/>
    <n v="0"/>
    <n v="0"/>
    <n v="20"/>
    <n v="0"/>
    <n v="20"/>
    <n v="40"/>
    <n v="0"/>
    <n v="0"/>
    <n v="0"/>
    <n v="0"/>
    <n v="0"/>
    <n v="0"/>
    <n v="0"/>
    <n v="0"/>
    <n v="60"/>
    <n v="0"/>
    <n v="20"/>
    <s v="SRI GANGANAGAR"/>
    <s v="SRI GANGANAGAR"/>
    <s v="RJ-SGNR"/>
    <d v="2022-08-06T00:00:00"/>
  </r>
  <r>
    <s v="820086171924"/>
    <x v="2231"/>
    <s v="SHIV SHAKTI CEMENT AGENCY AND"/>
    <n v="171924"/>
    <s v="BALAJI CEMENT AGENCY"/>
    <n v="0"/>
    <n v="0"/>
    <n v="0"/>
    <n v="0"/>
    <n v="0"/>
    <n v="0"/>
    <n v="0"/>
    <n v="0"/>
    <n v="0"/>
    <n v="0"/>
    <n v="0"/>
    <n v="0"/>
    <n v="45"/>
    <n v="0"/>
    <n v="45"/>
    <n v="180"/>
    <n v="0"/>
    <n v="45"/>
    <n v="93"/>
    <n v="0"/>
    <n v="25"/>
    <n v="135"/>
    <n v="0"/>
    <n v="0"/>
    <n v="453"/>
    <n v="0"/>
    <n v="115"/>
    <s v="SRI GANGANAGAR"/>
    <s v="SRI GANGANAGAR"/>
    <s v="RJ-SGNR"/>
    <d v="2022-08-08T00:00:00"/>
  </r>
  <r>
    <s v="820088142843"/>
    <x v="2232"/>
    <s v="SANJAY CEMENT AGENCY"/>
    <n v="142843"/>
    <s v="GURUNANAK IRON STORE"/>
    <n v="0"/>
    <n v="0"/>
    <n v="0"/>
    <n v="0"/>
    <n v="0"/>
    <n v="0"/>
    <n v="0"/>
    <n v="0"/>
    <n v="0"/>
    <n v="0"/>
    <n v="0"/>
    <n v="0"/>
    <n v="50"/>
    <n v="0"/>
    <n v="15"/>
    <n v="110"/>
    <n v="0"/>
    <n v="0"/>
    <n v="0"/>
    <n v="0"/>
    <n v="0"/>
    <n v="15"/>
    <n v="0"/>
    <n v="0"/>
    <n v="175"/>
    <n v="0"/>
    <n v="15"/>
    <s v="SRI GANGANAGAR"/>
    <s v="SRI GANGANAGAR"/>
    <s v="RJ-SGNR"/>
    <d v="2022-08-08T00:00:00"/>
  </r>
  <r>
    <s v="820090212380"/>
    <x v="2233"/>
    <s v="RAM CHANDER"/>
    <n v="212380"/>
    <s v="AMBIKA IRON STORE"/>
    <n v="0"/>
    <n v="0"/>
    <n v="0"/>
    <n v="0"/>
    <n v="0"/>
    <n v="0"/>
    <n v="0"/>
    <n v="0"/>
    <n v="0"/>
    <n v="0"/>
    <n v="0"/>
    <n v="0"/>
    <n v="99"/>
    <n v="0"/>
    <n v="0"/>
    <n v="100.6"/>
    <n v="0"/>
    <n v="20"/>
    <n v="105"/>
    <n v="0"/>
    <n v="75"/>
    <n v="67"/>
    <n v="0"/>
    <n v="25"/>
    <n v="371.6"/>
    <n v="0"/>
    <n v="95"/>
    <s v="SRI GANGANAGAR"/>
    <s v="SRI GANGANAGAR"/>
    <s v="RJ-SGNR"/>
    <d v="2022-08-08T00:00:00"/>
  </r>
  <r>
    <s v="820200212380"/>
    <x v="2234"/>
    <s v="RAHUL GANDHI"/>
    <n v="212380"/>
    <s v="AMBIKA IRON STORE"/>
    <n v="0"/>
    <n v="0"/>
    <n v="0"/>
    <n v="0"/>
    <n v="0"/>
    <n v="0"/>
    <n v="0"/>
    <n v="0"/>
    <n v="0"/>
    <n v="0"/>
    <n v="0"/>
    <n v="0"/>
    <n v="17"/>
    <n v="0"/>
    <n v="0"/>
    <n v="20"/>
    <n v="0"/>
    <n v="0"/>
    <n v="18"/>
    <n v="0"/>
    <n v="0"/>
    <n v="5"/>
    <n v="0"/>
    <n v="0"/>
    <n v="60"/>
    <n v="0"/>
    <n v="0"/>
    <s v="SRI GANGANAGAR"/>
    <s v="SRI GANGANAGAR"/>
    <s v="RJ-SGNR"/>
    <d v="2022-08-22T00:00:00"/>
  </r>
  <r>
    <s v="820263204208"/>
    <x v="2235"/>
    <s v="DEEPAK KUMAR"/>
    <n v="204208"/>
    <s v="NIMBIWAL BUILDING MATERIAL&amp;SUP"/>
    <n v="0"/>
    <n v="0"/>
    <n v="0"/>
    <n v="0"/>
    <n v="0"/>
    <n v="0"/>
    <n v="0"/>
    <n v="0"/>
    <n v="0"/>
    <n v="0"/>
    <n v="0"/>
    <n v="0"/>
    <n v="20"/>
    <n v="0"/>
    <n v="0"/>
    <n v="86"/>
    <n v="0"/>
    <n v="11"/>
    <n v="75"/>
    <n v="0"/>
    <n v="0"/>
    <n v="30"/>
    <n v="0"/>
    <n v="0"/>
    <n v="211"/>
    <n v="0"/>
    <n v="11"/>
    <s v="SRI GANGANAGAR"/>
    <s v="SRI GANGANAGAR"/>
    <s v="RJ-SGNR"/>
    <d v="2022-08-25T00:00:00"/>
  </r>
  <r>
    <s v="818292213018"/>
    <x v="2214"/>
    <s v="KUBER TRADING COMPANY"/>
    <n v="213018"/>
    <s v="KEVLEEN BUILDING MATERIAL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0"/>
    <n v="0"/>
    <n v="0"/>
    <n v="45"/>
    <n v="0"/>
    <n v="20"/>
    <n v="95"/>
    <n v="0"/>
    <n v="0"/>
    <s v="SRI GANGANAGAR"/>
    <s v="SRI GANGANAGAR"/>
    <s v="RJ-SGNR"/>
    <d v="2022-03-07T00:00:00"/>
  </r>
  <r>
    <s v="820085119031"/>
    <x v="2236"/>
    <s v="GURPINDER SINGH"/>
    <n v="119031"/>
    <s v="RAMESH CHANDER RAJENDER KUMAR"/>
    <n v="0"/>
    <n v="0"/>
    <n v="0"/>
    <n v="0"/>
    <n v="0"/>
    <n v="0"/>
    <n v="0"/>
    <n v="0"/>
    <n v="0"/>
    <n v="0"/>
    <n v="0"/>
    <n v="0"/>
    <n v="0"/>
    <n v="0"/>
    <n v="0"/>
    <n v="62"/>
    <n v="0"/>
    <n v="0"/>
    <n v="45"/>
    <n v="0"/>
    <n v="0"/>
    <n v="20"/>
    <n v="0"/>
    <n v="0"/>
    <n v="127"/>
    <n v="0"/>
    <n v="0"/>
    <s v="SRI GANGANAGAR"/>
    <s v="SRI GANGANAGAR"/>
    <s v="RJ-SGNR"/>
    <d v="2022-08-08T00:00:00"/>
  </r>
  <r>
    <s v="819273119031"/>
    <x v="2237"/>
    <s v="BALAJI BUILDING MATERIAL"/>
    <n v="119031"/>
    <s v="RAMESH CHANDER RAJENDER KUMAR"/>
    <n v="0"/>
    <n v="0"/>
    <n v="0"/>
    <n v="0"/>
    <n v="0"/>
    <n v="0"/>
    <n v="0"/>
    <n v="0"/>
    <n v="0"/>
    <n v="0"/>
    <n v="0"/>
    <n v="0"/>
    <n v="0"/>
    <n v="0"/>
    <n v="0"/>
    <n v="107"/>
    <n v="10"/>
    <n v="25"/>
    <n v="30"/>
    <n v="0"/>
    <n v="0"/>
    <n v="0"/>
    <n v="0"/>
    <n v="0"/>
    <n v="137"/>
    <n v="10"/>
    <n v="25"/>
    <s v="SRI GANGANAGAR"/>
    <s v="SRI GANGANAGAR"/>
    <s v="RJ-SGNR"/>
    <d v="2022-06-11T00:00:00"/>
  </r>
  <r>
    <s v="820456172942"/>
    <x v="2238"/>
    <s v="ARJAN DHARAMKANTA"/>
    <n v="172942"/>
    <s v="LAXMI IRON STORE"/>
    <n v="0"/>
    <n v="0"/>
    <n v="0"/>
    <n v="0"/>
    <n v="0"/>
    <n v="0"/>
    <n v="0"/>
    <n v="0"/>
    <n v="0"/>
    <n v="0"/>
    <n v="0"/>
    <n v="0"/>
    <n v="0"/>
    <n v="0"/>
    <n v="0"/>
    <n v="58"/>
    <n v="0"/>
    <n v="0"/>
    <n v="0"/>
    <n v="0"/>
    <n v="0"/>
    <n v="30"/>
    <n v="0"/>
    <n v="0"/>
    <n v="88"/>
    <n v="0"/>
    <n v="0"/>
    <s v="SRI GANGANAGAR"/>
    <s v="SRI GANGANAGAR"/>
    <s v="RJ-SGNR"/>
    <d v="2022-09-09T00:00:00"/>
  </r>
  <r>
    <s v="820515212392"/>
    <x v="2239"/>
    <s v="DEEPAK CEMENT AGENCY"/>
    <n v="212392"/>
    <s v="HARBHAJAN DASS BHAGWAN DASS"/>
    <n v="0"/>
    <n v="0"/>
    <n v="0"/>
    <n v="0"/>
    <n v="0"/>
    <n v="0"/>
    <n v="0"/>
    <n v="0"/>
    <n v="0"/>
    <n v="0"/>
    <n v="0"/>
    <n v="0"/>
    <n v="0"/>
    <n v="0"/>
    <n v="0"/>
    <n v="65"/>
    <n v="0"/>
    <n v="36"/>
    <n v="55"/>
    <n v="0"/>
    <n v="0"/>
    <n v="15"/>
    <n v="0"/>
    <n v="5"/>
    <n v="135"/>
    <n v="0"/>
    <n v="36"/>
    <s v="SRI GANGANAGAR"/>
    <s v="SRI GANGANAGAR"/>
    <s v="RJ-SGNR"/>
    <d v="2022-09-14T00:00:00"/>
  </r>
  <r>
    <s v="820540212380"/>
    <x v="2240"/>
    <s v="RAJENDER KUMAR"/>
    <n v="212380"/>
    <s v="AMBIKA IRON STORE"/>
    <n v="0"/>
    <n v="0"/>
    <n v="0"/>
    <n v="0"/>
    <n v="0"/>
    <n v="0"/>
    <n v="0"/>
    <n v="0"/>
    <n v="0"/>
    <n v="0"/>
    <n v="0"/>
    <n v="0"/>
    <n v="0"/>
    <n v="0"/>
    <n v="0"/>
    <n v="66"/>
    <n v="0"/>
    <n v="20"/>
    <n v="15"/>
    <n v="0"/>
    <n v="0"/>
    <n v="20"/>
    <n v="0"/>
    <n v="20"/>
    <n v="101"/>
    <n v="0"/>
    <n v="20"/>
    <s v="SRI GANGANAGAR"/>
    <s v="SRI GANGANAGAR"/>
    <s v="RJ-SGNR"/>
    <d v="2022-09-15T00:00:00"/>
  </r>
  <r>
    <s v="820545206219"/>
    <x v="2241"/>
    <s v="YOGESH SWAMI"/>
    <n v="206219"/>
    <s v="SALASAR TRADERS"/>
    <n v="0"/>
    <n v="0"/>
    <n v="0"/>
    <n v="0"/>
    <n v="0"/>
    <n v="0"/>
    <n v="0"/>
    <n v="0"/>
    <n v="0"/>
    <n v="0"/>
    <n v="0"/>
    <n v="0"/>
    <n v="0"/>
    <n v="0"/>
    <n v="0"/>
    <n v="71.5"/>
    <n v="0"/>
    <n v="7.5"/>
    <n v="0"/>
    <n v="0"/>
    <n v="0"/>
    <n v="25"/>
    <n v="0"/>
    <n v="0"/>
    <n v="96.5"/>
    <n v="0"/>
    <n v="7.5"/>
    <s v="SRI GANGANAGAR"/>
    <s v="SRI GANGANAGAR"/>
    <s v="RJ-SGNR"/>
    <d v="2022-09-15T00:00:00"/>
  </r>
  <r>
    <s v="820588142843"/>
    <x v="2242"/>
    <s v="GODARA TRADERS"/>
    <n v="142843"/>
    <s v="GURUNANAK IRON STORE"/>
    <n v="0"/>
    <n v="0"/>
    <n v="0"/>
    <n v="0"/>
    <n v="0"/>
    <n v="0"/>
    <n v="0"/>
    <n v="0"/>
    <n v="0"/>
    <n v="0"/>
    <n v="0"/>
    <n v="0"/>
    <n v="0"/>
    <n v="0"/>
    <n v="0"/>
    <n v="45"/>
    <n v="0"/>
    <n v="0"/>
    <n v="0"/>
    <n v="0"/>
    <n v="0"/>
    <n v="55"/>
    <n v="0"/>
    <n v="0"/>
    <n v="100"/>
    <n v="0"/>
    <n v="0"/>
    <s v="SRI GANGANAGAR"/>
    <s v="SRI GANGANAGAR"/>
    <s v="RJ-SGNR"/>
    <d v="2022-09-19T00:00:00"/>
  </r>
  <r>
    <s v="820626172942"/>
    <x v="2243"/>
    <s v="MAHAVEER PRASAD"/>
    <n v="172942"/>
    <s v="LAXMI IRON STORE"/>
    <n v="0"/>
    <n v="0"/>
    <n v="0"/>
    <n v="0"/>
    <n v="0"/>
    <n v="0"/>
    <n v="0"/>
    <n v="0"/>
    <n v="0"/>
    <n v="0"/>
    <n v="0"/>
    <n v="0"/>
    <n v="0"/>
    <n v="0"/>
    <n v="0"/>
    <n v="19"/>
    <n v="0"/>
    <n v="0"/>
    <n v="0"/>
    <n v="0"/>
    <n v="0"/>
    <n v="25"/>
    <n v="0"/>
    <n v="0"/>
    <n v="44"/>
    <n v="0"/>
    <n v="0"/>
    <s v="SRI GANGANAGAR"/>
    <s v="SRI GANGANAGAR"/>
    <s v="RJ-SGNR"/>
    <d v="2022-09-20T00:00:00"/>
  </r>
  <r>
    <s v="819182142843"/>
    <x v="2226"/>
    <s v="RAJVEER SINGH"/>
    <n v="142843"/>
    <s v="GURUNANAK IRON STO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30"/>
    <n v="0"/>
    <n v="0"/>
    <s v="SRI GANGANAGAR"/>
    <s v="SRI GANGANAGAR"/>
    <s v="RJ-SGNR"/>
    <d v="2022-06-03T00:00:00"/>
  </r>
  <r>
    <s v="820883212392"/>
    <x v="2244"/>
    <s v="KAMNA"/>
    <n v="212392"/>
    <s v="HARBHAJAN DASS BHAGWAN DAS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SRI GANGANAGAR"/>
    <s v="SRI GANGANAGAR"/>
    <s v="RJ-SGNR"/>
    <d v="2022-10-07T00:00:00"/>
  </r>
  <r>
    <s v="820884212392"/>
    <x v="2245"/>
    <s v="GURMEET SINGH"/>
    <n v="212392"/>
    <s v="HARBHAJAN DASS BHAGWAN DAS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25"/>
    <n v="0"/>
    <n v="0"/>
    <s v="SRI GANGANAGAR"/>
    <s v="SRI GANGANAGAR"/>
    <s v="RJ-SGNR"/>
    <d v="2022-10-07T00:00:00"/>
  </r>
  <r>
    <s v="821120141556"/>
    <x v="2246"/>
    <s v="SHARI SHAKATI BUILDING MATERIA"/>
    <n v="141556"/>
    <s v="GYANI BUILDING MATERIAL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65"/>
    <n v="0"/>
    <n v="0"/>
    <n v="80"/>
    <n v="0"/>
    <n v="0"/>
    <s v="SRI GANGANAGAR"/>
    <s v="SRI GANGANAGAR"/>
    <s v="RJ-SGNR"/>
    <d v="2022-11-01T00:00:00"/>
  </r>
  <r>
    <s v="821074119263"/>
    <x v="2247"/>
    <s v="BRAR TILES"/>
    <n v="119263"/>
    <s v="KUKKA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2"/>
    <n v="0"/>
    <n v="0"/>
    <n v="37"/>
    <n v="0"/>
    <n v="0"/>
    <s v="SRI GANGANAGAR"/>
    <s v="SRI GANGANAGAR"/>
    <s v="RJ-SGNR"/>
    <d v="2022-10-28T00:00:00"/>
  </r>
  <r>
    <s v="802088170248"/>
    <x v="2248"/>
    <s v="RISHABH TRADERS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12.5"/>
    <n v="0"/>
    <n v="0"/>
    <n v="10"/>
    <n v="0"/>
    <n v="0"/>
    <n v="10"/>
    <n v="0"/>
    <n v="0"/>
    <n v="32.5"/>
    <n v="0"/>
    <n v="0"/>
    <s v="BHILWARA"/>
    <s v="BHILWARA"/>
    <s v="RJ-UDAIPUR"/>
    <d v="2013-06-10T00:00:00"/>
  </r>
  <r>
    <s v="802094122282"/>
    <x v="2249"/>
    <s v="HANUMAN TRADERS"/>
    <n v="122282"/>
    <s v="PIPARA SALES"/>
    <n v="15"/>
    <n v="0"/>
    <n v="0"/>
    <n v="19"/>
    <n v="0"/>
    <n v="0"/>
    <n v="26.05"/>
    <n v="0"/>
    <n v="0"/>
    <n v="18"/>
    <n v="0"/>
    <n v="0"/>
    <n v="7.9"/>
    <n v="2.9"/>
    <n v="5"/>
    <n v="9"/>
    <n v="0"/>
    <n v="0"/>
    <n v="8"/>
    <n v="0"/>
    <n v="0"/>
    <n v="16"/>
    <n v="0"/>
    <n v="0"/>
    <n v="118.95"/>
    <n v="2.9"/>
    <n v="5"/>
    <s v="BHILWARA"/>
    <s v="BHILWARA"/>
    <s v="RJ-UDAIPUR"/>
    <d v="2013-06-15T00:00:00"/>
  </r>
  <r>
    <s v="802095122282"/>
    <x v="2250"/>
    <s v="MAWADA TRADERS"/>
    <n v="122282"/>
    <s v="PIPARA SALES"/>
    <n v="46"/>
    <n v="0"/>
    <n v="0"/>
    <n v="63"/>
    <n v="0"/>
    <n v="0"/>
    <n v="72"/>
    <n v="0"/>
    <n v="0"/>
    <n v="36"/>
    <n v="0"/>
    <n v="0"/>
    <n v="16"/>
    <n v="0"/>
    <n v="0"/>
    <n v="48"/>
    <n v="0"/>
    <n v="0"/>
    <n v="24"/>
    <n v="0"/>
    <n v="0"/>
    <n v="32"/>
    <n v="0"/>
    <n v="0"/>
    <n v="337"/>
    <n v="0"/>
    <n v="0"/>
    <s v="BHILWARA"/>
    <s v="BHILWARA"/>
    <s v="RJ-UDAIPUR"/>
    <d v="2013-06-15T00:00:00"/>
  </r>
  <r>
    <s v="802100122282"/>
    <x v="2251"/>
    <s v="RAWAT CEMENT SUPPLIERS"/>
    <n v="122282"/>
    <s v="PIPARA SALES"/>
    <n v="15"/>
    <n v="0"/>
    <n v="0"/>
    <n v="18"/>
    <n v="0"/>
    <n v="0"/>
    <n v="26"/>
    <n v="0"/>
    <n v="0"/>
    <n v="24"/>
    <n v="0"/>
    <n v="0"/>
    <n v="24"/>
    <n v="0"/>
    <n v="0"/>
    <n v="32"/>
    <n v="0"/>
    <n v="0"/>
    <n v="24"/>
    <n v="0"/>
    <n v="0"/>
    <n v="32"/>
    <n v="0"/>
    <n v="0"/>
    <n v="195"/>
    <n v="0"/>
    <n v="0"/>
    <s v="BHILWARA"/>
    <s v="BHILWARA"/>
    <s v="RJ-UDAIPUR"/>
    <d v="2013-06-17T00:00:00"/>
  </r>
  <r>
    <s v="802161170248"/>
    <x v="2252"/>
    <s v="KISAN BUILDING MATERIAL"/>
    <n v="170248"/>
    <s v="MAHAVEER ENTERPRISES"/>
    <n v="40"/>
    <n v="0"/>
    <n v="0"/>
    <n v="29"/>
    <n v="0"/>
    <n v="0"/>
    <n v="24"/>
    <n v="0"/>
    <n v="0"/>
    <n v="19"/>
    <n v="0"/>
    <n v="0"/>
    <n v="8"/>
    <n v="0"/>
    <n v="0"/>
    <n v="26.75"/>
    <n v="1.75"/>
    <n v="0"/>
    <n v="15"/>
    <n v="0"/>
    <n v="0"/>
    <n v="10"/>
    <n v="0"/>
    <n v="0"/>
    <n v="171.75"/>
    <n v="1.75"/>
    <n v="0"/>
    <s v="BHILWARA"/>
    <s v="BHILWARA"/>
    <s v="RJ-UDAIPUR"/>
    <d v="2013-07-05T00:00:00"/>
  </r>
  <r>
    <s v="802196122282"/>
    <x v="2253"/>
    <s v="BHERV SINGH BHATI"/>
    <n v="122282"/>
    <s v="PIPARA SALES"/>
    <n v="20"/>
    <n v="0"/>
    <n v="0"/>
    <n v="22"/>
    <n v="0"/>
    <n v="0"/>
    <n v="24.4"/>
    <n v="0"/>
    <n v="0"/>
    <n v="23"/>
    <n v="0"/>
    <n v="0"/>
    <n v="16"/>
    <n v="0"/>
    <n v="0"/>
    <n v="16"/>
    <n v="0"/>
    <n v="0"/>
    <n v="11"/>
    <n v="0"/>
    <n v="0"/>
    <n v="33"/>
    <n v="0"/>
    <n v="0"/>
    <n v="165.4"/>
    <n v="0"/>
    <n v="0"/>
    <s v="BHILWARA"/>
    <s v="BHILWARA"/>
    <s v="RJ-UDAIPUR"/>
    <d v="2013-07-11T00:00:00"/>
  </r>
  <r>
    <s v="803003122282"/>
    <x v="2254"/>
    <s v="PADAM CEMENT AGENCY"/>
    <n v="122282"/>
    <s v="PIPARA SALES"/>
    <n v="45.75"/>
    <n v="5"/>
    <n v="0"/>
    <n v="68"/>
    <n v="25.75"/>
    <n v="0"/>
    <n v="109"/>
    <n v="0"/>
    <n v="10"/>
    <n v="88.4"/>
    <n v="17.399999999999999"/>
    <n v="0"/>
    <n v="82.5"/>
    <n v="24"/>
    <n v="0"/>
    <n v="91"/>
    <n v="10"/>
    <n v="0"/>
    <n v="59.35"/>
    <n v="6.35"/>
    <n v="0"/>
    <n v="79"/>
    <n v="0"/>
    <n v="0"/>
    <n v="623"/>
    <n v="88.5"/>
    <n v="10"/>
    <s v="BHILWARA"/>
    <s v="BHILWARA"/>
    <s v="RJ-UDAIPUR"/>
    <d v="2013-11-21T00:00:00"/>
  </r>
  <r>
    <s v="805752170248"/>
    <x v="2255"/>
    <s v="VINAYAK TRADERS"/>
    <n v="170248"/>
    <s v="MAHAVEER ENTERPRISES"/>
    <n v="10"/>
    <n v="0"/>
    <n v="0"/>
    <n v="10"/>
    <n v="0"/>
    <n v="0"/>
    <n v="19.899999999999999"/>
    <n v="0"/>
    <n v="1"/>
    <n v="24.7"/>
    <n v="1"/>
    <n v="1.5"/>
    <n v="1.5"/>
    <n v="0"/>
    <n v="0"/>
    <n v="19.95"/>
    <n v="0"/>
    <n v="0"/>
    <n v="20"/>
    <n v="0"/>
    <n v="0"/>
    <n v="20"/>
    <n v="8.5"/>
    <n v="0"/>
    <n v="126.05"/>
    <n v="1"/>
    <n v="2.5"/>
    <s v="BHILWARA"/>
    <s v="BHILWARA"/>
    <s v="RJ-UDAIPUR"/>
    <d v="2016-11-15T00:00:00"/>
  </r>
  <r>
    <s v="805986170248"/>
    <x v="2256"/>
    <s v="POOJA SAINETRY AND HARDWARE AN"/>
    <n v="170248"/>
    <s v="MAHAVEER ENTERPRISES"/>
    <n v="40"/>
    <n v="0"/>
    <n v="0"/>
    <n v="34.5"/>
    <n v="0"/>
    <n v="0"/>
    <n v="15"/>
    <n v="0"/>
    <n v="0"/>
    <n v="40"/>
    <n v="0"/>
    <n v="0"/>
    <n v="8"/>
    <n v="0"/>
    <n v="0"/>
    <n v="77.75"/>
    <n v="0"/>
    <n v="12.75"/>
    <n v="25"/>
    <n v="0"/>
    <n v="0"/>
    <n v="25"/>
    <n v="0"/>
    <n v="0"/>
    <n v="265.25"/>
    <n v="0"/>
    <n v="12.75"/>
    <s v="BHILWARA"/>
    <s v="BHILWARA"/>
    <s v="RJ-UDAIPUR"/>
    <d v="2017-01-30T00:00:00"/>
  </r>
  <r>
    <s v="806178170248"/>
    <x v="2257"/>
    <s v="BALAJI TRADERS"/>
    <n v="170248"/>
    <s v="MAHAVEER ENTERPRISES"/>
    <n v="0"/>
    <n v="0"/>
    <n v="0"/>
    <n v="25"/>
    <n v="0"/>
    <n v="0"/>
    <n v="0"/>
    <n v="0"/>
    <n v="0"/>
    <n v="10"/>
    <n v="0"/>
    <n v="0"/>
    <n v="0"/>
    <n v="0"/>
    <n v="0"/>
    <n v="0"/>
    <n v="0"/>
    <n v="0"/>
    <n v="12.5"/>
    <n v="2.5"/>
    <n v="0"/>
    <n v="20"/>
    <n v="0"/>
    <n v="0"/>
    <n v="67.5"/>
    <n v="2.5"/>
    <n v="0"/>
    <s v="BHILWARA"/>
    <s v="BHILWARA"/>
    <s v="RJ-UDAIPUR"/>
    <d v="2017-03-22T00:00:00"/>
  </r>
  <r>
    <s v="807026171909"/>
    <x v="2258"/>
    <s v="ANKIT LADDHA"/>
    <n v="171909"/>
    <s v="SAI NATH BUILDING MATERIALS"/>
    <n v="0"/>
    <n v="0"/>
    <n v="0"/>
    <n v="7"/>
    <n v="0"/>
    <n v="0"/>
    <n v="0"/>
    <n v="0"/>
    <n v="0"/>
    <n v="0"/>
    <n v="0"/>
    <n v="0"/>
    <n v="6.5"/>
    <n v="0"/>
    <n v="0"/>
    <n v="0.2"/>
    <n v="0"/>
    <n v="0"/>
    <n v="0"/>
    <n v="0"/>
    <n v="0"/>
    <n v="10"/>
    <n v="0"/>
    <n v="0"/>
    <n v="23.7"/>
    <n v="0"/>
    <n v="0"/>
    <s v="BHILWARA"/>
    <s v="BHILWARA"/>
    <s v="RJ-UDAIPUR"/>
    <d v="2018-10-03T00:00:00"/>
  </r>
  <r>
    <s v="807151170248"/>
    <x v="2259"/>
    <s v="APEX GRANITE AND MARBLES"/>
    <n v="170248"/>
    <s v="MAHAVEER ENTERPRISES"/>
    <n v="23"/>
    <n v="0"/>
    <n v="0"/>
    <n v="16"/>
    <n v="0"/>
    <n v="0"/>
    <n v="16"/>
    <n v="0"/>
    <n v="0"/>
    <n v="15"/>
    <n v="0"/>
    <n v="0"/>
    <n v="8"/>
    <n v="0"/>
    <n v="0"/>
    <n v="17.350000000000001"/>
    <n v="7.35"/>
    <n v="0"/>
    <n v="18.25"/>
    <n v="0"/>
    <n v="0"/>
    <n v="15"/>
    <n v="0"/>
    <n v="0"/>
    <n v="128.6"/>
    <n v="7.35"/>
    <n v="0"/>
    <s v="BHILWARA"/>
    <s v="BHILWARA"/>
    <s v="RJ-UDAIPUR"/>
    <d v="2018-11-06T00:00:00"/>
  </r>
  <r>
    <s v="807611170248"/>
    <x v="2260"/>
    <s v="GANPATI TRADERS"/>
    <n v="170248"/>
    <s v="MAHAVEER ENTERPRISES"/>
    <n v="0"/>
    <n v="0"/>
    <n v="0"/>
    <n v="0"/>
    <n v="0"/>
    <n v="0"/>
    <n v="0"/>
    <n v="0"/>
    <n v="0"/>
    <n v="0"/>
    <n v="0"/>
    <n v="0"/>
    <n v="1.25"/>
    <n v="0"/>
    <n v="1.25"/>
    <n v="67"/>
    <n v="0"/>
    <n v="0.5"/>
    <n v="80"/>
    <n v="0"/>
    <n v="10"/>
    <n v="68.75"/>
    <n v="17.5"/>
    <n v="0"/>
    <n v="217"/>
    <n v="0"/>
    <n v="11.75"/>
    <s v="BHILWARA"/>
    <s v="BHILWARA"/>
    <s v="RJ-UDAIPUR"/>
    <d v="2017-12-12T00:00:00"/>
  </r>
  <r>
    <s v="807911175680"/>
    <x v="2261"/>
    <s v="MUKESH KUMAR JAIN"/>
    <n v="175680"/>
    <s v="ADINATH TRADERS"/>
    <n v="40"/>
    <n v="0"/>
    <n v="0"/>
    <n v="53.25"/>
    <n v="0"/>
    <n v="0"/>
    <n v="50"/>
    <n v="0"/>
    <n v="0"/>
    <n v="46"/>
    <n v="0"/>
    <n v="0"/>
    <n v="52.5"/>
    <n v="0"/>
    <n v="0"/>
    <n v="16"/>
    <n v="0"/>
    <n v="0"/>
    <n v="16"/>
    <n v="0"/>
    <n v="0"/>
    <n v="15"/>
    <n v="0"/>
    <n v="0"/>
    <n v="288.75"/>
    <n v="0"/>
    <n v="0"/>
    <s v="BHILWARA"/>
    <s v="BHILWARA"/>
    <s v="RJ-UDAIPUR"/>
    <d v="2018-01-18T00:00:00"/>
  </r>
  <r>
    <s v="808316204030"/>
    <x v="2262"/>
    <s v="DHARMESH KUMAWAT"/>
    <n v="204030"/>
    <s v="DEVA LAL KUMAWAT"/>
    <n v="27.5"/>
    <n v="0"/>
    <n v="0"/>
    <n v="46"/>
    <n v="5"/>
    <n v="0"/>
    <n v="38"/>
    <n v="0"/>
    <n v="0"/>
    <n v="16"/>
    <n v="0"/>
    <n v="0"/>
    <n v="29"/>
    <n v="0"/>
    <n v="0"/>
    <n v="43"/>
    <n v="8"/>
    <n v="0"/>
    <n v="0"/>
    <n v="0"/>
    <n v="0"/>
    <n v="26"/>
    <n v="0"/>
    <n v="0"/>
    <n v="225.5"/>
    <n v="13"/>
    <n v="0"/>
    <s v="BHILWARA"/>
    <s v="BHILWARA"/>
    <s v="RJ-UDAIPUR"/>
    <d v="2018-05-05T00:00:00"/>
  </r>
  <r>
    <s v="808374175049"/>
    <x v="2263"/>
    <s v="VEER SINGH GURJAR"/>
    <n v="175049"/>
    <s v="KASHISH ENTERPRISES"/>
    <n v="31"/>
    <n v="0"/>
    <n v="0"/>
    <n v="36"/>
    <n v="8"/>
    <n v="0"/>
    <n v="63"/>
    <n v="0"/>
    <n v="25"/>
    <n v="88"/>
    <n v="20"/>
    <n v="5"/>
    <n v="8"/>
    <n v="0"/>
    <n v="0"/>
    <n v="0"/>
    <n v="0"/>
    <n v="0"/>
    <n v="0"/>
    <n v="0"/>
    <n v="0"/>
    <n v="0"/>
    <n v="0"/>
    <n v="0"/>
    <n v="226"/>
    <n v="28"/>
    <n v="30"/>
    <s v="BHILWARA"/>
    <s v="BHILWARA"/>
    <s v="RJ-UDAIPUR"/>
    <d v="2018-05-17T00:00:00"/>
  </r>
  <r>
    <s v="808429170248"/>
    <x v="2264"/>
    <s v="SHREE LAXMI SANITARY AND HARDW"/>
    <n v="170248"/>
    <s v="MAHAVEER ENTERPRISES"/>
    <n v="51"/>
    <n v="6.25"/>
    <n v="0"/>
    <n v="51.25"/>
    <n v="0"/>
    <n v="0"/>
    <n v="40.25"/>
    <n v="3.5"/>
    <n v="0"/>
    <n v="15"/>
    <n v="0"/>
    <n v="0"/>
    <n v="18"/>
    <n v="0"/>
    <n v="0"/>
    <n v="67.5"/>
    <n v="0"/>
    <n v="23"/>
    <n v="50"/>
    <n v="0"/>
    <n v="0"/>
    <n v="36.5"/>
    <n v="3.5"/>
    <n v="0"/>
    <n v="329.5"/>
    <n v="9.75"/>
    <n v="23"/>
    <s v="BHILWARA"/>
    <s v="BHILWARA"/>
    <s v="RJ-UDAIPUR"/>
    <d v="2018-05-26T00:00:00"/>
  </r>
  <r>
    <s v="808852175049"/>
    <x v="2265"/>
    <s v="JETHU RAM GURJAR"/>
    <n v="175049"/>
    <s v="KASHISH ENTERPRISES"/>
    <n v="22"/>
    <n v="0"/>
    <n v="0"/>
    <n v="26"/>
    <n v="0"/>
    <n v="0"/>
    <n v="66"/>
    <n v="0"/>
    <n v="10"/>
    <n v="0"/>
    <n v="0"/>
    <n v="0"/>
    <n v="2.5"/>
    <n v="2.5"/>
    <n v="0"/>
    <n v="19.5"/>
    <n v="0"/>
    <n v="10"/>
    <n v="0"/>
    <n v="0"/>
    <n v="0"/>
    <n v="0"/>
    <n v="0"/>
    <n v="0"/>
    <n v="136"/>
    <n v="2.5"/>
    <n v="20"/>
    <s v="BHILWARA"/>
    <s v="BHILWARA"/>
    <s v="RJ-UDAIPUR"/>
    <d v="2018-09-04T00:00:00"/>
  </r>
  <r>
    <s v="808856178511"/>
    <x v="2266"/>
    <s v="MANISH KUMAR CHHIPA"/>
    <n v="178511"/>
    <s v="AMBIKA DISTRIBUTORS"/>
    <n v="0"/>
    <n v="0"/>
    <n v="0"/>
    <n v="15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25"/>
    <n v="0"/>
    <n v="0"/>
    <s v="BHILWARA"/>
    <s v="BHILWARA"/>
    <s v="RJ-UDAIPUR"/>
    <d v="2018-09-04T00:00:00"/>
  </r>
  <r>
    <s v="808893170248"/>
    <x v="2267"/>
    <s v="SRINATH TRADERS"/>
    <n v="170248"/>
    <s v="MAHAVEER ENTERPRISES"/>
    <n v="0"/>
    <n v="2.5"/>
    <n v="0"/>
    <n v="30.5"/>
    <n v="0"/>
    <n v="0"/>
    <n v="31"/>
    <n v="0"/>
    <n v="0"/>
    <n v="50"/>
    <n v="0"/>
    <n v="1"/>
    <n v="20"/>
    <n v="0"/>
    <n v="2"/>
    <n v="67"/>
    <n v="0"/>
    <n v="0"/>
    <n v="40"/>
    <n v="0"/>
    <n v="0"/>
    <n v="20"/>
    <n v="0"/>
    <n v="0"/>
    <n v="258.5"/>
    <n v="2.5"/>
    <n v="3"/>
    <s v="BHILWARA"/>
    <s v="BHILWARA"/>
    <s v="RJ-UDAIPUR"/>
    <d v="2018-07-11T00:00:00"/>
  </r>
  <r>
    <s v="808931170248"/>
    <x v="2268"/>
    <s v="SHREE GOVIND TRADERS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18-07-13T00:00:00"/>
  </r>
  <r>
    <s v="809117177259"/>
    <x v="2269"/>
    <s v="RAHUL CHATWANI"/>
    <n v="177259"/>
    <s v="R R CAPIT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19-02-12T00:00:00"/>
  </r>
  <r>
    <s v="809181177202"/>
    <x v="2270"/>
    <s v="CHARBHUJA SALES"/>
    <n v="177202"/>
    <s v="GIRIRAJ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19-02-22T00:00:00"/>
  </r>
  <r>
    <s v="809182178511"/>
    <x v="2271"/>
    <s v="RAJARAM PARASHAR"/>
    <n v="178511"/>
    <s v="AMBIKA DISTRIBUTORS"/>
    <n v="17.5"/>
    <n v="0"/>
    <n v="0"/>
    <n v="20"/>
    <n v="17.5"/>
    <n v="0"/>
    <n v="0"/>
    <n v="0"/>
    <n v="0"/>
    <n v="10"/>
    <n v="0"/>
    <n v="0"/>
    <n v="10.7"/>
    <n v="5.2"/>
    <n v="0.5"/>
    <n v="20"/>
    <n v="14"/>
    <n v="6"/>
    <n v="8"/>
    <n v="0"/>
    <n v="0"/>
    <n v="25"/>
    <n v="15"/>
    <n v="0"/>
    <n v="111.2"/>
    <n v="36.700000000000003"/>
    <n v="6.5"/>
    <s v="BHILWARA"/>
    <s v="BHILWARA"/>
    <s v="RJ-UDAIPUR"/>
    <d v="2019-02-22T00:00:00"/>
  </r>
  <r>
    <s v="809422177259"/>
    <x v="2272"/>
    <s v="RAM PAL KHANDELWAL"/>
    <n v="177259"/>
    <s v="R R CAPIT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19-04-23T00:00:00"/>
  </r>
  <r>
    <s v="809424177202"/>
    <x v="2273"/>
    <s v="RISHABH TRADERS"/>
    <n v="177202"/>
    <s v="GIRIRAJ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19-04-23T00:00:00"/>
  </r>
  <r>
    <s v="810919170248"/>
    <x v="2274"/>
    <s v="IMPERIAL INFRA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15"/>
    <n v="0"/>
    <n v="0"/>
    <n v="30"/>
    <n v="0"/>
    <n v="0"/>
    <s v="BHILWARA"/>
    <s v="BHILWARA"/>
    <s v="RJ-UDAIPUR"/>
    <d v="2019-12-05T00:00:00"/>
  </r>
  <r>
    <s v="811064170248"/>
    <x v="2275"/>
    <s v="SHREE SHYAM SANITARY AND HARDW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30"/>
    <n v="0"/>
    <n v="0"/>
    <n v="18"/>
    <n v="0"/>
    <n v="0"/>
    <n v="58"/>
    <n v="0"/>
    <n v="0"/>
    <s v="BHILWARA"/>
    <s v="BHILWARA"/>
    <s v="RJ-UDAIPUR"/>
    <d v="2019-12-26T00:00:00"/>
  </r>
  <r>
    <s v="811139170248"/>
    <x v="2276"/>
    <s v="YUVRAJ CEMENT SALES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4"/>
    <n v="36"/>
    <n v="0"/>
    <n v="11"/>
    <n v="45"/>
    <n v="0"/>
    <n v="4"/>
    <s v="BHILWARA"/>
    <s v="BHILWARA"/>
    <s v="RJ-UDAIPUR"/>
    <d v="2019-12-30T00:00:00"/>
  </r>
  <r>
    <s v="811780205591"/>
    <x v="2277"/>
    <s v="ARIHANT JEENGAR"/>
    <n v="205591"/>
    <s v="ROOP RAJAT TRADING CO"/>
    <n v="31"/>
    <n v="0"/>
    <n v="0"/>
    <n v="95"/>
    <n v="0"/>
    <n v="0"/>
    <n v="75.5"/>
    <n v="2.5"/>
    <n v="8.5"/>
    <n v="50"/>
    <n v="0"/>
    <n v="15"/>
    <n v="22.5"/>
    <n v="0"/>
    <n v="2.5"/>
    <n v="100"/>
    <n v="0"/>
    <n v="0"/>
    <n v="70"/>
    <n v="0"/>
    <n v="0"/>
    <n v="75"/>
    <n v="0"/>
    <n v="0"/>
    <n v="519"/>
    <n v="2.5"/>
    <n v="26"/>
    <s v="BHILWARA"/>
    <s v="BHILWARA"/>
    <s v="RJ-UDAIPUR"/>
    <d v="2020-03-21T00:00:00"/>
  </r>
  <r>
    <s v="811781170248"/>
    <x v="2278"/>
    <s v="HARI OM TRADING COMPANY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0-03-21T00:00:00"/>
  </r>
  <r>
    <s v="811860175049"/>
    <x v="2279"/>
    <s v="PAWAN KUMAR CHHIPA"/>
    <n v="175049"/>
    <s v="KASHISH ENTERPRISES"/>
    <n v="0"/>
    <n v="0"/>
    <n v="0"/>
    <n v="0"/>
    <n v="0"/>
    <n v="0"/>
    <n v="0"/>
    <n v="0"/>
    <n v="0"/>
    <n v="10"/>
    <n v="7.5"/>
    <n v="0"/>
    <n v="0"/>
    <n v="0"/>
    <n v="0"/>
    <n v="0"/>
    <n v="0"/>
    <n v="0"/>
    <n v="0"/>
    <n v="0"/>
    <n v="0"/>
    <n v="0"/>
    <n v="0"/>
    <n v="0"/>
    <n v="10"/>
    <n v="7.5"/>
    <n v="0"/>
    <s v="BHILWARA"/>
    <s v="BHILWARA"/>
    <s v="RJ-UDAIPUR"/>
    <d v="2020-06-04T00:00:00"/>
  </r>
  <r>
    <s v="811869175049"/>
    <x v="2280"/>
    <s v="JIVAN LAL GURJAR"/>
    <n v="175049"/>
    <s v="KASHISH ENTERPRISES"/>
    <n v="0"/>
    <n v="0"/>
    <n v="0"/>
    <n v="0"/>
    <n v="0"/>
    <n v="0"/>
    <n v="20"/>
    <n v="0"/>
    <n v="0"/>
    <n v="10"/>
    <n v="0"/>
    <n v="0"/>
    <n v="20"/>
    <n v="0"/>
    <n v="0"/>
    <n v="0"/>
    <n v="0"/>
    <n v="0"/>
    <n v="0"/>
    <n v="0"/>
    <n v="0"/>
    <n v="10"/>
    <n v="0"/>
    <n v="0"/>
    <n v="60"/>
    <n v="0"/>
    <n v="0"/>
    <s v="BHILWARA"/>
    <s v="BHILWARA"/>
    <s v="RJ-UDAIPUR"/>
    <d v="2020-06-08T00:00:00"/>
  </r>
  <r>
    <s v="811913178511"/>
    <x v="2281"/>
    <s v="JAMEEL MOHAMMED PINARA"/>
    <n v="178511"/>
    <s v="AMBIKA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0-06-12T00:00:00"/>
  </r>
  <r>
    <s v="812703177202"/>
    <x v="2282"/>
    <s v="LAXMAN SINGH"/>
    <n v="177202"/>
    <s v="GIRIRAJ TRADERS"/>
    <n v="0"/>
    <n v="5"/>
    <n v="0"/>
    <n v="30"/>
    <n v="0"/>
    <n v="0"/>
    <n v="32.5"/>
    <n v="0"/>
    <n v="0"/>
    <n v="30"/>
    <n v="5"/>
    <n v="0"/>
    <n v="27.5"/>
    <n v="6"/>
    <n v="0"/>
    <n v="35"/>
    <n v="0"/>
    <n v="0"/>
    <n v="10"/>
    <n v="0"/>
    <n v="0"/>
    <n v="26"/>
    <n v="0"/>
    <n v="0"/>
    <n v="191"/>
    <n v="16"/>
    <n v="0"/>
    <s v="BHILWARA"/>
    <s v="BHILWARA"/>
    <s v="RJ-UDAIPUR"/>
    <d v="2020-08-29T00:00:00"/>
  </r>
  <r>
    <s v="812706170248"/>
    <x v="2283"/>
    <s v="GHATA RANI KISHAN SEVA KENDRA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0-08-29T00:00:00"/>
  </r>
  <r>
    <s v="812893170248"/>
    <x v="2284"/>
    <s v="ARIHANT BUILDING MATERIAL SUPP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5"/>
    <n v="0"/>
    <n v="0"/>
    <s v="BHILWARA"/>
    <s v="BHILWARA"/>
    <s v="RJ-UDAIPUR"/>
    <d v="2020-09-12T00:00:00"/>
  </r>
  <r>
    <s v="812902170248"/>
    <x v="2285"/>
    <s v="SEEMA SHARMA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18.5"/>
    <n v="0"/>
    <n v="0"/>
    <n v="25"/>
    <n v="0"/>
    <n v="0"/>
    <n v="50"/>
    <n v="0"/>
    <n v="0"/>
    <n v="93.5"/>
    <n v="0"/>
    <n v="0"/>
    <s v="BHILWARA"/>
    <s v="BHILWARA"/>
    <s v="RJ-UDAIPUR"/>
    <d v="2020-09-12T00:00:00"/>
  </r>
  <r>
    <s v="812905170248"/>
    <x v="2286"/>
    <s v="SHREE MAHALAXMI TILES &amp; CEMENT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55"/>
    <n v="0"/>
    <n v="0"/>
    <n v="0"/>
    <n v="0"/>
    <n v="0"/>
    <n v="9"/>
    <n v="0"/>
    <n v="4"/>
    <n v="64"/>
    <n v="0"/>
    <n v="0"/>
    <s v="BHILWARA"/>
    <s v="BHILWARA"/>
    <s v="RJ-UDAIPUR"/>
    <d v="2020-09-12T00:00:00"/>
  </r>
  <r>
    <s v="813040201091"/>
    <x v="2287"/>
    <s v="SHREE BALAJI BUILDING MATERIAL"/>
    <n v="201091"/>
    <s v="SIDHI VINAYAK SANITARY HOUS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0-09-23T00:00:00"/>
  </r>
  <r>
    <s v="813182175049"/>
    <x v="2288"/>
    <s v="MANOJ GURJAR"/>
    <n v="175049"/>
    <s v="KASHISH ENTERPRISES"/>
    <n v="10"/>
    <n v="0"/>
    <n v="0"/>
    <n v="0"/>
    <n v="0"/>
    <n v="0"/>
    <n v="35.5"/>
    <n v="0"/>
    <n v="0"/>
    <n v="17"/>
    <n v="0"/>
    <n v="0"/>
    <n v="18"/>
    <n v="0"/>
    <n v="10"/>
    <n v="0"/>
    <n v="0"/>
    <n v="0"/>
    <n v="0"/>
    <n v="0"/>
    <n v="0"/>
    <n v="0"/>
    <n v="0"/>
    <n v="0"/>
    <n v="80.5"/>
    <n v="0"/>
    <n v="10"/>
    <s v="BHILWARA"/>
    <s v="BHILWARA"/>
    <s v="RJ-UDAIPUR"/>
    <d v="2020-10-06T00:00:00"/>
  </r>
  <r>
    <s v="813184175049"/>
    <x v="2289"/>
    <s v="RAMSWROOP VYAS"/>
    <n v="175049"/>
    <s v="KASHISH ENTERPRISES"/>
    <n v="30"/>
    <n v="0"/>
    <n v="0"/>
    <n v="26"/>
    <n v="10"/>
    <n v="0"/>
    <n v="31"/>
    <n v="0"/>
    <n v="0"/>
    <n v="10"/>
    <n v="0"/>
    <n v="0"/>
    <n v="34.5"/>
    <n v="0"/>
    <n v="5"/>
    <n v="45"/>
    <n v="0"/>
    <n v="5"/>
    <n v="30"/>
    <n v="0"/>
    <n v="0"/>
    <n v="40"/>
    <n v="0"/>
    <n v="10"/>
    <n v="246.5"/>
    <n v="10"/>
    <n v="10"/>
    <s v="BHILWARA"/>
    <s v="BHILWARA"/>
    <s v="RJ-UDAIPUR"/>
    <d v="2020-10-06T00:00:00"/>
  </r>
  <r>
    <s v="813188170248"/>
    <x v="2290"/>
    <s v="OM TRADING COMPANY"/>
    <n v="170248"/>
    <s v="MAHAVEER ENTERPRISES"/>
    <n v="20"/>
    <n v="0"/>
    <n v="0"/>
    <n v="38"/>
    <n v="0"/>
    <n v="0"/>
    <n v="26"/>
    <n v="0"/>
    <n v="0"/>
    <n v="10"/>
    <n v="0"/>
    <n v="0"/>
    <n v="10"/>
    <n v="0"/>
    <n v="0"/>
    <n v="15"/>
    <n v="0"/>
    <n v="0"/>
    <n v="5"/>
    <n v="0"/>
    <n v="0"/>
    <n v="5"/>
    <n v="0"/>
    <n v="0"/>
    <n v="129"/>
    <n v="0"/>
    <n v="0"/>
    <s v="BHILWARA"/>
    <s v="BHILWARA"/>
    <s v="RJ-UDAIPUR"/>
    <d v="2020-10-06T00:00:00"/>
  </r>
  <r>
    <s v="813374170248"/>
    <x v="2291"/>
    <s v="BANWARI KHATIK"/>
    <n v="170248"/>
    <s v="MAHAVEER ENTERPRISES"/>
    <n v="10"/>
    <n v="0"/>
    <n v="0"/>
    <n v="0"/>
    <n v="0"/>
    <n v="0"/>
    <n v="0"/>
    <n v="0"/>
    <n v="0"/>
    <n v="12.5"/>
    <n v="5"/>
    <n v="0"/>
    <n v="0"/>
    <n v="0"/>
    <n v="0"/>
    <n v="7.75"/>
    <n v="0"/>
    <n v="0"/>
    <n v="0"/>
    <n v="0"/>
    <n v="0"/>
    <n v="0"/>
    <n v="0"/>
    <n v="0"/>
    <n v="30.25"/>
    <n v="5"/>
    <n v="0"/>
    <s v="BHILWARA"/>
    <s v="BHILWARA"/>
    <s v="RJ-UDAIPUR"/>
    <d v="2020-10-24T00:00:00"/>
  </r>
  <r>
    <s v="813375204030"/>
    <x v="2292"/>
    <s v="RAM LAL GADARI"/>
    <n v="204030"/>
    <s v="DEVA LAL KUMAWA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0-10-24T00:00:00"/>
  </r>
  <r>
    <s v="813681175848"/>
    <x v="2293"/>
    <s v="NARENDRA KUMAR PARASHAR"/>
    <n v="175848"/>
    <s v="PURAWAT ENTERPRIS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0-11-27T00:00:00"/>
  </r>
  <r>
    <s v="813867175848"/>
    <x v="2294"/>
    <s v="SHIV SINGH RANAWAT"/>
    <n v="175848"/>
    <s v="PURAWAT ENTERPRISERS"/>
    <n v="51"/>
    <n v="0"/>
    <n v="0"/>
    <n v="61"/>
    <n v="0"/>
    <n v="0"/>
    <n v="91"/>
    <n v="0"/>
    <n v="0"/>
    <n v="58"/>
    <n v="0"/>
    <n v="0"/>
    <n v="40"/>
    <n v="0"/>
    <n v="0"/>
    <n v="34"/>
    <n v="0"/>
    <n v="0"/>
    <n v="31"/>
    <n v="0"/>
    <n v="0"/>
    <n v="36"/>
    <n v="0"/>
    <n v="0"/>
    <n v="402"/>
    <n v="0"/>
    <n v="0"/>
    <s v="BHILWARA"/>
    <s v="BHILWARA"/>
    <s v="RJ-UDAIPUR"/>
    <d v="2020-12-17T00:00:00"/>
  </r>
  <r>
    <s v="813932175848"/>
    <x v="2295"/>
    <s v="RAMESHWAR LAL BALAI"/>
    <n v="175848"/>
    <s v="PURAWAT ENTERPRISERS"/>
    <n v="51"/>
    <n v="0"/>
    <n v="0"/>
    <n v="56"/>
    <n v="0"/>
    <n v="0"/>
    <n v="79"/>
    <n v="0"/>
    <n v="0"/>
    <n v="73"/>
    <n v="0"/>
    <n v="0"/>
    <n v="50"/>
    <n v="0"/>
    <n v="0"/>
    <n v="34"/>
    <n v="0"/>
    <n v="0"/>
    <n v="30.75"/>
    <n v="0"/>
    <n v="0"/>
    <n v="48"/>
    <n v="0"/>
    <n v="0"/>
    <n v="421.75"/>
    <n v="0"/>
    <n v="0"/>
    <s v="BHILWARA"/>
    <s v="BHILWARA"/>
    <s v="RJ-UDAIPUR"/>
    <d v="2020-12-24T00:00:00"/>
  </r>
  <r>
    <s v="813935170248"/>
    <x v="2296"/>
    <s v="ABHAY SINGH RAJPUT"/>
    <n v="170248"/>
    <s v="MAHAVEER ENTERPRISES"/>
    <n v="20"/>
    <n v="0"/>
    <n v="0"/>
    <n v="10"/>
    <n v="0"/>
    <n v="0"/>
    <n v="18"/>
    <n v="0"/>
    <n v="0"/>
    <n v="30"/>
    <n v="0"/>
    <n v="0"/>
    <n v="10"/>
    <n v="0"/>
    <n v="0"/>
    <n v="10"/>
    <n v="0"/>
    <n v="0"/>
    <n v="4"/>
    <n v="0"/>
    <n v="0"/>
    <n v="27.5"/>
    <n v="0"/>
    <n v="0"/>
    <n v="129.5"/>
    <n v="0"/>
    <n v="0"/>
    <s v="BHILWARA"/>
    <s v="BHILWARA"/>
    <s v="RJ-UDAIPUR"/>
    <d v="2020-12-24T00:00:00"/>
  </r>
  <r>
    <s v="814001170248"/>
    <x v="2297"/>
    <s v="SUNIL SHARMA"/>
    <n v="170248"/>
    <s v="MAHAVEER ENTERPRISES"/>
    <n v="20"/>
    <n v="0"/>
    <n v="0"/>
    <n v="0"/>
    <n v="0"/>
    <n v="0"/>
    <n v="0"/>
    <n v="0"/>
    <n v="0"/>
    <n v="0"/>
    <n v="0"/>
    <n v="0"/>
    <n v="0"/>
    <n v="0"/>
    <n v="0"/>
    <n v="13"/>
    <n v="0"/>
    <n v="0"/>
    <n v="0"/>
    <n v="0"/>
    <n v="0"/>
    <n v="10"/>
    <n v="0"/>
    <n v="0"/>
    <n v="43"/>
    <n v="0"/>
    <n v="0"/>
    <s v="BHILWARA"/>
    <s v="BHILWARA"/>
    <s v="RJ-UDAIPUR"/>
    <d v="2020-12-29T00:00:00"/>
  </r>
  <r>
    <s v="814034175049"/>
    <x v="2298"/>
    <s v="RANVEER SINGH RATHORE"/>
    <n v="175049"/>
    <s v="KASHISH ENTERPRISES"/>
    <n v="30"/>
    <n v="0"/>
    <n v="0"/>
    <n v="15"/>
    <n v="0"/>
    <n v="0"/>
    <n v="44"/>
    <n v="0"/>
    <n v="0"/>
    <n v="51.15"/>
    <n v="4.1500000000000004"/>
    <n v="5"/>
    <n v="28"/>
    <n v="5"/>
    <n v="0"/>
    <n v="40"/>
    <n v="5"/>
    <n v="0"/>
    <n v="22"/>
    <n v="2"/>
    <n v="0"/>
    <n v="33"/>
    <n v="3"/>
    <n v="0"/>
    <n v="263.14999999999998"/>
    <n v="16.149999999999999"/>
    <n v="5"/>
    <s v="BHILWARA"/>
    <s v="BHILWARA"/>
    <s v="RJ-UDAIPUR"/>
    <d v="2020-12-31T00:00:00"/>
  </r>
  <r>
    <s v="814091175049"/>
    <x v="2299"/>
    <s v="MAHESH KUMAR RAO"/>
    <n v="175049"/>
    <s v="KASHISH ENTERPRISES"/>
    <n v="10"/>
    <n v="0"/>
    <n v="0"/>
    <n v="8"/>
    <n v="0"/>
    <n v="0"/>
    <n v="0"/>
    <n v="0"/>
    <n v="0"/>
    <n v="0"/>
    <n v="0"/>
    <n v="0"/>
    <n v="2.5"/>
    <n v="2.5"/>
    <n v="0"/>
    <n v="18"/>
    <n v="0"/>
    <n v="0"/>
    <n v="0"/>
    <n v="0"/>
    <n v="0"/>
    <n v="5"/>
    <n v="0"/>
    <n v="5"/>
    <n v="43.5"/>
    <n v="2.5"/>
    <n v="0"/>
    <s v="BHILWARA"/>
    <s v="BHILWARA"/>
    <s v="RJ-UDAIPUR"/>
    <d v="2021-01-07T00:00:00"/>
  </r>
  <r>
    <s v="814152205591"/>
    <x v="2300"/>
    <s v="SHALU JAIN"/>
    <n v="205591"/>
    <s v="ROOP RAJAT TRADING CO"/>
    <n v="125"/>
    <n v="2.5"/>
    <n v="0"/>
    <n v="52.5"/>
    <n v="2.5"/>
    <n v="0"/>
    <n v="252"/>
    <n v="53.75"/>
    <n v="25"/>
    <n v="167.5"/>
    <n v="23.75"/>
    <n v="5"/>
    <n v="120"/>
    <n v="6.5"/>
    <n v="0"/>
    <n v="149.5"/>
    <n v="20"/>
    <n v="10"/>
    <n v="198"/>
    <n v="45"/>
    <n v="41"/>
    <n v="195"/>
    <n v="8.5"/>
    <n v="35"/>
    <n v="1259.5"/>
    <n v="154"/>
    <n v="81"/>
    <s v="BHILWARA"/>
    <s v="BHILWARA"/>
    <s v="RJ-UDAIPUR"/>
    <d v="2021-01-15T00:00:00"/>
  </r>
  <r>
    <s v="814188175287"/>
    <x v="2301"/>
    <s v="AMARCHAND KUMAWAT"/>
    <n v="175287"/>
    <s v="SHREE DEVNARAYAN BUILDING MATE"/>
    <n v="0"/>
    <n v="0"/>
    <n v="0"/>
    <n v="0"/>
    <n v="0"/>
    <n v="0"/>
    <n v="20"/>
    <n v="6.5"/>
    <n v="0"/>
    <n v="15.5"/>
    <n v="0"/>
    <n v="8"/>
    <n v="0"/>
    <n v="0"/>
    <n v="0"/>
    <n v="22.5"/>
    <n v="0"/>
    <n v="10"/>
    <n v="18.75"/>
    <n v="0"/>
    <n v="3.75"/>
    <n v="22.5"/>
    <n v="0"/>
    <n v="5"/>
    <n v="99.25"/>
    <n v="6.5"/>
    <n v="21.75"/>
    <s v="BHILWARA"/>
    <s v="BHILWARA"/>
    <s v="RJ-UDAIPUR"/>
    <d v="2021-01-19T00:00:00"/>
  </r>
  <r>
    <s v="814226175848"/>
    <x v="2302"/>
    <s v="ARJUN SINGH"/>
    <n v="175848"/>
    <s v="PURAWAT ENTERPRISERS"/>
    <n v="60"/>
    <n v="0"/>
    <n v="0"/>
    <n v="76"/>
    <n v="0"/>
    <n v="0"/>
    <n v="95.5"/>
    <n v="0"/>
    <n v="0"/>
    <n v="77"/>
    <n v="0"/>
    <n v="0"/>
    <n v="60"/>
    <n v="0"/>
    <n v="0"/>
    <n v="52"/>
    <n v="0"/>
    <n v="0"/>
    <n v="60"/>
    <n v="0"/>
    <n v="0"/>
    <n v="67.5"/>
    <n v="0"/>
    <n v="0"/>
    <n v="548"/>
    <n v="0"/>
    <n v="0"/>
    <s v="BHILWARA"/>
    <s v="BHILWARA"/>
    <s v="RJ-UDAIPUR"/>
    <d v="2021-01-22T00:00:00"/>
  </r>
  <r>
    <s v="814250178511"/>
    <x v="2303"/>
    <s v="LADU LAL TELI"/>
    <n v="178511"/>
    <s v="AMBIKA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1-01-23T00:00:00"/>
  </r>
  <r>
    <s v="814297170248"/>
    <x v="2304"/>
    <s v="PRASHANT KOTHARI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25"/>
    <n v="0"/>
    <n v="0"/>
    <s v="BHILWARA"/>
    <s v="BHILWARA"/>
    <s v="RJ-UDAIPUR"/>
    <d v="2021-01-29T00:00:00"/>
  </r>
  <r>
    <s v="814311205591"/>
    <x v="2305"/>
    <s v="ABHINAV AUTOMOBILES"/>
    <n v="205591"/>
    <s v="ROOP RAJAT TRADING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s v="BHILWARA"/>
    <s v="BHILWARA"/>
    <s v="RJ-UDAIPUR"/>
    <d v="2021-01-29T00:00:00"/>
  </r>
  <r>
    <s v="814380205591"/>
    <x v="2306"/>
    <s v="BAJRANG CEMENT SUPPLIERS"/>
    <n v="205591"/>
    <s v="ROOP RAJAT TRADING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1-02-03T00:00:00"/>
  </r>
  <r>
    <s v="814414205591"/>
    <x v="2307"/>
    <s v="K M STONE SUPPLIERS"/>
    <n v="205591"/>
    <s v="ROOP RAJAT TRADING CO"/>
    <n v="0"/>
    <n v="0"/>
    <n v="0"/>
    <n v="20"/>
    <n v="0"/>
    <n v="0"/>
    <n v="50"/>
    <n v="0"/>
    <n v="0"/>
    <n v="35"/>
    <n v="0"/>
    <n v="2.5"/>
    <n v="10"/>
    <n v="0"/>
    <n v="10"/>
    <n v="65"/>
    <n v="0"/>
    <n v="18"/>
    <n v="66"/>
    <n v="7.5"/>
    <n v="5"/>
    <n v="105"/>
    <n v="0"/>
    <n v="0"/>
    <n v="351"/>
    <n v="7.5"/>
    <n v="35.5"/>
    <s v="BHILWARA"/>
    <s v="BHILWARA"/>
    <s v="RJ-UDAIPUR"/>
    <d v="2021-02-08T00:00:00"/>
  </r>
  <r>
    <s v="814415204030"/>
    <x v="2308"/>
    <s v="DEV KISHAN BALAI"/>
    <n v="204030"/>
    <s v="DEVA LAL KUMAWAT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4"/>
    <n v="0"/>
    <n v="0"/>
    <s v="BHILWARA"/>
    <s v="BHILWARA"/>
    <s v="RJ-UDAIPUR"/>
    <d v="2021-02-08T00:00:00"/>
  </r>
  <r>
    <s v="814506205591"/>
    <x v="2309"/>
    <s v="CHAWANDA TRADERS"/>
    <n v="205591"/>
    <s v="ROOP RAJAT TRADING CO"/>
    <n v="50"/>
    <n v="0"/>
    <n v="0"/>
    <n v="30"/>
    <n v="0"/>
    <n v="0"/>
    <n v="60"/>
    <n v="0"/>
    <n v="3"/>
    <n v="25"/>
    <n v="0"/>
    <n v="0"/>
    <n v="40"/>
    <n v="0"/>
    <n v="0"/>
    <n v="63"/>
    <n v="0"/>
    <n v="0"/>
    <n v="38.5"/>
    <n v="3.5"/>
    <n v="0"/>
    <n v="51.5"/>
    <n v="10"/>
    <n v="0"/>
    <n v="358"/>
    <n v="3.5"/>
    <n v="3"/>
    <s v="BHILWARA"/>
    <s v="BHILWARA"/>
    <s v="RJ-UDAIPUR"/>
    <d v="2021-02-17T00:00:00"/>
  </r>
  <r>
    <s v="814631206529"/>
    <x v="2310"/>
    <s v="SATYANARAYAN VAISHNAV"/>
    <n v="206529"/>
    <s v="GOPAL KRISHAN DHUPPAD"/>
    <n v="0"/>
    <n v="0"/>
    <n v="0"/>
    <n v="20"/>
    <n v="0"/>
    <n v="0"/>
    <n v="10"/>
    <n v="0"/>
    <n v="0"/>
    <n v="0"/>
    <n v="0"/>
    <n v="0"/>
    <n v="10"/>
    <n v="0"/>
    <n v="5"/>
    <n v="0"/>
    <n v="0"/>
    <n v="0"/>
    <n v="0"/>
    <n v="0"/>
    <n v="0"/>
    <n v="4.5"/>
    <n v="0"/>
    <n v="0"/>
    <n v="44.5"/>
    <n v="0"/>
    <n v="5"/>
    <s v="BHILWARA"/>
    <s v="BHILWARA"/>
    <s v="RJ-UDAIPUR"/>
    <d v="2021-02-26T00:00:00"/>
  </r>
  <r>
    <s v="814676175049"/>
    <x v="2311"/>
    <s v="BEMATA ENTERPRISES"/>
    <n v="175049"/>
    <s v="KASHISH ENTERPRISES"/>
    <n v="20"/>
    <n v="0"/>
    <n v="0"/>
    <n v="18"/>
    <n v="0"/>
    <n v="0"/>
    <n v="31"/>
    <n v="0"/>
    <n v="5"/>
    <n v="17"/>
    <n v="0"/>
    <n v="0"/>
    <n v="8"/>
    <n v="0"/>
    <n v="0"/>
    <n v="10"/>
    <n v="0"/>
    <n v="0"/>
    <n v="18"/>
    <n v="8"/>
    <n v="0"/>
    <n v="18"/>
    <n v="8"/>
    <n v="0"/>
    <n v="140"/>
    <n v="8"/>
    <n v="5"/>
    <s v="BHILWARA"/>
    <s v="BHILWARA"/>
    <s v="RJ-UDAIPUR"/>
    <d v="2021-03-03T00:00:00"/>
  </r>
  <r>
    <s v="814683205591"/>
    <x v="2312"/>
    <s v="JAGDISH SUTHAR"/>
    <n v="205591"/>
    <s v="ROOP RAJAT TRADING CO"/>
    <n v="69"/>
    <n v="0"/>
    <n v="0"/>
    <n v="20"/>
    <n v="5"/>
    <n v="0"/>
    <n v="96"/>
    <n v="7"/>
    <n v="2.5"/>
    <n v="61"/>
    <n v="30.5"/>
    <n v="7.5"/>
    <n v="97.5"/>
    <n v="10"/>
    <n v="20"/>
    <n v="101"/>
    <n v="5"/>
    <n v="6"/>
    <n v="126"/>
    <n v="21.75"/>
    <n v="45"/>
    <n v="34"/>
    <n v="5"/>
    <n v="0"/>
    <n v="604.5"/>
    <n v="79.25"/>
    <n v="81"/>
    <s v="BHILWARA"/>
    <s v="BHILWARA"/>
    <s v="RJ-UDAIPUR"/>
    <d v="2021-03-04T00:00:00"/>
  </r>
  <r>
    <s v="814710205591"/>
    <x v="2313"/>
    <s v="KAMLESH KUMAR TATED"/>
    <n v="205591"/>
    <s v="ROOP RAJAT TRADING CO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BHILWARA"/>
    <s v="BHILWARA"/>
    <s v="RJ-UDAIPUR"/>
    <d v="2021-03-06T00:00:00"/>
  </r>
  <r>
    <s v="814756205591"/>
    <x v="2314"/>
    <s v="RAM LAL KUMHAR"/>
    <n v="205591"/>
    <s v="ROOP RAJAT TRADING CO"/>
    <n v="50"/>
    <n v="0"/>
    <n v="0"/>
    <n v="81.5"/>
    <n v="0"/>
    <n v="0"/>
    <n v="76"/>
    <n v="0"/>
    <n v="6"/>
    <n v="42"/>
    <n v="0"/>
    <n v="0"/>
    <n v="115"/>
    <n v="10"/>
    <n v="0"/>
    <n v="124.25"/>
    <n v="14.75"/>
    <n v="30"/>
    <n v="161.5"/>
    <n v="18.75"/>
    <n v="0"/>
    <n v="155"/>
    <n v="5"/>
    <n v="0"/>
    <n v="805.25"/>
    <n v="43.5"/>
    <n v="36"/>
    <s v="BHILWARA"/>
    <s v="BHILWARA"/>
    <s v="RJ-UDAIPUR"/>
    <d v="2021-03-13T00:00:00"/>
  </r>
  <r>
    <s v="814757205591"/>
    <x v="2315"/>
    <s v="KAILASH CHANDRA SHARMA"/>
    <n v="205591"/>
    <s v="ROOP RAJAT TRADING CO"/>
    <n v="25"/>
    <n v="0"/>
    <n v="0"/>
    <n v="15"/>
    <n v="0"/>
    <n v="0"/>
    <n v="39.5"/>
    <n v="4"/>
    <n v="0"/>
    <n v="20"/>
    <n v="0"/>
    <n v="0"/>
    <n v="5"/>
    <n v="0"/>
    <n v="5"/>
    <n v="15"/>
    <n v="10"/>
    <n v="0"/>
    <n v="40"/>
    <n v="10"/>
    <n v="0"/>
    <n v="20.100000000000001"/>
    <n v="0"/>
    <n v="3.5"/>
    <n v="179.6"/>
    <n v="24"/>
    <n v="5"/>
    <s v="BHILWARA"/>
    <s v="BHILWARA"/>
    <s v="RJ-UDAIPUR"/>
    <d v="2021-03-13T00:00:00"/>
  </r>
  <r>
    <s v="814823175049"/>
    <x v="2316"/>
    <s v="DEVENDRA KUMAR REGAR"/>
    <n v="175049"/>
    <s v="KASHISH ENTERPRISES"/>
    <n v="10"/>
    <n v="0"/>
    <n v="0"/>
    <n v="0"/>
    <n v="0"/>
    <n v="0"/>
    <n v="23"/>
    <n v="0"/>
    <n v="0"/>
    <n v="0"/>
    <n v="0"/>
    <n v="0"/>
    <n v="0"/>
    <n v="0"/>
    <n v="0"/>
    <n v="10"/>
    <n v="0"/>
    <n v="0"/>
    <n v="10"/>
    <n v="0"/>
    <n v="0"/>
    <n v="0"/>
    <n v="0"/>
    <n v="0"/>
    <n v="53"/>
    <n v="0"/>
    <n v="0"/>
    <s v="BHILWARA"/>
    <s v="BHILWARA"/>
    <s v="RJ-UDAIPUR"/>
    <d v="2021-03-23T00:00:00"/>
  </r>
  <r>
    <s v="814972205591"/>
    <x v="2317"/>
    <s v="VISHNU CEMENT AGENCY"/>
    <n v="205591"/>
    <s v="ROOP RAJAT TRADING CO"/>
    <n v="150"/>
    <n v="24.5"/>
    <n v="0"/>
    <n v="255.5"/>
    <n v="7.5"/>
    <n v="0"/>
    <n v="137.25"/>
    <n v="0"/>
    <n v="0"/>
    <n v="141.5"/>
    <n v="8"/>
    <n v="5"/>
    <n v="111"/>
    <n v="0"/>
    <n v="0"/>
    <n v="112.5"/>
    <n v="6"/>
    <n v="0"/>
    <n v="135"/>
    <n v="10"/>
    <n v="2.5"/>
    <n v="150"/>
    <n v="0"/>
    <n v="0"/>
    <n v="1192.75"/>
    <n v="56"/>
    <n v="7.5"/>
    <s v="BHILWARA"/>
    <s v="BHILWARA"/>
    <s v="RJ-UDAIPUR"/>
    <d v="2021-04-19T00:00:00"/>
  </r>
  <r>
    <s v="814979205591"/>
    <x v="2318"/>
    <s v="SATYANARAYAN KUMAWAT"/>
    <n v="205591"/>
    <s v="ROOP RAJAT TRADING CO"/>
    <n v="0"/>
    <n v="0"/>
    <n v="0"/>
    <n v="0"/>
    <n v="0"/>
    <n v="0"/>
    <n v="8.25"/>
    <n v="0"/>
    <n v="0"/>
    <n v="2.5"/>
    <n v="0"/>
    <n v="0"/>
    <n v="2.5"/>
    <n v="0"/>
    <n v="0"/>
    <n v="8"/>
    <n v="0"/>
    <n v="0"/>
    <n v="0"/>
    <n v="0"/>
    <n v="0"/>
    <n v="0"/>
    <n v="0"/>
    <n v="0"/>
    <n v="21.25"/>
    <n v="0"/>
    <n v="0"/>
    <s v="BHILWARA"/>
    <s v="BHILWARA"/>
    <s v="RJ-UDAIPUR"/>
    <d v="2021-04-21T00:00:00"/>
  </r>
  <r>
    <s v="814980205591"/>
    <x v="2319"/>
    <s v="RAMESHWAR LAL JAT"/>
    <n v="205591"/>
    <s v="ROOP RAJAT TRADING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1-04-21T00:00:00"/>
  </r>
  <r>
    <s v="815002205591"/>
    <x v="2320"/>
    <s v="MANGI LAL"/>
    <n v="205591"/>
    <s v="ROOP RAJAT TRADING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1-04-26T00:00:00"/>
  </r>
  <r>
    <s v="815046175049"/>
    <x v="2321"/>
    <s v="ALTAF HUSSAIN"/>
    <n v="175049"/>
    <s v="KASHISH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1-05-13T00:00:00"/>
  </r>
  <r>
    <s v="815047175049"/>
    <x v="2322"/>
    <s v="NAVDURGA ENTERPRISES"/>
    <n v="175049"/>
    <s v="KASHISH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1-05-14T00:00:00"/>
  </r>
  <r>
    <s v="815127205591"/>
    <x v="2323"/>
    <s v="SURESH CHANDRA SHARMA"/>
    <n v="205591"/>
    <s v="ROOP RAJAT TRADING CO"/>
    <n v="0"/>
    <n v="0"/>
    <n v="0"/>
    <n v="0"/>
    <n v="0"/>
    <n v="0"/>
    <n v="20"/>
    <n v="0"/>
    <n v="0"/>
    <n v="0"/>
    <n v="0"/>
    <n v="0"/>
    <n v="10"/>
    <n v="0"/>
    <n v="0"/>
    <n v="22.75"/>
    <n v="0"/>
    <n v="0"/>
    <n v="0"/>
    <n v="0"/>
    <n v="0"/>
    <n v="11.5"/>
    <n v="0"/>
    <n v="0"/>
    <n v="64.25"/>
    <n v="0"/>
    <n v="0"/>
    <s v="BHILWARA"/>
    <s v="BHILWARA"/>
    <s v="RJ-UDAIPUR"/>
    <d v="2021-06-07T00:00:00"/>
  </r>
  <r>
    <s v="815253205591"/>
    <x v="2324"/>
    <s v="RINKU VYAS"/>
    <n v="205591"/>
    <s v="ROOP RAJAT TRADING CO"/>
    <n v="43.5"/>
    <n v="0"/>
    <n v="0"/>
    <n v="60"/>
    <n v="0"/>
    <n v="0"/>
    <n v="106.75"/>
    <n v="0"/>
    <n v="0"/>
    <n v="76"/>
    <n v="0"/>
    <n v="0"/>
    <n v="60"/>
    <n v="0"/>
    <n v="0"/>
    <n v="105"/>
    <n v="1.5"/>
    <n v="0"/>
    <n v="70"/>
    <n v="0"/>
    <n v="10"/>
    <n v="94"/>
    <n v="0"/>
    <n v="0"/>
    <n v="615.25"/>
    <n v="1.5"/>
    <n v="10"/>
    <s v="BHILWARA"/>
    <s v="BHILWARA"/>
    <s v="RJ-UDAIPUR"/>
    <d v="2021-06-25T00:00:00"/>
  </r>
  <r>
    <s v="815473205591"/>
    <x v="2325"/>
    <s v="SOHAN LAL TELI"/>
    <n v="205591"/>
    <s v="ROOP RAJAT TRADING CO"/>
    <n v="0"/>
    <n v="0"/>
    <n v="0"/>
    <n v="0"/>
    <n v="0"/>
    <n v="0"/>
    <n v="2.5"/>
    <n v="0"/>
    <n v="0"/>
    <n v="0"/>
    <n v="0"/>
    <n v="0"/>
    <n v="10"/>
    <n v="0"/>
    <n v="0"/>
    <n v="2.5"/>
    <n v="0"/>
    <n v="0"/>
    <n v="0"/>
    <n v="0"/>
    <n v="0"/>
    <n v="10"/>
    <n v="0"/>
    <n v="0"/>
    <n v="25"/>
    <n v="0"/>
    <n v="0"/>
    <s v="BHILWARA"/>
    <s v="BHILWARA"/>
    <s v="RJ-UDAIPUR"/>
    <d v="2021-07-12T00:00:00"/>
  </r>
  <r>
    <s v="815823205591"/>
    <x v="2326"/>
    <s v="SHANTI LAL TIWARI"/>
    <n v="205591"/>
    <s v="ROOP RAJAT TRADING CO"/>
    <n v="10"/>
    <n v="0"/>
    <n v="0"/>
    <n v="30"/>
    <n v="0"/>
    <n v="0"/>
    <n v="20"/>
    <n v="0"/>
    <n v="0"/>
    <n v="10"/>
    <n v="0"/>
    <n v="0"/>
    <n v="0"/>
    <n v="0"/>
    <n v="0"/>
    <n v="16.5"/>
    <n v="0"/>
    <n v="0"/>
    <n v="10"/>
    <n v="0"/>
    <n v="0"/>
    <n v="0"/>
    <n v="0"/>
    <n v="0"/>
    <n v="96.5"/>
    <n v="0"/>
    <n v="0"/>
    <s v="BHILWARA"/>
    <s v="BHILWARA"/>
    <s v="RJ-UDAIPUR"/>
    <d v="2021-08-03T00:00:00"/>
  </r>
  <r>
    <s v="815824175049"/>
    <x v="2327"/>
    <s v="KALU RAM GURJAR"/>
    <n v="175049"/>
    <s v="KASHISH ENTERPRISES"/>
    <n v="69"/>
    <n v="10"/>
    <n v="0"/>
    <n v="36"/>
    <n v="17"/>
    <n v="0"/>
    <n v="59"/>
    <n v="20"/>
    <n v="0"/>
    <n v="120"/>
    <n v="0"/>
    <n v="0"/>
    <n v="71"/>
    <n v="15"/>
    <n v="0"/>
    <n v="101"/>
    <n v="27"/>
    <n v="0"/>
    <n v="85"/>
    <n v="30"/>
    <n v="0"/>
    <n v="70"/>
    <n v="0"/>
    <n v="45"/>
    <n v="611"/>
    <n v="119"/>
    <n v="0"/>
    <s v="BHILWARA"/>
    <s v="BHILWARA"/>
    <s v="RJ-UDAIPUR"/>
    <d v="2021-08-03T00:00:00"/>
  </r>
  <r>
    <s v="815849205591"/>
    <x v="2328"/>
    <s v="ROHIT PAREEK"/>
    <n v="205591"/>
    <s v="ROOP RAJAT TRADING CO"/>
    <n v="0"/>
    <n v="0"/>
    <n v="0"/>
    <n v="10"/>
    <n v="0"/>
    <n v="0"/>
    <n v="0"/>
    <n v="0"/>
    <n v="0"/>
    <n v="10"/>
    <n v="0"/>
    <n v="0"/>
    <n v="0"/>
    <n v="0"/>
    <n v="0"/>
    <n v="8"/>
    <n v="3"/>
    <n v="5"/>
    <n v="0"/>
    <n v="0"/>
    <n v="0"/>
    <n v="0"/>
    <n v="0"/>
    <n v="0"/>
    <n v="28"/>
    <n v="3"/>
    <n v="5"/>
    <s v="BHILWARA"/>
    <s v="BHILWARA"/>
    <s v="RJ-UDAIPUR"/>
    <d v="2021-08-06T00:00:00"/>
  </r>
  <r>
    <s v="816014205591"/>
    <x v="2329"/>
    <s v="RAMESHVAR LAL SHARMA"/>
    <n v="205591"/>
    <s v="ROOP RAJAT TRADING CO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BHILWARA"/>
    <s v="BHILWARA"/>
    <s v="RJ-UDAIPUR"/>
    <d v="2021-08-20T00:00:00"/>
  </r>
  <r>
    <s v="816015205591"/>
    <x v="2330"/>
    <s v="MADAN LAL RAJMAL SUTHAR"/>
    <n v="205591"/>
    <s v="ROOP RAJAT TRADING CO"/>
    <n v="40"/>
    <n v="0"/>
    <n v="0"/>
    <n v="40"/>
    <n v="0"/>
    <n v="0"/>
    <n v="58"/>
    <n v="0"/>
    <n v="10"/>
    <n v="22"/>
    <n v="0"/>
    <n v="0"/>
    <n v="25"/>
    <n v="0"/>
    <n v="10"/>
    <n v="40"/>
    <n v="0"/>
    <n v="6.5"/>
    <n v="30"/>
    <n v="0"/>
    <n v="0"/>
    <n v="20"/>
    <n v="0"/>
    <n v="0"/>
    <n v="275"/>
    <n v="0"/>
    <n v="26.5"/>
    <s v="BHILWARA"/>
    <s v="BHILWARA"/>
    <s v="RJ-UDAIPUR"/>
    <d v="2021-08-20T00:00:00"/>
  </r>
  <r>
    <s v="816299175049"/>
    <x v="2331"/>
    <s v="OM SINGH"/>
    <n v="175049"/>
    <s v="KASHISH ENTERPRISES"/>
    <n v="30"/>
    <n v="0"/>
    <n v="0"/>
    <n v="18"/>
    <n v="0"/>
    <n v="0"/>
    <n v="41"/>
    <n v="0"/>
    <n v="0"/>
    <n v="27"/>
    <n v="0"/>
    <n v="0"/>
    <n v="10.5"/>
    <n v="2.5"/>
    <n v="0"/>
    <n v="10"/>
    <n v="0"/>
    <n v="0"/>
    <n v="20"/>
    <n v="0"/>
    <n v="0"/>
    <n v="50"/>
    <n v="0"/>
    <n v="10"/>
    <n v="206.5"/>
    <n v="2.5"/>
    <n v="0"/>
    <s v="BHILWARA"/>
    <s v="BHILWARA"/>
    <s v="RJ-UDAIPUR"/>
    <d v="2021-09-09T00:00:00"/>
  </r>
  <r>
    <s v="816405205591"/>
    <x v="2332"/>
    <s v="RANI DEVI REGAR"/>
    <n v="205591"/>
    <s v="ROOP RAJAT TRADING CO"/>
    <n v="0"/>
    <n v="0"/>
    <n v="0"/>
    <n v="0"/>
    <n v="0"/>
    <n v="0"/>
    <n v="0"/>
    <n v="0"/>
    <n v="0"/>
    <n v="5"/>
    <n v="0"/>
    <n v="0"/>
    <n v="0"/>
    <n v="0"/>
    <n v="0"/>
    <n v="6.5"/>
    <n v="6.5"/>
    <n v="0"/>
    <n v="0"/>
    <n v="0"/>
    <n v="0"/>
    <n v="0"/>
    <n v="0"/>
    <n v="0"/>
    <n v="11.5"/>
    <n v="6.5"/>
    <n v="0"/>
    <s v="BHILWARA"/>
    <s v="BHILWARA"/>
    <s v="RJ-UDAIPUR"/>
    <d v="2021-09-20T00:00:00"/>
  </r>
  <r>
    <s v="816499205591"/>
    <x v="2333"/>
    <s v="ASHOK KUMAR REGAR"/>
    <n v="205591"/>
    <s v="ROOP RAJAT TRADING CO"/>
    <n v="20"/>
    <n v="0"/>
    <n v="0"/>
    <n v="10"/>
    <n v="0"/>
    <n v="0"/>
    <n v="10"/>
    <n v="0"/>
    <n v="0"/>
    <n v="10"/>
    <n v="0"/>
    <n v="0"/>
    <n v="10"/>
    <n v="0"/>
    <n v="0"/>
    <n v="2.5"/>
    <n v="0"/>
    <n v="0"/>
    <n v="0"/>
    <n v="0"/>
    <n v="0"/>
    <n v="0"/>
    <n v="0"/>
    <n v="0"/>
    <n v="62.5"/>
    <n v="0"/>
    <n v="0"/>
    <s v="BHILWARA"/>
    <s v="BHILWARA"/>
    <s v="RJ-UDAIPUR"/>
    <d v="2021-09-25T00:00:00"/>
  </r>
  <r>
    <s v="816580175848"/>
    <x v="2334"/>
    <s v="KHEMRAJ"/>
    <n v="175848"/>
    <s v="PURAWAT ENTERPRISERS"/>
    <n v="20"/>
    <n v="0"/>
    <n v="0"/>
    <n v="46"/>
    <n v="0"/>
    <n v="0"/>
    <n v="51"/>
    <n v="0"/>
    <n v="0"/>
    <n v="29"/>
    <n v="0"/>
    <n v="9"/>
    <n v="26"/>
    <n v="0"/>
    <n v="0"/>
    <n v="24"/>
    <n v="0"/>
    <n v="0"/>
    <n v="24"/>
    <n v="0"/>
    <n v="0"/>
    <n v="51"/>
    <n v="0"/>
    <n v="0"/>
    <n v="271"/>
    <n v="0"/>
    <n v="9"/>
    <s v="BHILWARA"/>
    <s v="BHILWARA"/>
    <s v="RJ-UDAIPUR"/>
    <d v="2021-09-29T00:00:00"/>
  </r>
  <r>
    <s v="816626170248"/>
    <x v="2335"/>
    <s v="ROHIT AJMERA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HILWARA"/>
    <s v="BHILWARA"/>
    <s v="RJ-UDAIPUR"/>
    <d v="2021-10-02T00:00:00"/>
  </r>
  <r>
    <s v="817060206529"/>
    <x v="2336"/>
    <s v="ISHWAR GURJAR"/>
    <n v="206529"/>
    <s v="GOPAL KRISHAN DHUPPAD"/>
    <n v="10"/>
    <n v="0"/>
    <n v="0"/>
    <n v="36"/>
    <n v="0"/>
    <n v="0"/>
    <n v="35.5"/>
    <n v="5"/>
    <n v="0"/>
    <n v="5.75"/>
    <n v="5.75"/>
    <n v="0"/>
    <n v="10.5"/>
    <n v="0"/>
    <n v="0"/>
    <n v="11"/>
    <n v="8"/>
    <n v="0"/>
    <n v="10"/>
    <n v="0"/>
    <n v="0"/>
    <n v="10"/>
    <n v="0"/>
    <n v="0"/>
    <n v="128.75"/>
    <n v="18.75"/>
    <n v="0"/>
    <s v="BHILWARA"/>
    <s v="BHILWARA"/>
    <s v="RJ-UDAIPUR"/>
    <d v="2021-11-19T00:00:00"/>
  </r>
  <r>
    <s v="817065175848"/>
    <x v="2337"/>
    <s v="AMAN KOTAWAT"/>
    <n v="175848"/>
    <s v="PURAWAT ENTERPRISERS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BHILWARA"/>
    <s v="BHILWARA"/>
    <s v="RJ-UDAIPUR"/>
    <d v="2021-11-20T00:00:00"/>
  </r>
  <r>
    <s v="817078206529"/>
    <x v="2338"/>
    <s v="FLKE AMIRKHAN PATHAN"/>
    <n v="206529"/>
    <s v="GOPAL KRISHAN DHUPPAD"/>
    <n v="10"/>
    <n v="0"/>
    <n v="0"/>
    <n v="16"/>
    <n v="0"/>
    <n v="0"/>
    <n v="25"/>
    <n v="0"/>
    <n v="0"/>
    <n v="13.5"/>
    <n v="0"/>
    <n v="0"/>
    <n v="26.5"/>
    <n v="5"/>
    <n v="0"/>
    <n v="16"/>
    <n v="8"/>
    <n v="0"/>
    <n v="10"/>
    <n v="0"/>
    <n v="0"/>
    <n v="12.5"/>
    <n v="0"/>
    <n v="0"/>
    <n v="129.5"/>
    <n v="13"/>
    <n v="0"/>
    <s v="BHILWARA"/>
    <s v="BHILWARA"/>
    <s v="RJ-UDAIPUR"/>
    <d v="2021-11-22T00:00:00"/>
  </r>
  <r>
    <s v="817515204030"/>
    <x v="2339"/>
    <s v="RAJENDRA SINGH"/>
    <n v="204030"/>
    <s v="DEVA LAL KUMAWAT"/>
    <n v="58.5"/>
    <n v="0"/>
    <n v="0"/>
    <n v="54"/>
    <n v="11"/>
    <n v="0"/>
    <n v="56"/>
    <n v="4"/>
    <n v="0"/>
    <n v="21"/>
    <n v="0"/>
    <n v="0"/>
    <n v="10"/>
    <n v="0"/>
    <n v="0"/>
    <n v="0"/>
    <n v="0"/>
    <n v="0"/>
    <n v="0"/>
    <n v="0"/>
    <n v="0"/>
    <n v="0"/>
    <n v="0"/>
    <n v="0"/>
    <n v="199.5"/>
    <n v="15"/>
    <n v="0"/>
    <s v="BHILWARA"/>
    <s v="BHILWARA"/>
    <s v="RJ-UDAIPUR"/>
    <d v="2021-12-28T00:00:00"/>
  </r>
  <r>
    <s v="817941206529"/>
    <x v="2340"/>
    <s v="RATAN LAL VAISHNAV"/>
    <n v="206529"/>
    <s v="GOPAL KRISHAN DHUPPAD"/>
    <n v="15"/>
    <n v="0"/>
    <n v="0"/>
    <n v="10"/>
    <n v="0"/>
    <n v="0"/>
    <n v="20"/>
    <n v="0"/>
    <n v="0"/>
    <n v="5"/>
    <n v="0"/>
    <n v="5"/>
    <n v="14"/>
    <n v="14"/>
    <n v="0"/>
    <n v="12"/>
    <n v="0"/>
    <n v="0"/>
    <n v="17"/>
    <n v="8"/>
    <n v="0"/>
    <n v="10"/>
    <n v="0"/>
    <n v="0"/>
    <n v="103"/>
    <n v="22"/>
    <n v="5"/>
    <s v="BHILWARA"/>
    <s v="BHILWARA"/>
    <s v="RJ-UDAIPUR"/>
    <d v="2022-02-01T00:00:00"/>
  </r>
  <r>
    <s v="817961205591"/>
    <x v="2341"/>
    <s v="KRISHN KANT JOSHI"/>
    <n v="205591"/>
    <s v="ROOP RAJAT TRADING CO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BHILWARA"/>
    <s v="BHILWARA"/>
    <s v="RJ-UDAIPUR"/>
    <d v="2022-02-03T00:00:00"/>
  </r>
  <r>
    <s v="817977175049"/>
    <x v="2342"/>
    <s v="MAHAVEER SINGH"/>
    <n v="175049"/>
    <s v="KASHISH ENTERPRISES"/>
    <n v="20"/>
    <n v="0"/>
    <n v="0"/>
    <n v="18"/>
    <n v="0"/>
    <n v="0"/>
    <n v="21"/>
    <n v="4"/>
    <n v="4"/>
    <n v="0"/>
    <n v="0"/>
    <n v="0"/>
    <n v="2.5"/>
    <n v="2.5"/>
    <n v="0"/>
    <n v="10"/>
    <n v="0"/>
    <n v="0"/>
    <n v="10"/>
    <n v="0"/>
    <n v="0"/>
    <n v="10"/>
    <n v="0"/>
    <n v="0"/>
    <n v="91.5"/>
    <n v="6.5"/>
    <n v="4"/>
    <s v="BHILWARA"/>
    <s v="BHILWARA"/>
    <s v="RJ-UDAIPUR"/>
    <d v="2022-02-05T00:00:00"/>
  </r>
  <r>
    <s v="817978205591"/>
    <x v="2343"/>
    <s v="GOPAL LAL TELI"/>
    <n v="205591"/>
    <s v="ROOP RAJAT TRADING CO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10"/>
    <n v="0"/>
    <n v="0"/>
    <n v="12.5"/>
    <n v="0"/>
    <n v="0"/>
    <s v="BHILWARA"/>
    <s v="BHILWARA"/>
    <s v="RJ-UDAIPUR"/>
    <d v="2022-02-05T00:00:00"/>
  </r>
  <r>
    <s v="818043171685"/>
    <x v="2344"/>
    <s v="GAURAV PAREEK"/>
    <n v="171685"/>
    <s v="GANPATI TRADERS"/>
    <n v="50"/>
    <n v="0"/>
    <n v="0"/>
    <n v="36"/>
    <n v="0"/>
    <n v="0"/>
    <n v="56"/>
    <n v="0"/>
    <n v="0"/>
    <n v="53"/>
    <n v="0"/>
    <n v="0"/>
    <n v="15"/>
    <n v="0"/>
    <n v="0"/>
    <n v="29"/>
    <n v="0"/>
    <n v="0"/>
    <n v="21"/>
    <n v="0"/>
    <n v="0"/>
    <n v="50"/>
    <n v="0"/>
    <n v="0"/>
    <n v="310"/>
    <n v="0"/>
    <n v="0"/>
    <s v="BHILWARA"/>
    <s v="BHILWARA"/>
    <s v="RJ-UDAIPUR"/>
    <d v="2022-02-16T00:00:00"/>
  </r>
  <r>
    <s v="818099175049"/>
    <x v="2345"/>
    <s v="GHANSHYAM REGAR"/>
    <n v="175049"/>
    <s v="KASHISH ENTERPRISES"/>
    <n v="16"/>
    <n v="0"/>
    <n v="0"/>
    <n v="14"/>
    <n v="0"/>
    <n v="0"/>
    <n v="36"/>
    <n v="0"/>
    <n v="0"/>
    <n v="20"/>
    <n v="0"/>
    <n v="0"/>
    <n v="20"/>
    <n v="0"/>
    <n v="0"/>
    <n v="10"/>
    <n v="0"/>
    <n v="0"/>
    <n v="2.25"/>
    <n v="0"/>
    <n v="0"/>
    <n v="30.75"/>
    <n v="0"/>
    <n v="0"/>
    <n v="149"/>
    <n v="0"/>
    <n v="0"/>
    <s v="BHILWARA"/>
    <s v="BHILWARA"/>
    <s v="RJ-UDAIPUR"/>
    <d v="2022-02-21T00:00:00"/>
  </r>
  <r>
    <s v="818153205591"/>
    <x v="2346"/>
    <s v="JAY BHERU NATH BUILDING MATERI"/>
    <n v="205591"/>
    <s v="ROOP RAJAT TRADING CO"/>
    <n v="0"/>
    <n v="0"/>
    <n v="0"/>
    <n v="0"/>
    <n v="0"/>
    <n v="0"/>
    <n v="5"/>
    <n v="0"/>
    <n v="0"/>
    <n v="5"/>
    <n v="0"/>
    <n v="0"/>
    <n v="2.5"/>
    <n v="0"/>
    <n v="0"/>
    <n v="0"/>
    <n v="0"/>
    <n v="0"/>
    <n v="0"/>
    <n v="0"/>
    <n v="0"/>
    <n v="0"/>
    <n v="0"/>
    <n v="0"/>
    <n v="12.5"/>
    <n v="0"/>
    <n v="0"/>
    <s v="BHILWARA"/>
    <s v="BHILWARA"/>
    <s v="RJ-UDAIPUR"/>
    <d v="2022-02-25T00:00:00"/>
  </r>
  <r>
    <s v="818324205591"/>
    <x v="2347"/>
    <s v="PRAKASH CHANDRA"/>
    <n v="205591"/>
    <s v="ROOP RAJAT TRADING CO"/>
    <n v="20"/>
    <n v="0"/>
    <n v="0"/>
    <n v="10"/>
    <n v="0"/>
    <n v="0"/>
    <n v="30"/>
    <n v="0"/>
    <n v="0"/>
    <n v="5"/>
    <n v="0"/>
    <n v="0"/>
    <n v="12.5"/>
    <n v="0"/>
    <n v="0"/>
    <n v="30.5"/>
    <n v="0"/>
    <n v="0"/>
    <n v="0"/>
    <n v="0"/>
    <n v="0"/>
    <n v="20"/>
    <n v="0"/>
    <n v="0"/>
    <n v="128"/>
    <n v="0"/>
    <n v="0"/>
    <s v="BHILWARA"/>
    <s v="BHILWARA"/>
    <s v="RJ-UDAIPUR"/>
    <d v="2022-03-09T00:00:00"/>
  </r>
  <r>
    <s v="818404205591"/>
    <x v="2348"/>
    <s v="NAND LAL PRAJAPAT"/>
    <n v="205591"/>
    <s v="ROOP RAJAT TRADING CO"/>
    <n v="10"/>
    <n v="0"/>
    <n v="0"/>
    <n v="0"/>
    <n v="0"/>
    <n v="0"/>
    <n v="5"/>
    <n v="0"/>
    <n v="0"/>
    <n v="5"/>
    <n v="0"/>
    <n v="0"/>
    <n v="2.5"/>
    <n v="0"/>
    <n v="0"/>
    <n v="0"/>
    <n v="0"/>
    <n v="0"/>
    <n v="0"/>
    <n v="0"/>
    <n v="0"/>
    <n v="0"/>
    <n v="0"/>
    <n v="0"/>
    <n v="22.5"/>
    <n v="0"/>
    <n v="0"/>
    <s v="BHILWARA"/>
    <s v="BHILWARA"/>
    <s v="RJ-UDAIPUR"/>
    <d v="2022-03-19T00:00:00"/>
  </r>
  <r>
    <s v="818429175287"/>
    <x v="2349"/>
    <s v="BHERU LAL KUMAWAT"/>
    <n v="175287"/>
    <s v="SHREE DEVNARAYAN BUILDING MATE"/>
    <n v="10"/>
    <n v="0"/>
    <n v="0"/>
    <n v="15"/>
    <n v="0"/>
    <n v="0"/>
    <n v="27"/>
    <n v="0"/>
    <n v="12"/>
    <n v="45"/>
    <n v="0"/>
    <n v="10"/>
    <n v="0"/>
    <n v="0"/>
    <n v="0"/>
    <n v="28.5"/>
    <n v="21"/>
    <n v="0"/>
    <n v="8.75"/>
    <n v="0"/>
    <n v="0"/>
    <n v="22.5"/>
    <n v="12.5"/>
    <n v="5"/>
    <n v="156.75"/>
    <n v="21"/>
    <n v="22"/>
    <s v="BHILWARA"/>
    <s v="BHILWARA"/>
    <s v="RJ-UDAIPUR"/>
    <d v="2022-03-22T00:00:00"/>
  </r>
  <r>
    <s v="818588206529"/>
    <x v="2350"/>
    <s v="DEV SHREE SANITARY"/>
    <n v="206529"/>
    <s v="GOPAL KRISHAN DHUPPAD"/>
    <n v="40"/>
    <n v="0"/>
    <n v="0"/>
    <n v="32"/>
    <n v="40"/>
    <n v="0"/>
    <n v="20"/>
    <n v="0"/>
    <n v="0"/>
    <n v="0"/>
    <n v="0"/>
    <n v="0"/>
    <n v="26"/>
    <n v="10"/>
    <n v="0"/>
    <n v="26.5"/>
    <n v="11.5"/>
    <n v="0"/>
    <n v="20"/>
    <n v="0"/>
    <n v="0"/>
    <n v="32"/>
    <n v="18"/>
    <n v="0"/>
    <n v="196.5"/>
    <n v="61.5"/>
    <n v="0"/>
    <s v="BHILWARA"/>
    <s v="BHILWARA"/>
    <s v="RJ-UDAIPUR"/>
    <d v="2022-04-06T00:00:00"/>
  </r>
  <r>
    <s v="818623206529"/>
    <x v="2351"/>
    <s v="SHREE CHARBHUJA CEMENT SUPPLIE"/>
    <n v="206529"/>
    <s v="GOPAL KRISHAN DHUPPAD"/>
    <n v="25"/>
    <n v="0"/>
    <n v="0"/>
    <n v="20"/>
    <n v="0"/>
    <n v="0"/>
    <n v="30"/>
    <n v="5"/>
    <n v="5"/>
    <n v="37.5"/>
    <n v="25"/>
    <n v="0"/>
    <n v="12"/>
    <n v="5"/>
    <n v="0"/>
    <n v="11"/>
    <n v="0"/>
    <n v="0"/>
    <n v="10"/>
    <n v="0"/>
    <n v="0"/>
    <n v="5.5"/>
    <n v="0"/>
    <n v="0"/>
    <n v="151"/>
    <n v="35"/>
    <n v="5"/>
    <s v="BHILWARA"/>
    <s v="BHILWARA"/>
    <s v="RJ-UDAIPUR"/>
    <d v="2022-04-12T00:00:00"/>
  </r>
  <r>
    <s v="818809175049"/>
    <x v="2352"/>
    <s v="RAJESH KUMAR KHTIK"/>
    <n v="175049"/>
    <s v="KASHISH ENTERPRISES"/>
    <n v="0"/>
    <n v="0"/>
    <n v="0"/>
    <n v="13"/>
    <n v="0"/>
    <n v="0"/>
    <n v="16"/>
    <n v="0"/>
    <n v="10"/>
    <n v="0"/>
    <n v="0"/>
    <n v="0"/>
    <n v="5"/>
    <n v="5"/>
    <n v="0"/>
    <n v="12"/>
    <n v="0"/>
    <n v="0"/>
    <n v="10"/>
    <n v="0"/>
    <n v="0"/>
    <n v="10"/>
    <n v="0"/>
    <n v="0"/>
    <n v="66"/>
    <n v="5"/>
    <n v="10"/>
    <s v="BHILWARA"/>
    <s v="BHILWARA"/>
    <s v="RJ-UDAIPUR"/>
    <d v="2022-04-30T00:00:00"/>
  </r>
  <r>
    <s v="819102177202"/>
    <x v="2353"/>
    <s v="BADRI NATH YOGI"/>
    <n v="177202"/>
    <s v="GIRIRAJ TRADERS"/>
    <n v="0"/>
    <n v="0"/>
    <n v="0"/>
    <n v="0"/>
    <n v="0"/>
    <n v="0"/>
    <n v="60"/>
    <n v="5"/>
    <n v="0"/>
    <n v="23"/>
    <n v="5"/>
    <n v="0"/>
    <n v="10"/>
    <n v="7"/>
    <n v="0"/>
    <n v="16"/>
    <n v="0"/>
    <n v="0"/>
    <n v="0"/>
    <n v="0"/>
    <n v="0"/>
    <n v="12"/>
    <n v="0"/>
    <n v="0"/>
    <n v="121"/>
    <n v="17"/>
    <n v="0"/>
    <s v="BHILWARA"/>
    <s v="BHILWARA"/>
    <s v="RJ-UDAIPUR"/>
    <d v="2022-05-28T00:00:00"/>
  </r>
  <r>
    <s v="819423209172"/>
    <x v="2354"/>
    <s v="ROSHAN LAL GURJAR"/>
    <n v="209172"/>
    <s v="JOGNIYA TRADERS"/>
    <n v="0"/>
    <n v="0"/>
    <n v="0"/>
    <n v="0"/>
    <n v="0"/>
    <n v="0"/>
    <n v="5"/>
    <n v="0"/>
    <n v="5"/>
    <n v="77.5"/>
    <n v="5"/>
    <n v="0"/>
    <n v="43.5"/>
    <n v="0"/>
    <n v="0"/>
    <n v="30"/>
    <n v="11.5"/>
    <n v="0"/>
    <n v="31.25"/>
    <n v="2.5"/>
    <n v="0"/>
    <n v="37.5"/>
    <n v="0"/>
    <n v="0"/>
    <n v="224.75"/>
    <n v="19"/>
    <n v="5"/>
    <s v="BHILWARA"/>
    <s v="BHILWARA"/>
    <s v="RJ-UDAIPUR"/>
    <d v="2022-06-20T00:00:00"/>
  </r>
  <r>
    <s v="819526175287"/>
    <x v="2355"/>
    <s v="RAJENDRA SINGH BHANWAR SINGH C"/>
    <n v="175287"/>
    <s v="SHREE DEVNARAYAN BUILDING MATE"/>
    <n v="0"/>
    <n v="0"/>
    <n v="0"/>
    <n v="0"/>
    <n v="0"/>
    <n v="0"/>
    <n v="0"/>
    <n v="0"/>
    <n v="0"/>
    <n v="16.5"/>
    <n v="9"/>
    <n v="0"/>
    <n v="6"/>
    <n v="0"/>
    <n v="0"/>
    <n v="10.5"/>
    <n v="0"/>
    <n v="0"/>
    <n v="0"/>
    <n v="0"/>
    <n v="0"/>
    <n v="5"/>
    <n v="0"/>
    <n v="0"/>
    <n v="38"/>
    <n v="9"/>
    <n v="0"/>
    <s v="BHILWARA"/>
    <s v="BHILWARA"/>
    <s v="RJ-UDAIPUR"/>
    <d v="2022-06-25T00:00:00"/>
  </r>
  <r>
    <s v="819983175848"/>
    <x v="2356"/>
    <s v="LADU LAL JAT"/>
    <n v="175848"/>
    <s v="PURAWAT ENTERPRISERS"/>
    <n v="0"/>
    <n v="0"/>
    <n v="0"/>
    <n v="0"/>
    <n v="0"/>
    <n v="0"/>
    <n v="0"/>
    <n v="0"/>
    <n v="0"/>
    <n v="11"/>
    <n v="0"/>
    <n v="0"/>
    <n v="27"/>
    <n v="0"/>
    <n v="0"/>
    <n v="18"/>
    <n v="0"/>
    <n v="0"/>
    <n v="33"/>
    <n v="0"/>
    <n v="0"/>
    <n v="34"/>
    <n v="0"/>
    <n v="0"/>
    <n v="123"/>
    <n v="0"/>
    <n v="0"/>
    <s v="BHILWARA"/>
    <s v="BHILWARA"/>
    <s v="RJ-UDAIPUR"/>
    <d v="2022-07-28T00:00:00"/>
  </r>
  <r>
    <s v="820034206529"/>
    <x v="2357"/>
    <s v="SHUBHRAT KHA"/>
    <n v="206529"/>
    <s v="GOPAL KRISHAN DHUPPAD"/>
    <n v="0"/>
    <n v="0"/>
    <n v="0"/>
    <n v="0"/>
    <n v="0"/>
    <n v="0"/>
    <n v="0"/>
    <n v="0"/>
    <n v="0"/>
    <n v="0"/>
    <n v="0"/>
    <n v="0"/>
    <n v="20.100000000000001"/>
    <n v="20.100000000000001"/>
    <n v="0"/>
    <n v="39"/>
    <n v="19"/>
    <n v="0"/>
    <n v="24"/>
    <n v="15"/>
    <n v="0"/>
    <n v="29.9"/>
    <n v="13.9"/>
    <n v="0"/>
    <n v="113"/>
    <n v="54.1"/>
    <n v="0"/>
    <s v="BHILWARA"/>
    <s v="BHILWARA"/>
    <s v="RJ-UDAIPUR"/>
    <d v="2022-08-03T00:00:00"/>
  </r>
  <r>
    <s v="820197212910"/>
    <x v="2358"/>
    <s v="SARIKA ENTERPRISES"/>
    <n v="212910"/>
    <s v="SHIVKRIPA ASSOCIATES"/>
    <n v="0"/>
    <n v="0"/>
    <n v="0"/>
    <n v="0"/>
    <n v="0"/>
    <n v="0"/>
    <n v="0"/>
    <n v="0"/>
    <n v="0"/>
    <n v="0"/>
    <n v="0"/>
    <n v="0"/>
    <n v="56"/>
    <n v="0"/>
    <n v="0"/>
    <n v="286.5"/>
    <n v="0"/>
    <n v="0"/>
    <n v="163"/>
    <n v="16.5"/>
    <n v="0"/>
    <n v="144"/>
    <n v="0"/>
    <n v="0"/>
    <n v="649.5"/>
    <n v="16.5"/>
    <n v="0"/>
    <s v="BHILWARA"/>
    <s v="BHILWARA"/>
    <s v="RJ-UDAIPUR"/>
    <d v="2022-08-22T00:00:00"/>
  </r>
  <r>
    <s v="820208173528"/>
    <x v="2359"/>
    <s v="BALAJI ENTERPRISES"/>
    <n v="173528"/>
    <s v="DHAKER TRADERS &amp; SUPPLIERS"/>
    <n v="0"/>
    <n v="0"/>
    <n v="0"/>
    <n v="0"/>
    <n v="0"/>
    <n v="0"/>
    <n v="0"/>
    <n v="0"/>
    <n v="0"/>
    <n v="0"/>
    <n v="0"/>
    <n v="0"/>
    <n v="26.5"/>
    <n v="0"/>
    <n v="0"/>
    <n v="61.5"/>
    <n v="0"/>
    <n v="0"/>
    <n v="19"/>
    <n v="0"/>
    <n v="0"/>
    <n v="33.5"/>
    <n v="0"/>
    <n v="0"/>
    <n v="140.5"/>
    <n v="0"/>
    <n v="0"/>
    <s v="BHILWARA"/>
    <s v="BHILWARA"/>
    <s v="RJ-UDAIPUR"/>
    <d v="2022-08-22T00:00:00"/>
  </r>
  <r>
    <s v="820431204030"/>
    <x v="2360"/>
    <s v="PIYUSH SUWALKA"/>
    <n v="204030"/>
    <s v="DEVA LAL KUMAWAT"/>
    <n v="0"/>
    <n v="0"/>
    <n v="0"/>
    <n v="0"/>
    <n v="0"/>
    <n v="0"/>
    <n v="0"/>
    <n v="0"/>
    <n v="0"/>
    <n v="0"/>
    <n v="0"/>
    <n v="0"/>
    <n v="0"/>
    <n v="0"/>
    <n v="0"/>
    <n v="36"/>
    <n v="18"/>
    <n v="0"/>
    <n v="0"/>
    <n v="0"/>
    <n v="0"/>
    <n v="18"/>
    <n v="0"/>
    <n v="0"/>
    <n v="54"/>
    <n v="18"/>
    <n v="0"/>
    <s v="BHILWARA"/>
    <s v="BHILWARA"/>
    <s v="RJ-UDAIPUR"/>
    <d v="2022-09-08T00:00:00"/>
  </r>
  <r>
    <s v="813181170248"/>
    <x v="2361"/>
    <s v="SHRIJI TRADERS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10"/>
    <n v="0"/>
    <n v="0"/>
    <n v="5"/>
    <n v="0"/>
    <n v="0"/>
    <n v="32"/>
    <n v="0"/>
    <n v="0"/>
    <s v="BHILWARA"/>
    <s v="BHILWARA"/>
    <s v="RJ-UDAIPUR"/>
    <d v="2020-10-06T00:00:00"/>
  </r>
  <r>
    <s v="819800170248"/>
    <x v="2362"/>
    <s v="SANWAR LAL GADRI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10"/>
    <n v="0"/>
    <n v="0"/>
    <n v="20"/>
    <n v="0"/>
    <n v="0"/>
    <n v="50"/>
    <n v="0"/>
    <n v="0"/>
    <s v="BHILWARA"/>
    <s v="BHILWARA"/>
    <s v="RJ-UDAIPUR"/>
    <d v="2022-07-18T00:00:00"/>
  </r>
  <r>
    <s v="820506171685"/>
    <x v="2363"/>
    <s v="KAILASH CHANDRA KUMHAR"/>
    <n v="171685"/>
    <s v="GANPATI TRADERS"/>
    <n v="0"/>
    <n v="0"/>
    <n v="0"/>
    <n v="0"/>
    <n v="0"/>
    <n v="0"/>
    <n v="0"/>
    <n v="0"/>
    <n v="0"/>
    <n v="0"/>
    <n v="0"/>
    <n v="0"/>
    <n v="0"/>
    <n v="0"/>
    <n v="0"/>
    <n v="12.5"/>
    <n v="0"/>
    <n v="0"/>
    <n v="21"/>
    <n v="0"/>
    <n v="0"/>
    <n v="17"/>
    <n v="0"/>
    <n v="0"/>
    <n v="50.5"/>
    <n v="0"/>
    <n v="0"/>
    <s v="BHILWARA"/>
    <s v="BHILWARA"/>
    <s v="RJ-UDAIPUR"/>
    <d v="2022-09-13T00:00:00"/>
  </r>
  <r>
    <s v="820567213002"/>
    <x v="2364"/>
    <s v="SHREE CHARBHUJA CEMENT SUPPLIE"/>
    <n v="213002"/>
    <s v="AADITYA ENTERPRISES"/>
    <n v="0"/>
    <n v="0"/>
    <n v="0"/>
    <n v="0"/>
    <n v="0"/>
    <n v="0"/>
    <n v="0"/>
    <n v="0"/>
    <n v="0"/>
    <n v="0"/>
    <n v="0"/>
    <n v="0"/>
    <n v="0"/>
    <n v="0"/>
    <n v="0"/>
    <n v="15"/>
    <n v="5"/>
    <n v="0"/>
    <n v="0"/>
    <n v="0"/>
    <n v="0"/>
    <n v="11"/>
    <n v="0"/>
    <n v="0"/>
    <n v="26"/>
    <n v="5"/>
    <n v="0"/>
    <s v="BHILWARA"/>
    <s v="BHILWARA"/>
    <s v="RJ-UDAIPUR"/>
    <d v="2022-09-16T00:00:00"/>
  </r>
  <r>
    <s v="820577177202"/>
    <x v="2365"/>
    <s v="ARJUN SINGH"/>
    <n v="177202"/>
    <s v="GIRIRAJ TRADERS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4"/>
    <n v="0"/>
    <n v="0"/>
    <n v="16.5"/>
    <n v="6.5"/>
    <n v="0"/>
    <n v="30.5"/>
    <n v="10"/>
    <n v="0"/>
    <s v="BHILWARA"/>
    <s v="BHILWARA"/>
    <s v="RJ-UDAIPUR"/>
    <d v="2022-09-17T00:00:00"/>
  </r>
  <r>
    <s v="820137170248"/>
    <x v="2366"/>
    <s v="G N BUILDING MATERIAL SUPPLIER"/>
    <n v="170248"/>
    <s v="MAHAVEER ENTERPRISES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  <n v="5"/>
    <n v="0"/>
    <n v="0"/>
    <n v="10"/>
    <n v="0"/>
    <n v="5"/>
    <s v="BHILWARA"/>
    <s v="BHILWARA"/>
    <s v="RJ-UDAIPUR"/>
    <d v="2022-08-16T00:00:00"/>
  </r>
  <r>
    <s v="820591177202"/>
    <x v="2367"/>
    <s v="BHAIRU LAL REGAR"/>
    <n v="177202"/>
    <s v="GIRIRAJ TRADERS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8"/>
    <n v="6.5"/>
    <n v="0"/>
    <n v="26.5"/>
    <n v="6"/>
    <n v="0"/>
    <n v="54.5"/>
    <n v="6.5"/>
    <n v="0"/>
    <s v="BHILWARA"/>
    <s v="BHILWARA"/>
    <s v="RJ-UDAIPUR"/>
    <d v="2022-09-19T00:00:00"/>
  </r>
  <r>
    <s v="820607206529"/>
    <x v="2368"/>
    <s v="BHAGCHAND KUMAWAT"/>
    <n v="206529"/>
    <s v="GOPAL KRISHAN DHUPPAD"/>
    <n v="0"/>
    <n v="0"/>
    <n v="0"/>
    <n v="0"/>
    <n v="0"/>
    <n v="0"/>
    <n v="0"/>
    <n v="0"/>
    <n v="0"/>
    <n v="0"/>
    <n v="0"/>
    <n v="0"/>
    <n v="0"/>
    <n v="0"/>
    <n v="0"/>
    <n v="17"/>
    <n v="17"/>
    <n v="0"/>
    <n v="10"/>
    <n v="0"/>
    <n v="0"/>
    <n v="10"/>
    <n v="0"/>
    <n v="0"/>
    <n v="37"/>
    <n v="17"/>
    <n v="0"/>
    <s v="BHILWARA"/>
    <s v="BHILWARA"/>
    <s v="RJ-UDAIPUR"/>
    <d v="2022-09-19T00:00:00"/>
  </r>
  <r>
    <s v="820608206529"/>
    <x v="2369"/>
    <s v="SHREE DEV CEMENT SUPPLIERS"/>
    <n v="206529"/>
    <s v="GOPAL KRISHAN DHUPPAD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10"/>
    <n v="0"/>
    <n v="0"/>
    <n v="10"/>
    <n v="0"/>
    <n v="0"/>
    <n v="30"/>
    <n v="10"/>
    <n v="0"/>
    <s v="BHILWARA"/>
    <s v="BHILWARA"/>
    <s v="RJ-UDAIPUR"/>
    <d v="2022-09-19T00:00:00"/>
  </r>
  <r>
    <s v="820622175049"/>
    <x v="2370"/>
    <s v="CHUNNI LAL PRAJAPAT"/>
    <n v="175049"/>
    <s v="KASHISH ENTERPRISES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5"/>
    <n v="0"/>
    <n v="0"/>
    <n v="20"/>
    <n v="0"/>
    <n v="0"/>
    <n v="65"/>
    <n v="0"/>
    <n v="0"/>
    <s v="BHILWARA"/>
    <s v="BHILWARA"/>
    <s v="RJ-UDAIPUR"/>
    <d v="2022-09-20T00:00:00"/>
  </r>
  <r>
    <s v="820627213002"/>
    <x v="2371"/>
    <s v="BABA CEMENT AGENCY"/>
    <n v="213002"/>
    <s v="AADITYA ENTERPRISE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10"/>
    <n v="0"/>
    <n v="0"/>
    <n v="25"/>
    <n v="0"/>
    <n v="0"/>
    <s v="BHILWARA"/>
    <s v="BHILWARA"/>
    <s v="RJ-UDAIPUR"/>
    <d v="2022-09-20T00:00:00"/>
  </r>
  <r>
    <s v="820508212248"/>
    <x v="2372"/>
    <s v="UMMED SINGH SHAKTAWAT"/>
    <n v="212248"/>
    <s v="SHRI CHARBHUJA IRON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18"/>
    <n v="0"/>
    <n v="0"/>
    <n v="10"/>
    <n v="0"/>
    <n v="0"/>
    <n v="33"/>
    <n v="0"/>
    <n v="0"/>
    <s v="BHILWARA"/>
    <s v="BHILWARA"/>
    <s v="RJ-UDAIPUR"/>
    <d v="2022-09-13T00:00:00"/>
  </r>
  <r>
    <s v="820509212248"/>
    <x v="2373"/>
    <s v="VINOD NATH YOGI"/>
    <n v="212248"/>
    <s v="SHRI CHARBHUJA IRON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HILWARA"/>
    <s v="BHILWARA"/>
    <s v="RJ-UDAIPUR"/>
    <d v="2022-09-13T00:00:00"/>
  </r>
  <r>
    <s v="820812206529"/>
    <x v="2374"/>
    <s v="DINESH KUMAR VAISHNAV"/>
    <n v="206529"/>
    <s v="GOPAL KRISHAN DHUPPA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n v="20"/>
    <n v="0"/>
    <n v="0"/>
    <s v="BHILWARA"/>
    <s v="BHILWARA"/>
    <s v="RJ-UDAIPUR"/>
    <d v="2022-09-29T00:00:00"/>
  </r>
  <r>
    <s v="820905208105"/>
    <x v="2375"/>
    <s v="MATESHWARI CEMENT SUPPLIERS"/>
    <n v="208105"/>
    <s v="SHREE RATAN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75.75"/>
    <n v="34"/>
    <n v="0"/>
    <n v="85.75"/>
    <n v="0"/>
    <n v="0"/>
    <s v="BHILWARA"/>
    <s v="BHILWARA"/>
    <s v="RJ-UDAIPUR"/>
    <d v="2022-10-11T00:00:00"/>
  </r>
  <r>
    <s v="821062206529"/>
    <x v="2376"/>
    <s v="SHREE JI STONE CEMENT SUPPLIER"/>
    <n v="206529"/>
    <s v="GOPAL KRISHAN DHUPPA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20"/>
    <n v="0"/>
    <n v="0"/>
    <n v="30"/>
    <n v="0"/>
    <n v="0"/>
    <s v="BHILWARA"/>
    <s v="BHILWARA"/>
    <s v="RJ-UDAIPUR"/>
    <d v="2022-10-22T00:00:00"/>
  </r>
  <r>
    <s v="821065206529"/>
    <x v="2377"/>
    <s v="JAI SHREE SHYAM CEMENT SUPPLIE"/>
    <n v="206529"/>
    <s v="GOPAL KRISHAN DHUPPA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n v="20"/>
    <n v="0"/>
    <n v="0"/>
    <s v="BHILWARA"/>
    <s v="BHILWARA"/>
    <s v="RJ-UDAIPUR"/>
    <d v="2022-10-26T00:00:00"/>
  </r>
  <r>
    <s v="821151205591"/>
    <x v="2378"/>
    <s v="SAIYAD HUSSAIN PATHAN"/>
    <n v="205591"/>
    <s v="ROOP RAJAT TRADING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35"/>
    <n v="5"/>
    <n v="5"/>
    <n v="150"/>
    <n v="0"/>
    <n v="0"/>
    <s v="BHILWARA"/>
    <s v="BHILWARA"/>
    <s v="RJ-UDAIPUR"/>
    <d v="2022-11-04T00:00:00"/>
  </r>
  <r>
    <s v="821152212248"/>
    <x v="2379"/>
    <s v="BABLU SHARMA"/>
    <n v="212248"/>
    <s v="SHRI CHARBHUJA IR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5"/>
    <n v="0"/>
    <n v="0"/>
    <n v="50"/>
    <n v="0"/>
    <n v="0"/>
    <s v="BHILWARA"/>
    <s v="BHILWARA"/>
    <s v="RJ-UDAIPUR"/>
    <d v="2022-11-04T00:00:00"/>
  </r>
  <r>
    <s v="820578205591"/>
    <x v="2380"/>
    <s v="JANGID ENTERPRISES"/>
    <n v="205591"/>
    <s v="ROOP RAJAT TRADING C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.5"/>
    <n v="0"/>
    <n v="0"/>
    <n v="30.5"/>
    <n v="0"/>
    <n v="0"/>
    <s v="BHILWARA"/>
    <s v="BHILWARA"/>
    <s v="RJ-UDAIPUR"/>
    <d v="2022-09-17T00:00:00"/>
  </r>
  <r>
    <s v="821147175049"/>
    <x v="2381"/>
    <s v="HINDUSTAN HARDWARE"/>
    <n v="175049"/>
    <s v="KASHISH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40"/>
    <n v="5"/>
    <n v="15"/>
    <n v="55"/>
    <n v="0"/>
    <n v="0"/>
    <s v="BHILWARA"/>
    <s v="BHILWARA"/>
    <s v="RJ-UDAIPUR"/>
    <d v="2022-11-04T00:00:00"/>
  </r>
  <r>
    <s v="821229209172"/>
    <x v="2382"/>
    <s v="RAMESHWAR REGAR"/>
    <n v="209172"/>
    <s v="JOGNIY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1.5"/>
    <n v="1.5"/>
    <n v="10"/>
    <n v="26.5"/>
    <n v="0"/>
    <n v="0"/>
    <s v="BHILWARA"/>
    <s v="BHILWARA"/>
    <s v="RJ-UDAIPUR"/>
    <d v="2022-11-15T00:00:00"/>
  </r>
  <r>
    <s v="803193119905"/>
    <x v="2383"/>
    <s v="CHHAGAN LAL DHAKAR"/>
    <n v="119905"/>
    <s v="FRIENDS AGENCIES"/>
    <n v="0"/>
    <n v="0"/>
    <n v="0"/>
    <n v="2.5"/>
    <n v="0"/>
    <n v="0"/>
    <n v="55"/>
    <n v="0"/>
    <n v="0"/>
    <n v="35"/>
    <n v="0"/>
    <n v="0"/>
    <n v="5"/>
    <n v="0"/>
    <n v="0"/>
    <n v="11"/>
    <n v="0"/>
    <n v="0"/>
    <n v="11.5"/>
    <n v="0"/>
    <n v="0"/>
    <n v="18"/>
    <n v="0"/>
    <n v="0"/>
    <n v="138"/>
    <n v="0"/>
    <n v="0"/>
    <s v="CHITTORGARH"/>
    <s v="BHILWARA"/>
    <s v="RJ-UDAIPUR"/>
    <d v="2014-02-14T00:00:00"/>
  </r>
  <r>
    <s v="803293170846"/>
    <x v="2384"/>
    <s v="BALAJI BUILDING MATERIAL SUPPL"/>
    <n v="170846"/>
    <s v="SANGAM ENTERPRISES"/>
    <n v="37"/>
    <n v="0"/>
    <n v="0"/>
    <n v="38"/>
    <n v="0"/>
    <n v="0"/>
    <n v="72.5"/>
    <n v="0"/>
    <n v="0"/>
    <n v="40.5"/>
    <n v="0"/>
    <n v="0"/>
    <n v="5"/>
    <n v="5"/>
    <n v="0"/>
    <n v="10"/>
    <n v="0"/>
    <n v="0"/>
    <n v="25"/>
    <n v="0"/>
    <n v="0"/>
    <n v="3"/>
    <n v="0"/>
    <n v="0"/>
    <n v="231"/>
    <n v="5"/>
    <n v="0"/>
    <s v="CHITTORGARH"/>
    <s v="BHILWARA"/>
    <s v="RJ-UDAIPUR"/>
    <d v="2014-04-22T00:00:00"/>
  </r>
  <r>
    <s v="803955119905"/>
    <x v="2385"/>
    <s v="TIRUPATI TRADING COMPANY"/>
    <n v="119905"/>
    <s v="FRIENDS AGENCIES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CHITTORGARH"/>
    <s v="BHILWARA"/>
    <s v="RJ-UDAIPUR"/>
    <d v="2015-04-21T00:00:00"/>
  </r>
  <r>
    <s v="805276170606"/>
    <x v="2386"/>
    <s v="CHARBHUJA CONSTRUCTION"/>
    <n v="170606"/>
    <s v="SHREE SANWARIYA CONSTRUCTION"/>
    <n v="10"/>
    <n v="0"/>
    <n v="0"/>
    <n v="0"/>
    <n v="0"/>
    <n v="0"/>
    <n v="5"/>
    <n v="0"/>
    <n v="0"/>
    <n v="3"/>
    <n v="0"/>
    <n v="0"/>
    <n v="13"/>
    <n v="4"/>
    <n v="3"/>
    <n v="41.5"/>
    <n v="5"/>
    <n v="17.5"/>
    <n v="15"/>
    <n v="0"/>
    <n v="7.5"/>
    <n v="10"/>
    <n v="0"/>
    <n v="0"/>
    <n v="97.5"/>
    <n v="9"/>
    <n v="28"/>
    <s v="CHITTORGARH"/>
    <s v="BHILWARA"/>
    <s v="RJ-UDAIPUR"/>
    <d v="2016-07-06T00:00:00"/>
  </r>
  <r>
    <s v="806100205370"/>
    <x v="2387"/>
    <s v="SOLANKI FERTILIZERS"/>
    <n v="205370"/>
    <s v="KANTHALIYA ENTERPRISES"/>
    <n v="15"/>
    <n v="0"/>
    <n v="0"/>
    <n v="17.5"/>
    <n v="0"/>
    <n v="0"/>
    <n v="20"/>
    <n v="0"/>
    <n v="0"/>
    <n v="10"/>
    <n v="0"/>
    <n v="0"/>
    <n v="0"/>
    <n v="0"/>
    <n v="0"/>
    <n v="20"/>
    <n v="0"/>
    <n v="0"/>
    <n v="12.5"/>
    <n v="0"/>
    <n v="0"/>
    <n v="25"/>
    <n v="0"/>
    <n v="5"/>
    <n v="120"/>
    <n v="0"/>
    <n v="0"/>
    <s v="CHITTORGARH"/>
    <s v="BHILWARA"/>
    <s v="RJ-UDAIPUR"/>
    <d v="2017-02-23T00:00:00"/>
  </r>
  <r>
    <s v="806101170392"/>
    <x v="2388"/>
    <s v="BHARAT IRON &amp; HARDWARE"/>
    <n v="170392"/>
    <s v="JYOTI SUPPLIERS"/>
    <n v="107.75"/>
    <n v="0"/>
    <n v="0"/>
    <n v="30"/>
    <n v="0"/>
    <n v="0"/>
    <n v="90"/>
    <n v="0"/>
    <n v="0"/>
    <n v="91"/>
    <n v="11"/>
    <n v="0"/>
    <n v="10"/>
    <n v="0"/>
    <n v="0"/>
    <n v="45"/>
    <n v="0"/>
    <n v="0"/>
    <n v="20"/>
    <n v="0"/>
    <n v="0"/>
    <n v="1"/>
    <n v="0"/>
    <n v="0"/>
    <n v="394.75"/>
    <n v="11"/>
    <n v="0"/>
    <s v="CHITTORGARH"/>
    <s v="BHILWARA"/>
    <s v="RJ-UDAIPUR"/>
    <d v="2017-02-23T00:00:00"/>
  </r>
  <r>
    <s v="806337170606"/>
    <x v="2389"/>
    <s v="KRISHNA BEEJ BHANDAR"/>
    <n v="170606"/>
    <s v="SHREE SANWARIYA CONSTRUCTION"/>
    <n v="35"/>
    <n v="17.5"/>
    <n v="0"/>
    <n v="22.5"/>
    <n v="10"/>
    <n v="0"/>
    <n v="25"/>
    <n v="10"/>
    <n v="0"/>
    <n v="39.5"/>
    <n v="8"/>
    <n v="12.5"/>
    <n v="25"/>
    <n v="7.5"/>
    <n v="5"/>
    <n v="63"/>
    <n v="5"/>
    <n v="0"/>
    <n v="41"/>
    <n v="0"/>
    <n v="0"/>
    <n v="20"/>
    <n v="0"/>
    <n v="6"/>
    <n v="271"/>
    <n v="58"/>
    <n v="17.5"/>
    <s v="CHITTORGARH"/>
    <s v="BHILWARA"/>
    <s v="RJ-UDAIPUR"/>
    <d v="2017-05-08T00:00:00"/>
  </r>
  <r>
    <s v="806339170392"/>
    <x v="2390"/>
    <s v="JAI SHANI DEV KIRANA STORE"/>
    <n v="170392"/>
    <s v="JYOTI SUPPLIERS"/>
    <n v="30"/>
    <n v="0"/>
    <n v="0"/>
    <n v="29"/>
    <n v="0"/>
    <n v="0"/>
    <n v="30"/>
    <n v="0"/>
    <n v="0"/>
    <n v="10"/>
    <n v="0"/>
    <n v="0"/>
    <n v="20"/>
    <n v="10"/>
    <n v="0"/>
    <n v="36"/>
    <n v="0"/>
    <n v="0"/>
    <n v="10"/>
    <n v="0"/>
    <n v="0"/>
    <n v="1"/>
    <n v="0"/>
    <n v="0"/>
    <n v="166"/>
    <n v="10"/>
    <n v="0"/>
    <s v="CHITTORGARH"/>
    <s v="BHILWARA"/>
    <s v="RJ-UDAIPUR"/>
    <d v="2017-05-08T00:00:00"/>
  </r>
  <r>
    <s v="806466170392"/>
    <x v="2391"/>
    <s v="CHOUDHARY KIRANA STORE"/>
    <n v="170392"/>
    <s v="JYOTI SUPPLIERS"/>
    <n v="10"/>
    <n v="0"/>
    <n v="0"/>
    <n v="10"/>
    <n v="0"/>
    <n v="0"/>
    <n v="10"/>
    <n v="0"/>
    <n v="0"/>
    <n v="0"/>
    <n v="0"/>
    <n v="0"/>
    <n v="16"/>
    <n v="0"/>
    <n v="0"/>
    <n v="0"/>
    <n v="0"/>
    <n v="0"/>
    <n v="0"/>
    <n v="0"/>
    <n v="0"/>
    <n v="1"/>
    <n v="0"/>
    <n v="0"/>
    <n v="47"/>
    <n v="0"/>
    <n v="0"/>
    <s v="CHITTORGARH"/>
    <s v="BHILWARA"/>
    <s v="RJ-UDAIPUR"/>
    <d v="2017-06-16T00:00:00"/>
  </r>
  <r>
    <s v="806471119905"/>
    <x v="2392"/>
    <s v="SURAJMAL JAT"/>
    <n v="119905"/>
    <s v="FRIENDS AGENCIES"/>
    <n v="25.5"/>
    <n v="0"/>
    <n v="0"/>
    <n v="32.5"/>
    <n v="0"/>
    <n v="0"/>
    <n v="40"/>
    <n v="0"/>
    <n v="0"/>
    <n v="4"/>
    <n v="0"/>
    <n v="0"/>
    <n v="2"/>
    <n v="0"/>
    <n v="0"/>
    <n v="10"/>
    <n v="0"/>
    <n v="0"/>
    <n v="0"/>
    <n v="0"/>
    <n v="0"/>
    <n v="0"/>
    <n v="0"/>
    <n v="0"/>
    <n v="114"/>
    <n v="0"/>
    <n v="0"/>
    <s v="CHITTORGARH"/>
    <s v="BHILWARA"/>
    <s v="RJ-UDAIPUR"/>
    <d v="2017-06-16T00:00:00"/>
  </r>
  <r>
    <s v="806472170392"/>
    <x v="2393"/>
    <s v="ANGARHNATH BUILDING MATERIAL S"/>
    <n v="170392"/>
    <s v="JYOTI SUPPLIERS"/>
    <n v="60"/>
    <n v="0"/>
    <n v="0"/>
    <n v="115"/>
    <n v="0"/>
    <n v="0"/>
    <n v="63"/>
    <n v="0"/>
    <n v="0"/>
    <n v="69.8"/>
    <n v="8.0500000000000007"/>
    <n v="1.5"/>
    <n v="30"/>
    <n v="0"/>
    <n v="0"/>
    <n v="102.5"/>
    <n v="7.5"/>
    <n v="0"/>
    <n v="60"/>
    <n v="0"/>
    <n v="0"/>
    <n v="64"/>
    <n v="0"/>
    <n v="0"/>
    <n v="564.29999999999995"/>
    <n v="15.55"/>
    <n v="1.5"/>
    <s v="CHITTORGARH"/>
    <s v="BHILWARA"/>
    <s v="RJ-UDAIPUR"/>
    <d v="2017-06-16T00:00:00"/>
  </r>
  <r>
    <s v="807595177093"/>
    <x v="2394"/>
    <s v="BHAGWATI  LAL JAT"/>
    <n v="177093"/>
    <s v="CHOUDHARY TRADERS"/>
    <n v="93.5"/>
    <n v="4"/>
    <n v="0"/>
    <n v="43"/>
    <n v="0"/>
    <n v="0"/>
    <n v="91"/>
    <n v="0"/>
    <n v="0"/>
    <n v="60.5"/>
    <n v="6.5"/>
    <n v="0"/>
    <n v="12"/>
    <n v="5"/>
    <n v="0"/>
    <n v="82"/>
    <n v="0"/>
    <n v="14"/>
    <n v="51"/>
    <n v="0"/>
    <n v="0"/>
    <n v="117.5"/>
    <n v="0"/>
    <n v="0"/>
    <n v="550.5"/>
    <n v="15.5"/>
    <n v="14"/>
    <s v="CHITTORGARH"/>
    <s v="BHILWARA"/>
    <s v="RJ-UDAIPUR"/>
    <d v="2017-12-05T00:00:00"/>
  </r>
  <r>
    <s v="808120177093"/>
    <x v="2395"/>
    <s v="SHREE VISHAL CONSTRUCTION"/>
    <n v="177093"/>
    <s v="CHOUDHARY TRADERS"/>
    <n v="37.5"/>
    <n v="0"/>
    <n v="0"/>
    <n v="37.75"/>
    <n v="0"/>
    <n v="0"/>
    <n v="13.75"/>
    <n v="0"/>
    <n v="0"/>
    <n v="42.5"/>
    <n v="0"/>
    <n v="0"/>
    <n v="20"/>
    <n v="0"/>
    <n v="0"/>
    <n v="26"/>
    <n v="0"/>
    <n v="0"/>
    <n v="15"/>
    <n v="0"/>
    <n v="0"/>
    <n v="15"/>
    <n v="0"/>
    <n v="0"/>
    <n v="207.5"/>
    <n v="0"/>
    <n v="0"/>
    <s v="CHITTORGARH"/>
    <s v="BHILWARA"/>
    <s v="RJ-UDAIPUR"/>
    <d v="2018-03-14T00:00:00"/>
  </r>
  <r>
    <s v="808121177093"/>
    <x v="2396"/>
    <s v="YASHWANT TRADING COMPANY"/>
    <n v="177093"/>
    <s v="CHOUDHARY TRADERS"/>
    <n v="10"/>
    <n v="0"/>
    <n v="0"/>
    <n v="0"/>
    <n v="0"/>
    <n v="0"/>
    <n v="10"/>
    <n v="0"/>
    <n v="0"/>
    <n v="20"/>
    <n v="0"/>
    <n v="0"/>
    <n v="5"/>
    <n v="0"/>
    <n v="0"/>
    <n v="0"/>
    <n v="0"/>
    <n v="0"/>
    <n v="0"/>
    <n v="0"/>
    <n v="0"/>
    <n v="0"/>
    <n v="0"/>
    <n v="0"/>
    <n v="45"/>
    <n v="0"/>
    <n v="0"/>
    <s v="CHITTORGARH"/>
    <s v="BHILWARA"/>
    <s v="RJ-UDAIPUR"/>
    <d v="2018-03-14T00:00:00"/>
  </r>
  <r>
    <s v="808145170392"/>
    <x v="2397"/>
    <s v="MOHAN LAL AHIR"/>
    <n v="170392"/>
    <s v="JYOTI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18-03-21T00:00:00"/>
  </r>
  <r>
    <s v="808145210132"/>
    <x v="2397"/>
    <s v="MOHAN LAL AHIR"/>
    <n v="210132"/>
    <s v="SHRI MATESHWARI AGENCY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5"/>
    <n v="0"/>
    <n v="0"/>
    <s v="CHITTORGARH"/>
    <s v="BHILWARA"/>
    <s v="RJ-UDAIPUR"/>
    <d v="2018-03-21T00:00:00"/>
  </r>
  <r>
    <s v="808157170392"/>
    <x v="2398"/>
    <s v="DHAKAR TRADERS &amp; SUPPLIERS"/>
    <n v="170392"/>
    <s v="JYOTI SUPPLIERS"/>
    <n v="10"/>
    <n v="0"/>
    <n v="0"/>
    <n v="63"/>
    <n v="0"/>
    <n v="0"/>
    <n v="60"/>
    <n v="0"/>
    <n v="0"/>
    <n v="20.05"/>
    <n v="0"/>
    <n v="0"/>
    <n v="0"/>
    <n v="0"/>
    <n v="0"/>
    <n v="10"/>
    <n v="0"/>
    <n v="0"/>
    <n v="0"/>
    <n v="0"/>
    <n v="0"/>
    <n v="0"/>
    <n v="0"/>
    <n v="0"/>
    <n v="163.05000000000001"/>
    <n v="0"/>
    <n v="0"/>
    <s v="CHITTORGARH"/>
    <s v="BHILWARA"/>
    <s v="RJ-UDAIPUR"/>
    <d v="2018-03-22T00:00:00"/>
  </r>
  <r>
    <s v="808181170392"/>
    <x v="2399"/>
    <s v="PATIDAR SUPPLIERS"/>
    <n v="170392"/>
    <s v="JYOTI SUPPLIERS"/>
    <n v="15"/>
    <n v="0"/>
    <n v="0"/>
    <n v="10"/>
    <n v="0"/>
    <n v="0"/>
    <n v="15"/>
    <n v="0"/>
    <n v="0"/>
    <n v="0.1"/>
    <n v="0"/>
    <n v="0.1"/>
    <n v="10"/>
    <n v="0"/>
    <n v="0"/>
    <n v="14.5"/>
    <n v="0"/>
    <n v="0"/>
    <n v="0"/>
    <n v="0"/>
    <n v="0"/>
    <n v="1"/>
    <n v="0"/>
    <n v="0"/>
    <n v="65.599999999999994"/>
    <n v="0"/>
    <n v="0.1"/>
    <s v="CHITTORGARH"/>
    <s v="BHILWARA"/>
    <s v="RJ-UDAIPUR"/>
    <d v="2018-03-30T00:00:00"/>
  </r>
  <r>
    <s v="808775170392"/>
    <x v="2400"/>
    <s v="MAA CHAMUNDA BUILDING MATERIAL"/>
    <n v="170392"/>
    <s v="JYOTI SUPPLIERS"/>
    <n v="16"/>
    <n v="0"/>
    <n v="0"/>
    <n v="10"/>
    <n v="0"/>
    <n v="0"/>
    <n v="10"/>
    <n v="0"/>
    <n v="0"/>
    <n v="20"/>
    <n v="0"/>
    <n v="0"/>
    <n v="16"/>
    <n v="0"/>
    <n v="0"/>
    <n v="25"/>
    <n v="0"/>
    <n v="0"/>
    <n v="10"/>
    <n v="7.25"/>
    <n v="0"/>
    <n v="15.5"/>
    <n v="3.5"/>
    <n v="0"/>
    <n v="122.5"/>
    <n v="7.25"/>
    <n v="0"/>
    <s v="CHITTORGARH"/>
    <s v="BHILWARA"/>
    <s v="RJ-UDAIPUR"/>
    <d v="2018-08-16T00:00:00"/>
  </r>
  <r>
    <s v="808930170392"/>
    <x v="2401"/>
    <s v="JAGRITI AGENCIES"/>
    <n v="170392"/>
    <s v="JYOTI SUPPLIERS"/>
    <n v="0"/>
    <n v="0"/>
    <n v="0"/>
    <n v="0"/>
    <n v="0"/>
    <n v="0"/>
    <n v="0"/>
    <n v="0"/>
    <n v="0"/>
    <n v="10"/>
    <n v="0"/>
    <n v="0"/>
    <n v="10"/>
    <n v="0"/>
    <n v="0"/>
    <n v="10"/>
    <n v="0"/>
    <n v="0"/>
    <n v="10"/>
    <n v="0"/>
    <n v="0"/>
    <n v="21.5"/>
    <n v="0"/>
    <n v="0"/>
    <n v="61.5"/>
    <n v="0"/>
    <n v="0"/>
    <s v="CHITTORGARH"/>
    <s v="BHILWARA"/>
    <s v="RJ-UDAIPUR"/>
    <d v="2018-07-13T00:00:00"/>
  </r>
  <r>
    <s v="809315205370"/>
    <x v="2402"/>
    <s v="SHREE GOPAL KRISHNA DAIRY FARM"/>
    <n v="205370"/>
    <s v="KANTHALIYA ENTERPRISES"/>
    <n v="28.5"/>
    <n v="0"/>
    <n v="0"/>
    <n v="31"/>
    <n v="3.5"/>
    <n v="0"/>
    <n v="47.5"/>
    <n v="0"/>
    <n v="0"/>
    <n v="21"/>
    <n v="0"/>
    <n v="0"/>
    <n v="45"/>
    <n v="0"/>
    <n v="0"/>
    <n v="16"/>
    <n v="0"/>
    <n v="0"/>
    <n v="20"/>
    <n v="0"/>
    <n v="0"/>
    <n v="20"/>
    <n v="0"/>
    <n v="0"/>
    <n v="229"/>
    <n v="3.5"/>
    <n v="0"/>
    <s v="CHITTORGARH"/>
    <s v="BHILWARA"/>
    <s v="RJ-UDAIPUR"/>
    <d v="2019-03-30T00:00:00"/>
  </r>
  <r>
    <s v="809325205370"/>
    <x v="2403"/>
    <s v="DILIP KUMAR PARAS MAL"/>
    <n v="205370"/>
    <s v="KANTHALIYA ENTERPRISES"/>
    <n v="15"/>
    <n v="0"/>
    <n v="0"/>
    <n v="20"/>
    <n v="0"/>
    <n v="0"/>
    <n v="12"/>
    <n v="0"/>
    <n v="0"/>
    <n v="10"/>
    <n v="0"/>
    <n v="0"/>
    <n v="0"/>
    <n v="0"/>
    <n v="0"/>
    <n v="10"/>
    <n v="0"/>
    <n v="0"/>
    <n v="14.5"/>
    <n v="0"/>
    <n v="0"/>
    <n v="20"/>
    <n v="0"/>
    <n v="0"/>
    <n v="101.5"/>
    <n v="0"/>
    <n v="0"/>
    <s v="CHITTORGARH"/>
    <s v="BHILWARA"/>
    <s v="RJ-UDAIPUR"/>
    <d v="2019-04-01T00:00:00"/>
  </r>
  <r>
    <s v="809326170392"/>
    <x v="2404"/>
    <s v="SHREE CHARBHUJA  GENERAL STORE"/>
    <n v="170392"/>
    <s v="JYOTI SUPPLIERS"/>
    <n v="22"/>
    <n v="0"/>
    <n v="0"/>
    <n v="48.5"/>
    <n v="0"/>
    <n v="0"/>
    <n v="37"/>
    <n v="0"/>
    <n v="0"/>
    <n v="9.25"/>
    <n v="0"/>
    <n v="0"/>
    <n v="30"/>
    <n v="0"/>
    <n v="0"/>
    <n v="10"/>
    <n v="0"/>
    <n v="0"/>
    <n v="20"/>
    <n v="0"/>
    <n v="0"/>
    <n v="10"/>
    <n v="0"/>
    <n v="0"/>
    <n v="186.75"/>
    <n v="0"/>
    <n v="0"/>
    <s v="CHITTORGARH"/>
    <s v="BHILWARA"/>
    <s v="RJ-UDAIPUR"/>
    <d v="2019-04-01T00:00:00"/>
  </r>
  <r>
    <s v="809327172648"/>
    <x v="2405"/>
    <s v="SHREE SANWARIYA CEMENT AGENCY"/>
    <n v="172648"/>
    <s v="JOGNIYA BUILDERS"/>
    <n v="28.5"/>
    <n v="0"/>
    <n v="0"/>
    <n v="10"/>
    <n v="0"/>
    <n v="0"/>
    <n v="55.5"/>
    <n v="0"/>
    <n v="0"/>
    <n v="84"/>
    <n v="2"/>
    <n v="0"/>
    <n v="31"/>
    <n v="0"/>
    <n v="0"/>
    <n v="84.5"/>
    <n v="0"/>
    <n v="0"/>
    <n v="39"/>
    <n v="0"/>
    <n v="0"/>
    <n v="68"/>
    <n v="0"/>
    <n v="0"/>
    <n v="400.5"/>
    <n v="2"/>
    <n v="0"/>
    <s v="CHITTORGARH"/>
    <s v="BHILWARA"/>
    <s v="RJ-UDAIPUR"/>
    <d v="2019-04-01T00:00:00"/>
  </r>
  <r>
    <s v="809332177093"/>
    <x v="2406"/>
    <s v="MEHTA TRADERS"/>
    <n v="177093"/>
    <s v="CHOUDHARY TRADERS"/>
    <n v="54.75"/>
    <n v="8"/>
    <n v="0"/>
    <n v="50.25"/>
    <n v="5.5"/>
    <n v="0"/>
    <n v="39"/>
    <n v="5"/>
    <n v="0"/>
    <n v="62"/>
    <n v="0"/>
    <n v="0"/>
    <n v="39.5"/>
    <n v="0"/>
    <n v="0"/>
    <n v="48"/>
    <n v="0"/>
    <n v="0"/>
    <n v="45"/>
    <n v="0"/>
    <n v="0"/>
    <n v="45"/>
    <n v="0"/>
    <n v="0"/>
    <n v="383.5"/>
    <n v="18.5"/>
    <n v="0"/>
    <s v="CHITTORGARH"/>
    <s v="BHILWARA"/>
    <s v="RJ-UDAIPUR"/>
    <d v="2019-04-05T00:00:00"/>
  </r>
  <r>
    <s v="809333172640"/>
    <x v="2407"/>
    <s v="NEEL KAMAL  CEMENT SUPPLIERS"/>
    <n v="172640"/>
    <s v="KUSHAL TRADERS"/>
    <n v="70"/>
    <n v="0"/>
    <n v="0"/>
    <n v="5"/>
    <n v="0"/>
    <n v="0"/>
    <n v="69.900000000000006"/>
    <n v="0"/>
    <n v="0"/>
    <n v="53"/>
    <n v="0"/>
    <n v="0"/>
    <n v="60"/>
    <n v="0"/>
    <n v="0"/>
    <n v="96"/>
    <n v="0"/>
    <n v="0"/>
    <n v="176"/>
    <n v="0"/>
    <n v="10"/>
    <n v="92.5"/>
    <n v="0"/>
    <n v="0"/>
    <n v="622.4"/>
    <n v="0"/>
    <n v="10"/>
    <s v="CHITTORGARH"/>
    <s v="BHILWARA"/>
    <s v="RJ-UDAIPUR"/>
    <d v="2019-04-05T00:00:00"/>
  </r>
  <r>
    <s v="809334170392"/>
    <x v="2408"/>
    <s v="CHOUDHARY ENTERPRISES"/>
    <n v="170392"/>
    <s v="JYOTI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19-04-05T00:00:00"/>
  </r>
  <r>
    <s v="810128177290"/>
    <x v="2409"/>
    <s v="PRABHU LAL MALI"/>
    <n v="177290"/>
    <s v="SHREE CHARBHUJA BUILDING MATER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CHITTORGARH"/>
    <s v="BHILWARA"/>
    <s v="RJ-UDAIPUR"/>
    <d v="2019-08-01T00:00:00"/>
  </r>
  <r>
    <s v="810128178003"/>
    <x v="2409"/>
    <s v="PRABHU LAL MALI"/>
    <n v="178003"/>
    <s v="SHREE JI BUILDING MATERIAL SUP"/>
    <n v="10"/>
    <n v="0"/>
    <n v="0"/>
    <n v="10"/>
    <n v="0"/>
    <n v="0"/>
    <n v="17.5"/>
    <n v="0"/>
    <n v="0"/>
    <n v="5"/>
    <n v="0"/>
    <n v="0"/>
    <n v="15"/>
    <n v="0"/>
    <n v="0"/>
    <n v="8.5"/>
    <n v="0"/>
    <n v="0"/>
    <n v="2"/>
    <n v="0"/>
    <n v="0"/>
    <n v="18"/>
    <n v="0"/>
    <n v="0"/>
    <n v="86"/>
    <n v="0"/>
    <n v="0"/>
    <s v="CHITTORGARH"/>
    <s v="BHILWARA"/>
    <s v="RJ-UDAIPUR"/>
    <d v="2019-08-01T00:00:00"/>
  </r>
  <r>
    <s v="810129177290"/>
    <x v="2410"/>
    <s v="MADHAV LAL MENARIYA"/>
    <n v="177290"/>
    <s v="SHREE CHARBHUJA BUILDING MATER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s v="CHITTORGARH"/>
    <s v="BHILWARA"/>
    <s v="RJ-UDAIPUR"/>
    <d v="2019-08-01T00:00:00"/>
  </r>
  <r>
    <s v="810129178003"/>
    <x v="2410"/>
    <s v="MADHAV LAL MENARIYA"/>
    <n v="178003"/>
    <s v="SHREE JI BUILDING MATERIAL SUP"/>
    <n v="27.5"/>
    <n v="0"/>
    <n v="0"/>
    <n v="20"/>
    <n v="0"/>
    <n v="0"/>
    <n v="20"/>
    <n v="0"/>
    <n v="0"/>
    <n v="8.5"/>
    <n v="0"/>
    <n v="3.5"/>
    <n v="3.75"/>
    <n v="0"/>
    <n v="0"/>
    <n v="38.5"/>
    <n v="0"/>
    <n v="5"/>
    <n v="10"/>
    <n v="0"/>
    <n v="0"/>
    <n v="33.75"/>
    <n v="6.25"/>
    <n v="0"/>
    <n v="162"/>
    <n v="0"/>
    <n v="8.5"/>
    <s v="CHITTORGARH"/>
    <s v="BHILWARA"/>
    <s v="RJ-UDAIPUR"/>
    <d v="2019-08-01T00:00:00"/>
  </r>
  <r>
    <s v="810130178003"/>
    <x v="2411"/>
    <s v="SHREE SANWALIYA CONSTRUCTION"/>
    <n v="178003"/>
    <s v="SHREE JI BUILDING MATERIAL SUP"/>
    <n v="25"/>
    <n v="1.25"/>
    <n v="0"/>
    <n v="11.25"/>
    <n v="10"/>
    <n v="0"/>
    <n v="10.5"/>
    <n v="0.5"/>
    <n v="0"/>
    <n v="12.5"/>
    <n v="2.5"/>
    <n v="0"/>
    <n v="25.05"/>
    <n v="0"/>
    <n v="7"/>
    <n v="20"/>
    <n v="0"/>
    <n v="0"/>
    <n v="0"/>
    <n v="0"/>
    <n v="0"/>
    <n v="0"/>
    <n v="0"/>
    <n v="0"/>
    <n v="104.3"/>
    <n v="14.25"/>
    <n v="7"/>
    <s v="CHITTORGARH"/>
    <s v="BHILWARA"/>
    <s v="RJ-UDAIPUR"/>
    <d v="2019-08-01T00:00:00"/>
  </r>
  <r>
    <s v="810131178836"/>
    <x v="2412"/>
    <s v="SHREE VISHWAKARMA TRADING"/>
    <n v="178836"/>
    <s v="JAI SHAKTI STONE CUTTING &amp; SU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19-08-01T00:00:00"/>
  </r>
  <r>
    <s v="810132207643"/>
    <x v="2413"/>
    <s v="SHREE SANWALIYA TRADERS"/>
    <n v="207643"/>
    <s v="SHREE SANWALIY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19-08-01T00:00:00"/>
  </r>
  <r>
    <s v="810991172640"/>
    <x v="2414"/>
    <s v="SHREE SANWARIYA CONSTRUCTION"/>
    <n v="172640"/>
    <s v="KUSHAL TRADERS"/>
    <n v="25"/>
    <n v="0"/>
    <n v="0"/>
    <n v="4"/>
    <n v="0"/>
    <n v="0"/>
    <n v="11"/>
    <n v="0"/>
    <n v="0"/>
    <n v="0"/>
    <n v="0"/>
    <n v="0"/>
    <n v="50"/>
    <n v="0"/>
    <n v="0"/>
    <n v="83"/>
    <n v="0"/>
    <n v="0"/>
    <n v="10"/>
    <n v="0"/>
    <n v="0"/>
    <n v="68.5"/>
    <n v="0"/>
    <n v="0"/>
    <n v="251.5"/>
    <n v="0"/>
    <n v="0"/>
    <s v="CHITTORGARH"/>
    <s v="BHILWARA"/>
    <s v="RJ-UDAIPUR"/>
    <d v="2019-12-14T00:00:00"/>
  </r>
  <r>
    <s v="811034207643"/>
    <x v="2415"/>
    <s v="AJAY KUMAR SALVI"/>
    <n v="207643"/>
    <s v="SHREE SANWALIY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19-12-21T00:00:00"/>
  </r>
  <r>
    <s v="811036170846"/>
    <x v="2416"/>
    <s v="JAGDISH CHANDAR KUMAWAT"/>
    <n v="170846"/>
    <s v="SANGAM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19-12-21T00:00:00"/>
  </r>
  <r>
    <s v="811172172640"/>
    <x v="2417"/>
    <s v="SAMAY BUILD TECH"/>
    <n v="172640"/>
    <s v="KUSHAL TRADERS"/>
    <n v="71.5"/>
    <n v="0"/>
    <n v="0"/>
    <n v="127"/>
    <n v="0"/>
    <n v="0"/>
    <n v="117.5"/>
    <n v="0"/>
    <n v="0"/>
    <n v="151.5"/>
    <n v="11.5"/>
    <n v="0"/>
    <n v="161"/>
    <n v="20"/>
    <n v="0"/>
    <n v="98.5"/>
    <n v="0"/>
    <n v="0"/>
    <n v="222.5"/>
    <n v="10"/>
    <n v="0"/>
    <n v="226"/>
    <n v="0"/>
    <n v="0"/>
    <n v="1175.5"/>
    <n v="41.5"/>
    <n v="0"/>
    <s v="CHITTORGARH"/>
    <s v="BHILWARA"/>
    <s v="RJ-UDAIPUR"/>
    <d v="2020-01-03T00:00:00"/>
  </r>
  <r>
    <s v="811173177290"/>
    <x v="2418"/>
    <s v="PREM RAJ SUTHAR"/>
    <n v="177290"/>
    <s v="SHREE CHARBHUJA BUILDING MATER"/>
    <n v="10"/>
    <n v="0"/>
    <n v="0"/>
    <n v="0"/>
    <n v="0"/>
    <n v="0"/>
    <n v="26"/>
    <n v="0"/>
    <n v="5"/>
    <n v="6"/>
    <n v="0"/>
    <n v="0"/>
    <n v="24"/>
    <n v="10"/>
    <n v="0"/>
    <n v="20"/>
    <n v="5"/>
    <n v="0"/>
    <n v="0"/>
    <n v="0"/>
    <n v="0"/>
    <n v="30"/>
    <n v="0"/>
    <n v="0"/>
    <n v="116"/>
    <n v="15"/>
    <n v="5"/>
    <s v="CHITTORGARH"/>
    <s v="BHILWARA"/>
    <s v="RJ-UDAIPUR"/>
    <d v="2020-01-03T00:00:00"/>
  </r>
  <r>
    <s v="811648172640"/>
    <x v="2419"/>
    <s v="VIKAS JAIN"/>
    <n v="172640"/>
    <s v="KUSHAL TRADERS"/>
    <n v="80"/>
    <n v="0"/>
    <n v="0"/>
    <n v="5"/>
    <n v="0"/>
    <n v="0"/>
    <n v="0"/>
    <n v="0"/>
    <n v="0"/>
    <n v="0"/>
    <n v="0"/>
    <n v="0"/>
    <n v="10"/>
    <n v="0"/>
    <n v="0"/>
    <n v="70"/>
    <n v="20"/>
    <n v="0"/>
    <n v="41"/>
    <n v="0"/>
    <n v="0"/>
    <n v="20"/>
    <n v="20"/>
    <n v="0"/>
    <n v="226"/>
    <n v="20"/>
    <n v="0"/>
    <s v="CHITTORGARH"/>
    <s v="BHILWARA"/>
    <s v="RJ-UDAIPUR"/>
    <d v="2020-02-29T00:00:00"/>
  </r>
  <r>
    <s v="811663177290"/>
    <x v="2420"/>
    <s v="POOJA BEEJ BHANDAR"/>
    <n v="177290"/>
    <s v="SHREE CHARBHUJA BUILDING MATER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CHITTORGARH"/>
    <s v="BHILWARA"/>
    <s v="RJ-UDAIPUR"/>
    <d v="2020-03-03T00:00:00"/>
  </r>
  <r>
    <s v="811663178003"/>
    <x v="2420"/>
    <s v="POOJA BEEJ BHANDAR"/>
    <n v="178003"/>
    <s v="SHREE JI BUILDING MATERIAL SUP"/>
    <n v="0"/>
    <n v="0"/>
    <n v="0"/>
    <n v="10"/>
    <n v="0"/>
    <n v="0"/>
    <n v="14.75"/>
    <n v="0"/>
    <n v="0"/>
    <n v="5"/>
    <n v="0"/>
    <n v="0"/>
    <n v="7.5"/>
    <n v="0"/>
    <n v="0"/>
    <n v="8.25"/>
    <n v="0"/>
    <n v="0"/>
    <n v="10"/>
    <n v="0"/>
    <n v="0"/>
    <n v="20"/>
    <n v="0"/>
    <n v="0"/>
    <n v="75.5"/>
    <n v="0"/>
    <n v="0"/>
    <s v="CHITTORGARH"/>
    <s v="BHILWARA"/>
    <s v="RJ-UDAIPUR"/>
    <d v="2020-03-03T00:00:00"/>
  </r>
  <r>
    <s v="811672205370"/>
    <x v="2421"/>
    <s v="BHERAV TRADERS"/>
    <n v="205370"/>
    <s v="KANTHALIYA ENTERPRISES"/>
    <n v="73.5"/>
    <n v="0"/>
    <n v="0"/>
    <n v="105"/>
    <n v="0"/>
    <n v="0"/>
    <n v="119"/>
    <n v="0"/>
    <n v="0"/>
    <n v="102"/>
    <n v="9"/>
    <n v="0"/>
    <n v="66"/>
    <n v="0"/>
    <n v="5"/>
    <n v="79"/>
    <n v="0"/>
    <n v="9"/>
    <n v="30"/>
    <n v="0"/>
    <n v="0"/>
    <n v="42"/>
    <n v="0"/>
    <n v="0"/>
    <n v="616.5"/>
    <n v="9"/>
    <n v="14"/>
    <s v="CHITTORGARH"/>
    <s v="BHILWARA"/>
    <s v="RJ-UDAIPUR"/>
    <d v="2020-03-04T00:00:00"/>
  </r>
  <r>
    <s v="811682174631"/>
    <x v="2422"/>
    <s v="KAJOD"/>
    <n v="174631"/>
    <s v="OM TRADERS"/>
    <n v="50"/>
    <n v="0"/>
    <n v="0"/>
    <n v="37.5"/>
    <n v="0"/>
    <n v="0"/>
    <n v="60"/>
    <n v="0"/>
    <n v="0"/>
    <n v="22.5"/>
    <n v="0"/>
    <n v="0"/>
    <n v="9.25"/>
    <n v="0"/>
    <n v="4.25"/>
    <n v="61"/>
    <n v="0"/>
    <n v="0"/>
    <n v="50"/>
    <n v="0"/>
    <n v="0"/>
    <n v="30"/>
    <n v="0"/>
    <n v="0"/>
    <n v="320.25"/>
    <n v="0"/>
    <n v="4.25"/>
    <s v="CHITTORGARH"/>
    <s v="BHILWARA"/>
    <s v="RJ-UDAIPUR"/>
    <d v="2020-03-05T00:00:00"/>
  </r>
  <r>
    <s v="811782207643"/>
    <x v="2423"/>
    <s v="PRADEEP DHAKER"/>
    <n v="207643"/>
    <s v="SHREE SANWALIY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0-03-21T00:00:00"/>
  </r>
  <r>
    <s v="811863174631"/>
    <x v="2424"/>
    <s v="MUKESH KUMAR"/>
    <n v="174631"/>
    <s v="OM TRADERS"/>
    <n v="95"/>
    <n v="15"/>
    <n v="0"/>
    <n v="140"/>
    <n v="0"/>
    <n v="0"/>
    <n v="147.5"/>
    <n v="12.5"/>
    <n v="0"/>
    <n v="97.5"/>
    <n v="0"/>
    <n v="15.5"/>
    <n v="29"/>
    <n v="0"/>
    <n v="8.5"/>
    <n v="70"/>
    <n v="0"/>
    <n v="0"/>
    <n v="58"/>
    <n v="0"/>
    <n v="0"/>
    <n v="43.75"/>
    <n v="0"/>
    <n v="1.25"/>
    <n v="680.75"/>
    <n v="27.5"/>
    <n v="24"/>
    <s v="CHITTORGARH"/>
    <s v="BHILWARA"/>
    <s v="RJ-UDAIPUR"/>
    <d v="2020-06-05T00:00:00"/>
  </r>
  <r>
    <s v="811864178062"/>
    <x v="2425"/>
    <s v="KANHAIYA LAL KUMAWAT"/>
    <n v="178062"/>
    <s v="SHRI SATYAM BUILDERS"/>
    <n v="19"/>
    <n v="0"/>
    <n v="0"/>
    <n v="15"/>
    <n v="0"/>
    <n v="0"/>
    <n v="19"/>
    <n v="0"/>
    <n v="0"/>
    <n v="29"/>
    <n v="0"/>
    <n v="0"/>
    <n v="30"/>
    <n v="0"/>
    <n v="0"/>
    <n v="20.5"/>
    <n v="0"/>
    <n v="0"/>
    <n v="33.75"/>
    <n v="0"/>
    <n v="0"/>
    <n v="21"/>
    <n v="0"/>
    <n v="0"/>
    <n v="187.25"/>
    <n v="0"/>
    <n v="0"/>
    <s v="CHITTORGARH"/>
    <s v="BHILWARA"/>
    <s v="RJ-UDAIPUR"/>
    <d v="2020-06-05T00:00:00"/>
  </r>
  <r>
    <s v="812049170392"/>
    <x v="2426"/>
    <s v="UDAY LAL SHARMA"/>
    <n v="170392"/>
    <s v="JYOTI SUPPLIERS"/>
    <n v="115"/>
    <n v="0"/>
    <n v="0"/>
    <n v="93"/>
    <n v="0"/>
    <n v="0"/>
    <n v="189.75"/>
    <n v="0"/>
    <n v="0"/>
    <n v="82.5"/>
    <n v="0"/>
    <n v="0"/>
    <n v="20"/>
    <n v="0"/>
    <n v="0"/>
    <n v="99"/>
    <n v="0"/>
    <n v="0"/>
    <n v="40"/>
    <n v="0"/>
    <n v="0"/>
    <n v="55"/>
    <n v="0"/>
    <n v="0"/>
    <n v="694.25"/>
    <n v="0"/>
    <n v="0"/>
    <s v="CHITTORGARH"/>
    <s v="BHILWARA"/>
    <s v="RJ-UDAIPUR"/>
    <d v="2020-06-29T00:00:00"/>
  </r>
  <r>
    <s v="812344202635"/>
    <x v="2427"/>
    <s v="SUNIL TELI"/>
    <n v="202635"/>
    <s v="KALIKA BUILDING MATERIAL SUPP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0-07-24T00:00:00"/>
  </r>
  <r>
    <s v="812545177727"/>
    <x v="2428"/>
    <s v="RAKESH KUMAWAT"/>
    <n v="177727"/>
    <s v="SIDDHI ENTERPRISES"/>
    <n v="38"/>
    <n v="0"/>
    <n v="0"/>
    <n v="35"/>
    <n v="0"/>
    <n v="0"/>
    <n v="30"/>
    <n v="0"/>
    <n v="0"/>
    <n v="5"/>
    <n v="0"/>
    <n v="0"/>
    <n v="20"/>
    <n v="0"/>
    <n v="0"/>
    <n v="87.5"/>
    <n v="0"/>
    <n v="0"/>
    <n v="30"/>
    <n v="0"/>
    <n v="0"/>
    <n v="22.5"/>
    <n v="0"/>
    <n v="0"/>
    <n v="268"/>
    <n v="0"/>
    <n v="0"/>
    <s v="CHITTORGARH"/>
    <s v="BHILWARA"/>
    <s v="RJ-UDAIPUR"/>
    <d v="2020-08-17T00:00:00"/>
  </r>
  <r>
    <s v="812565170392"/>
    <x v="2429"/>
    <s v="PRAKASH CHANDRA SHARMA"/>
    <n v="170392"/>
    <s v="JYOTI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0-08-18T00:00:00"/>
  </r>
  <r>
    <s v="812630205370"/>
    <x v="2430"/>
    <s v="BHAGWATI LAL MENARIYA"/>
    <n v="205370"/>
    <s v="KANTHALIYA ENTERPRISES"/>
    <n v="25"/>
    <n v="0"/>
    <n v="0"/>
    <n v="0"/>
    <n v="0"/>
    <n v="0"/>
    <n v="47.5"/>
    <n v="0"/>
    <n v="0"/>
    <n v="15"/>
    <n v="0"/>
    <n v="0"/>
    <n v="14"/>
    <n v="0"/>
    <n v="0"/>
    <n v="14"/>
    <n v="0"/>
    <n v="7.5"/>
    <n v="20"/>
    <n v="0"/>
    <n v="0"/>
    <n v="20"/>
    <n v="0"/>
    <n v="0"/>
    <n v="155.5"/>
    <n v="0"/>
    <n v="7.5"/>
    <s v="CHITTORGARH"/>
    <s v="BHILWARA"/>
    <s v="RJ-UDAIPUR"/>
    <d v="2020-08-24T00:00:00"/>
  </r>
  <r>
    <s v="812747208032"/>
    <x v="2431"/>
    <s v="ENGINEERING CHOICE"/>
    <n v="208032"/>
    <s v="AKASH MACHINERY MART"/>
    <n v="0"/>
    <n v="0"/>
    <n v="0"/>
    <n v="38.75"/>
    <n v="0"/>
    <n v="0"/>
    <n v="19.5"/>
    <n v="0"/>
    <n v="0"/>
    <n v="24.75"/>
    <n v="13.75"/>
    <n v="0"/>
    <n v="22.5"/>
    <n v="18.75"/>
    <n v="0"/>
    <n v="30.75"/>
    <n v="3.25"/>
    <n v="0"/>
    <n v="7.75"/>
    <n v="7.75"/>
    <n v="0"/>
    <n v="29.25"/>
    <n v="0"/>
    <n v="0"/>
    <n v="173.25"/>
    <n v="43.5"/>
    <n v="0"/>
    <s v="CHITTORGARH"/>
    <s v="BHILWARA"/>
    <s v="RJ-UDAIPUR"/>
    <d v="2020-09-01T00:00:00"/>
  </r>
  <r>
    <s v="812760170846"/>
    <x v="2432"/>
    <s v="KANHIYA LAL TELI"/>
    <n v="170846"/>
    <s v="SANGAM ENTERPRISES"/>
    <n v="28.75"/>
    <n v="0"/>
    <n v="0"/>
    <n v="19.5"/>
    <n v="8.75"/>
    <n v="0"/>
    <n v="22"/>
    <n v="0"/>
    <n v="0"/>
    <n v="2.5"/>
    <n v="0"/>
    <n v="0"/>
    <n v="24"/>
    <n v="14"/>
    <n v="0"/>
    <n v="10.5"/>
    <n v="0"/>
    <n v="0"/>
    <n v="40"/>
    <n v="6.5"/>
    <n v="0"/>
    <n v="22"/>
    <n v="0"/>
    <n v="0"/>
    <n v="169.25"/>
    <n v="29.25"/>
    <n v="0"/>
    <s v="CHITTORGARH"/>
    <s v="BHILWARA"/>
    <s v="RJ-UDAIPUR"/>
    <d v="2020-09-02T00:00:00"/>
  </r>
  <r>
    <s v="813124172640"/>
    <x v="2433"/>
    <s v="TEJKARAN AGARWAL"/>
    <n v="172640"/>
    <s v="KUSHA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0-09-29T00:00:00"/>
  </r>
  <r>
    <s v="813160172640"/>
    <x v="2434"/>
    <s v="SHREE SHYAM TRADERS"/>
    <n v="172640"/>
    <s v="KUSHA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0-10-01T00:00:00"/>
  </r>
  <r>
    <s v="813160177727"/>
    <x v="2434"/>
    <s v="SHREE SHYAM TRADERS"/>
    <n v="177727"/>
    <s v="SIDDHI ENTERPRISES"/>
    <n v="0"/>
    <n v="0"/>
    <n v="0"/>
    <n v="0"/>
    <n v="0"/>
    <n v="0"/>
    <n v="70"/>
    <n v="0"/>
    <n v="0"/>
    <n v="0"/>
    <n v="0"/>
    <n v="0"/>
    <n v="20"/>
    <n v="0"/>
    <n v="0"/>
    <n v="20"/>
    <n v="0"/>
    <n v="0"/>
    <n v="41"/>
    <n v="0"/>
    <n v="0"/>
    <n v="15"/>
    <n v="0"/>
    <n v="0"/>
    <n v="166"/>
    <n v="0"/>
    <n v="0"/>
    <s v="CHITTORGARH"/>
    <s v="BHILWARA"/>
    <s v="RJ-UDAIPUR"/>
    <d v="2020-10-01T00:00:00"/>
  </r>
  <r>
    <s v="813210170392"/>
    <x v="2435"/>
    <s v="PRABHU LAL SALVI"/>
    <n v="170392"/>
    <s v="JYOTI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0-10-08T00:00:00"/>
  </r>
  <r>
    <s v="813228205370"/>
    <x v="2436"/>
    <s v="PARAS RAM DHAKAR"/>
    <n v="205370"/>
    <s v="KANTHALIYA ENTERPRISES"/>
    <n v="23.5"/>
    <n v="0"/>
    <n v="0"/>
    <n v="10"/>
    <n v="0"/>
    <n v="0"/>
    <n v="30"/>
    <n v="0"/>
    <n v="0"/>
    <n v="16"/>
    <n v="0"/>
    <n v="0"/>
    <n v="20"/>
    <n v="0"/>
    <n v="0"/>
    <n v="3.5"/>
    <n v="0"/>
    <n v="0"/>
    <n v="13"/>
    <n v="0"/>
    <n v="0"/>
    <n v="15"/>
    <n v="0"/>
    <n v="0"/>
    <n v="131"/>
    <n v="0"/>
    <n v="0"/>
    <s v="CHITTORGARH"/>
    <s v="BHILWARA"/>
    <s v="RJ-UDAIPUR"/>
    <d v="2020-10-09T00:00:00"/>
  </r>
  <r>
    <s v="813291205370"/>
    <x v="2437"/>
    <s v="NAKSHTRAMAL MEGHWAL"/>
    <n v="205370"/>
    <s v="KANTHALIYA ENTERPRISES"/>
    <n v="30"/>
    <n v="0"/>
    <n v="0"/>
    <n v="37.5"/>
    <n v="0"/>
    <n v="0"/>
    <n v="30"/>
    <n v="0"/>
    <n v="0"/>
    <n v="10"/>
    <n v="0"/>
    <n v="0"/>
    <n v="0"/>
    <n v="0"/>
    <n v="0"/>
    <n v="10"/>
    <n v="0"/>
    <n v="0"/>
    <n v="15"/>
    <n v="0"/>
    <n v="0"/>
    <n v="10"/>
    <n v="0"/>
    <n v="0"/>
    <n v="142.5"/>
    <n v="0"/>
    <n v="0"/>
    <s v="CHITTORGARH"/>
    <s v="BHILWARA"/>
    <s v="RJ-UDAIPUR"/>
    <d v="2020-10-15T00:00:00"/>
  </r>
  <r>
    <s v="813312205370"/>
    <x v="2438"/>
    <s v="SHREE RAM KHAD BIJ BHANDAR"/>
    <n v="205370"/>
    <s v="KANTHALIYA ENTERPRISES"/>
    <n v="41.5"/>
    <n v="0"/>
    <n v="0"/>
    <n v="30"/>
    <n v="0"/>
    <n v="0"/>
    <n v="40.5"/>
    <n v="0"/>
    <n v="0"/>
    <n v="7"/>
    <n v="0"/>
    <n v="0"/>
    <n v="36"/>
    <n v="0"/>
    <n v="0"/>
    <n v="73"/>
    <n v="0"/>
    <n v="0"/>
    <n v="20"/>
    <n v="0"/>
    <n v="10"/>
    <n v="20"/>
    <n v="0"/>
    <n v="0"/>
    <n v="268"/>
    <n v="0"/>
    <n v="10"/>
    <s v="CHITTORGARH"/>
    <s v="BHILWARA"/>
    <s v="RJ-UDAIPUR"/>
    <d v="2020-10-17T00:00:00"/>
  </r>
  <r>
    <s v="813324174631"/>
    <x v="2439"/>
    <s v="SHREE SHIV STONE SUPPLIERS"/>
    <n v="174631"/>
    <s v="OM TRADERS"/>
    <n v="9"/>
    <n v="0"/>
    <n v="0"/>
    <n v="5"/>
    <n v="0"/>
    <n v="0"/>
    <n v="17"/>
    <n v="0"/>
    <n v="0"/>
    <n v="13.5"/>
    <n v="0"/>
    <n v="0"/>
    <n v="0"/>
    <n v="0"/>
    <n v="0"/>
    <n v="20"/>
    <n v="0"/>
    <n v="0"/>
    <n v="10"/>
    <n v="0"/>
    <n v="0"/>
    <n v="10"/>
    <n v="0"/>
    <n v="0"/>
    <n v="84.5"/>
    <n v="0"/>
    <n v="0"/>
    <s v="CHITTORGARH"/>
    <s v="BHILWARA"/>
    <s v="RJ-UDAIPUR"/>
    <d v="2020-10-19T00:00:00"/>
  </r>
  <r>
    <s v="813364207643"/>
    <x v="2440"/>
    <s v="MUKESH"/>
    <n v="207643"/>
    <s v="SHREE SANWALIYA TRADERS"/>
    <n v="12.5"/>
    <n v="0"/>
    <n v="0"/>
    <n v="0"/>
    <n v="0"/>
    <n v="0"/>
    <n v="20"/>
    <n v="0"/>
    <n v="0"/>
    <n v="24"/>
    <n v="0"/>
    <n v="0"/>
    <n v="15"/>
    <n v="0"/>
    <n v="0"/>
    <n v="10"/>
    <n v="0"/>
    <n v="0"/>
    <n v="10"/>
    <n v="0"/>
    <n v="0"/>
    <n v="30"/>
    <n v="0"/>
    <n v="0"/>
    <n v="121.5"/>
    <n v="0"/>
    <n v="0"/>
    <s v="CHITTORGARH"/>
    <s v="BHILWARA"/>
    <s v="RJ-UDAIPUR"/>
    <d v="2020-10-23T00:00:00"/>
  </r>
  <r>
    <s v="813368178003"/>
    <x v="2441"/>
    <s v="SHREE SANWALIYA BUILDING MATER"/>
    <n v="178003"/>
    <s v="SHREE JI BUILDING MATERIAL SUP"/>
    <n v="28.5"/>
    <n v="0"/>
    <n v="0"/>
    <n v="38.75"/>
    <n v="7.5"/>
    <n v="0"/>
    <n v="29"/>
    <n v="4"/>
    <n v="0"/>
    <n v="21"/>
    <n v="0"/>
    <n v="6"/>
    <n v="36.5"/>
    <n v="16.5"/>
    <n v="0"/>
    <n v="16.75"/>
    <n v="4.25"/>
    <n v="6.5"/>
    <n v="21"/>
    <n v="0"/>
    <n v="11"/>
    <n v="10"/>
    <n v="0"/>
    <n v="0"/>
    <n v="201.5"/>
    <n v="32.25"/>
    <n v="23.5"/>
    <s v="CHITTORGARH"/>
    <s v="BHILWARA"/>
    <s v="RJ-UDAIPUR"/>
    <d v="2020-10-23T00:00:00"/>
  </r>
  <r>
    <s v="813433172640"/>
    <x v="2442"/>
    <s v="SHUBHAM KUMAWAT"/>
    <n v="172640"/>
    <s v="KUSHAL TRADERS"/>
    <n v="0"/>
    <n v="0"/>
    <n v="0"/>
    <n v="5"/>
    <n v="0"/>
    <n v="0"/>
    <n v="48"/>
    <n v="0"/>
    <n v="0"/>
    <n v="76"/>
    <n v="0"/>
    <n v="0"/>
    <n v="23.5"/>
    <n v="0"/>
    <n v="0"/>
    <n v="36"/>
    <n v="0"/>
    <n v="0"/>
    <n v="78.5"/>
    <n v="0"/>
    <n v="0"/>
    <n v="11"/>
    <n v="0"/>
    <n v="0"/>
    <n v="278"/>
    <n v="0"/>
    <n v="0"/>
    <s v="CHITTORGARH"/>
    <s v="BHILWARA"/>
    <s v="RJ-UDAIPUR"/>
    <d v="2020-10-28T00:00:00"/>
  </r>
  <r>
    <s v="813453175312"/>
    <x v="2443"/>
    <s v="NAHAR CEMENT SUPPLIERS"/>
    <n v="175312"/>
    <s v="MOSA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0-10-30T00:00:00"/>
  </r>
  <r>
    <s v="813491208032"/>
    <x v="2444"/>
    <s v="AKASH SOMANI"/>
    <n v="208032"/>
    <s v="AKASH MACHINERY MART"/>
    <n v="122.85"/>
    <n v="0"/>
    <n v="0"/>
    <n v="10"/>
    <n v="92.35"/>
    <n v="0"/>
    <n v="51.25"/>
    <n v="10"/>
    <n v="0"/>
    <n v="129.75"/>
    <n v="26.25"/>
    <n v="0"/>
    <n v="80.95"/>
    <n v="33.950000000000003"/>
    <n v="0"/>
    <n v="43.75"/>
    <n v="24.25"/>
    <n v="0"/>
    <n v="102.05"/>
    <n v="59.55"/>
    <n v="7.5"/>
    <n v="0"/>
    <n v="0"/>
    <n v="0"/>
    <n v="540.6"/>
    <n v="246.35000000000002"/>
    <n v="7.5"/>
    <s v="CHITTORGARH"/>
    <s v="BHILWARA"/>
    <s v="RJ-UDAIPUR"/>
    <d v="2020-11-02T00:00:00"/>
  </r>
  <r>
    <s v="813491210691"/>
    <x v="2444"/>
    <s v="AKASH SOMANI"/>
    <n v="210691"/>
    <s v="AARADHYA CEMENT SUPPLIER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5"/>
    <n v="0"/>
    <n v="0"/>
    <s v="CHITTORGARH"/>
    <s v="BHILWARA"/>
    <s v="RJ-UDAIPUR"/>
    <d v="2020-11-02T00:00:00"/>
  </r>
  <r>
    <s v="813532170606"/>
    <x v="2445"/>
    <s v="SHREE KRISHNA ENTERPRISES"/>
    <n v="170606"/>
    <s v="SHREE SANWARIYA CONSTRUCTION"/>
    <n v="41.5"/>
    <n v="5"/>
    <n v="0"/>
    <n v="17.5"/>
    <n v="0"/>
    <n v="0"/>
    <n v="20"/>
    <n v="0"/>
    <n v="0"/>
    <n v="16.5"/>
    <n v="0"/>
    <n v="0"/>
    <n v="42.5"/>
    <n v="14.5"/>
    <n v="0"/>
    <n v="10"/>
    <n v="0"/>
    <n v="0"/>
    <n v="25"/>
    <n v="0"/>
    <n v="0"/>
    <n v="20"/>
    <n v="0"/>
    <n v="6.5"/>
    <n v="193"/>
    <n v="19.5"/>
    <n v="0"/>
    <s v="CHITTORGARH"/>
    <s v="BHILWARA"/>
    <s v="RJ-UDAIPUR"/>
    <d v="2020-11-10T00:00:00"/>
  </r>
  <r>
    <s v="813567170392"/>
    <x v="2446"/>
    <s v="SANGAM BUILDERS"/>
    <n v="170392"/>
    <s v="JYOTI SUPPLIERS"/>
    <n v="20"/>
    <n v="0"/>
    <n v="0"/>
    <n v="80"/>
    <n v="0"/>
    <n v="0"/>
    <n v="120"/>
    <n v="0"/>
    <n v="0"/>
    <n v="65"/>
    <n v="0"/>
    <n v="0"/>
    <n v="15"/>
    <n v="0"/>
    <n v="0"/>
    <n v="48.25"/>
    <n v="3.25"/>
    <n v="0"/>
    <n v="30"/>
    <n v="0"/>
    <n v="0"/>
    <n v="0"/>
    <n v="0"/>
    <n v="0"/>
    <n v="378.25"/>
    <n v="3.25"/>
    <n v="0"/>
    <s v="CHITTORGARH"/>
    <s v="BHILWARA"/>
    <s v="RJ-UDAIPUR"/>
    <d v="2020-11-17T00:00:00"/>
  </r>
  <r>
    <s v="813725172640"/>
    <x v="2447"/>
    <s v="CHARBHUJA CEMENT SUPPLIERS"/>
    <n v="172640"/>
    <s v="KUSHAL TRADERS"/>
    <n v="71"/>
    <n v="0"/>
    <n v="0"/>
    <n v="5"/>
    <n v="0"/>
    <n v="0"/>
    <n v="20"/>
    <n v="0"/>
    <n v="0"/>
    <n v="45"/>
    <n v="0"/>
    <n v="0"/>
    <n v="15"/>
    <n v="0"/>
    <n v="0"/>
    <n v="107.85"/>
    <n v="4.8499999999999996"/>
    <n v="0"/>
    <n v="20"/>
    <n v="0"/>
    <n v="0"/>
    <n v="62"/>
    <n v="0"/>
    <n v="0"/>
    <n v="345.85"/>
    <n v="4.8499999999999996"/>
    <n v="0"/>
    <s v="CHITTORGARH"/>
    <s v="BHILWARA"/>
    <s v="RJ-UDAIPUR"/>
    <d v="2020-11-30T00:00:00"/>
  </r>
  <r>
    <s v="814093170392"/>
    <x v="2448"/>
    <s v="OM PRAKASH AHIR"/>
    <n v="170392"/>
    <s v="JYOTI SUPPLIERS"/>
    <n v="0"/>
    <n v="0"/>
    <n v="0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20"/>
    <n v="0"/>
    <n v="0"/>
    <s v="CHITTORGARH"/>
    <s v="BHILWARA"/>
    <s v="RJ-UDAIPUR"/>
    <d v="2021-01-07T00:00:00"/>
  </r>
  <r>
    <s v="814186172640"/>
    <x v="2449"/>
    <s v="VISHNU SHARMA"/>
    <n v="172640"/>
    <s v="KUSHAL TRADERS"/>
    <n v="90"/>
    <n v="0"/>
    <n v="0"/>
    <n v="10"/>
    <n v="0"/>
    <n v="0"/>
    <n v="57"/>
    <n v="0"/>
    <n v="0"/>
    <n v="20"/>
    <n v="0"/>
    <n v="0"/>
    <n v="55"/>
    <n v="0"/>
    <n v="0"/>
    <n v="114.25"/>
    <n v="0"/>
    <n v="8.25"/>
    <n v="0"/>
    <n v="0"/>
    <n v="0"/>
    <n v="18.5"/>
    <n v="18.5"/>
    <n v="0"/>
    <n v="364.75"/>
    <n v="0"/>
    <n v="8.25"/>
    <s v="CHITTORGARH"/>
    <s v="BHILWARA"/>
    <s v="RJ-UDAIPUR"/>
    <d v="2021-01-19T00:00:00"/>
  </r>
  <r>
    <s v="814186208028"/>
    <x v="2449"/>
    <s v="VISHNU SHARMA"/>
    <n v="208028"/>
    <s v="LAXKAR ENTERPRISES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CHITTORGARH"/>
    <s v="BHILWARA"/>
    <s v="RJ-UDAIPUR"/>
    <d v="2021-01-19T00:00:00"/>
  </r>
  <r>
    <s v="814214207643"/>
    <x v="2450"/>
    <s v="SHRI SAI ENTERPRISES"/>
    <n v="207643"/>
    <s v="SHREE SANWALIYA TRADERS"/>
    <n v="30"/>
    <n v="5"/>
    <n v="0"/>
    <n v="15"/>
    <n v="0"/>
    <n v="0"/>
    <n v="10"/>
    <n v="0"/>
    <n v="0"/>
    <n v="15"/>
    <n v="0"/>
    <n v="0"/>
    <n v="17"/>
    <n v="0"/>
    <n v="0"/>
    <n v="23"/>
    <n v="0"/>
    <n v="0"/>
    <n v="25"/>
    <n v="5"/>
    <n v="0"/>
    <n v="26.5"/>
    <n v="5"/>
    <n v="0"/>
    <n v="161.5"/>
    <n v="10"/>
    <n v="0"/>
    <s v="CHITTORGARH"/>
    <s v="BHILWARA"/>
    <s v="RJ-UDAIPUR"/>
    <d v="2021-01-21T00:00:00"/>
  </r>
  <r>
    <s v="814349172640"/>
    <x v="2451"/>
    <s v="SIDDHARTH VYAS"/>
    <n v="172640"/>
    <s v="KUSHAL TRADERS"/>
    <n v="41"/>
    <n v="0"/>
    <n v="0"/>
    <n v="5"/>
    <n v="0"/>
    <n v="0"/>
    <n v="29.5"/>
    <n v="0"/>
    <n v="0"/>
    <n v="0"/>
    <n v="0"/>
    <n v="0"/>
    <n v="20"/>
    <n v="0"/>
    <n v="0"/>
    <n v="0"/>
    <n v="0"/>
    <n v="0"/>
    <n v="0"/>
    <n v="0"/>
    <n v="0"/>
    <n v="0"/>
    <n v="0"/>
    <n v="0"/>
    <n v="95.5"/>
    <n v="0"/>
    <n v="0"/>
    <s v="CHITTORGARH"/>
    <s v="BHILWARA"/>
    <s v="RJ-UDAIPUR"/>
    <d v="2021-01-30T00:00:00"/>
  </r>
  <r>
    <s v="814458177093"/>
    <x v="2452"/>
    <s v="KRISHNA BUILDERS"/>
    <n v="177093"/>
    <s v="CHOUDHARY TRADERS"/>
    <n v="10"/>
    <n v="0"/>
    <n v="0"/>
    <n v="10"/>
    <n v="0"/>
    <n v="0"/>
    <n v="13.5"/>
    <n v="0"/>
    <n v="0"/>
    <n v="0"/>
    <n v="0"/>
    <n v="0"/>
    <n v="10"/>
    <n v="0"/>
    <n v="0"/>
    <n v="0"/>
    <n v="0"/>
    <n v="0"/>
    <n v="0"/>
    <n v="0"/>
    <n v="0"/>
    <n v="0"/>
    <n v="0"/>
    <n v="0"/>
    <n v="43.5"/>
    <n v="0"/>
    <n v="0"/>
    <s v="CHITTORGARH"/>
    <s v="BHILWARA"/>
    <s v="RJ-UDAIPUR"/>
    <d v="2021-02-12T00:00:00"/>
  </r>
  <r>
    <s v="814679177290"/>
    <x v="2453"/>
    <s v="RUPLAL JAT"/>
    <n v="177290"/>
    <s v="SHREE CHARBHUJA BUILDING MATER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CHITTORGARH"/>
    <s v="BHILWARA"/>
    <s v="RJ-UDAIPUR"/>
    <d v="2021-03-03T00:00:00"/>
  </r>
  <r>
    <s v="814679178003"/>
    <x v="2453"/>
    <s v="RUPLAL JAT"/>
    <n v="178003"/>
    <s v="SHREE JI BUILDING MATERIAL SUP"/>
    <n v="137.25"/>
    <n v="0"/>
    <n v="0"/>
    <n v="132.5"/>
    <n v="4"/>
    <n v="0"/>
    <n v="135.5"/>
    <n v="0"/>
    <n v="11.5"/>
    <n v="97.75"/>
    <n v="25.75"/>
    <n v="0"/>
    <n v="10"/>
    <n v="6"/>
    <n v="4"/>
    <n v="97.5"/>
    <n v="27"/>
    <n v="0"/>
    <n v="84"/>
    <n v="6"/>
    <n v="5"/>
    <n v="68.5"/>
    <n v="0"/>
    <n v="4.5"/>
    <n v="763"/>
    <n v="68.75"/>
    <n v="20.5"/>
    <s v="CHITTORGARH"/>
    <s v="BHILWARA"/>
    <s v="RJ-UDAIPUR"/>
    <d v="2021-03-03T00:00:00"/>
  </r>
  <r>
    <s v="814755170392"/>
    <x v="2454"/>
    <s v="SHREE HARDA MAHARANI ENTERPRIS"/>
    <n v="170392"/>
    <s v="JYOTI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1-03-13T00:00:00"/>
  </r>
  <r>
    <s v="814845172640"/>
    <x v="2455"/>
    <s v="SHIV KRIPA ENTERPRISES"/>
    <n v="172640"/>
    <s v="KUSHAL TRADER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CHITTORGARH"/>
    <s v="BHILWARA"/>
    <s v="RJ-UDAIPUR"/>
    <d v="2021-03-26T00:00:00"/>
  </r>
  <r>
    <s v="814862177093"/>
    <x v="2456"/>
    <s v="CHAUHAN TRADERS"/>
    <n v="177093"/>
    <s v="CHOUDHARY TRADERS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CHITTORGARH"/>
    <s v="BHILWARA"/>
    <s v="RJ-UDAIPUR"/>
    <d v="2021-03-27T00:00:00"/>
  </r>
  <r>
    <s v="814862208032"/>
    <x v="2456"/>
    <s v="CHAUHAN TRADERS"/>
    <n v="208032"/>
    <s v="AKASH MACHINERY MART"/>
    <n v="0"/>
    <n v="0"/>
    <n v="0"/>
    <n v="0"/>
    <n v="0"/>
    <n v="0"/>
    <n v="20"/>
    <n v="10"/>
    <n v="0"/>
    <n v="4.75"/>
    <n v="4.75"/>
    <n v="0"/>
    <n v="11.25"/>
    <n v="7"/>
    <n v="2.25"/>
    <n v="26.5"/>
    <n v="0"/>
    <n v="0"/>
    <n v="30.5"/>
    <n v="7.5"/>
    <n v="0"/>
    <n v="57"/>
    <n v="15.5"/>
    <n v="0"/>
    <n v="150"/>
    <n v="29.25"/>
    <n v="2.25"/>
    <s v="CHITTORGARH"/>
    <s v="BHILWARA"/>
    <s v="RJ-UDAIPUR"/>
    <d v="2021-03-27T00:00:00"/>
  </r>
  <r>
    <s v="814877170392"/>
    <x v="2457"/>
    <s v="UDAI LAL JAT"/>
    <n v="170392"/>
    <s v="JYOTI SUPPLIERS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s v="CHITTORGARH"/>
    <s v="BHILWARA"/>
    <s v="RJ-UDAIPUR"/>
    <d v="2021-03-31T00:00:00"/>
  </r>
  <r>
    <s v="814877204375"/>
    <x v="2457"/>
    <s v="UDAI LAL JAT"/>
    <n v="204375"/>
    <s v="JAI MATESHWARI CONSTRUCTION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CHITTORGARH"/>
    <s v="BHILWARA"/>
    <s v="RJ-UDAIPUR"/>
    <d v="2021-03-31T00:00:00"/>
  </r>
  <r>
    <s v="814877208028"/>
    <x v="2457"/>
    <s v="UDAI LAL JAT"/>
    <n v="208028"/>
    <s v="LAXKAR ENTERPRISES"/>
    <n v="5"/>
    <n v="0"/>
    <n v="0"/>
    <n v="0"/>
    <n v="0"/>
    <n v="0"/>
    <n v="15"/>
    <n v="0"/>
    <n v="0"/>
    <n v="5"/>
    <n v="0"/>
    <n v="0"/>
    <n v="18"/>
    <n v="0"/>
    <n v="0"/>
    <n v="17.5"/>
    <n v="0"/>
    <n v="0"/>
    <n v="30"/>
    <n v="5"/>
    <n v="0"/>
    <n v="47.5"/>
    <n v="0"/>
    <n v="0"/>
    <n v="138"/>
    <n v="5"/>
    <n v="0"/>
    <s v="CHITTORGARH"/>
    <s v="BHILWARA"/>
    <s v="RJ-UDAIPUR"/>
    <d v="2021-03-31T00:00:00"/>
  </r>
  <r>
    <s v="814977170392"/>
    <x v="2458"/>
    <s v="DINESH JAT"/>
    <n v="170392"/>
    <s v="JYOTI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1-04-21T00:00:00"/>
  </r>
  <r>
    <s v="814977210691"/>
    <x v="2458"/>
    <s v="DINESH JAT"/>
    <s v="210691"/>
    <s v="AARADHYA CEMENT SUPPLIER"/>
    <n v="0"/>
    <n v="0"/>
    <n v="0"/>
    <n v="0"/>
    <n v="0"/>
    <n v="0"/>
    <n v="0"/>
    <n v="0"/>
    <n v="0"/>
    <n v="0"/>
    <n v="0"/>
    <n v="0"/>
    <n v="10"/>
    <n v="0"/>
    <n v="0"/>
    <n v="12.25"/>
    <n v="0"/>
    <n v="0"/>
    <n v="0"/>
    <n v="0"/>
    <n v="0"/>
    <n v="0"/>
    <n v="0"/>
    <n v="0"/>
    <n v="22.25"/>
    <n v="0"/>
    <n v="0"/>
    <s v="CHITTORGARH"/>
    <s v="BHILWARA"/>
    <s v="RJ-UDAIPUR"/>
    <d v="2021-04-21T00:00:00"/>
  </r>
  <r>
    <s v="815021207643"/>
    <x v="2459"/>
    <s v="SHREE DEV CEMENT AGENCY"/>
    <n v="207643"/>
    <s v="SHREE SANWALIY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1-05-01T00:00:00"/>
  </r>
  <r>
    <s v="815184174631"/>
    <x v="2460"/>
    <s v="RAJESH DHAKAD"/>
    <n v="174631"/>
    <s v="OM TRADERS"/>
    <n v="12.5"/>
    <n v="0"/>
    <n v="0"/>
    <n v="10"/>
    <n v="0"/>
    <n v="0"/>
    <n v="0"/>
    <n v="0"/>
    <n v="0"/>
    <n v="13"/>
    <n v="0"/>
    <n v="0"/>
    <n v="13"/>
    <n v="0"/>
    <n v="4.5"/>
    <n v="15"/>
    <n v="0"/>
    <n v="0"/>
    <n v="10"/>
    <n v="0"/>
    <n v="0"/>
    <n v="7.5"/>
    <n v="0"/>
    <n v="0"/>
    <n v="81"/>
    <n v="0"/>
    <n v="4.5"/>
    <s v="CHITTORGARH"/>
    <s v="BHILWARA"/>
    <s v="RJ-UDAIPUR"/>
    <d v="2021-06-18T00:00:00"/>
  </r>
  <r>
    <s v="815439170392"/>
    <x v="2461"/>
    <s v="BHAVYA SALES"/>
    <n v="170392"/>
    <s v="JYOTI SUPPLIERS"/>
    <n v="190"/>
    <n v="0"/>
    <n v="0"/>
    <n v="296"/>
    <n v="0"/>
    <n v="0"/>
    <n v="360.5"/>
    <n v="0"/>
    <n v="0"/>
    <n v="377.3"/>
    <n v="0"/>
    <n v="0"/>
    <n v="204.5"/>
    <n v="0"/>
    <n v="0"/>
    <n v="336.6"/>
    <n v="0"/>
    <n v="0"/>
    <n v="402"/>
    <n v="0"/>
    <n v="0"/>
    <n v="197"/>
    <n v="0"/>
    <n v="0"/>
    <n v="2363.9"/>
    <n v="0"/>
    <n v="0"/>
    <s v="CHITTORGARH"/>
    <s v="BHILWARA"/>
    <s v="RJ-UDAIPUR"/>
    <d v="2021-07-09T00:00:00"/>
  </r>
  <r>
    <s v="815441172640"/>
    <x v="2462"/>
    <s v="RONAK PAGARIYA"/>
    <n v="172640"/>
    <s v="KUSHAL TRADERS"/>
    <n v="40"/>
    <n v="10"/>
    <n v="0"/>
    <n v="134.5"/>
    <n v="0"/>
    <n v="0"/>
    <n v="168"/>
    <n v="0"/>
    <n v="0"/>
    <n v="104.5"/>
    <n v="24.5"/>
    <n v="0"/>
    <n v="65"/>
    <n v="0"/>
    <n v="0"/>
    <n v="59"/>
    <n v="0"/>
    <n v="0"/>
    <n v="70"/>
    <n v="0"/>
    <n v="0"/>
    <n v="20"/>
    <n v="0"/>
    <n v="0"/>
    <n v="661"/>
    <n v="34.5"/>
    <n v="0"/>
    <s v="CHITTORGARH"/>
    <s v="BHILWARA"/>
    <s v="RJ-UDAIPUR"/>
    <d v="2021-07-09T00:00:00"/>
  </r>
  <r>
    <s v="815451207643"/>
    <x v="2463"/>
    <s v="HIMANSHI ENTERPRISES"/>
    <n v="207643"/>
    <s v="SHREE SANWALIYA TRADERS"/>
    <n v="37"/>
    <n v="0"/>
    <n v="0"/>
    <n v="90"/>
    <n v="0"/>
    <n v="0"/>
    <n v="40"/>
    <n v="0"/>
    <n v="0"/>
    <n v="65.5"/>
    <n v="0"/>
    <n v="0"/>
    <n v="47"/>
    <n v="15"/>
    <n v="0"/>
    <n v="40"/>
    <n v="11"/>
    <n v="0"/>
    <n v="28"/>
    <n v="3"/>
    <n v="0"/>
    <n v="69.5"/>
    <n v="0"/>
    <n v="3"/>
    <n v="417"/>
    <n v="29"/>
    <n v="0"/>
    <s v="CHITTORGARH"/>
    <s v="BHILWARA"/>
    <s v="RJ-UDAIPUR"/>
    <d v="2021-07-09T00:00:00"/>
  </r>
  <r>
    <s v="815480207643"/>
    <x v="2464"/>
    <s v="MAA KALIKA CONSTRUCTION"/>
    <n v="207643"/>
    <s v="SHREE SANWALIYA TRADERS"/>
    <n v="80"/>
    <n v="0"/>
    <n v="0"/>
    <n v="25"/>
    <n v="10"/>
    <n v="0"/>
    <n v="71.3"/>
    <n v="0"/>
    <n v="6.75"/>
    <n v="30"/>
    <n v="0"/>
    <n v="0"/>
    <n v="30.5"/>
    <n v="5.5"/>
    <n v="0"/>
    <n v="41.25"/>
    <n v="0"/>
    <n v="0"/>
    <n v="35"/>
    <n v="0"/>
    <n v="0"/>
    <n v="0"/>
    <n v="0"/>
    <n v="0"/>
    <n v="313.05"/>
    <n v="15.5"/>
    <n v="6.75"/>
    <s v="CHITTORGARH"/>
    <s v="BHILWARA"/>
    <s v="RJ-UDAIPUR"/>
    <d v="2021-07-12T00:00:00"/>
  </r>
  <r>
    <s v="815482174631"/>
    <x v="2465"/>
    <s v="PRAKASH CHANDRA DHAKER"/>
    <n v="174631"/>
    <s v="OM TRADERS"/>
    <n v="119.5"/>
    <n v="0"/>
    <n v="0"/>
    <n v="50"/>
    <n v="10"/>
    <n v="0"/>
    <n v="135"/>
    <n v="0"/>
    <n v="3.5"/>
    <n v="35.5"/>
    <n v="10.5"/>
    <n v="0"/>
    <n v="20"/>
    <n v="0"/>
    <n v="0"/>
    <n v="28"/>
    <n v="0"/>
    <n v="0"/>
    <n v="55"/>
    <n v="0"/>
    <n v="0"/>
    <n v="40"/>
    <n v="0"/>
    <n v="0"/>
    <n v="483"/>
    <n v="20.5"/>
    <n v="3.5"/>
    <s v="CHITTORGARH"/>
    <s v="BHILWARA"/>
    <s v="RJ-UDAIPUR"/>
    <d v="2021-07-12T00:00:00"/>
  </r>
  <r>
    <s v="815547178062"/>
    <x v="2466"/>
    <s v="RADHESHYAM KUMAWAT"/>
    <n v="178062"/>
    <s v="SHRI SATYAM BUILDERS"/>
    <n v="36.5"/>
    <n v="0"/>
    <n v="0"/>
    <n v="20"/>
    <n v="0"/>
    <n v="0"/>
    <n v="97.5"/>
    <n v="0"/>
    <n v="0"/>
    <n v="52"/>
    <n v="4"/>
    <n v="0"/>
    <n v="109"/>
    <n v="0"/>
    <n v="0"/>
    <n v="100"/>
    <n v="0"/>
    <n v="0"/>
    <n v="44"/>
    <n v="0"/>
    <n v="0"/>
    <n v="87"/>
    <n v="0"/>
    <n v="0"/>
    <n v="546"/>
    <n v="4"/>
    <n v="0"/>
    <s v="CHITTORGARH"/>
    <s v="BHILWARA"/>
    <s v="RJ-UDAIPUR"/>
    <d v="2021-07-17T00:00:00"/>
  </r>
  <r>
    <s v="815633208508"/>
    <x v="2467"/>
    <s v="HARISH BAHRANI"/>
    <n v="208508"/>
    <s v="HIND ENTERPRISES"/>
    <n v="174.75"/>
    <n v="0"/>
    <n v="0"/>
    <n v="184.25"/>
    <n v="0"/>
    <n v="0"/>
    <n v="37.5"/>
    <n v="0"/>
    <n v="0"/>
    <n v="0"/>
    <n v="0"/>
    <n v="0"/>
    <n v="0"/>
    <n v="0"/>
    <n v="0"/>
    <n v="0"/>
    <n v="0"/>
    <n v="0"/>
    <n v="0"/>
    <n v="0"/>
    <n v="0"/>
    <n v="0"/>
    <n v="0"/>
    <n v="0"/>
    <n v="396.5"/>
    <n v="0"/>
    <n v="0"/>
    <s v="CHITTORGARH"/>
    <s v="BHILWARA"/>
    <s v="RJ-UDAIPUR"/>
    <d v="2021-07-24T00:00:00"/>
  </r>
  <r>
    <s v="815820203484"/>
    <x v="2468"/>
    <s v="SHREE BHERUNATH CEMENT SUPPLIE"/>
    <n v="203484"/>
    <s v="SHREE AMBESH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CHITTORGARH"/>
    <s v="BHILWARA"/>
    <s v="RJ-UDAIPUR"/>
    <d v="2021-08-03T00:00:00"/>
  </r>
  <r>
    <s v="815820210132"/>
    <x v="2468"/>
    <s v="SHREE BHERUNATH CEMENT SUPPLIE"/>
    <n v="210132"/>
    <s v="SHRI MATESHWARI AGENCY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s v="CHITTORGARH"/>
    <s v="BHILWARA"/>
    <s v="RJ-UDAIPUR"/>
    <d v="2021-08-03T00:00:00"/>
  </r>
  <r>
    <s v="815820212419"/>
    <x v="2468"/>
    <s v="SHREE BHERUNATH CEMENT SUPPLIE"/>
    <n v="212419"/>
    <s v="RAJU CEMENT SUPPLIER"/>
    <n v="0"/>
    <n v="0"/>
    <n v="0"/>
    <n v="0"/>
    <n v="0"/>
    <n v="0"/>
    <n v="0"/>
    <n v="0"/>
    <n v="0"/>
    <n v="46"/>
    <n v="0"/>
    <n v="10"/>
    <n v="40"/>
    <n v="14"/>
    <n v="0"/>
    <n v="20"/>
    <n v="0"/>
    <n v="0"/>
    <n v="0"/>
    <n v="0"/>
    <n v="0"/>
    <n v="0"/>
    <n v="0"/>
    <n v="0"/>
    <n v="106"/>
    <n v="14"/>
    <n v="10"/>
    <s v="CHITTORGARH"/>
    <s v="BHILWARA"/>
    <s v="RJ-UDAIPUR"/>
    <d v="2021-08-03T00:00:00"/>
  </r>
  <r>
    <s v="815821207643"/>
    <x v="2469"/>
    <s v="SHYAM LAL LODHA"/>
    <n v="207643"/>
    <s v="SHREE SANWALIYA TRADERS"/>
    <n v="0"/>
    <n v="0"/>
    <n v="0"/>
    <n v="0"/>
    <n v="0"/>
    <n v="0"/>
    <n v="0"/>
    <n v="0"/>
    <n v="0"/>
    <n v="13.5"/>
    <n v="0"/>
    <n v="0"/>
    <n v="5"/>
    <n v="0"/>
    <n v="0"/>
    <n v="0"/>
    <n v="0"/>
    <n v="0"/>
    <n v="0"/>
    <n v="0"/>
    <n v="0"/>
    <n v="0"/>
    <n v="0"/>
    <n v="0"/>
    <n v="18.5"/>
    <n v="0"/>
    <n v="0"/>
    <s v="CHITTORGARH"/>
    <s v="BHILWARA"/>
    <s v="RJ-UDAIPUR"/>
    <d v="2021-08-03T00:00:00"/>
  </r>
  <r>
    <s v="815987177290"/>
    <x v="2470"/>
    <s v="SOHAN LAL TELI"/>
    <n v="177290"/>
    <s v="SHREE CHARBHUJA BUILDING MATER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CHITTORGARH"/>
    <s v="BHILWARA"/>
    <s v="RJ-UDAIPUR"/>
    <d v="2021-08-18T00:00:00"/>
  </r>
  <r>
    <s v="815987178003"/>
    <x v="2470"/>
    <s v="SOHAN LAL TELI"/>
    <n v="178003"/>
    <s v="SHREE JI BUILDING MATERIAL SUP"/>
    <n v="0"/>
    <n v="0"/>
    <n v="0"/>
    <n v="0"/>
    <n v="0"/>
    <n v="0"/>
    <n v="20"/>
    <n v="0"/>
    <n v="0"/>
    <n v="20"/>
    <n v="0"/>
    <n v="8.5"/>
    <n v="20"/>
    <n v="0"/>
    <n v="0"/>
    <n v="19"/>
    <n v="0"/>
    <n v="0"/>
    <n v="5"/>
    <n v="5"/>
    <n v="0"/>
    <n v="10"/>
    <n v="0"/>
    <n v="0"/>
    <n v="94"/>
    <n v="5"/>
    <n v="8.5"/>
    <s v="CHITTORGARH"/>
    <s v="BHILWARA"/>
    <s v="RJ-UDAIPUR"/>
    <d v="2021-08-18T00:00:00"/>
  </r>
  <r>
    <s v="816328171457"/>
    <x v="2471"/>
    <s v="ABHISHEK TRADERS"/>
    <n v="171457"/>
    <s v="PARAS TRADING COMPANY"/>
    <n v="77"/>
    <n v="0"/>
    <n v="0"/>
    <n v="10"/>
    <n v="0"/>
    <n v="0"/>
    <n v="45"/>
    <n v="0"/>
    <n v="0"/>
    <n v="25"/>
    <n v="0"/>
    <n v="0"/>
    <n v="20"/>
    <n v="0"/>
    <n v="0"/>
    <n v="18"/>
    <n v="0"/>
    <n v="0"/>
    <n v="25"/>
    <n v="0"/>
    <n v="0"/>
    <n v="20"/>
    <n v="0"/>
    <n v="0"/>
    <n v="240"/>
    <n v="0"/>
    <n v="0"/>
    <s v="CHITTORGARH"/>
    <s v="BHILWARA"/>
    <s v="RJ-UDAIPUR"/>
    <d v="2021-09-13T00:00:00"/>
  </r>
  <r>
    <s v="816388208028"/>
    <x v="2472"/>
    <s v="VINAYAK ENTERPRISES"/>
    <n v="208028"/>
    <s v="LAXKAR ENTERPRISES"/>
    <n v="20"/>
    <n v="0"/>
    <n v="0"/>
    <n v="20"/>
    <n v="0"/>
    <n v="0"/>
    <n v="30"/>
    <n v="0"/>
    <n v="0"/>
    <n v="45"/>
    <n v="0"/>
    <n v="0"/>
    <n v="24.5"/>
    <n v="0"/>
    <n v="0"/>
    <n v="70"/>
    <n v="0"/>
    <n v="0"/>
    <n v="10"/>
    <n v="0"/>
    <n v="0"/>
    <n v="30"/>
    <n v="0"/>
    <n v="0"/>
    <n v="249.5"/>
    <n v="0"/>
    <n v="0"/>
    <s v="CHITTORGARH"/>
    <s v="BHILWARA"/>
    <s v="RJ-UDAIPUR"/>
    <d v="2021-09-18T00:00:00"/>
  </r>
  <r>
    <s v="816389172747"/>
    <x v="2473"/>
    <s v="CHARBHUJA MATERIAL SUPPLIERS"/>
    <n v="172747"/>
    <s v="GOURI MATERIAL SUPPLIERS"/>
    <n v="0"/>
    <n v="0"/>
    <n v="0"/>
    <n v="10"/>
    <n v="0"/>
    <n v="0"/>
    <n v="0"/>
    <n v="0"/>
    <n v="0"/>
    <n v="10"/>
    <n v="0"/>
    <n v="0"/>
    <n v="20"/>
    <n v="0"/>
    <n v="0"/>
    <n v="0"/>
    <n v="0"/>
    <n v="0"/>
    <n v="0"/>
    <n v="0"/>
    <n v="0"/>
    <n v="11"/>
    <n v="0"/>
    <n v="0"/>
    <n v="51"/>
    <n v="0"/>
    <n v="0"/>
    <s v="CHITTORGARH"/>
    <s v="BHILWARA"/>
    <s v="RJ-UDAIPUR"/>
    <d v="2021-09-18T00:00:00"/>
  </r>
  <r>
    <s v="816918208032"/>
    <x v="2474"/>
    <s v="JMD BUILDING MATERIAL SUPPLIER"/>
    <n v="208032"/>
    <s v="AKASH MACHINERY MART"/>
    <n v="0"/>
    <n v="0"/>
    <n v="0"/>
    <n v="0"/>
    <n v="0"/>
    <n v="0"/>
    <n v="3"/>
    <n v="0"/>
    <n v="3"/>
    <n v="10"/>
    <n v="0"/>
    <n v="0"/>
    <n v="3"/>
    <n v="0"/>
    <n v="3"/>
    <n v="0"/>
    <n v="0"/>
    <n v="0"/>
    <n v="5"/>
    <n v="0"/>
    <n v="0"/>
    <n v="10"/>
    <n v="7"/>
    <n v="0"/>
    <n v="31"/>
    <n v="0"/>
    <n v="6"/>
    <s v="CHITTORGARH"/>
    <s v="BHILWARA"/>
    <s v="RJ-UDAIPUR"/>
    <d v="2021-10-30T00:00:00"/>
  </r>
  <r>
    <s v="817046210132"/>
    <x v="2475"/>
    <s v="BHAWANI CEMENT AND HARDWARE SA"/>
    <n v="210132"/>
    <s v="SHRI MATESHWARI AGENCY"/>
    <n v="16"/>
    <n v="0"/>
    <n v="0"/>
    <n v="20"/>
    <n v="0"/>
    <n v="0"/>
    <n v="25"/>
    <n v="0"/>
    <n v="0"/>
    <n v="30"/>
    <n v="0"/>
    <n v="0"/>
    <n v="35"/>
    <n v="7"/>
    <n v="0"/>
    <n v="28.5"/>
    <n v="3.5"/>
    <n v="5"/>
    <n v="0"/>
    <n v="0"/>
    <n v="0"/>
    <n v="20"/>
    <n v="0"/>
    <n v="0"/>
    <n v="174.5"/>
    <n v="10.5"/>
    <n v="5"/>
    <s v="CHITTORGARH"/>
    <s v="BHILWARA"/>
    <s v="RJ-UDAIPUR"/>
    <d v="2021-11-17T00:00:00"/>
  </r>
  <r>
    <s v="817095177290"/>
    <x v="2476"/>
    <s v="PARAS MAL JAIN"/>
    <n v="177290"/>
    <s v="SHREE CHARBHUJA BUILDING MATER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CHITTORGARH"/>
    <s v="BHILWARA"/>
    <s v="RJ-UDAIPUR"/>
    <d v="2021-11-24T00:00:00"/>
  </r>
  <r>
    <s v="817095178003"/>
    <x v="2476"/>
    <s v="PARAS MAL JAIN"/>
    <n v="178003"/>
    <s v="SHREE JI BUILDING MATERIAL SUP"/>
    <n v="0"/>
    <n v="0"/>
    <n v="0"/>
    <n v="5"/>
    <n v="0"/>
    <n v="0"/>
    <n v="5"/>
    <n v="0"/>
    <n v="0"/>
    <n v="13.5"/>
    <n v="0"/>
    <n v="0"/>
    <n v="5"/>
    <n v="0"/>
    <n v="0"/>
    <n v="10"/>
    <n v="0"/>
    <n v="0"/>
    <n v="10"/>
    <n v="1"/>
    <n v="0"/>
    <n v="0"/>
    <n v="0"/>
    <n v="0"/>
    <n v="48.5"/>
    <n v="1"/>
    <n v="0"/>
    <s v="CHITTORGARH"/>
    <s v="BHILWARA"/>
    <s v="RJ-UDAIPUR"/>
    <d v="2021-11-24T00:00:00"/>
  </r>
  <r>
    <s v="817103207643"/>
    <x v="2477"/>
    <s v="MAHAKAL CONTRACTORS"/>
    <n v="207643"/>
    <s v="SHREE SANWALIYA TRADERS"/>
    <n v="35"/>
    <n v="0"/>
    <n v="0"/>
    <n v="20"/>
    <n v="0"/>
    <n v="0"/>
    <n v="20"/>
    <n v="0"/>
    <n v="0"/>
    <n v="25"/>
    <n v="0"/>
    <n v="0"/>
    <n v="20"/>
    <n v="0"/>
    <n v="0"/>
    <n v="39.25"/>
    <n v="1.25"/>
    <n v="0"/>
    <n v="16"/>
    <n v="5"/>
    <n v="0"/>
    <n v="27.5"/>
    <n v="0"/>
    <n v="0"/>
    <n v="202.75"/>
    <n v="6.25"/>
    <n v="0"/>
    <s v="CHITTORGARH"/>
    <s v="BHILWARA"/>
    <s v="RJ-UDAIPUR"/>
    <d v="2021-11-24T00:00:00"/>
  </r>
  <r>
    <s v="817206170846"/>
    <x v="2478"/>
    <s v="SHRI RAM BUILDING MATERIAL SUP"/>
    <n v="170846"/>
    <s v="SANGAM ENTERPRISES"/>
    <n v="21.25"/>
    <n v="0"/>
    <n v="0"/>
    <n v="24"/>
    <n v="9"/>
    <n v="0"/>
    <n v="6.5"/>
    <n v="0"/>
    <n v="0"/>
    <n v="23"/>
    <n v="0"/>
    <n v="0"/>
    <n v="20"/>
    <n v="0"/>
    <n v="0"/>
    <n v="16"/>
    <n v="0"/>
    <n v="0"/>
    <n v="25"/>
    <n v="0"/>
    <n v="0"/>
    <n v="11"/>
    <n v="0"/>
    <n v="0"/>
    <n v="146.75"/>
    <n v="9"/>
    <n v="0"/>
    <s v="CHITTORGARH"/>
    <s v="BHILWARA"/>
    <s v="RJ-UDAIPUR"/>
    <d v="2021-12-04T00:00:00"/>
  </r>
  <r>
    <s v="817223172640"/>
    <x v="2479"/>
    <s v="LAKSHYA CEMENT SUPPLIER"/>
    <n v="172640"/>
    <s v="KUSHAL TRADERS"/>
    <n v="304.5"/>
    <n v="0"/>
    <n v="0"/>
    <n v="170.5"/>
    <n v="17.5"/>
    <n v="0"/>
    <n v="159"/>
    <n v="0"/>
    <n v="0"/>
    <n v="214.5"/>
    <n v="12.5"/>
    <n v="6.5"/>
    <n v="142.5"/>
    <n v="19"/>
    <n v="3.5"/>
    <n v="121.25"/>
    <n v="32"/>
    <n v="0"/>
    <n v="135"/>
    <n v="0"/>
    <n v="0"/>
    <n v="229"/>
    <n v="0"/>
    <n v="0"/>
    <n v="1476.25"/>
    <n v="81"/>
    <n v="10"/>
    <s v="CHITTORGARH"/>
    <s v="BHILWARA"/>
    <s v="RJ-UDAIPUR"/>
    <d v="2021-12-07T00:00:00"/>
  </r>
  <r>
    <s v="817275172640"/>
    <x v="2480"/>
    <s v="PARAS BEEJ BHANDAR"/>
    <n v="172640"/>
    <s v="KUSHAL TRADERS"/>
    <n v="92"/>
    <n v="0"/>
    <n v="0"/>
    <n v="158.75"/>
    <n v="0"/>
    <n v="0"/>
    <n v="175.5"/>
    <n v="0"/>
    <n v="0"/>
    <n v="102.5"/>
    <n v="0"/>
    <n v="0"/>
    <n v="134"/>
    <n v="0"/>
    <n v="0"/>
    <n v="65"/>
    <n v="15"/>
    <n v="0"/>
    <n v="156"/>
    <n v="0"/>
    <n v="0"/>
    <n v="136"/>
    <n v="0"/>
    <n v="0"/>
    <n v="1019.75"/>
    <n v="15"/>
    <n v="0"/>
    <s v="CHITTORGARH"/>
    <s v="BHILWARA"/>
    <s v="RJ-UDAIPUR"/>
    <d v="2021-12-11T00:00:00"/>
  </r>
  <r>
    <s v="817275205370"/>
    <x v="2480"/>
    <s v="PARAS BEEJ BHANDAR"/>
    <s v="205370"/>
    <s v="KANTHALIYA ENTERPRISES"/>
    <n v="0"/>
    <n v="0"/>
    <n v="0"/>
    <n v="0"/>
    <n v="0"/>
    <n v="0"/>
    <n v="0"/>
    <n v="0"/>
    <n v="0"/>
    <n v="0"/>
    <n v="0"/>
    <n v="0"/>
    <n v="7"/>
    <n v="0"/>
    <n v="0"/>
    <n v="2.5"/>
    <n v="0"/>
    <n v="0"/>
    <n v="0"/>
    <n v="0"/>
    <n v="0"/>
    <n v="0"/>
    <n v="0"/>
    <n v="0"/>
    <n v="9.5"/>
    <n v="0"/>
    <n v="0"/>
    <s v="CHITTORGARH"/>
    <s v="BHILWARA"/>
    <s v="RJ-UDAIPUR"/>
    <d v="2021-12-11T00:00:00"/>
  </r>
  <r>
    <s v="817609210132"/>
    <x v="2481"/>
    <s v="HEMRAJ AHIR"/>
    <n v="210132"/>
    <s v="SHRI MATESHWARI AGENCY"/>
    <n v="111"/>
    <n v="0"/>
    <n v="0"/>
    <n v="77.75"/>
    <n v="0"/>
    <n v="0"/>
    <n v="70"/>
    <n v="0"/>
    <n v="0"/>
    <n v="68.5"/>
    <n v="11.5"/>
    <n v="0"/>
    <n v="36.25"/>
    <n v="0"/>
    <n v="0"/>
    <n v="117"/>
    <n v="1"/>
    <n v="0"/>
    <n v="20"/>
    <n v="0"/>
    <n v="0"/>
    <n v="94"/>
    <n v="0"/>
    <n v="8"/>
    <n v="594.5"/>
    <n v="12.5"/>
    <n v="0"/>
    <s v="CHITTORGARH"/>
    <s v="BHILWARA"/>
    <s v="RJ-UDAIPUR"/>
    <d v="2022-01-06T00:00:00"/>
  </r>
  <r>
    <s v="817709208032"/>
    <x v="2482"/>
    <s v="GOVIND KUMAR CHOUDHARY"/>
    <n v="208032"/>
    <s v="AKASH MACHINERY MART"/>
    <n v="75"/>
    <n v="0"/>
    <n v="0"/>
    <n v="48.5"/>
    <n v="0"/>
    <n v="0"/>
    <n v="9.6999999999999993"/>
    <n v="8.1999999999999993"/>
    <n v="0"/>
    <n v="4.3499999999999996"/>
    <n v="0"/>
    <n v="0"/>
    <n v="16"/>
    <n v="6"/>
    <n v="0"/>
    <n v="30"/>
    <n v="0"/>
    <n v="0"/>
    <n v="40"/>
    <n v="0"/>
    <n v="0"/>
    <n v="46.65"/>
    <n v="0"/>
    <n v="0"/>
    <n v="270.2"/>
    <n v="14.2"/>
    <n v="0"/>
    <s v="CHITTORGARH"/>
    <s v="BHILWARA"/>
    <s v="RJ-UDAIPUR"/>
    <d v="2022-01-17T00:00:00"/>
  </r>
  <r>
    <s v="818018204375"/>
    <x v="2483"/>
    <s v="CHOUDHARY CONSTRUCTION"/>
    <n v="204375"/>
    <s v="JAI MATESHWARI CONSTRUCTION"/>
    <n v="63"/>
    <n v="0"/>
    <n v="0"/>
    <n v="20"/>
    <n v="23"/>
    <n v="0"/>
    <n v="12.5"/>
    <n v="7.5"/>
    <n v="0"/>
    <n v="9"/>
    <n v="0"/>
    <n v="9"/>
    <n v="0"/>
    <n v="0"/>
    <n v="0"/>
    <n v="5"/>
    <n v="0"/>
    <n v="0"/>
    <n v="4.5999999999999996"/>
    <n v="4.5999999999999996"/>
    <n v="0"/>
    <n v="5.35"/>
    <n v="5.35"/>
    <n v="0"/>
    <n v="119.44999999999999"/>
    <n v="35.1"/>
    <n v="9"/>
    <s v="CHITTORGARH"/>
    <s v="BHILWARA"/>
    <s v="RJ-UDAIPUR"/>
    <d v="2022-02-14T00:00:00"/>
  </r>
  <r>
    <s v="818023172640"/>
    <x v="2484"/>
    <s v="NAVEEN TRADERS"/>
    <n v="172640"/>
    <s v="KUSHAL TRADERS"/>
    <n v="136"/>
    <n v="0"/>
    <n v="0"/>
    <n v="24.25"/>
    <n v="7"/>
    <n v="0"/>
    <n v="47"/>
    <n v="0"/>
    <n v="0"/>
    <n v="30"/>
    <n v="0"/>
    <n v="0"/>
    <n v="10"/>
    <n v="0"/>
    <n v="0"/>
    <n v="45"/>
    <n v="0"/>
    <n v="0"/>
    <n v="0"/>
    <n v="0"/>
    <n v="0"/>
    <n v="41"/>
    <n v="0"/>
    <n v="0"/>
    <n v="333.25"/>
    <n v="7"/>
    <n v="0"/>
    <s v="CHITTORGARH"/>
    <s v="BHILWARA"/>
    <s v="RJ-UDAIPUR"/>
    <d v="2022-02-14T00:00:00"/>
  </r>
  <r>
    <s v="818063170606"/>
    <x v="2485"/>
    <s v="JAI CHANDA MAA CONSTRUCTION"/>
    <n v="170606"/>
    <s v="SHREE SANWARIYA CONSTRUCTION"/>
    <n v="43.5"/>
    <n v="0"/>
    <n v="0"/>
    <n v="0"/>
    <n v="0"/>
    <n v="0"/>
    <n v="15"/>
    <n v="0"/>
    <n v="0"/>
    <n v="12.5"/>
    <n v="0"/>
    <n v="0"/>
    <n v="13.5"/>
    <n v="0"/>
    <n v="0"/>
    <n v="10"/>
    <n v="0"/>
    <n v="0"/>
    <n v="22"/>
    <n v="11"/>
    <n v="0"/>
    <n v="20"/>
    <n v="0"/>
    <n v="0"/>
    <n v="136.5"/>
    <n v="11"/>
    <n v="0"/>
    <s v="CHITTORGARH"/>
    <s v="BHILWARA"/>
    <s v="RJ-UDAIPUR"/>
    <d v="2022-02-17T00:00:00"/>
  </r>
  <r>
    <s v="818102170846"/>
    <x v="2486"/>
    <s v="PRIYANKA LIGHT AND TENT HOUSE"/>
    <n v="170846"/>
    <s v="SANGAM ENTERPRISES"/>
    <n v="20"/>
    <n v="0"/>
    <n v="0"/>
    <n v="10"/>
    <n v="0"/>
    <n v="0"/>
    <n v="20"/>
    <n v="0"/>
    <n v="0"/>
    <n v="5"/>
    <n v="0"/>
    <n v="5"/>
    <n v="37"/>
    <n v="0"/>
    <n v="0"/>
    <n v="34.5"/>
    <n v="12.75"/>
    <n v="0"/>
    <n v="7"/>
    <n v="0"/>
    <n v="0"/>
    <n v="26"/>
    <n v="0"/>
    <n v="0"/>
    <n v="159.5"/>
    <n v="12.75"/>
    <n v="5"/>
    <s v="CHITTORGARH"/>
    <s v="BHILWARA"/>
    <s v="RJ-UDAIPUR"/>
    <d v="2022-02-22T00:00:00"/>
  </r>
  <r>
    <s v="818124210691"/>
    <x v="2487"/>
    <s v="DEV NARAYAN TRADERS"/>
    <n v="210691"/>
    <s v="AARADHYA CEMENT SUPPLIER"/>
    <n v="40"/>
    <n v="0"/>
    <n v="0"/>
    <n v="10"/>
    <n v="0"/>
    <n v="0"/>
    <n v="80.5"/>
    <n v="0"/>
    <n v="0"/>
    <n v="86.25"/>
    <n v="17.5"/>
    <n v="0"/>
    <n v="78"/>
    <n v="11.5"/>
    <n v="0"/>
    <n v="104.35"/>
    <n v="3"/>
    <n v="0"/>
    <n v="63.75"/>
    <n v="38.25"/>
    <n v="0"/>
    <n v="129.5"/>
    <n v="0"/>
    <n v="0"/>
    <n v="592.35"/>
    <n v="70.25"/>
    <n v="0"/>
    <s v="CHITTORGARH"/>
    <s v="BHILWARA"/>
    <s v="RJ-UDAIPUR"/>
    <d v="2022-02-23T00:00:00"/>
  </r>
  <r>
    <s v="818307204375"/>
    <x v="2488"/>
    <s v="ROOP LAL BHEEL"/>
    <n v="204375"/>
    <s v="JAI MATESHWARI CONSTRUCTION"/>
    <n v="40"/>
    <n v="5"/>
    <n v="0"/>
    <n v="40"/>
    <n v="0"/>
    <n v="0"/>
    <n v="74.5"/>
    <n v="5"/>
    <n v="19.5"/>
    <n v="26"/>
    <n v="6"/>
    <n v="0"/>
    <n v="5"/>
    <n v="0"/>
    <n v="5"/>
    <n v="5"/>
    <n v="0"/>
    <n v="0"/>
    <n v="0"/>
    <n v="0"/>
    <n v="0"/>
    <n v="15"/>
    <n v="0"/>
    <n v="0"/>
    <n v="205.5"/>
    <n v="16"/>
    <n v="24.5"/>
    <s v="CHITTORGARH"/>
    <s v="BHILWARA"/>
    <s v="RJ-UDAIPUR"/>
    <d v="2022-03-07T00:00:00"/>
  </r>
  <r>
    <s v="818414204375"/>
    <x v="2489"/>
    <s v="SHREE SANWARIYA CONSTRUCTION"/>
    <n v="204375"/>
    <s v="JAI MATESHWARI CONSTRUCTION"/>
    <n v="30"/>
    <n v="0"/>
    <n v="0"/>
    <n v="10"/>
    <n v="0"/>
    <n v="0"/>
    <n v="2.5"/>
    <n v="0"/>
    <n v="0"/>
    <n v="5"/>
    <n v="0"/>
    <n v="0"/>
    <n v="5"/>
    <n v="0"/>
    <n v="0"/>
    <n v="0"/>
    <n v="0"/>
    <n v="0"/>
    <n v="0"/>
    <n v="0"/>
    <n v="0"/>
    <n v="10"/>
    <n v="0"/>
    <n v="0"/>
    <n v="62.5"/>
    <n v="0"/>
    <n v="0"/>
    <s v="CHITTORGARH"/>
    <s v="BHILWARA"/>
    <s v="RJ-UDAIPUR"/>
    <d v="2022-03-21T00:00:00"/>
  </r>
  <r>
    <s v="818418207643"/>
    <x v="2490"/>
    <s v="MAA KALIKA CEMENT SUPPLIERS"/>
    <n v="207643"/>
    <s v="SHREE SANWALIYA TRADERS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CHITTORGARH"/>
    <s v="BHILWARA"/>
    <s v="RJ-UDAIPUR"/>
    <d v="2022-03-21T00:00:00"/>
  </r>
  <r>
    <s v="818418208028"/>
    <x v="2490"/>
    <s v="MAA KALIKA CEMENT SUPPLIERS"/>
    <n v="208028"/>
    <s v="LAXKAR ENTERPRISES"/>
    <n v="0"/>
    <n v="0"/>
    <n v="0"/>
    <n v="18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0"/>
    <n v="0"/>
    <s v="CHITTORGARH"/>
    <s v="BHILWARA"/>
    <s v="RJ-UDAIPUR"/>
    <d v="2022-03-21T00:00:00"/>
  </r>
  <r>
    <s v="818465208028"/>
    <x v="2491"/>
    <s v="SHIV SHAKTI BUILDING MATERIAL"/>
    <n v="208028"/>
    <s v="LAXKAR ENTERPRISES"/>
    <n v="73.5"/>
    <n v="0"/>
    <n v="0"/>
    <n v="30"/>
    <n v="0"/>
    <n v="0"/>
    <n v="15"/>
    <n v="0"/>
    <n v="0"/>
    <n v="65"/>
    <n v="0"/>
    <n v="0"/>
    <n v="27"/>
    <n v="0"/>
    <n v="0"/>
    <n v="17.5"/>
    <n v="0"/>
    <n v="0"/>
    <n v="40"/>
    <n v="0"/>
    <n v="0"/>
    <n v="27.5"/>
    <n v="5"/>
    <n v="0"/>
    <n v="295.5"/>
    <n v="0"/>
    <n v="0"/>
    <s v="CHITTORGARH"/>
    <s v="BHILWARA"/>
    <s v="RJ-UDAIPUR"/>
    <d v="2022-03-25T00:00:00"/>
  </r>
  <r>
    <s v="818466172640"/>
    <x v="2492"/>
    <s v="KAIF BUILDING MATERIAL SUPPLIE"/>
    <n v="172640"/>
    <s v="KUSHAL TRADERS"/>
    <n v="110"/>
    <n v="0"/>
    <n v="0"/>
    <n v="75"/>
    <n v="0"/>
    <n v="0"/>
    <n v="70"/>
    <n v="0"/>
    <n v="0"/>
    <n v="20"/>
    <n v="0"/>
    <n v="0"/>
    <n v="28"/>
    <n v="0"/>
    <n v="0"/>
    <n v="31.25"/>
    <n v="0"/>
    <n v="0"/>
    <n v="70"/>
    <n v="0"/>
    <n v="0"/>
    <n v="94.5"/>
    <n v="0"/>
    <n v="0"/>
    <n v="498.75"/>
    <n v="0"/>
    <n v="0"/>
    <s v="CHITTORGARH"/>
    <s v="BHILWARA"/>
    <s v="RJ-UDAIPUR"/>
    <d v="2022-03-25T00:00:00"/>
  </r>
  <r>
    <s v="818637170392"/>
    <x v="2493"/>
    <s v="SHREE BAJRANG CONSTRUCTION"/>
    <n v="170392"/>
    <s v="JYOTI SUPPLIERS"/>
    <n v="50"/>
    <n v="0"/>
    <n v="0"/>
    <n v="90"/>
    <n v="0"/>
    <n v="0"/>
    <n v="80"/>
    <n v="4.5"/>
    <n v="2.75"/>
    <n v="110"/>
    <n v="5.5"/>
    <n v="0"/>
    <n v="90"/>
    <n v="0"/>
    <n v="16.5"/>
    <n v="146"/>
    <n v="44"/>
    <n v="0"/>
    <n v="40"/>
    <n v="2.5"/>
    <n v="0"/>
    <n v="54.5"/>
    <n v="12.5"/>
    <n v="0"/>
    <n v="660.5"/>
    <n v="56.5"/>
    <n v="19.25"/>
    <s v="CHITTORGARH"/>
    <s v="BHILWARA"/>
    <s v="RJ-UDAIPUR"/>
    <d v="2022-04-13T00:00:00"/>
  </r>
  <r>
    <s v="818670208028"/>
    <x v="2494"/>
    <s v="SHREE DEVNARAYAN CEMENT SUPPLI"/>
    <n v="208028"/>
    <s v="LAXKAR ENTERPRISES"/>
    <n v="10"/>
    <n v="0"/>
    <n v="0"/>
    <n v="12"/>
    <n v="0"/>
    <n v="0"/>
    <n v="10"/>
    <n v="0"/>
    <n v="0"/>
    <n v="8"/>
    <n v="0"/>
    <n v="0"/>
    <n v="15"/>
    <n v="0"/>
    <n v="0"/>
    <n v="25"/>
    <n v="0"/>
    <n v="0"/>
    <n v="1"/>
    <n v="0"/>
    <n v="0"/>
    <n v="10"/>
    <n v="0"/>
    <n v="0"/>
    <n v="91"/>
    <n v="0"/>
    <n v="0"/>
    <s v="CHITTORGARH"/>
    <s v="BHILWARA"/>
    <s v="RJ-UDAIPUR"/>
    <d v="2022-04-19T00:00:00"/>
  </r>
  <r>
    <s v="818675208032"/>
    <x v="2495"/>
    <s v="SHREE SANWARIYA CEMENT"/>
    <n v="208032"/>
    <s v="AKASH MACHINERY MART"/>
    <n v="0"/>
    <n v="0"/>
    <n v="0"/>
    <n v="56.75"/>
    <n v="0"/>
    <n v="0"/>
    <n v="6"/>
    <n v="0"/>
    <n v="0"/>
    <n v="4.25"/>
    <n v="0"/>
    <n v="0"/>
    <n v="20"/>
    <n v="0"/>
    <n v="0"/>
    <n v="30"/>
    <n v="0"/>
    <n v="0"/>
    <n v="0"/>
    <n v="0"/>
    <n v="0"/>
    <n v="18.25"/>
    <n v="10"/>
    <n v="0"/>
    <n v="135.25"/>
    <n v="0"/>
    <n v="0"/>
    <s v="CHITTORGARH"/>
    <s v="BHILWARA"/>
    <s v="RJ-UDAIPUR"/>
    <d v="2022-04-19T00:00:00"/>
  </r>
  <r>
    <s v="818684170392"/>
    <x v="2496"/>
    <s v="SHREE DEV ENTERPRISES"/>
    <n v="170392"/>
    <s v="JYOTI SUPPLIERS"/>
    <n v="0"/>
    <n v="0"/>
    <n v="0"/>
    <n v="30"/>
    <n v="0"/>
    <n v="0"/>
    <n v="10"/>
    <n v="0"/>
    <n v="0"/>
    <n v="20"/>
    <n v="0"/>
    <n v="0"/>
    <n v="6"/>
    <n v="0"/>
    <n v="0"/>
    <n v="10"/>
    <n v="0"/>
    <n v="0"/>
    <n v="30"/>
    <n v="0"/>
    <n v="0"/>
    <n v="45"/>
    <n v="0"/>
    <n v="0"/>
    <n v="151"/>
    <n v="0"/>
    <n v="0"/>
    <s v="CHITTORGARH"/>
    <s v="BHILWARA"/>
    <s v="RJ-UDAIPUR"/>
    <d v="2022-04-20T00:00:00"/>
  </r>
  <r>
    <s v="818709210691"/>
    <x v="2497"/>
    <s v="ANURAJ ENTERPRISES"/>
    <n v="210691"/>
    <s v="AARADHYA CEMENT SUPPLIER"/>
    <n v="46.5"/>
    <n v="0"/>
    <n v="0"/>
    <n v="85"/>
    <n v="0"/>
    <n v="0"/>
    <n v="55"/>
    <n v="15"/>
    <n v="0"/>
    <n v="88.65"/>
    <n v="13.15"/>
    <n v="0"/>
    <n v="89.75"/>
    <n v="22"/>
    <n v="0"/>
    <n v="89.5"/>
    <n v="0"/>
    <n v="4"/>
    <n v="42.5"/>
    <n v="0"/>
    <n v="0"/>
    <n v="99.5"/>
    <n v="20"/>
    <n v="10"/>
    <n v="596.4"/>
    <n v="50.15"/>
    <n v="4"/>
    <s v="CHITTORGARH"/>
    <s v="BHILWARA"/>
    <s v="RJ-UDAIPUR"/>
    <d v="2022-04-21T00:00:00"/>
  </r>
  <r>
    <s v="818726170846"/>
    <x v="2498"/>
    <s v="MAHI CONSTRUCTION AND SUPPLIER"/>
    <n v="170846"/>
    <s v="SANGAM ENTERPRISES"/>
    <n v="0"/>
    <n v="0"/>
    <n v="0"/>
    <n v="10"/>
    <n v="0"/>
    <n v="0"/>
    <n v="13"/>
    <n v="0"/>
    <n v="0"/>
    <n v="37.5"/>
    <n v="8"/>
    <n v="0"/>
    <n v="32"/>
    <n v="5"/>
    <n v="0"/>
    <n v="26"/>
    <n v="8"/>
    <n v="0"/>
    <n v="10"/>
    <n v="0"/>
    <n v="0"/>
    <n v="10"/>
    <n v="0"/>
    <n v="0"/>
    <n v="138.5"/>
    <n v="21"/>
    <n v="0"/>
    <s v="CHITTORGARH"/>
    <s v="BHILWARA"/>
    <s v="RJ-UDAIPUR"/>
    <d v="2022-04-23T00:00:00"/>
  </r>
  <r>
    <s v="818816210132"/>
    <x v="2499"/>
    <s v="KALU LAL SHARMA"/>
    <n v="210132"/>
    <s v="SHRI MATESHWARI AGENCY"/>
    <n v="0"/>
    <n v="0"/>
    <n v="0"/>
    <n v="78.5"/>
    <n v="0"/>
    <n v="0"/>
    <n v="8"/>
    <n v="0"/>
    <n v="0"/>
    <n v="22"/>
    <n v="0"/>
    <n v="0"/>
    <n v="23"/>
    <n v="0"/>
    <n v="0"/>
    <n v="12"/>
    <n v="0"/>
    <n v="0"/>
    <n v="0"/>
    <n v="0"/>
    <n v="0"/>
    <n v="16.5"/>
    <n v="0"/>
    <n v="0"/>
    <n v="160"/>
    <n v="0"/>
    <n v="0"/>
    <s v="CHITTORGARH"/>
    <s v="BHILWARA"/>
    <s v="RJ-UDAIPUR"/>
    <d v="2022-04-30T00:00:00"/>
  </r>
  <r>
    <s v="818838207833"/>
    <x v="2500"/>
    <s v="ASHAPURA MATERIAL SUPPLIER"/>
    <n v="207833"/>
    <s v="AMARNATH CONSTRUCTION"/>
    <n v="0"/>
    <n v="12"/>
    <n v="0"/>
    <n v="49.5"/>
    <n v="0"/>
    <n v="0"/>
    <n v="40"/>
    <n v="0"/>
    <n v="0"/>
    <n v="11.25"/>
    <n v="1.25"/>
    <n v="0"/>
    <n v="10"/>
    <n v="5"/>
    <n v="0"/>
    <n v="7.5"/>
    <n v="7.5"/>
    <n v="0"/>
    <n v="2.5"/>
    <n v="0"/>
    <n v="0"/>
    <n v="4"/>
    <n v="0"/>
    <n v="0"/>
    <n v="124.75"/>
    <n v="25.75"/>
    <n v="0"/>
    <s v="CHITTORGARH"/>
    <s v="BHILWARA"/>
    <s v="RJ-UDAIPUR"/>
    <d v="2022-05-02T00:00:00"/>
  </r>
  <r>
    <s v="818848210132"/>
    <x v="2501"/>
    <s v="GAYATRI CEMENT AGENCY"/>
    <n v="210132"/>
    <s v="SHRI MATESHWARI AGENCY"/>
    <n v="0"/>
    <n v="0"/>
    <n v="0"/>
    <n v="11.75"/>
    <n v="0"/>
    <n v="0"/>
    <n v="35"/>
    <n v="0"/>
    <n v="0"/>
    <n v="10"/>
    <n v="0"/>
    <n v="0"/>
    <n v="2"/>
    <n v="0"/>
    <n v="0"/>
    <n v="3"/>
    <n v="0"/>
    <n v="0"/>
    <n v="0"/>
    <n v="0"/>
    <n v="0"/>
    <n v="39"/>
    <n v="0"/>
    <n v="0"/>
    <n v="100.75"/>
    <n v="0"/>
    <n v="0"/>
    <s v="CHITTORGARH"/>
    <s v="BHILWARA"/>
    <s v="RJ-UDAIPUR"/>
    <d v="2022-05-04T00:00:00"/>
  </r>
  <r>
    <s v="818850207833"/>
    <x v="2502"/>
    <s v="SHREE BALAJI CEMENT SUPPLIERS"/>
    <n v="207833"/>
    <s v="AMARNATH CONSTRUCTION"/>
    <n v="0"/>
    <n v="0"/>
    <n v="0"/>
    <n v="20"/>
    <n v="0"/>
    <n v="0"/>
    <n v="26.5"/>
    <n v="0"/>
    <n v="0"/>
    <n v="30"/>
    <n v="0"/>
    <n v="0"/>
    <n v="5"/>
    <n v="0"/>
    <n v="0"/>
    <n v="0"/>
    <n v="0"/>
    <n v="0"/>
    <n v="0"/>
    <n v="0"/>
    <n v="0"/>
    <n v="10"/>
    <n v="0"/>
    <n v="0"/>
    <n v="91.5"/>
    <n v="0"/>
    <n v="0"/>
    <s v="CHITTORGARH"/>
    <s v="BHILWARA"/>
    <s v="RJ-UDAIPUR"/>
    <d v="2022-05-04T00:00:00"/>
  </r>
  <r>
    <s v="819045212360"/>
    <x v="2503"/>
    <s v="BALAJI SAND STONE AND MATERIAL"/>
    <n v="212360"/>
    <s v="DHAKER BUILDING MATERIAL"/>
    <n v="0"/>
    <n v="0"/>
    <n v="0"/>
    <n v="36.5"/>
    <n v="0"/>
    <n v="0"/>
    <n v="156"/>
    <n v="0"/>
    <n v="0"/>
    <n v="77"/>
    <n v="6.5"/>
    <n v="0"/>
    <n v="46.5"/>
    <n v="0"/>
    <n v="0"/>
    <n v="64"/>
    <n v="6"/>
    <n v="2.5"/>
    <n v="16.25"/>
    <n v="2"/>
    <n v="0"/>
    <n v="50"/>
    <n v="0"/>
    <n v="7.5"/>
    <n v="446.25"/>
    <n v="14.5"/>
    <n v="2.5"/>
    <s v="CHITTORGARH"/>
    <s v="BHILWARA"/>
    <s v="RJ-UDAIPUR"/>
    <d v="2022-05-25T00:00:00"/>
  </r>
  <r>
    <s v="819045210691"/>
    <x v="2503"/>
    <s v="BALAJI SAND STONE AND MATERIAL"/>
    <s v="210691"/>
    <s v="AARADHYA CEMENT SUPPLIER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CHITTORGARH"/>
    <s v="BHILWARA"/>
    <s v="RJ-UDAIPUR"/>
    <d v="2022-05-25T00:00:00"/>
  </r>
  <r>
    <s v="819046205370"/>
    <x v="2504"/>
    <s v="HARSHITA TRADERS"/>
    <n v="205370"/>
    <s v="KANTHALIYA ENTERPRISES"/>
    <n v="0"/>
    <n v="0"/>
    <n v="0"/>
    <n v="19"/>
    <n v="0"/>
    <n v="0"/>
    <n v="10"/>
    <n v="0"/>
    <n v="0"/>
    <n v="19"/>
    <n v="0"/>
    <n v="9"/>
    <n v="0"/>
    <n v="0"/>
    <n v="0"/>
    <n v="0"/>
    <n v="0"/>
    <n v="0"/>
    <n v="0"/>
    <n v="0"/>
    <n v="0"/>
    <n v="3"/>
    <n v="0"/>
    <n v="0"/>
    <n v="51"/>
    <n v="0"/>
    <n v="9"/>
    <s v="CHITTORGARH"/>
    <s v="BHILWARA"/>
    <s v="RJ-UDAIPUR"/>
    <d v="2022-05-25T00:00:00"/>
  </r>
  <r>
    <s v="819089212910"/>
    <x v="2505"/>
    <s v="DHAKER CEMENT AND BUILDING MAT"/>
    <n v="212910"/>
    <s v="SHIVKRIPA ASSOCIATES"/>
    <n v="0"/>
    <n v="0"/>
    <n v="0"/>
    <n v="0"/>
    <n v="0"/>
    <n v="0"/>
    <n v="107.5"/>
    <n v="0"/>
    <n v="0"/>
    <n v="47.5"/>
    <n v="0"/>
    <n v="0"/>
    <n v="33.5"/>
    <n v="0"/>
    <n v="0"/>
    <n v="37.75"/>
    <n v="0"/>
    <n v="0"/>
    <n v="0"/>
    <n v="0"/>
    <n v="0"/>
    <n v="10"/>
    <n v="0"/>
    <n v="0"/>
    <n v="236.25"/>
    <n v="0"/>
    <n v="0"/>
    <s v="CHITTORGARH"/>
    <s v="BHILWARA"/>
    <s v="RJ-UDAIPUR"/>
    <d v="2022-05-27T00:00:00"/>
  </r>
  <r>
    <s v="819153172640"/>
    <x v="2506"/>
    <s v="MAHIPAL JAT"/>
    <n v="172640"/>
    <s v="KUSHAL TRADERS"/>
    <n v="0"/>
    <n v="0"/>
    <n v="0"/>
    <n v="0"/>
    <n v="0"/>
    <n v="0"/>
    <n v="28"/>
    <n v="0"/>
    <n v="0"/>
    <n v="3.5"/>
    <n v="0"/>
    <n v="0"/>
    <n v="20"/>
    <n v="10"/>
    <n v="0"/>
    <n v="0"/>
    <n v="0"/>
    <n v="0"/>
    <n v="0"/>
    <n v="0"/>
    <n v="0"/>
    <n v="0"/>
    <n v="0"/>
    <n v="0"/>
    <n v="51.5"/>
    <n v="10"/>
    <n v="0"/>
    <s v="CHITTORGARH"/>
    <s v="BHILWARA"/>
    <s v="RJ-UDAIPUR"/>
    <d v="2022-05-31T00:00:00"/>
  </r>
  <r>
    <s v="819219178003"/>
    <x v="2507"/>
    <s v="SHREE KRISHNA  ENTERPRISES"/>
    <n v="178003"/>
    <s v="SHREE JI BUILDING MATERIAL SUP"/>
    <n v="0"/>
    <n v="0"/>
    <n v="0"/>
    <n v="0"/>
    <n v="0"/>
    <n v="0"/>
    <n v="5"/>
    <n v="0"/>
    <n v="0"/>
    <n v="35"/>
    <n v="0"/>
    <n v="18"/>
    <n v="31.5"/>
    <n v="5"/>
    <n v="10.5"/>
    <n v="19"/>
    <n v="0"/>
    <n v="4.5"/>
    <n v="30"/>
    <n v="2"/>
    <n v="6.25"/>
    <n v="19"/>
    <n v="0"/>
    <n v="0"/>
    <n v="139.5"/>
    <n v="7"/>
    <n v="39.25"/>
    <s v="CHITTORGARH"/>
    <s v="BHILWARA"/>
    <s v="RJ-UDAIPUR"/>
    <d v="2022-06-07T00:00:00"/>
  </r>
  <r>
    <s v="819429211904"/>
    <x v="2508"/>
    <s v="NARENDRA SINGH RANAWAT"/>
    <n v="211904"/>
    <s v="SHIVAM ENTERPRISES"/>
    <n v="0"/>
    <n v="0"/>
    <n v="0"/>
    <n v="0"/>
    <n v="0"/>
    <n v="0"/>
    <n v="0"/>
    <n v="0"/>
    <n v="0"/>
    <n v="40"/>
    <n v="0"/>
    <n v="20"/>
    <n v="0"/>
    <n v="0"/>
    <n v="0"/>
    <n v="0"/>
    <n v="0"/>
    <n v="0"/>
    <n v="0"/>
    <n v="0"/>
    <n v="0"/>
    <n v="0"/>
    <n v="0"/>
    <n v="0"/>
    <n v="40"/>
    <n v="0"/>
    <n v="20"/>
    <s v="CHITTORGARH"/>
    <s v="BHILWARA"/>
    <s v="RJ-UDAIPUR"/>
    <d v="2022-06-20T00:00:00"/>
  </r>
  <r>
    <s v="819533174631"/>
    <x v="2509"/>
    <s v="DINESH KUMAR DHAKER"/>
    <n v="174631"/>
    <s v="OM TRADERS"/>
    <n v="0"/>
    <n v="0"/>
    <n v="0"/>
    <n v="0"/>
    <n v="0"/>
    <n v="0"/>
    <n v="0"/>
    <n v="0"/>
    <n v="0"/>
    <n v="77.5"/>
    <n v="0"/>
    <n v="16.5"/>
    <n v="80"/>
    <n v="0"/>
    <n v="0"/>
    <n v="55"/>
    <n v="0"/>
    <n v="8"/>
    <n v="46.5"/>
    <n v="0"/>
    <n v="2.5"/>
    <n v="70"/>
    <n v="0"/>
    <n v="12.5"/>
    <n v="329"/>
    <n v="0"/>
    <n v="27"/>
    <s v="CHITTORGARH"/>
    <s v="BHILWARA"/>
    <s v="RJ-UDAIPUR"/>
    <d v="2022-06-27T00:00:00"/>
  </r>
  <r>
    <s v="819568212360"/>
    <x v="2510"/>
    <s v="SURYA PRAKASH"/>
    <n v="212360"/>
    <s v="DHAKER BUILDING MATERIAL"/>
    <n v="0"/>
    <n v="0"/>
    <n v="0"/>
    <n v="0"/>
    <n v="0"/>
    <n v="0"/>
    <n v="0"/>
    <n v="0"/>
    <n v="0"/>
    <n v="138"/>
    <n v="3.5"/>
    <n v="13"/>
    <n v="96.5"/>
    <n v="1"/>
    <n v="3"/>
    <n v="162.5"/>
    <n v="0"/>
    <n v="28"/>
    <n v="22.25"/>
    <n v="10"/>
    <n v="0"/>
    <n v="111"/>
    <n v="6"/>
    <n v="4"/>
    <n v="530.25"/>
    <n v="14.5"/>
    <n v="44"/>
    <s v="CHITTORGARH"/>
    <s v="BHILWARA"/>
    <s v="RJ-UDAIPUR"/>
    <d v="2022-06-30T00:00:00"/>
  </r>
  <r>
    <s v="819816172640"/>
    <x v="2511"/>
    <s v="KRISHNA CONSTRUCTION AND BUILD"/>
    <n v="172640"/>
    <s v="KUSHAL TRADERS"/>
    <n v="0"/>
    <n v="0"/>
    <n v="0"/>
    <n v="0"/>
    <n v="0"/>
    <n v="0"/>
    <n v="0"/>
    <n v="0"/>
    <n v="0"/>
    <n v="0"/>
    <n v="0"/>
    <n v="0"/>
    <n v="96.5"/>
    <n v="0"/>
    <n v="6.5"/>
    <n v="112"/>
    <n v="0"/>
    <n v="0"/>
    <n v="0"/>
    <n v="0"/>
    <n v="0"/>
    <n v="111"/>
    <n v="8"/>
    <n v="0"/>
    <n v="319.5"/>
    <n v="0"/>
    <n v="6.5"/>
    <s v="CHITTORGARH"/>
    <s v="BHILWARA"/>
    <s v="RJ-UDAIPUR"/>
    <d v="2022-07-18T00:00:00"/>
  </r>
  <r>
    <s v="819949170846"/>
    <x v="2512"/>
    <s v="JAI SHREE SHYAM BUILDING MATER"/>
    <n v="170846"/>
    <s v="SANGAM ENTERPRISES"/>
    <n v="0"/>
    <n v="0"/>
    <n v="0"/>
    <n v="0"/>
    <n v="0"/>
    <n v="0"/>
    <n v="0"/>
    <n v="0"/>
    <n v="0"/>
    <n v="0"/>
    <n v="0"/>
    <n v="0"/>
    <n v="10"/>
    <n v="0"/>
    <n v="0"/>
    <n v="17.5"/>
    <n v="0"/>
    <n v="0"/>
    <n v="10"/>
    <n v="0"/>
    <n v="0"/>
    <n v="20"/>
    <n v="0"/>
    <n v="0"/>
    <n v="57.5"/>
    <n v="0"/>
    <n v="0"/>
    <s v="CHITTORGARH"/>
    <s v="BHILWARA"/>
    <s v="RJ-UDAIPUR"/>
    <d v="2022-07-26T00:00:00"/>
  </r>
  <r>
    <s v="819950208032"/>
    <x v="2513"/>
    <s v="DK ENTERPRISES"/>
    <n v="208032"/>
    <s v="AKASH MACHINERY MART"/>
    <n v="0"/>
    <n v="0"/>
    <n v="0"/>
    <n v="0"/>
    <n v="0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4"/>
    <n v="0"/>
    <n v="4"/>
    <s v="CHITTORGARH"/>
    <s v="BHILWARA"/>
    <s v="RJ-UDAIPUR"/>
    <d v="2022-07-27T00:00:00"/>
  </r>
  <r>
    <s v="819953212910"/>
    <x v="2514"/>
    <s v="SHREE SANWARIYA CEMENT SUPPLIE"/>
    <n v="212910"/>
    <s v="SHIVKRIPA ASSOCIATES"/>
    <n v="0"/>
    <n v="0"/>
    <n v="0"/>
    <n v="0"/>
    <n v="0"/>
    <n v="0"/>
    <n v="0"/>
    <n v="0"/>
    <n v="0"/>
    <n v="0"/>
    <n v="0"/>
    <n v="0"/>
    <n v="85"/>
    <n v="0"/>
    <n v="0"/>
    <n v="41.5"/>
    <n v="0"/>
    <n v="0"/>
    <n v="18"/>
    <n v="0"/>
    <n v="0"/>
    <n v="30"/>
    <n v="0"/>
    <n v="0"/>
    <n v="174.5"/>
    <n v="0"/>
    <n v="0"/>
    <s v="CHITTORGARH"/>
    <s v="BHILWARA"/>
    <s v="RJ-UDAIPUR"/>
    <d v="2022-07-27T00:00:00"/>
  </r>
  <r>
    <s v="819450212419"/>
    <x v="2515"/>
    <s v="JAI BHERUNATH ENTERPRISES"/>
    <n v="212419"/>
    <s v="RAJU CEMENT SUPPLIER"/>
    <n v="0"/>
    <n v="0"/>
    <n v="0"/>
    <n v="0"/>
    <n v="0"/>
    <n v="0"/>
    <n v="0"/>
    <n v="0"/>
    <n v="0"/>
    <n v="0"/>
    <n v="0"/>
    <n v="0"/>
    <n v="0"/>
    <n v="0"/>
    <n v="0"/>
    <n v="30"/>
    <n v="4"/>
    <n v="0"/>
    <n v="20"/>
    <n v="0"/>
    <n v="0"/>
    <n v="10"/>
    <n v="0"/>
    <n v="0"/>
    <n v="60"/>
    <n v="4"/>
    <n v="0"/>
    <s v="CHITTORGARH"/>
    <s v="BHILWARA"/>
    <s v="RJ-UDAIPUR"/>
    <d v="2022-06-23T00:00:00"/>
  </r>
  <r>
    <s v="820182178836"/>
    <x v="2516"/>
    <s v="SHIV SHAKTI BUILDING  MATERIAL"/>
    <n v="178836"/>
    <s v="JAI SHAKTI STONE CUTTING &amp; SUP"/>
    <n v="0"/>
    <n v="0"/>
    <n v="0"/>
    <n v="0"/>
    <n v="0"/>
    <n v="0"/>
    <n v="0"/>
    <n v="0"/>
    <n v="0"/>
    <n v="0"/>
    <n v="0"/>
    <n v="0"/>
    <n v="0"/>
    <n v="0"/>
    <n v="0"/>
    <n v="18"/>
    <n v="0"/>
    <n v="0"/>
    <n v="6.5"/>
    <n v="5.5"/>
    <n v="0"/>
    <n v="5"/>
    <n v="0"/>
    <n v="0"/>
    <n v="29.5"/>
    <n v="5.5"/>
    <n v="0"/>
    <s v="CHITTORGARH"/>
    <s v="BHILWARA"/>
    <s v="RJ-UDAIPUR"/>
    <d v="2022-08-20T00:00:00"/>
  </r>
  <r>
    <s v="819953170846"/>
    <x v="2514"/>
    <s v="SHREE SANWARIYA CEMENT SUPPLIE"/>
    <n v="170846"/>
    <s v="SANGAM ENTERPRISE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CHITTORGARH"/>
    <s v="BHILWARA"/>
    <s v="RJ-UDAIPUR"/>
    <d v="2022-07-27T00:00:00"/>
  </r>
  <r>
    <s v="820254205370"/>
    <x v="2517"/>
    <s v="SHRI NARSINGH CEMENT SUPPLIER"/>
    <n v="205370"/>
    <s v="KANTHALIYA ENTERPRISE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20"/>
    <n v="0"/>
    <n v="0"/>
    <n v="20"/>
    <n v="0"/>
    <n v="0"/>
    <n v="50"/>
    <n v="0"/>
    <n v="0"/>
    <s v="CHITTORGARH"/>
    <s v="BHILWARA"/>
    <s v="RJ-UDAIPUR"/>
    <d v="2022-08-25T00:00:00"/>
  </r>
  <r>
    <s v="820603170392"/>
    <x v="2518"/>
    <s v="GANESH BUILDERS"/>
    <n v="170392"/>
    <s v="JYOTI SUPPLIERS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  <n v="0"/>
    <n v="0"/>
    <n v="1"/>
    <n v="0"/>
    <n v="0"/>
    <n v="41"/>
    <n v="0"/>
    <n v="0"/>
    <s v="CHITTORGARH"/>
    <s v="BHILWARA"/>
    <s v="RJ-UDAIPUR"/>
    <d v="2022-09-19T00:00:00"/>
  </r>
  <r>
    <s v="820604212360"/>
    <x v="2519"/>
    <s v="SHREE CHARBUJHA ENTERPRISES"/>
    <n v="212360"/>
    <s v="DHAKER BUILDING MATERIAL"/>
    <n v="0"/>
    <n v="0"/>
    <n v="0"/>
    <n v="0"/>
    <n v="0"/>
    <n v="0"/>
    <n v="0"/>
    <n v="0"/>
    <n v="0"/>
    <n v="0"/>
    <n v="0"/>
    <n v="0"/>
    <n v="0"/>
    <n v="0"/>
    <n v="0"/>
    <n v="37.5"/>
    <n v="0"/>
    <n v="7.5"/>
    <n v="7.5"/>
    <n v="0"/>
    <n v="7.5"/>
    <n v="40"/>
    <n v="0"/>
    <n v="0"/>
    <n v="85"/>
    <n v="0"/>
    <n v="15"/>
    <s v="CHITTORGARH"/>
    <s v="BHILWARA"/>
    <s v="RJ-UDAIPUR"/>
    <d v="2022-09-19T00:00:00"/>
  </r>
  <r>
    <s v="820625213787"/>
    <x v="2520"/>
    <s v="SHUBHAM TRADERS"/>
    <n v="213787"/>
    <s v="SHRI RAM BUILDING MATERIAL SUP"/>
    <n v="0"/>
    <n v="0"/>
    <n v="0"/>
    <n v="0"/>
    <n v="0"/>
    <n v="0"/>
    <n v="0"/>
    <n v="0"/>
    <n v="0"/>
    <n v="0"/>
    <n v="0"/>
    <n v="0"/>
    <n v="0"/>
    <n v="0"/>
    <n v="0"/>
    <n v="12.5"/>
    <n v="0"/>
    <n v="0"/>
    <n v="13"/>
    <n v="0"/>
    <n v="0"/>
    <n v="30"/>
    <n v="0"/>
    <n v="0"/>
    <n v="55.5"/>
    <n v="0"/>
    <n v="0"/>
    <s v="CHITTORGARH"/>
    <s v="BHILWARA"/>
    <s v="RJ-UDAIPUR"/>
    <d v="2022-09-20T00:00:00"/>
  </r>
  <r>
    <s v="820651210132"/>
    <x v="2521"/>
    <s v="RATANLAL ANIL KUMAR"/>
    <n v="210132"/>
    <s v="SHRI MATESHWARI AGENCY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2.5"/>
    <n v="0"/>
    <n v="0"/>
    <n v="40.5"/>
    <n v="0"/>
    <n v="0"/>
    <n v="83"/>
    <n v="0"/>
    <n v="0"/>
    <s v="CHITTORGARH"/>
    <s v="BHILWARA"/>
    <s v="RJ-UDAIPUR"/>
    <d v="2022-09-20T00:00:00"/>
  </r>
  <r>
    <s v="820652210691"/>
    <x v="2522"/>
    <s v="AADITYA ENTERPRISES"/>
    <n v="210691"/>
    <s v="AARADHYA CEMENT SUPPLIER"/>
    <n v="0"/>
    <n v="0"/>
    <n v="0"/>
    <n v="0"/>
    <n v="0"/>
    <n v="0"/>
    <n v="0"/>
    <n v="0"/>
    <n v="0"/>
    <n v="0"/>
    <n v="0"/>
    <n v="0"/>
    <n v="0"/>
    <n v="0"/>
    <n v="0"/>
    <n v="47.5"/>
    <n v="9"/>
    <n v="0"/>
    <n v="69.5"/>
    <n v="0"/>
    <n v="0"/>
    <n v="71.75"/>
    <n v="0"/>
    <n v="6"/>
    <n v="188.75"/>
    <n v="9"/>
    <n v="0"/>
    <s v="CHITTORGARH"/>
    <s v="BHILWARA"/>
    <s v="RJ-UDAIPUR"/>
    <d v="2022-09-20T00:00:00"/>
  </r>
  <r>
    <s v="820181178003"/>
    <x v="2523"/>
    <s v="SUNIL MOBILE"/>
    <n v="178003"/>
    <s v="SHREE JI BUILDING MATERIAL SUP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8.5"/>
    <n v="6"/>
    <n v="0"/>
    <n v="10"/>
    <n v="0"/>
    <n v="0"/>
    <n v="28.5"/>
    <n v="6"/>
    <n v="0"/>
    <s v="CHITTORGARH"/>
    <s v="BHILWARA"/>
    <s v="RJ-UDAIPUR"/>
    <d v="2022-08-20T00:00:00"/>
  </r>
  <r>
    <s v="820677170392"/>
    <x v="2524"/>
    <s v="SWASTIK BUILDING MATERIAL"/>
    <n v="170392"/>
    <s v="JYOTI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"/>
    <n v="10"/>
    <n v="0"/>
    <n v="1"/>
    <n v="0"/>
    <n v="0"/>
    <n v="51"/>
    <n v="10"/>
    <n v="0"/>
    <s v="CHITTORGARH"/>
    <s v="BHILWARA"/>
    <s v="RJ-UDAIPUR"/>
    <d v="2022-09-22T00:00:00"/>
  </r>
  <r>
    <s v="804084212910"/>
    <x v="2525"/>
    <s v="DHANGAD BUILDING MATERIAL"/>
    <n v="212910"/>
    <s v="SHIVKRIPA ASSOCIAT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30"/>
    <n v="0"/>
    <n v="0"/>
    <n v="50"/>
    <n v="0"/>
    <n v="0"/>
    <s v="CHITTORGARH"/>
    <s v="BHILWARA"/>
    <s v="RJ-UDAIPUR"/>
    <d v="2015-06-19T00:00:00"/>
  </r>
  <r>
    <s v="820862208028"/>
    <x v="2526"/>
    <s v="SHREE SANWARIYA CEMENT SUPPLIE"/>
    <n v="208028"/>
    <s v="LAXKA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s v="CHITTORGARH"/>
    <s v="BHILWARA"/>
    <s v="RJ-UDAIPUR"/>
    <d v="2022-10-04T00:00:00"/>
  </r>
  <r>
    <s v="820925172640"/>
    <x v="2527"/>
    <s v="DASHRATH JAIN"/>
    <n v="172640"/>
    <s v="KUSHAL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.5"/>
    <n v="14.5"/>
    <n v="11"/>
    <n v="76.5"/>
    <n v="0.5"/>
    <n v="0"/>
    <n v="115"/>
    <n v="14.5"/>
    <n v="11"/>
    <s v="CHITTORGARH"/>
    <s v="BHILWARA"/>
    <s v="RJ-UDAIPUR"/>
    <d v="2022-10-12T00:00:00"/>
  </r>
  <r>
    <s v="820992205171"/>
    <x v="2528"/>
    <s v="DHARMENDRA"/>
    <n v="205171"/>
    <s v="LAXMI NATH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5"/>
    <n v="0"/>
    <n v="0"/>
    <n v="26"/>
    <n v="0"/>
    <n v="10"/>
    <n v="34.5"/>
    <n v="0"/>
    <n v="0"/>
    <s v="CHITTORGARH"/>
    <s v="BHILWARA"/>
    <s v="RJ-UDAIPUR"/>
    <d v="2022-10-18T00:00:00"/>
  </r>
  <r>
    <s v="810991178003"/>
    <x v="2414"/>
    <s v="SHREE SANWARIYA CONSTRUCTION"/>
    <n v="178003"/>
    <s v="SHREE JI BUILDING MATERIAL SU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20"/>
    <n v="0"/>
    <n v="0"/>
    <n v="25"/>
    <n v="5"/>
    <n v="0"/>
    <s v="CHITTORGARH"/>
    <s v="BHILWARA"/>
    <s v="RJ-UDAIPUR"/>
    <d v="2019-12-14T00:00:00"/>
  </r>
  <r>
    <s v="817206175783"/>
    <x v="2478"/>
    <s v="SHRI RAM BUILDING MATERIAL SUP"/>
    <n v="175783"/>
    <s v="SHREE RAJENDRASURI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4"/>
    <n v="0"/>
    <n v="0"/>
    <s v="CHITTORGARH"/>
    <s v="BHILWARA"/>
    <s v="RJ-UDAIPUR"/>
    <d v="2021-12-04T00:00:00"/>
  </r>
  <r>
    <s v="821037208032"/>
    <x v="2529"/>
    <s v="APURVA PORWAL"/>
    <n v="208032"/>
    <s v="AKASH MACHINERY MAR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7.25"/>
    <n v="15"/>
    <n v="0"/>
    <n v="42.25"/>
    <n v="0"/>
    <n v="0"/>
    <s v="CHITTORGARH"/>
    <s v="BHILWARA"/>
    <s v="RJ-UDAIPUR"/>
    <d v="2022-10-20T00:00:00"/>
  </r>
  <r>
    <s v="821037210691"/>
    <x v="2529"/>
    <s v="APURVA PORWAL"/>
    <n v="210691"/>
    <s v="AARADHYA CEMENT SUPPLIE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5"/>
    <n v="0"/>
    <n v="0"/>
    <n v="50"/>
    <n v="0"/>
    <n v="0"/>
    <s v="CHITTORGARH"/>
    <s v="BHILWARA"/>
    <s v="RJ-UDAIPUR"/>
    <d v="2022-10-20T00:00:00"/>
  </r>
  <r>
    <s v="821098170392"/>
    <x v="2530"/>
    <s v="S K BUILDING MATERIAL"/>
    <n v="170392"/>
    <s v="JYOTI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46"/>
    <n v="0"/>
    <n v="0"/>
    <n v="161"/>
    <n v="0"/>
    <n v="0"/>
    <s v="CHITTORGARH"/>
    <s v="BHILWARA"/>
    <s v="RJ-UDAIPUR"/>
    <d v="2022-10-31T00:00:00"/>
  </r>
  <r>
    <s v="811172178511"/>
    <x v="2417"/>
    <s v="SAMAY BUILD TECH"/>
    <n v="178511"/>
    <s v="AMBIKA DISTRIBUTO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"/>
    <n v="0"/>
    <n v="0"/>
    <n v="16"/>
    <n v="0"/>
    <n v="0"/>
    <s v="CHITTORGARH"/>
    <s v="BHILWARA"/>
    <s v="RJ-UDAIPUR"/>
    <d v="2020-01-03T00:00:00"/>
  </r>
  <r>
    <s v="820927208028"/>
    <x v="2531"/>
    <s v="KRISHNA CONSTRUCTION"/>
    <n v="208028"/>
    <s v="LAXKAR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CHITTORGARH"/>
    <s v="BHILWARA"/>
    <s v="RJ-UDAIPUR"/>
    <d v="2022-10-13T00:00:00"/>
  </r>
  <r>
    <s v="820604212910"/>
    <x v="2519"/>
    <s v="SHREE CHARBUJHA ENTERPRISES"/>
    <n v="212910"/>
    <s v="SHIVKRIPA ASSOCIAT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25"/>
    <n v="0"/>
    <n v="0"/>
    <s v="CHITTORGARH"/>
    <s v="BHILWARA"/>
    <s v="RJ-UDAIPUR"/>
    <d v="2022-09-19T00:00:00"/>
  </r>
  <r>
    <s v="821019206066"/>
    <x v="2532"/>
    <s v="VARDHA RAM"/>
    <n v="206066"/>
    <s v="GAJANAND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0"/>
    <n v="15"/>
    <n v="10"/>
    <n v="85"/>
    <n v="0"/>
    <n v="0"/>
    <s v="CHITTORGARH"/>
    <s v="BHILWARA"/>
    <s v="RJ-UDAIPUR"/>
    <d v="2022-10-19T00:00:00"/>
  </r>
  <r>
    <s v="821250174631"/>
    <x v="2533"/>
    <s v="VIRAT AGENCIES"/>
    <n v="174631"/>
    <s v="OM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3.75"/>
    <n v="35"/>
    <n v="0"/>
    <n v="0"/>
    <s v="CHITTORGARH"/>
    <s v="BHILWARA"/>
    <s v="RJ-UDAIPUR"/>
    <d v="2022-11-17T00:00:00"/>
  </r>
  <r>
    <s v="820993212910"/>
    <x v="2534"/>
    <s v="PATIDAR TRADERS"/>
    <n v="212910"/>
    <s v="SHIVKRIPA ASSOCIAT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71"/>
    <n v="0"/>
    <n v="0"/>
    <n v="86"/>
    <n v="0"/>
    <n v="0"/>
    <s v="CHITTORGARH"/>
    <s v="BHILWARA"/>
    <s v="RJ-UDAIPUR"/>
    <d v="2022-10-18T00:00:00"/>
  </r>
  <r>
    <s v="803125203600"/>
    <x v="2535"/>
    <s v="GORANA KIRANA AND CEMENT VIKRE"/>
    <n v="203600"/>
    <s v="MANISH CEMENT AGENCY"/>
    <n v="30"/>
    <n v="0"/>
    <n v="0"/>
    <n v="50"/>
    <n v="0"/>
    <n v="0"/>
    <n v="89"/>
    <n v="0"/>
    <n v="0"/>
    <n v="35"/>
    <n v="0"/>
    <n v="0"/>
    <n v="33"/>
    <n v="0"/>
    <n v="0"/>
    <n v="38"/>
    <n v="0"/>
    <n v="0"/>
    <n v="37"/>
    <n v="0"/>
    <n v="0"/>
    <n v="43"/>
    <n v="0"/>
    <n v="0"/>
    <n v="355"/>
    <n v="0"/>
    <n v="0"/>
    <s v="PRATAPGARH"/>
    <s v="BHILWARA"/>
    <s v="RJ-UDAIPUR"/>
    <d v="2014-01-10T00:00:00"/>
  </r>
  <r>
    <s v="806668177631"/>
    <x v="2536"/>
    <s v="HARIOM SHARMA"/>
    <n v="177631"/>
    <s v="KAMAL ENTERPRISES"/>
    <n v="28.5"/>
    <n v="0"/>
    <n v="0"/>
    <n v="70"/>
    <n v="0"/>
    <n v="0"/>
    <n v="31.25"/>
    <n v="0"/>
    <n v="0"/>
    <n v="20.100000000000001"/>
    <n v="0"/>
    <n v="0"/>
    <n v="5.5"/>
    <n v="0"/>
    <n v="0"/>
    <n v="28"/>
    <n v="0"/>
    <n v="12.5"/>
    <n v="8"/>
    <n v="0"/>
    <n v="0"/>
    <n v="10"/>
    <n v="0"/>
    <n v="0"/>
    <n v="201.35"/>
    <n v="0"/>
    <n v="12.5"/>
    <s v="PRATAPGARH"/>
    <s v="BHILWARA"/>
    <s v="RJ-UDAIPUR"/>
    <d v="2017-08-02T00:00:00"/>
  </r>
  <r>
    <s v="806669177631"/>
    <x v="2537"/>
    <s v="SHIV SHAKTI KHAD BEEJ BHANDAR"/>
    <n v="177631"/>
    <s v="KAMAL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ATAPGARH"/>
    <s v="BHILWARA"/>
    <s v="RJ-UDAIPUR"/>
    <d v="2017-08-02T00:00:00"/>
  </r>
  <r>
    <s v="807726140850"/>
    <x v="2538"/>
    <s v="RATAN LAL MEENA"/>
    <n v="140850"/>
    <s v="MAHAVEER SANITARY &amp; CEMENT AGE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PRATAPGARH"/>
    <s v="BHILWARA"/>
    <s v="RJ-UDAIPUR"/>
    <d v="2019-01-11T00:00:00"/>
  </r>
  <r>
    <s v="808186173528"/>
    <x v="2539"/>
    <s v="RADHESHYAM DHAKAR"/>
    <n v="173528"/>
    <s v="DHAKER TRADERS &amp; SUPPLIERS"/>
    <n v="0"/>
    <n v="0"/>
    <n v="0"/>
    <n v="0"/>
    <n v="0"/>
    <n v="0"/>
    <n v="10"/>
    <n v="0"/>
    <n v="0"/>
    <n v="55"/>
    <n v="0"/>
    <n v="0"/>
    <n v="5"/>
    <n v="0"/>
    <n v="0"/>
    <n v="0"/>
    <n v="0"/>
    <n v="0"/>
    <n v="0"/>
    <n v="0"/>
    <n v="0"/>
    <n v="15"/>
    <n v="0"/>
    <n v="0"/>
    <n v="85"/>
    <n v="0"/>
    <n v="0"/>
    <s v="PRATAPGARH"/>
    <s v="BHILWARA"/>
    <s v="RJ-UDAIPUR"/>
    <d v="2018-03-30T00:00:00"/>
  </r>
  <r>
    <s v="808227140850"/>
    <x v="2540"/>
    <s v="DHARMENDRA KALAL"/>
    <n v="140850"/>
    <s v="MAHAVEER SANITARY &amp; CEMENT AGE"/>
    <n v="86"/>
    <n v="0"/>
    <n v="0"/>
    <n v="60"/>
    <n v="0"/>
    <n v="0"/>
    <n v="70"/>
    <n v="0"/>
    <n v="0"/>
    <n v="50"/>
    <n v="0"/>
    <n v="0"/>
    <n v="43.5"/>
    <n v="0"/>
    <n v="7.5"/>
    <n v="54"/>
    <n v="0"/>
    <n v="0"/>
    <n v="15"/>
    <n v="0"/>
    <n v="0"/>
    <n v="35"/>
    <n v="0"/>
    <n v="0"/>
    <n v="413.5"/>
    <n v="0"/>
    <n v="7.5"/>
    <s v="PRATAPGARH"/>
    <s v="BHILWARA"/>
    <s v="RJ-UDAIPUR"/>
    <d v="2018-04-17T00:00:00"/>
  </r>
  <r>
    <s v="808276203600"/>
    <x v="2541"/>
    <s v="OM PRAKASH CHOUDHARY"/>
    <n v="203600"/>
    <s v="MANISH CEMENT AGENCY"/>
    <n v="10"/>
    <n v="0"/>
    <n v="0"/>
    <n v="50"/>
    <n v="0"/>
    <n v="0"/>
    <n v="50"/>
    <n v="0"/>
    <n v="0"/>
    <n v="30"/>
    <n v="0"/>
    <n v="0"/>
    <n v="25.5"/>
    <n v="0"/>
    <n v="0"/>
    <n v="35"/>
    <n v="0"/>
    <n v="0"/>
    <n v="30"/>
    <n v="0"/>
    <n v="0"/>
    <n v="20"/>
    <n v="0"/>
    <n v="0"/>
    <n v="250.5"/>
    <n v="0"/>
    <n v="0"/>
    <s v="PRATAPGARH"/>
    <s v="BHILWARA"/>
    <s v="RJ-UDAIPUR"/>
    <d v="2018-04-27T00:00:00"/>
  </r>
  <r>
    <s v="808550203600"/>
    <x v="2542"/>
    <s v="YES CONSTRUCTION AND BUILDING"/>
    <n v="203600"/>
    <s v="MANI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ATAPGARH"/>
    <s v="BHILWARA"/>
    <s v="RJ-UDAIPUR"/>
    <d v="2018-06-09T00:00:00"/>
  </r>
  <r>
    <s v="808570173310"/>
    <x v="2543"/>
    <s v="SHANTI LAL PRAJAPAT"/>
    <n v="173310"/>
    <s v="NAGORA  &amp; COMPANY"/>
    <n v="40"/>
    <n v="0"/>
    <n v="0"/>
    <n v="40"/>
    <n v="0"/>
    <n v="0"/>
    <n v="50"/>
    <n v="0"/>
    <n v="0"/>
    <n v="30"/>
    <n v="0"/>
    <n v="0"/>
    <n v="30"/>
    <n v="0"/>
    <n v="0"/>
    <n v="36.75"/>
    <n v="0"/>
    <n v="12.75"/>
    <n v="15.05"/>
    <n v="10.050000000000001"/>
    <n v="0"/>
    <n v="41"/>
    <n v="0"/>
    <n v="0"/>
    <n v="282.8"/>
    <n v="10.050000000000001"/>
    <n v="12.75"/>
    <s v="PRATAPGARH"/>
    <s v="BHILWARA"/>
    <s v="RJ-UDAIPUR"/>
    <d v="2018-06-12T00:00:00"/>
  </r>
  <r>
    <s v="808613173310"/>
    <x v="2544"/>
    <s v="NARENDRA SHARMA"/>
    <n v="173310"/>
    <s v="NAGORA  &amp; COMPANY"/>
    <n v="10"/>
    <n v="0"/>
    <n v="0"/>
    <n v="8.6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28.6"/>
    <n v="0"/>
    <n v="0"/>
    <s v="PRATAPGARH"/>
    <s v="BHILWARA"/>
    <s v="RJ-UDAIPUR"/>
    <d v="2018-06-20T00:00:00"/>
  </r>
  <r>
    <s v="808891177631"/>
    <x v="2545"/>
    <s v="LALIT KUMAR NAGORA"/>
    <n v="177631"/>
    <s v="KAMAL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ATAPGARH"/>
    <s v="BHILWARA"/>
    <s v="RJ-UDAIPUR"/>
    <d v="2018-07-11T00:00:00"/>
  </r>
  <r>
    <s v="808958173310"/>
    <x v="2546"/>
    <s v="BALU RAM MEENA"/>
    <n v="173310"/>
    <s v="NAGORA  &amp; COMPANY"/>
    <n v="40"/>
    <n v="0"/>
    <n v="0"/>
    <n v="65"/>
    <n v="0"/>
    <n v="0"/>
    <n v="55.1"/>
    <n v="0"/>
    <n v="0"/>
    <n v="37.4"/>
    <n v="0"/>
    <n v="0"/>
    <n v="20"/>
    <n v="0"/>
    <n v="0"/>
    <n v="20"/>
    <n v="0"/>
    <n v="0"/>
    <n v="10"/>
    <n v="0"/>
    <n v="0"/>
    <n v="26"/>
    <n v="0"/>
    <n v="0"/>
    <n v="273.5"/>
    <n v="0"/>
    <n v="0"/>
    <s v="PRATAPGARH"/>
    <s v="BHILWARA"/>
    <s v="RJ-UDAIPUR"/>
    <d v="2018-09-07T00:00:00"/>
  </r>
  <r>
    <s v="809550173528"/>
    <x v="2547"/>
    <s v="MAHESH BUILDERS"/>
    <n v="173528"/>
    <s v="DHAKER TRADERS &amp; SUPPLIERS"/>
    <n v="20"/>
    <n v="0"/>
    <n v="0"/>
    <n v="25"/>
    <n v="0"/>
    <n v="0"/>
    <n v="61"/>
    <n v="0"/>
    <n v="0"/>
    <n v="82.5"/>
    <n v="0"/>
    <n v="0"/>
    <n v="30"/>
    <n v="0"/>
    <n v="0"/>
    <n v="35"/>
    <n v="0"/>
    <n v="0"/>
    <n v="18"/>
    <n v="0"/>
    <n v="0"/>
    <n v="40"/>
    <n v="0"/>
    <n v="0"/>
    <n v="311.5"/>
    <n v="0"/>
    <n v="0"/>
    <s v="PRATAPGARH"/>
    <s v="BHILWARA"/>
    <s v="RJ-UDAIPUR"/>
    <d v="2019-05-15T00:00:00"/>
  </r>
  <r>
    <s v="810908140850"/>
    <x v="2548"/>
    <s v="TEJ PAL"/>
    <n v="140850"/>
    <s v="MAHAVEER SANITARY &amp; CEMENT AGE"/>
    <n v="52.5"/>
    <n v="0"/>
    <n v="0"/>
    <n v="50"/>
    <n v="0"/>
    <n v="0"/>
    <n v="51"/>
    <n v="0"/>
    <n v="0"/>
    <n v="65"/>
    <n v="0"/>
    <n v="0"/>
    <n v="42"/>
    <n v="0"/>
    <n v="0"/>
    <n v="45"/>
    <n v="0"/>
    <n v="5"/>
    <n v="20"/>
    <n v="0"/>
    <n v="0"/>
    <n v="30"/>
    <n v="0"/>
    <n v="0"/>
    <n v="355.5"/>
    <n v="0"/>
    <n v="5"/>
    <s v="PRATAPGARH"/>
    <s v="BHILWARA"/>
    <s v="RJ-UDAIPUR"/>
    <d v="2019-12-04T00:00:00"/>
  </r>
  <r>
    <s v="811138173310"/>
    <x v="2549"/>
    <s v="NILESH JAIN"/>
    <n v="173310"/>
    <s v="NAGORA  &amp; COMPANY"/>
    <n v="56"/>
    <n v="0"/>
    <n v="0"/>
    <n v="90"/>
    <n v="0"/>
    <n v="0"/>
    <n v="70"/>
    <n v="0"/>
    <n v="0"/>
    <n v="56"/>
    <n v="0"/>
    <n v="0"/>
    <n v="50"/>
    <n v="0"/>
    <n v="0"/>
    <n v="46"/>
    <n v="0"/>
    <n v="0"/>
    <n v="33.950000000000003"/>
    <n v="0"/>
    <n v="0"/>
    <n v="51"/>
    <n v="0"/>
    <n v="0"/>
    <n v="452.95"/>
    <n v="0"/>
    <n v="0"/>
    <s v="PRATAPGARH"/>
    <s v="BHILWARA"/>
    <s v="RJ-UDAIPUR"/>
    <d v="2019-12-30T00:00:00"/>
  </r>
  <r>
    <s v="811996178695"/>
    <x v="2550"/>
    <s v="ASHOK KUMAR MEENA"/>
    <n v="178695"/>
    <s v="SEN CONSTRUCTION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PRATAPGARH"/>
    <s v="BHILWARA"/>
    <s v="RJ-UDAIPUR"/>
    <d v="2020-06-25T00:00:00"/>
  </r>
  <r>
    <s v="811996212955"/>
    <x v="2550"/>
    <s v="ASHOK KUMAR MEENA"/>
    <n v="212955"/>
    <s v="SEN CONSTRUCTION"/>
    <n v="0"/>
    <n v="0"/>
    <n v="0"/>
    <n v="0"/>
    <n v="0"/>
    <n v="0"/>
    <n v="40"/>
    <n v="6.95"/>
    <n v="0"/>
    <n v="26"/>
    <n v="12.5"/>
    <n v="0"/>
    <n v="26.75"/>
    <n v="9.25"/>
    <n v="0"/>
    <n v="33"/>
    <n v="8"/>
    <n v="0"/>
    <n v="2.5"/>
    <n v="0"/>
    <n v="0"/>
    <n v="18"/>
    <n v="0"/>
    <n v="0"/>
    <n v="146.25"/>
    <n v="36.700000000000003"/>
    <n v="0"/>
    <s v="PRATAPGARH"/>
    <s v="BHILWARA"/>
    <s v="RJ-UDAIPUR"/>
    <d v="2020-06-25T00:00:00"/>
  </r>
  <r>
    <s v="813148173310"/>
    <x v="2551"/>
    <s v="NARAYAN LAL"/>
    <n v="173310"/>
    <s v="NAGORA  &amp; COMPANY"/>
    <n v="50"/>
    <n v="0"/>
    <n v="0"/>
    <n v="62"/>
    <n v="0"/>
    <n v="0"/>
    <n v="73.55"/>
    <n v="0"/>
    <n v="0"/>
    <n v="71"/>
    <n v="1"/>
    <n v="0"/>
    <n v="25"/>
    <n v="15"/>
    <n v="0"/>
    <n v="30"/>
    <n v="0"/>
    <n v="0"/>
    <n v="35"/>
    <n v="0"/>
    <n v="17.5"/>
    <n v="42"/>
    <n v="0"/>
    <n v="0"/>
    <n v="388.55"/>
    <n v="16"/>
    <n v="17.5"/>
    <s v="PRATAPGARH"/>
    <s v="BHILWARA"/>
    <s v="RJ-UDAIPUR"/>
    <d v="2020-09-30T00:00:00"/>
  </r>
  <r>
    <s v="813301178004"/>
    <x v="2552"/>
    <s v="GUNWANT PRAJAPAT"/>
    <n v="178004"/>
    <s v="ANUSHIL ENTERPRISES"/>
    <n v="30"/>
    <n v="5"/>
    <n v="0"/>
    <n v="30"/>
    <n v="0"/>
    <n v="0"/>
    <n v="50"/>
    <n v="4"/>
    <n v="0"/>
    <n v="47.5"/>
    <n v="8"/>
    <n v="0"/>
    <n v="20"/>
    <n v="9"/>
    <n v="0"/>
    <n v="51"/>
    <n v="0"/>
    <n v="0"/>
    <n v="30"/>
    <n v="0"/>
    <n v="0"/>
    <n v="40"/>
    <n v="10"/>
    <n v="0"/>
    <n v="298.5"/>
    <n v="26"/>
    <n v="0"/>
    <s v="PRATAPGARH"/>
    <s v="BHILWARA"/>
    <s v="RJ-UDAIPUR"/>
    <d v="2020-10-17T00:00:00"/>
  </r>
  <r>
    <s v="813568173310"/>
    <x v="2553"/>
    <s v="HANSMUKH DOSI"/>
    <n v="173310"/>
    <s v="NAGORA  &amp;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ATAPGARH"/>
    <s v="BHILWARA"/>
    <s v="RJ-UDAIPUR"/>
    <d v="2020-11-17T00:00:00"/>
  </r>
  <r>
    <s v="813938140847"/>
    <x v="2554"/>
    <s v="RAMESH NATH JOGI"/>
    <n v="140847"/>
    <s v="AMIT AGENCY"/>
    <n v="57"/>
    <n v="2"/>
    <n v="0"/>
    <n v="72"/>
    <n v="2"/>
    <n v="0"/>
    <n v="65"/>
    <n v="0"/>
    <n v="0"/>
    <n v="50"/>
    <n v="0"/>
    <n v="0"/>
    <n v="40"/>
    <n v="0"/>
    <n v="0"/>
    <n v="35"/>
    <n v="0"/>
    <n v="0"/>
    <n v="45"/>
    <n v="0"/>
    <n v="0"/>
    <n v="45"/>
    <n v="0"/>
    <n v="0"/>
    <n v="409"/>
    <n v="4"/>
    <n v="0"/>
    <s v="PRATAPGARH"/>
    <s v="BHILWARA"/>
    <s v="RJ-UDAIPUR"/>
    <d v="2020-12-24T00:00:00"/>
  </r>
  <r>
    <s v="814038140850"/>
    <x v="2555"/>
    <s v="BADAMI LAL BHANWARA"/>
    <n v="140850"/>
    <s v="MAHAVEER SANITARY &amp; CEMENT AGE"/>
    <n v="33"/>
    <n v="0"/>
    <n v="0"/>
    <n v="20"/>
    <n v="0"/>
    <n v="0"/>
    <n v="30"/>
    <n v="0"/>
    <n v="0"/>
    <n v="40"/>
    <n v="0"/>
    <n v="0"/>
    <n v="25"/>
    <n v="0"/>
    <n v="7.5"/>
    <n v="20"/>
    <n v="0"/>
    <n v="0"/>
    <n v="10"/>
    <n v="0"/>
    <n v="0"/>
    <n v="40"/>
    <n v="0"/>
    <n v="0"/>
    <n v="218"/>
    <n v="0"/>
    <n v="7.5"/>
    <s v="PRATAPGARH"/>
    <s v="BHILWARA"/>
    <s v="RJ-UDAIPUR"/>
    <d v="2020-12-31T00:00:00"/>
  </r>
  <r>
    <s v="814187178695"/>
    <x v="2556"/>
    <s v="JAYENDRA SINGH RANAWAT"/>
    <n v="178695"/>
    <s v="SEN CONSTRUCTION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PRATAPGARH"/>
    <s v="BHILWARA"/>
    <s v="RJ-UDAIPUR"/>
    <d v="2021-01-19T00:00:00"/>
  </r>
  <r>
    <s v="814187212955"/>
    <x v="2556"/>
    <s v="JAYENDRA SINGH RANAWAT"/>
    <n v="212955"/>
    <s v="SEN CONSTRUCTION"/>
    <n v="0"/>
    <n v="0"/>
    <n v="0"/>
    <n v="0"/>
    <n v="0"/>
    <n v="0"/>
    <n v="35.5"/>
    <n v="0"/>
    <n v="0"/>
    <n v="22.5"/>
    <n v="0"/>
    <n v="0"/>
    <n v="10"/>
    <n v="0"/>
    <n v="0"/>
    <n v="18"/>
    <n v="0"/>
    <n v="0"/>
    <n v="10"/>
    <n v="0"/>
    <n v="0"/>
    <n v="20"/>
    <n v="9.65"/>
    <n v="0"/>
    <n v="116"/>
    <n v="0"/>
    <n v="0"/>
    <s v="PRATAPGARH"/>
    <s v="BHILWARA"/>
    <s v="RJ-UDAIPUR"/>
    <d v="2021-01-19T00:00:00"/>
  </r>
  <r>
    <s v="814456203600"/>
    <x v="2557"/>
    <s v="NANA LAL JAIN"/>
    <n v="203600"/>
    <s v="MANI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PRATAPGARH"/>
    <s v="BHILWARA"/>
    <s v="RJ-UDAIPUR"/>
    <d v="2021-02-12T00:00:00"/>
  </r>
  <r>
    <s v="814457203600"/>
    <x v="2558"/>
    <s v="JITENDRA SUTHAR"/>
    <n v="203600"/>
    <s v="MANISH CEMENT AGENCY"/>
    <n v="40"/>
    <n v="0"/>
    <n v="0"/>
    <n v="40"/>
    <n v="0"/>
    <n v="0"/>
    <n v="76"/>
    <n v="0"/>
    <n v="0"/>
    <n v="50"/>
    <n v="0"/>
    <n v="0"/>
    <n v="65.5"/>
    <n v="0"/>
    <n v="0"/>
    <n v="85"/>
    <n v="0"/>
    <n v="0"/>
    <n v="67"/>
    <n v="0"/>
    <n v="10"/>
    <n v="70"/>
    <n v="0"/>
    <n v="0"/>
    <n v="493.5"/>
    <n v="0"/>
    <n v="10"/>
    <s v="PRATAPGARH"/>
    <s v="BHILWARA"/>
    <s v="RJ-UDAIPUR"/>
    <d v="2021-02-12T00:00:00"/>
  </r>
  <r>
    <s v="815400202387"/>
    <x v="2559"/>
    <s v="NITESH TAILI"/>
    <n v="202387"/>
    <s v="PATIDAR BUILDING MATARIYAL"/>
    <n v="30"/>
    <n v="0"/>
    <n v="0"/>
    <n v="40"/>
    <n v="0"/>
    <n v="0"/>
    <n v="61"/>
    <n v="0"/>
    <n v="0"/>
    <n v="39"/>
    <n v="0"/>
    <n v="0"/>
    <n v="28"/>
    <n v="0"/>
    <n v="4"/>
    <n v="40"/>
    <n v="0"/>
    <n v="0"/>
    <n v="35"/>
    <n v="2.5"/>
    <n v="0"/>
    <n v="35.5"/>
    <n v="0"/>
    <n v="0"/>
    <n v="308.5"/>
    <n v="2.5"/>
    <n v="4"/>
    <s v="PRATAPGARH"/>
    <s v="BHILWARA"/>
    <s v="RJ-UDAIPUR"/>
    <d v="2021-07-05T00:00:00"/>
  </r>
  <r>
    <s v="815832178266"/>
    <x v="2560"/>
    <s v="HIND STONE SUPPLIERS"/>
    <n v="178266"/>
    <s v="VARDHMAN IRON AND BUILDMART"/>
    <n v="65"/>
    <n v="0"/>
    <n v="0"/>
    <n v="87"/>
    <n v="0"/>
    <n v="0"/>
    <n v="70"/>
    <n v="0"/>
    <n v="0"/>
    <n v="30"/>
    <n v="0"/>
    <n v="0"/>
    <n v="10"/>
    <n v="0"/>
    <n v="0"/>
    <n v="40"/>
    <n v="0"/>
    <n v="0"/>
    <n v="40"/>
    <n v="0"/>
    <n v="0"/>
    <n v="55"/>
    <n v="0"/>
    <n v="0"/>
    <n v="397"/>
    <n v="0"/>
    <n v="0"/>
    <s v="PRATAPGARH"/>
    <s v="BHILWARA"/>
    <s v="RJ-UDAIPUR"/>
    <d v="2021-08-03T00:00:00"/>
  </r>
  <r>
    <s v="815863140850"/>
    <x v="2561"/>
    <s v="RAJMAL MEENA"/>
    <n v="140850"/>
    <s v="MAHAVEER SANITARY &amp; CEMENT AGE"/>
    <n v="30"/>
    <n v="0"/>
    <n v="0"/>
    <n v="52"/>
    <n v="0"/>
    <n v="0"/>
    <n v="50"/>
    <n v="0"/>
    <n v="0"/>
    <n v="45"/>
    <n v="0"/>
    <n v="0"/>
    <n v="38"/>
    <n v="9"/>
    <n v="9"/>
    <n v="35"/>
    <n v="5"/>
    <n v="0"/>
    <n v="20"/>
    <n v="0"/>
    <n v="0"/>
    <n v="15"/>
    <n v="0"/>
    <n v="0"/>
    <n v="285"/>
    <n v="14"/>
    <n v="9"/>
    <s v="PRATAPGARH"/>
    <s v="BHILWARA"/>
    <s v="RJ-UDAIPUR"/>
    <d v="2021-08-06T00:00:00"/>
  </r>
  <r>
    <s v="816289202387"/>
    <x v="2562"/>
    <s v="TIRUPATI CONSTRUCTION"/>
    <n v="202387"/>
    <s v="PATIDAR BUILDING MATARIYAL"/>
    <n v="20"/>
    <n v="0"/>
    <n v="0"/>
    <n v="55"/>
    <n v="0"/>
    <n v="0"/>
    <n v="53.45"/>
    <n v="0"/>
    <n v="0"/>
    <n v="40"/>
    <n v="0"/>
    <n v="0"/>
    <n v="25.5"/>
    <n v="0"/>
    <n v="5.5"/>
    <n v="40"/>
    <n v="0"/>
    <n v="8.4"/>
    <n v="28"/>
    <n v="0"/>
    <n v="0"/>
    <n v="25"/>
    <n v="0"/>
    <n v="4"/>
    <n v="286.95"/>
    <n v="0"/>
    <n v="13.9"/>
    <s v="PRATAPGARH"/>
    <s v="BHILWARA"/>
    <s v="RJ-UDAIPUR"/>
    <d v="2021-09-08T00:00:00"/>
  </r>
  <r>
    <s v="816631203600"/>
    <x v="2563"/>
    <s v="SHANKAR LAL CHOUDHARY"/>
    <n v="203600"/>
    <s v="MANISH CEMENT AGENCY"/>
    <n v="10"/>
    <n v="0"/>
    <n v="0"/>
    <n v="20"/>
    <n v="0"/>
    <n v="0"/>
    <n v="30"/>
    <n v="0"/>
    <n v="0"/>
    <n v="15"/>
    <n v="0"/>
    <n v="0"/>
    <n v="17.5"/>
    <n v="0"/>
    <n v="2.5"/>
    <n v="10"/>
    <n v="0"/>
    <n v="0"/>
    <n v="10"/>
    <n v="0"/>
    <n v="0"/>
    <n v="20"/>
    <n v="0"/>
    <n v="0"/>
    <n v="132.5"/>
    <n v="0"/>
    <n v="2.5"/>
    <s v="PRATAPGARH"/>
    <s v="BHILWARA"/>
    <s v="RJ-UDAIPUR"/>
    <d v="2021-10-02T00:00:00"/>
  </r>
  <r>
    <s v="816947173310"/>
    <x v="2564"/>
    <s v="KALU RAM MEENA"/>
    <n v="173310"/>
    <s v="NAGORA  &amp; COMPANY"/>
    <n v="10"/>
    <n v="0"/>
    <n v="0"/>
    <n v="10"/>
    <n v="0"/>
    <n v="0"/>
    <n v="10"/>
    <n v="0"/>
    <n v="0"/>
    <n v="15"/>
    <n v="0"/>
    <n v="0"/>
    <n v="10"/>
    <n v="0"/>
    <n v="0"/>
    <n v="10"/>
    <n v="0"/>
    <n v="0"/>
    <n v="5"/>
    <n v="0"/>
    <n v="0"/>
    <n v="5"/>
    <n v="0"/>
    <n v="0"/>
    <n v="75"/>
    <n v="0"/>
    <n v="0"/>
    <s v="PRATAPGARH"/>
    <s v="BHILWARA"/>
    <s v="RJ-UDAIPUR"/>
    <d v="2021-11-02T00:00:00"/>
  </r>
  <r>
    <s v="817225178004"/>
    <x v="2565"/>
    <s v="DILIP SHARMA"/>
    <n v="178004"/>
    <s v="ANUSHIL ENTERPRISES"/>
    <n v="10"/>
    <n v="0"/>
    <n v="0"/>
    <n v="30"/>
    <n v="0"/>
    <n v="0"/>
    <n v="40"/>
    <n v="0"/>
    <n v="2.5"/>
    <n v="40"/>
    <n v="0"/>
    <n v="0"/>
    <n v="30"/>
    <n v="0"/>
    <n v="0"/>
    <n v="40"/>
    <n v="0"/>
    <n v="0"/>
    <n v="30"/>
    <n v="0"/>
    <n v="0"/>
    <n v="40"/>
    <n v="1"/>
    <n v="0"/>
    <n v="260"/>
    <n v="0"/>
    <n v="2.5"/>
    <s v="PRATAPGARH"/>
    <s v="BHILWARA"/>
    <s v="RJ-UDAIPUR"/>
    <d v="2021-12-07T00:00:00"/>
  </r>
  <r>
    <s v="817872173310"/>
    <x v="2566"/>
    <s v="AMBIKA BUILDING MATERIALS"/>
    <n v="173310"/>
    <s v="NAGORA  &amp; COMPANY"/>
    <n v="10"/>
    <n v="0"/>
    <n v="0"/>
    <n v="1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40"/>
    <n v="0"/>
    <n v="0"/>
    <s v="PRATAPGARH"/>
    <s v="BHILWARA"/>
    <s v="RJ-UDAIPUR"/>
    <d v="2022-01-28T00:00:00"/>
  </r>
  <r>
    <s v="817872173528"/>
    <x v="2566"/>
    <s v="AMBIKA BUILDING MATERIALS"/>
    <n v="173528"/>
    <s v="DHAKER TRADERS &amp; SUPPLIERS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5"/>
    <n v="0"/>
    <n v="0"/>
    <s v="PRATAPGARH"/>
    <s v="BHILWARA"/>
    <s v="RJ-UDAIPUR"/>
    <d v="2022-01-28T00:00:00"/>
  </r>
  <r>
    <s v="817945173528"/>
    <x v="2567"/>
    <s v="DHAKAR BUILDING MATERIAL SUPPL"/>
    <n v="173528"/>
    <s v="DHAKER TRADERS &amp; SUPPLIERS"/>
    <n v="0"/>
    <n v="0"/>
    <n v="0"/>
    <n v="0"/>
    <n v="0"/>
    <n v="0"/>
    <n v="52"/>
    <n v="4.5"/>
    <n v="7"/>
    <n v="54.5"/>
    <n v="17.5"/>
    <n v="0"/>
    <n v="37.75"/>
    <n v="8"/>
    <n v="0"/>
    <n v="30"/>
    <n v="0"/>
    <n v="0"/>
    <n v="0"/>
    <n v="0"/>
    <n v="0"/>
    <n v="21.5"/>
    <n v="0"/>
    <n v="0"/>
    <n v="195.75"/>
    <n v="30"/>
    <n v="7"/>
    <s v="PRATAPGARH"/>
    <s v="BHILWARA"/>
    <s v="RJ-UDAIPUR"/>
    <d v="2022-02-02T00:00:00"/>
  </r>
  <r>
    <s v="818521203600"/>
    <x v="2568"/>
    <s v="USHA TRADING"/>
    <n v="203600"/>
    <s v="MANISH CEMENT AGENCY"/>
    <n v="35"/>
    <n v="0"/>
    <n v="0"/>
    <n v="50"/>
    <n v="0"/>
    <n v="0"/>
    <n v="52.5"/>
    <n v="0"/>
    <n v="0"/>
    <n v="30"/>
    <n v="0"/>
    <n v="0"/>
    <n v="27"/>
    <n v="0"/>
    <n v="0"/>
    <n v="50"/>
    <n v="0"/>
    <n v="0"/>
    <n v="54.5"/>
    <n v="0"/>
    <n v="0"/>
    <n v="50"/>
    <n v="0"/>
    <n v="0"/>
    <n v="349"/>
    <n v="0"/>
    <n v="0"/>
    <s v="PRATAPGARH"/>
    <s v="BHILWARA"/>
    <s v="RJ-UDAIPUR"/>
    <d v="2022-03-29T00:00:00"/>
  </r>
  <r>
    <s v="818656173310"/>
    <x v="2569"/>
    <s v="VIJESH KUMAR PATIDAR"/>
    <n v="173310"/>
    <s v="NAGORA  &amp; COMPANY"/>
    <n v="35"/>
    <n v="0"/>
    <n v="0"/>
    <n v="50"/>
    <n v="10"/>
    <n v="0"/>
    <n v="54"/>
    <n v="0"/>
    <n v="0"/>
    <n v="76.25"/>
    <n v="0"/>
    <n v="6.25"/>
    <n v="35"/>
    <n v="5.5"/>
    <n v="0"/>
    <n v="51.8"/>
    <n v="5.8"/>
    <n v="0"/>
    <n v="40"/>
    <n v="5"/>
    <n v="0"/>
    <n v="53"/>
    <n v="6"/>
    <n v="2"/>
    <n v="395.05"/>
    <n v="26.3"/>
    <n v="6.25"/>
    <s v="PRATAPGARH"/>
    <s v="BHILWARA"/>
    <s v="RJ-UDAIPUR"/>
    <d v="2022-04-16T00:00:00"/>
  </r>
  <r>
    <s v="818677211190"/>
    <x v="2570"/>
    <s v="ANJANI TRADERS"/>
    <n v="211190"/>
    <s v="ANNAPURNA TRADERS"/>
    <n v="6"/>
    <n v="0"/>
    <n v="0"/>
    <n v="20"/>
    <n v="0"/>
    <n v="0"/>
    <n v="16.5"/>
    <n v="0"/>
    <n v="0"/>
    <n v="10"/>
    <n v="0"/>
    <n v="0"/>
    <n v="10"/>
    <n v="0"/>
    <n v="2"/>
    <n v="3.5"/>
    <n v="0"/>
    <n v="0"/>
    <n v="0"/>
    <n v="0"/>
    <n v="0"/>
    <n v="5"/>
    <n v="0"/>
    <n v="0"/>
    <n v="71"/>
    <n v="0"/>
    <n v="2"/>
    <s v="PRATAPGARH"/>
    <s v="BHILWARA"/>
    <s v="RJ-UDAIPUR"/>
    <d v="2022-04-19T00:00:00"/>
  </r>
  <r>
    <s v="818840202387"/>
    <x v="2571"/>
    <s v="JAY MAA TRIPURA ENTERPRISES"/>
    <n v="202387"/>
    <s v="PATIDAR BUILDING MATARIYAL"/>
    <n v="0"/>
    <n v="0"/>
    <n v="0"/>
    <n v="0"/>
    <n v="0"/>
    <n v="0"/>
    <n v="20"/>
    <n v="0"/>
    <n v="0"/>
    <n v="10"/>
    <n v="0"/>
    <n v="0"/>
    <n v="0"/>
    <n v="0"/>
    <n v="0"/>
    <n v="8"/>
    <n v="0"/>
    <n v="0"/>
    <n v="2"/>
    <n v="0"/>
    <n v="0"/>
    <n v="0"/>
    <n v="0"/>
    <n v="0"/>
    <n v="40"/>
    <n v="0"/>
    <n v="0"/>
    <s v="PRATAPGARH"/>
    <s v="BHILWARA"/>
    <s v="RJ-UDAIPUR"/>
    <d v="2022-05-02T00:00:00"/>
  </r>
  <r>
    <s v="819197173310"/>
    <x v="2572"/>
    <s v="RAHUL DANGI"/>
    <n v="173310"/>
    <s v="NAGORA  &amp; COMPANY"/>
    <n v="0"/>
    <n v="0"/>
    <n v="0"/>
    <n v="0"/>
    <n v="0"/>
    <n v="0"/>
    <n v="10"/>
    <n v="0"/>
    <n v="0"/>
    <n v="20"/>
    <n v="0"/>
    <n v="0"/>
    <n v="10"/>
    <n v="0"/>
    <n v="0"/>
    <n v="10"/>
    <n v="0"/>
    <n v="0"/>
    <n v="15"/>
    <n v="0"/>
    <n v="0"/>
    <n v="5"/>
    <n v="0"/>
    <n v="0"/>
    <n v="70"/>
    <n v="0"/>
    <n v="0"/>
    <s v="PRATAPGARH"/>
    <s v="BHILWARA"/>
    <s v="RJ-UDAIPUR"/>
    <d v="2022-06-06T00:00:00"/>
  </r>
  <r>
    <s v="819227173310"/>
    <x v="2573"/>
    <s v="SMART ENTERPRISES"/>
    <n v="173310"/>
    <s v="NAGORA  &amp; COMPANY"/>
    <n v="0"/>
    <n v="0"/>
    <n v="0"/>
    <n v="0"/>
    <n v="0"/>
    <n v="0"/>
    <n v="30.75"/>
    <n v="0"/>
    <n v="19.75"/>
    <n v="10"/>
    <n v="0"/>
    <n v="0"/>
    <n v="0"/>
    <n v="0"/>
    <n v="0"/>
    <n v="20"/>
    <n v="0"/>
    <n v="0"/>
    <n v="5"/>
    <n v="0"/>
    <n v="0"/>
    <n v="15"/>
    <n v="0"/>
    <n v="0"/>
    <n v="80.75"/>
    <n v="0"/>
    <n v="19.75"/>
    <s v="PRATAPGARH"/>
    <s v="BHILWARA"/>
    <s v="RJ-UDAIPUR"/>
    <d v="2022-06-08T00:00:00"/>
  </r>
  <r>
    <s v="819681212773"/>
    <x v="2574"/>
    <s v="DEEPIKA ENTERPRISES"/>
    <n v="212773"/>
    <s v="SHREE CHARBHUJA ENTERPRISES"/>
    <n v="0"/>
    <n v="0"/>
    <n v="0"/>
    <n v="0"/>
    <n v="0"/>
    <n v="0"/>
    <n v="0"/>
    <n v="0"/>
    <n v="0"/>
    <n v="10"/>
    <n v="0"/>
    <n v="0"/>
    <n v="30"/>
    <n v="0"/>
    <n v="0"/>
    <n v="40"/>
    <n v="0"/>
    <n v="0"/>
    <n v="10"/>
    <n v="0"/>
    <n v="0"/>
    <n v="17"/>
    <n v="0"/>
    <n v="0"/>
    <n v="107"/>
    <n v="0"/>
    <n v="0"/>
    <s v="PRATAPGARH"/>
    <s v="BHILWARA"/>
    <s v="RJ-UDAIPUR"/>
    <d v="2022-07-09T00:00:00"/>
  </r>
  <r>
    <s v="820601140850"/>
    <x v="2575"/>
    <s v="BHERUNATH CEMENT SUPPLIERS"/>
    <n v="140850"/>
    <s v="MAHAVEER SANITARY &amp; CEMENT AGE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7"/>
    <n v="0"/>
    <n v="0"/>
    <n v="32"/>
    <n v="0"/>
    <n v="0"/>
    <s v="PRATAPGARH"/>
    <s v="BHILWARA"/>
    <s v="RJ-UDAIPUR"/>
    <d v="2022-09-19T00:00:00"/>
  </r>
  <r>
    <s v="820650212773"/>
    <x v="2576"/>
    <s v="ABHINAV BUILDING MATERIAL SUPP"/>
    <n v="212773"/>
    <s v="SHREE CHARBHUJA ENTERPRISES"/>
    <n v="0"/>
    <n v="0"/>
    <n v="0"/>
    <n v="0"/>
    <n v="0"/>
    <n v="0"/>
    <n v="0"/>
    <n v="0"/>
    <n v="0"/>
    <n v="0"/>
    <n v="0"/>
    <n v="0"/>
    <n v="0"/>
    <n v="0"/>
    <n v="0"/>
    <n v="20"/>
    <n v="4"/>
    <n v="0"/>
    <n v="10"/>
    <n v="0"/>
    <n v="0"/>
    <n v="13"/>
    <n v="3"/>
    <n v="0"/>
    <n v="43"/>
    <n v="4"/>
    <n v="0"/>
    <s v="PRATAPGARH"/>
    <s v="BHILWARA"/>
    <s v="RJ-UDAIPUR"/>
    <d v="2022-09-20T00:00:00"/>
  </r>
  <r>
    <s v="820558173310"/>
    <x v="2577"/>
    <s v="MAHAVEER CONSTRUCTIONS"/>
    <n v="173310"/>
    <s v="NAGORA  &amp;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PRATAPGARH"/>
    <s v="BHILWARA"/>
    <s v="RJ-UDAIPUR"/>
    <d v="2022-09-16T00:00:00"/>
  </r>
  <r>
    <s v="820706178135"/>
    <x v="2578"/>
    <s v="MAHAVEER EAT SUPPLIERS"/>
    <n v="178135"/>
    <s v="MAHADEV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20"/>
    <n v="0"/>
    <n v="0"/>
    <n v="30"/>
    <n v="0"/>
    <n v="0"/>
    <s v="PRATAPGARH"/>
    <s v="BHILWARA"/>
    <s v="RJ-UDAIPUR"/>
    <d v="2022-09-24T00:00:00"/>
  </r>
  <r>
    <s v="821056203600"/>
    <x v="2579"/>
    <s v="YASH MARBLE"/>
    <n v="203600"/>
    <s v="MANI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0"/>
    <n v="0"/>
    <n v="0"/>
    <n v="35"/>
    <n v="0"/>
    <n v="0"/>
    <s v="PRATAPGARH"/>
    <s v="BHILWARA"/>
    <s v="RJ-UDAIPUR"/>
    <d v="2022-10-22T00:00:00"/>
  </r>
  <r>
    <s v="819814178764"/>
    <x v="2580"/>
    <s v="YASHWANT KALAL"/>
    <n v="178764"/>
    <s v="PERFECT TRADERS"/>
    <n v="0"/>
    <n v="0"/>
    <n v="0"/>
    <n v="0"/>
    <n v="0"/>
    <n v="0"/>
    <n v="0"/>
    <n v="0"/>
    <n v="0"/>
    <n v="25"/>
    <n v="0"/>
    <n v="0"/>
    <n v="0"/>
    <n v="0"/>
    <n v="0"/>
    <n v="10"/>
    <n v="0"/>
    <n v="0"/>
    <n v="0"/>
    <n v="0"/>
    <n v="0"/>
    <n v="60"/>
    <n v="0"/>
    <n v="0"/>
    <n v="95"/>
    <n v="0"/>
    <n v="0"/>
    <s v="BANSWARA"/>
    <s v="DUNGARPUR"/>
    <s v="RJ-UDAIPUR"/>
    <d v="2022-07-18T00:00:00"/>
  </r>
  <r>
    <s v="801796119066"/>
    <x v="2581"/>
    <s v="AL MANSOOR TRADERS"/>
    <n v="119066"/>
    <s v="RAJENDRA KUMAR RATAN LAL JAIN"/>
    <n v="0"/>
    <n v="0"/>
    <n v="0"/>
    <n v="0"/>
    <n v="0"/>
    <n v="0"/>
    <n v="10"/>
    <n v="0"/>
    <n v="0"/>
    <n v="3.5"/>
    <n v="0"/>
    <n v="0"/>
    <n v="0"/>
    <n v="0"/>
    <n v="0"/>
    <n v="0"/>
    <n v="0"/>
    <n v="0"/>
    <n v="0"/>
    <n v="0"/>
    <n v="0"/>
    <n v="0"/>
    <n v="0"/>
    <n v="0"/>
    <n v="13.5"/>
    <n v="0"/>
    <n v="0"/>
    <s v="BANSWARA"/>
    <s v="DUNGARPUR"/>
    <s v="RJ-UDAIPUR"/>
    <d v="2013-03-02T00:00:00"/>
  </r>
  <r>
    <s v="801918178764"/>
    <x v="2582"/>
    <s v="MOHIRAJ BUILDING MATERIALS"/>
    <n v="178764"/>
    <s v="PERFECT TRADERS"/>
    <n v="65"/>
    <n v="0"/>
    <n v="0"/>
    <n v="55"/>
    <n v="0"/>
    <n v="0"/>
    <n v="105"/>
    <n v="0"/>
    <n v="0"/>
    <n v="55"/>
    <n v="0"/>
    <n v="0"/>
    <n v="57"/>
    <n v="15"/>
    <n v="0"/>
    <n v="55"/>
    <n v="0"/>
    <n v="0"/>
    <n v="47.5"/>
    <n v="0"/>
    <n v="0"/>
    <n v="35"/>
    <n v="0"/>
    <n v="0"/>
    <n v="474.5"/>
    <n v="15"/>
    <n v="0"/>
    <s v="BANSWARA"/>
    <s v="DUNGARPUR"/>
    <s v="RJ-UDAIPUR"/>
    <d v="2013-04-02T00:00:00"/>
  </r>
  <r>
    <s v="803821119066"/>
    <x v="2583"/>
    <s v="ARIHANT TRADING"/>
    <n v="119066"/>
    <s v="RAJENDRA KUMAR RATAN LAL JAIN"/>
    <n v="135.5"/>
    <n v="0"/>
    <n v="0"/>
    <n v="74.5"/>
    <n v="0"/>
    <n v="0"/>
    <n v="35"/>
    <n v="0"/>
    <n v="0"/>
    <n v="85"/>
    <n v="0"/>
    <n v="0"/>
    <n v="100"/>
    <n v="0"/>
    <n v="5"/>
    <n v="51"/>
    <n v="0"/>
    <n v="0"/>
    <n v="35"/>
    <n v="0"/>
    <n v="0"/>
    <n v="51"/>
    <n v="0"/>
    <n v="0"/>
    <n v="567"/>
    <n v="0"/>
    <n v="5"/>
    <s v="BANSWARA"/>
    <s v="DUNGARPUR"/>
    <s v="RJ-UDAIPUR"/>
    <d v="2015-01-28T00:00:00"/>
  </r>
  <r>
    <s v="803886119066"/>
    <x v="2584"/>
    <s v="SABRAS MATERIAL SUPPLIERS"/>
    <n v="119066"/>
    <s v="RAJENDRA KUMAR RATAN LAL JAIN"/>
    <n v="199"/>
    <n v="0"/>
    <n v="0"/>
    <n v="135"/>
    <n v="0"/>
    <n v="0"/>
    <n v="236.25"/>
    <n v="13.75"/>
    <n v="5"/>
    <n v="65"/>
    <n v="5"/>
    <n v="0"/>
    <n v="37.5"/>
    <n v="0"/>
    <n v="0"/>
    <n v="50"/>
    <n v="0"/>
    <n v="0"/>
    <n v="35"/>
    <n v="0"/>
    <n v="0"/>
    <n v="10"/>
    <n v="0"/>
    <n v="0"/>
    <n v="767.75"/>
    <n v="18.75"/>
    <n v="5"/>
    <s v="BANSWARA"/>
    <s v="DUNGARPUR"/>
    <s v="RJ-UDAIPUR"/>
    <d v="2015-03-03T00:00:00"/>
  </r>
  <r>
    <s v="804243122377"/>
    <x v="2585"/>
    <s v="SHIVAMBA CONSTRUCTION"/>
    <n v="122377"/>
    <s v="NILKANTH CONSTRUCTION"/>
    <n v="140"/>
    <n v="15"/>
    <n v="0"/>
    <n v="147.5"/>
    <n v="10"/>
    <n v="0"/>
    <n v="192.5"/>
    <n v="52.5"/>
    <n v="0"/>
    <n v="130"/>
    <n v="17.5"/>
    <n v="10"/>
    <n v="149.5"/>
    <n v="35"/>
    <n v="15"/>
    <n v="132.5"/>
    <n v="27.5"/>
    <n v="0"/>
    <n v="127.5"/>
    <n v="10"/>
    <n v="0"/>
    <n v="98"/>
    <n v="0"/>
    <n v="15"/>
    <n v="1117.5"/>
    <n v="167.5"/>
    <n v="25"/>
    <s v="BANSWARA"/>
    <s v="DUNGARPUR"/>
    <s v="RJ-UDAIPUR"/>
    <d v="2015-08-27T00:00:00"/>
  </r>
  <r>
    <s v="804312142269"/>
    <x v="2586"/>
    <s v="CHOUHAN CEMENT SUPPLIERS"/>
    <n v="142269"/>
    <s v="CHAMUNDA BUILDING MATERIAL SUP"/>
    <n v="130"/>
    <n v="28.5"/>
    <n v="0"/>
    <n v="118.5"/>
    <n v="20"/>
    <n v="0"/>
    <n v="85"/>
    <n v="0"/>
    <n v="20"/>
    <n v="70"/>
    <n v="0"/>
    <n v="35"/>
    <n v="62.5"/>
    <n v="0"/>
    <n v="0"/>
    <n v="47.5"/>
    <n v="0"/>
    <n v="0"/>
    <n v="122.5"/>
    <n v="0"/>
    <n v="0"/>
    <n v="67.5"/>
    <n v="17.5"/>
    <n v="15"/>
    <n v="703.5"/>
    <n v="48.5"/>
    <n v="55"/>
    <s v="BANSWARA"/>
    <s v="DUNGARPUR"/>
    <s v="RJ-UDAIPUR"/>
    <d v="2015-09-25T00:00:00"/>
  </r>
  <r>
    <s v="804430119066"/>
    <x v="2587"/>
    <s v="PATIDAR CONSTRUCTION AND BUILD"/>
    <n v="119066"/>
    <s v="RAJENDRA KUMAR RATAN LAL JAIN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5"/>
    <n v="0"/>
    <n v="0"/>
    <s v="BANSWARA"/>
    <s v="DUNGARPUR"/>
    <s v="RJ-UDAIPUR"/>
    <d v="2015-11-19T00:00:00"/>
  </r>
  <r>
    <s v="805185122377"/>
    <x v="2588"/>
    <s v="KK ENTERPRISES"/>
    <n v="122377"/>
    <s v="NILKANTH CONSTRUCTION"/>
    <n v="175"/>
    <n v="0"/>
    <n v="0"/>
    <n v="180"/>
    <n v="0"/>
    <n v="0"/>
    <n v="190"/>
    <n v="0"/>
    <n v="20"/>
    <n v="232.5"/>
    <n v="17.5"/>
    <n v="15"/>
    <n v="167.5"/>
    <n v="35"/>
    <n v="20"/>
    <n v="225"/>
    <n v="0"/>
    <n v="0"/>
    <n v="305"/>
    <n v="0"/>
    <n v="25"/>
    <n v="275"/>
    <n v="15"/>
    <n v="20"/>
    <n v="1750"/>
    <n v="52.5"/>
    <n v="80"/>
    <s v="BANSWARA"/>
    <s v="DUNGARPUR"/>
    <s v="RJ-UDAIPUR"/>
    <d v="2016-06-15T00:00:00"/>
  </r>
  <r>
    <s v="805325119066"/>
    <x v="2589"/>
    <s v="RAJASTHAN TRADERS"/>
    <n v="119066"/>
    <s v="RAJENDRA KUMAR RATAN LAL JAIN"/>
    <n v="115"/>
    <n v="0"/>
    <n v="0"/>
    <n v="57"/>
    <n v="0"/>
    <n v="0"/>
    <n v="60"/>
    <n v="0"/>
    <n v="0"/>
    <n v="76.2"/>
    <n v="0"/>
    <n v="0"/>
    <n v="0"/>
    <n v="0"/>
    <n v="0"/>
    <n v="50"/>
    <n v="0"/>
    <n v="0"/>
    <n v="0"/>
    <n v="0"/>
    <n v="0"/>
    <n v="0"/>
    <n v="0"/>
    <n v="0"/>
    <n v="358.2"/>
    <n v="0"/>
    <n v="0"/>
    <s v="BANSWARA"/>
    <s v="DUNGARPUR"/>
    <s v="RJ-UDAIPUR"/>
    <d v="2016-07-21T00:00:00"/>
  </r>
  <r>
    <s v="806212119066"/>
    <x v="2590"/>
    <s v="MAHAVEER TRADERS"/>
    <n v="119066"/>
    <s v="RAJENDRA KUMAR RATAN LAL JAI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"/>
    <s v="DUNGARPUR"/>
    <s v="RJ-UDAIPUR"/>
    <d v="2017-04-03T00:00:00"/>
  </r>
  <r>
    <s v="806651122377"/>
    <x v="2591"/>
    <s v="MAYUR TRADERS"/>
    <n v="122377"/>
    <s v="NILKANTH CONSTRUCTION"/>
    <n v="8"/>
    <n v="0"/>
    <n v="0"/>
    <n v="52.5"/>
    <n v="8"/>
    <n v="0"/>
    <n v="60"/>
    <n v="0"/>
    <n v="15"/>
    <n v="87.5"/>
    <n v="0"/>
    <n v="0"/>
    <n v="47.5"/>
    <n v="0"/>
    <n v="0"/>
    <n v="30"/>
    <n v="0"/>
    <n v="0"/>
    <n v="42.5"/>
    <n v="0"/>
    <n v="0"/>
    <n v="15"/>
    <n v="0"/>
    <n v="0"/>
    <n v="343"/>
    <n v="8"/>
    <n v="15"/>
    <s v="BANSWARA"/>
    <s v="DUNGARPUR"/>
    <s v="RJ-UDAIPUR"/>
    <d v="2018-09-29T00:00:00"/>
  </r>
  <r>
    <s v="806802122377"/>
    <x v="2592"/>
    <s v="JAIMAA KHIMAJ CONSTRUCTION"/>
    <n v="122377"/>
    <s v="NILKANTH CONSTRUCTION"/>
    <n v="55.5"/>
    <n v="0"/>
    <n v="0"/>
    <n v="78"/>
    <n v="0"/>
    <n v="0"/>
    <n v="137"/>
    <n v="0"/>
    <n v="0"/>
    <n v="124"/>
    <n v="0"/>
    <n v="0"/>
    <n v="45"/>
    <n v="0"/>
    <n v="0"/>
    <n v="113.5"/>
    <n v="32.5"/>
    <n v="0"/>
    <n v="55"/>
    <n v="0"/>
    <n v="0"/>
    <n v="75.5"/>
    <n v="0"/>
    <n v="0"/>
    <n v="683.5"/>
    <n v="32.5"/>
    <n v="0"/>
    <s v="BANSWARA"/>
    <s v="DUNGARPUR"/>
    <s v="RJ-UDAIPUR"/>
    <d v="2017-08-26T00:00:00"/>
  </r>
  <r>
    <s v="806828178764"/>
    <x v="2593"/>
    <s v="AMBIKA TRADERS"/>
    <n v="178764"/>
    <s v="PERFECT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"/>
    <s v="DUNGARPUR"/>
    <s v="RJ-UDAIPUR"/>
    <d v="2017-09-01T00:00:00"/>
  </r>
  <r>
    <s v="807265119066"/>
    <x v="2594"/>
    <s v="PREM CHAND KALAL"/>
    <n v="119066"/>
    <s v="RAJENDRA KUMAR RATAN LAL JAIN"/>
    <n v="10"/>
    <n v="0"/>
    <n v="0"/>
    <n v="0"/>
    <n v="0"/>
    <n v="0"/>
    <n v="0"/>
    <n v="0"/>
    <n v="0"/>
    <n v="35"/>
    <n v="0"/>
    <n v="0"/>
    <n v="0"/>
    <n v="0"/>
    <n v="0"/>
    <n v="51.5"/>
    <n v="0"/>
    <n v="0"/>
    <n v="0"/>
    <n v="0"/>
    <n v="0"/>
    <n v="0"/>
    <n v="0"/>
    <n v="0"/>
    <n v="96.5"/>
    <n v="0"/>
    <n v="0"/>
    <s v="BANSWARA"/>
    <s v="DUNGARPUR"/>
    <s v="RJ-UDAIPUR"/>
    <d v="2018-11-27T00:00:00"/>
  </r>
  <r>
    <s v="807430119066"/>
    <x v="2595"/>
    <s v="ANIKET BUILDING MATERIAL"/>
    <n v="119066"/>
    <s v="RAJENDRA KUMAR RATAN LAL JAIN"/>
    <n v="0"/>
    <n v="0"/>
    <n v="0"/>
    <n v="0"/>
    <n v="0"/>
    <n v="0"/>
    <n v="45"/>
    <n v="0"/>
    <n v="0"/>
    <n v="86.25"/>
    <n v="16.25"/>
    <n v="0"/>
    <n v="131.19999999999999"/>
    <n v="57.2"/>
    <n v="0"/>
    <n v="114.25"/>
    <n v="15"/>
    <n v="0"/>
    <n v="53.75"/>
    <n v="0"/>
    <n v="7"/>
    <n v="136.9"/>
    <n v="34.950000000000003"/>
    <n v="0"/>
    <n v="567.35"/>
    <n v="88.45"/>
    <n v="7"/>
    <s v="BANSWARA"/>
    <s v="DUNGARPUR"/>
    <s v="RJ-UDAIPUR"/>
    <d v="2018-12-27T00:00:00"/>
  </r>
  <r>
    <s v="807997142269"/>
    <x v="2596"/>
    <s v="GOVIND KALAL"/>
    <n v="142269"/>
    <s v="CHAMUNDA BUILDING MATERIAL SU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"/>
    <s v="DUNGARPUR"/>
    <s v="RJ-UDAIPUR"/>
    <d v="2018-02-10T00:00:00"/>
  </r>
  <r>
    <s v="808313140960"/>
    <x v="2597"/>
    <s v="JAYDEEP KRISHI FARM"/>
    <n v="140960"/>
    <s v="HARI OM CEMENT SUPPLIERS"/>
    <n v="0"/>
    <n v="0"/>
    <n v="0"/>
    <n v="20"/>
    <n v="0"/>
    <n v="0"/>
    <n v="17.5"/>
    <n v="0"/>
    <n v="0"/>
    <n v="0"/>
    <n v="0"/>
    <n v="0"/>
    <n v="0"/>
    <n v="0"/>
    <n v="0"/>
    <n v="55"/>
    <n v="0"/>
    <n v="0"/>
    <n v="35"/>
    <n v="0"/>
    <n v="0"/>
    <n v="0"/>
    <n v="0"/>
    <n v="0"/>
    <n v="127.5"/>
    <n v="0"/>
    <n v="0"/>
    <s v="BANSWARA"/>
    <s v="DUNGARPUR"/>
    <s v="RJ-UDAIPUR"/>
    <d v="2018-05-05T00:00:00"/>
  </r>
  <r>
    <s v="808317119066"/>
    <x v="2598"/>
    <s v="RANJANA PANCHAL"/>
    <n v="119066"/>
    <s v="RAJENDRA KUMAR RATAN LAL JAIN"/>
    <n v="75"/>
    <n v="0"/>
    <n v="0"/>
    <n v="70"/>
    <n v="0"/>
    <n v="0"/>
    <n v="125"/>
    <n v="0"/>
    <n v="20"/>
    <n v="105"/>
    <n v="0"/>
    <n v="35"/>
    <n v="9"/>
    <n v="0"/>
    <n v="9"/>
    <n v="110"/>
    <n v="0"/>
    <n v="0"/>
    <n v="0"/>
    <n v="0"/>
    <n v="0"/>
    <n v="80"/>
    <n v="0"/>
    <n v="10"/>
    <n v="574"/>
    <n v="0"/>
    <n v="64"/>
    <s v="BANSWARA"/>
    <s v="DUNGARPUR"/>
    <s v="RJ-UDAIPUR"/>
    <d v="2018-05-05T00:00:00"/>
  </r>
  <r>
    <s v="808318119066"/>
    <x v="2599"/>
    <s v="MAHALAXMI TRADERS"/>
    <n v="119066"/>
    <s v="RAJENDRA KUMAR RATAN LAL JAIN"/>
    <n v="75"/>
    <n v="0"/>
    <n v="0"/>
    <n v="85"/>
    <n v="0"/>
    <n v="0"/>
    <n v="0"/>
    <n v="0"/>
    <n v="0"/>
    <n v="35"/>
    <n v="0"/>
    <n v="0"/>
    <n v="0"/>
    <n v="0"/>
    <n v="0"/>
    <n v="50"/>
    <n v="0"/>
    <n v="0"/>
    <n v="35"/>
    <n v="0"/>
    <n v="0"/>
    <n v="0"/>
    <n v="0"/>
    <n v="0"/>
    <n v="280"/>
    <n v="0"/>
    <n v="0"/>
    <s v="BANSWARA"/>
    <s v="DUNGARPUR"/>
    <s v="RJ-UDAIPUR"/>
    <d v="2018-05-05T00:00:00"/>
  </r>
  <r>
    <s v="808330178764"/>
    <x v="2600"/>
    <s v="GREEN PALACE FARM"/>
    <n v="178764"/>
    <s v="PERFECT TRADERS"/>
    <n v="15"/>
    <n v="0"/>
    <n v="0"/>
    <n v="15"/>
    <n v="0"/>
    <n v="0"/>
    <n v="40"/>
    <n v="0"/>
    <n v="0"/>
    <n v="38"/>
    <n v="0"/>
    <n v="0"/>
    <n v="0"/>
    <n v="0"/>
    <n v="0"/>
    <n v="20"/>
    <n v="0"/>
    <n v="0"/>
    <n v="0"/>
    <n v="0"/>
    <n v="0"/>
    <n v="30"/>
    <n v="0"/>
    <n v="0"/>
    <n v="158"/>
    <n v="0"/>
    <n v="0"/>
    <s v="BANSWARA"/>
    <s v="DUNGARPUR"/>
    <s v="RJ-UDAIPUR"/>
    <d v="2018-05-08T00:00:00"/>
  </r>
  <r>
    <s v="808491119066"/>
    <x v="2601"/>
    <s v="SUNAYANA JAIN"/>
    <n v="119066"/>
    <s v="RAJENDRA KUMAR RATAN LAL JAIN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BANSWARA"/>
    <s v="DUNGARPUR"/>
    <s v="RJ-UDAIPUR"/>
    <d v="2018-05-31T00:00:00"/>
  </r>
  <r>
    <s v="808676172872"/>
    <x v="2602"/>
    <s v="GARASIYA BUILDING MATERIAL SUP"/>
    <n v="172872"/>
    <s v="HARSAD KUMAR KHEM CHAND"/>
    <n v="10"/>
    <n v="0"/>
    <n v="0"/>
    <n v="10"/>
    <n v="0"/>
    <n v="0"/>
    <n v="30"/>
    <n v="15"/>
    <n v="0"/>
    <n v="0"/>
    <n v="0"/>
    <n v="0"/>
    <n v="0"/>
    <n v="0"/>
    <n v="0"/>
    <n v="0"/>
    <n v="0"/>
    <n v="0"/>
    <n v="0"/>
    <n v="0"/>
    <n v="0"/>
    <n v="0"/>
    <n v="0"/>
    <n v="0"/>
    <n v="50"/>
    <n v="15"/>
    <n v="0"/>
    <s v="BANSWARA"/>
    <s v="DUNGARPUR"/>
    <s v="RJ-UDAIPUR"/>
    <d v="2018-07-18T00:00:00"/>
  </r>
  <r>
    <s v="808677178764"/>
    <x v="2603"/>
    <s v="GAUTAM LAL PATIDAR CONTRACTOR"/>
    <n v="178764"/>
    <s v="PERFECT TRADERS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BANSWARA"/>
    <s v="DUNGARPUR"/>
    <s v="RJ-UDAIPUR"/>
    <d v="2018-07-18T00:00:00"/>
  </r>
  <r>
    <s v="808938178764"/>
    <x v="2604"/>
    <s v="MANILAL BUNKAR"/>
    <n v="178764"/>
    <s v="PERFECT TRADERS"/>
    <n v="37.5"/>
    <n v="0"/>
    <n v="0"/>
    <n v="64.5"/>
    <n v="0"/>
    <n v="0"/>
    <n v="102.5"/>
    <n v="0"/>
    <n v="10"/>
    <n v="57.5"/>
    <n v="0"/>
    <n v="0"/>
    <n v="15"/>
    <n v="0"/>
    <n v="0"/>
    <n v="62.5"/>
    <n v="0"/>
    <n v="0"/>
    <n v="71.75"/>
    <n v="0"/>
    <n v="22.25"/>
    <n v="32.5"/>
    <n v="0"/>
    <n v="15"/>
    <n v="443.75"/>
    <n v="0"/>
    <n v="32.25"/>
    <s v="BANSWARA"/>
    <s v="DUNGARPUR"/>
    <s v="RJ-UDAIPUR"/>
    <d v="2018-07-13T00:00:00"/>
  </r>
  <r>
    <s v="808941122377"/>
    <x v="2605"/>
    <s v="PATIDAR KRISHI SEWA KENDRA"/>
    <n v="122377"/>
    <s v="NILKANTH CONSTRUCTION"/>
    <n v="20"/>
    <n v="0"/>
    <n v="0"/>
    <n v="17.5"/>
    <n v="0"/>
    <n v="0"/>
    <n v="82.5"/>
    <n v="0"/>
    <n v="10"/>
    <n v="41.5"/>
    <n v="0"/>
    <n v="0"/>
    <n v="27.5"/>
    <n v="0"/>
    <n v="0"/>
    <n v="15"/>
    <n v="0"/>
    <n v="0"/>
    <n v="10"/>
    <n v="0"/>
    <n v="0"/>
    <n v="45"/>
    <n v="0"/>
    <n v="0"/>
    <n v="259"/>
    <n v="0"/>
    <n v="10"/>
    <s v="BANSWARA"/>
    <s v="DUNGARPUR"/>
    <s v="RJ-UDAIPUR"/>
    <d v="2018-07-13T00:00:00"/>
  </r>
  <r>
    <s v="809142178764"/>
    <x v="2606"/>
    <s v="MEHTA SANITARY &amp; HARDWARE"/>
    <n v="178764"/>
    <s v="PERFECT TRADERS"/>
    <n v="105"/>
    <n v="0"/>
    <n v="0"/>
    <n v="115"/>
    <n v="0"/>
    <n v="0"/>
    <n v="152.5"/>
    <n v="0"/>
    <n v="10"/>
    <n v="165"/>
    <n v="20"/>
    <n v="10"/>
    <n v="100"/>
    <n v="20"/>
    <n v="0"/>
    <n v="115"/>
    <n v="0"/>
    <n v="0"/>
    <n v="110"/>
    <n v="20"/>
    <n v="0"/>
    <n v="95"/>
    <n v="20"/>
    <n v="0"/>
    <n v="957.5"/>
    <n v="60"/>
    <n v="20"/>
    <s v="BANSWARA"/>
    <s v="DUNGARPUR"/>
    <s v="RJ-UDAIPUR"/>
    <d v="2019-02-16T00:00:00"/>
  </r>
  <r>
    <s v="809221122377"/>
    <x v="2607"/>
    <s v="STAR CONSTRUCTION"/>
    <n v="122377"/>
    <s v="NILKANTH CONSTRUC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"/>
    <s v="DUNGARPUR"/>
    <s v="RJ-UDAIPUR"/>
    <d v="2019-03-02T00:00:00"/>
  </r>
  <r>
    <s v="809423142269"/>
    <x v="2608"/>
    <s v="MAHADEV CONSTRUCTION"/>
    <n v="142269"/>
    <s v="CHAMUNDA BUILDING MATERIAL SUP"/>
    <n v="0"/>
    <n v="0"/>
    <n v="0"/>
    <n v="0"/>
    <n v="0"/>
    <n v="0"/>
    <n v="0"/>
    <n v="0"/>
    <n v="0"/>
    <n v="35"/>
    <n v="0"/>
    <n v="0"/>
    <n v="35"/>
    <n v="0"/>
    <n v="0"/>
    <n v="0"/>
    <n v="0"/>
    <n v="0"/>
    <n v="0"/>
    <n v="0"/>
    <n v="0"/>
    <n v="35"/>
    <n v="0"/>
    <n v="0"/>
    <n v="105"/>
    <n v="0"/>
    <n v="0"/>
    <s v="BANSWARA"/>
    <s v="DUNGARPUR"/>
    <s v="RJ-UDAIPUR"/>
    <d v="2019-04-23T00:00:00"/>
  </r>
  <r>
    <s v="809457122377"/>
    <x v="2609"/>
    <s v="KANTI LAL PANCHAL"/>
    <n v="122377"/>
    <s v="NILKANTH CONSTRUCTION"/>
    <n v="42.5"/>
    <n v="0"/>
    <n v="0"/>
    <n v="52.5"/>
    <n v="0"/>
    <n v="0"/>
    <n v="45"/>
    <n v="0"/>
    <n v="0"/>
    <n v="0"/>
    <n v="0"/>
    <n v="0"/>
    <n v="60"/>
    <n v="0"/>
    <n v="0"/>
    <n v="20"/>
    <n v="0"/>
    <n v="0"/>
    <n v="35"/>
    <n v="0"/>
    <n v="0"/>
    <n v="35"/>
    <n v="0"/>
    <n v="0"/>
    <n v="290"/>
    <n v="0"/>
    <n v="0"/>
    <s v="BANSWARA"/>
    <s v="DUNGARPUR"/>
    <s v="RJ-UDAIPUR"/>
    <d v="2019-04-30T00:00:00"/>
  </r>
  <r>
    <s v="809989119066"/>
    <x v="2610"/>
    <s v="VIKAS CONSTRUCTION AND BUILDIN"/>
    <n v="119066"/>
    <s v="RAJENDRA KUMAR RATAN LAL JAIN"/>
    <n v="83.75"/>
    <n v="0"/>
    <n v="0"/>
    <n v="70"/>
    <n v="0"/>
    <n v="0"/>
    <n v="103"/>
    <n v="0"/>
    <n v="0"/>
    <n v="90"/>
    <n v="0"/>
    <n v="29"/>
    <n v="50"/>
    <n v="0"/>
    <n v="0"/>
    <n v="61"/>
    <n v="10"/>
    <n v="11"/>
    <n v="0"/>
    <n v="0"/>
    <n v="0"/>
    <n v="51"/>
    <n v="0"/>
    <n v="0"/>
    <n v="508.75"/>
    <n v="10"/>
    <n v="40"/>
    <s v="BANSWARA"/>
    <s v="DUNGARPUR"/>
    <s v="RJ-UDAIPUR"/>
    <d v="2019-07-20T00:00:00"/>
  </r>
  <r>
    <s v="810158119066"/>
    <x v="2611"/>
    <s v="HEER ENTERPRISES"/>
    <n v="119066"/>
    <s v="RAJENDRA KUMAR RATAN LAL JAIN"/>
    <n v="0"/>
    <n v="0"/>
    <n v="0"/>
    <n v="0"/>
    <n v="0"/>
    <n v="0"/>
    <n v="0"/>
    <n v="0"/>
    <n v="0"/>
    <n v="0"/>
    <n v="0"/>
    <n v="0"/>
    <n v="10"/>
    <n v="0"/>
    <n v="0"/>
    <n v="5"/>
    <n v="0"/>
    <n v="0"/>
    <n v="0"/>
    <n v="0"/>
    <n v="0"/>
    <n v="0"/>
    <n v="0"/>
    <n v="0"/>
    <n v="15"/>
    <n v="0"/>
    <n v="0"/>
    <s v="BANSWARA"/>
    <s v="DUNGARPUR"/>
    <s v="RJ-UDAIPUR"/>
    <d v="2019-08-05T00:00:00"/>
  </r>
  <r>
    <s v="810839122377"/>
    <x v="2612"/>
    <s v="MAESTRO NAGRIK SEVA KENDRA"/>
    <n v="122377"/>
    <s v="NILKANTH CONSTRUCTION"/>
    <n v="200"/>
    <n v="0"/>
    <n v="0"/>
    <n v="132.5"/>
    <n v="17.5"/>
    <n v="0"/>
    <n v="192.5"/>
    <n v="15"/>
    <n v="15"/>
    <n v="92.5"/>
    <n v="0"/>
    <n v="0"/>
    <n v="35"/>
    <n v="0"/>
    <n v="0"/>
    <n v="105"/>
    <n v="0"/>
    <n v="0"/>
    <n v="50"/>
    <n v="0"/>
    <n v="0"/>
    <n v="52.5"/>
    <n v="0"/>
    <n v="0"/>
    <n v="860"/>
    <n v="32.5"/>
    <n v="15"/>
    <s v="BANSWARA"/>
    <s v="DUNGARPUR"/>
    <s v="RJ-UDAIPUR"/>
    <d v="2019-11-25T00:00:00"/>
  </r>
  <r>
    <s v="810907142269"/>
    <x v="2613"/>
    <s v="TEJA CONSTRUCTION"/>
    <n v="142269"/>
    <s v="CHAMUNDA BUILDING MATERIAL SUP"/>
    <n v="0"/>
    <n v="0"/>
    <n v="0"/>
    <n v="0"/>
    <n v="0"/>
    <n v="0"/>
    <n v="0"/>
    <n v="0"/>
    <n v="0"/>
    <n v="0"/>
    <n v="0"/>
    <n v="0"/>
    <n v="0"/>
    <n v="0"/>
    <n v="0"/>
    <n v="15"/>
    <n v="5"/>
    <n v="0"/>
    <n v="15"/>
    <n v="0"/>
    <n v="0"/>
    <n v="15"/>
    <n v="0"/>
    <n v="0"/>
    <n v="45"/>
    <n v="5"/>
    <n v="0"/>
    <s v="BANSWARA"/>
    <s v="DUNGARPUR"/>
    <s v="RJ-UDAIPUR"/>
    <d v="2019-12-04T00:00:00"/>
  </r>
  <r>
    <s v="811253119066"/>
    <x v="2614"/>
    <s v="GALAXY AGENCY"/>
    <n v="119066"/>
    <s v="RAJENDRA KUMAR RATAN LAL JAI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"/>
    <s v="DUNGARPUR"/>
    <s v="RJ-UDAIPUR"/>
    <d v="2020-01-14T00:00:00"/>
  </r>
  <r>
    <s v="811385142269"/>
    <x v="2615"/>
    <s v="GARV CONSTRUCTION"/>
    <n v="142269"/>
    <s v="CHAMUNDA BUILDING MATERIAL SUP"/>
    <n v="0"/>
    <n v="0"/>
    <n v="0"/>
    <n v="25"/>
    <n v="0"/>
    <n v="0"/>
    <n v="100"/>
    <n v="0"/>
    <n v="0"/>
    <n v="55"/>
    <n v="0"/>
    <n v="0"/>
    <n v="0"/>
    <n v="0"/>
    <n v="0"/>
    <n v="15"/>
    <n v="0"/>
    <n v="0"/>
    <n v="15"/>
    <n v="0"/>
    <n v="15"/>
    <n v="20"/>
    <n v="0"/>
    <n v="0"/>
    <n v="230"/>
    <n v="0"/>
    <n v="15"/>
    <s v="BANSWARA"/>
    <s v="DUNGARPUR"/>
    <s v="RJ-UDAIPUR"/>
    <d v="2020-01-31T00:00:00"/>
  </r>
  <r>
    <s v="811386119066"/>
    <x v="2616"/>
    <s v="LUCKY TRADERS"/>
    <n v="119066"/>
    <s v="RAJENDRA KUMAR RATAN LAL JAIN"/>
    <n v="22"/>
    <n v="0"/>
    <n v="0"/>
    <n v="71.95"/>
    <n v="0"/>
    <n v="0"/>
    <n v="140.25"/>
    <n v="0"/>
    <n v="9.5"/>
    <n v="70"/>
    <n v="0"/>
    <n v="10"/>
    <n v="60"/>
    <n v="10"/>
    <n v="0"/>
    <n v="110"/>
    <n v="10"/>
    <n v="0"/>
    <n v="77.5"/>
    <n v="0"/>
    <n v="0"/>
    <n v="51"/>
    <n v="0"/>
    <n v="0"/>
    <n v="602.70000000000005"/>
    <n v="20"/>
    <n v="19.5"/>
    <s v="BANSWARA"/>
    <s v="DUNGARPUR"/>
    <s v="RJ-UDAIPUR"/>
    <d v="2020-01-31T00:00:00"/>
  </r>
  <r>
    <s v="811514178764"/>
    <x v="2617"/>
    <s v="AKBAR ALI AZIZ"/>
    <n v="178764"/>
    <s v="PERFECT TRADERS"/>
    <n v="312.5"/>
    <n v="0"/>
    <n v="0"/>
    <n v="135"/>
    <n v="0"/>
    <n v="0"/>
    <n v="145"/>
    <n v="0"/>
    <n v="15"/>
    <n v="125"/>
    <n v="0"/>
    <n v="15"/>
    <n v="85"/>
    <n v="0"/>
    <n v="0"/>
    <n v="90"/>
    <n v="0"/>
    <n v="15"/>
    <n v="118"/>
    <n v="15"/>
    <n v="15"/>
    <n v="180"/>
    <n v="15"/>
    <n v="0"/>
    <n v="1190.5"/>
    <n v="15"/>
    <n v="60"/>
    <s v="BANSWARA"/>
    <s v="DUNGARPUR"/>
    <s v="RJ-UDAIPUR"/>
    <d v="2020-02-14T00:00:00"/>
  </r>
  <r>
    <s v="811543119066"/>
    <x v="2618"/>
    <s v="VAIBHAV LAXMI ENTERPRISES"/>
    <n v="119066"/>
    <s v="RAJENDRA KUMAR RATAN LAL JAIN"/>
    <n v="0"/>
    <n v="0"/>
    <n v="0"/>
    <n v="10"/>
    <n v="0"/>
    <n v="0"/>
    <n v="10"/>
    <n v="0"/>
    <n v="0"/>
    <n v="7"/>
    <n v="0"/>
    <n v="0"/>
    <n v="10"/>
    <n v="0"/>
    <n v="0"/>
    <n v="27.5"/>
    <n v="0"/>
    <n v="0"/>
    <n v="25"/>
    <n v="0"/>
    <n v="0"/>
    <n v="15"/>
    <n v="0"/>
    <n v="0"/>
    <n v="104.5"/>
    <n v="0"/>
    <n v="0"/>
    <s v="BANSWARA"/>
    <s v="DUNGARPUR"/>
    <s v="RJ-UDAIPUR"/>
    <d v="2020-02-20T00:00:00"/>
  </r>
  <r>
    <s v="811776119066"/>
    <x v="2619"/>
    <s v="VIDHYA SAGAR TRADERS"/>
    <n v="119066"/>
    <s v="RAJENDRA KUMAR RATAN LAL JAIN"/>
    <n v="0"/>
    <n v="0"/>
    <n v="0"/>
    <n v="0"/>
    <n v="0"/>
    <n v="0"/>
    <n v="0"/>
    <n v="0"/>
    <n v="0"/>
    <n v="0"/>
    <n v="0"/>
    <n v="0"/>
    <n v="5"/>
    <n v="0"/>
    <n v="0"/>
    <n v="15"/>
    <n v="0"/>
    <n v="0"/>
    <n v="35"/>
    <n v="0"/>
    <n v="0"/>
    <n v="0"/>
    <n v="0"/>
    <n v="0"/>
    <n v="55"/>
    <n v="0"/>
    <n v="0"/>
    <s v="BANSWARA"/>
    <s v="DUNGARPUR"/>
    <s v="RJ-UDAIPUR"/>
    <d v="2020-03-20T00:00:00"/>
  </r>
  <r>
    <s v="812705142269"/>
    <x v="2620"/>
    <s v="MATESHWARI CEMENT SUPPLIERS"/>
    <n v="142269"/>
    <s v="CHAMUNDA BUILDING MATERIAL SUP"/>
    <n v="0"/>
    <n v="0"/>
    <n v="0"/>
    <n v="0"/>
    <n v="0"/>
    <n v="0"/>
    <n v="10"/>
    <n v="0"/>
    <n v="0"/>
    <n v="30"/>
    <n v="0"/>
    <n v="0"/>
    <n v="0"/>
    <n v="0"/>
    <n v="0"/>
    <n v="20"/>
    <n v="0"/>
    <n v="0"/>
    <n v="10"/>
    <n v="0"/>
    <n v="0"/>
    <n v="10"/>
    <n v="0"/>
    <n v="0"/>
    <n v="80"/>
    <n v="0"/>
    <n v="0"/>
    <s v="BANSWARA"/>
    <s v="DUNGARPUR"/>
    <s v="RJ-UDAIPUR"/>
    <d v="2020-08-29T00:00:00"/>
  </r>
  <r>
    <s v="812730119066"/>
    <x v="2621"/>
    <s v="BHOLENATH CONSTRUCTION"/>
    <n v="119066"/>
    <s v="RAJENDRA KUMAR RATAN LAL JAIN"/>
    <n v="0"/>
    <n v="0"/>
    <n v="0"/>
    <n v="10"/>
    <n v="0"/>
    <n v="0"/>
    <n v="67"/>
    <n v="0"/>
    <n v="0"/>
    <n v="0"/>
    <n v="0"/>
    <n v="0"/>
    <n v="0"/>
    <n v="0"/>
    <n v="0"/>
    <n v="0"/>
    <n v="0"/>
    <n v="0"/>
    <n v="0"/>
    <n v="0"/>
    <n v="0"/>
    <n v="76"/>
    <n v="0"/>
    <n v="0"/>
    <n v="153"/>
    <n v="0"/>
    <n v="0"/>
    <s v="BANSWARA"/>
    <s v="DUNGARPUR"/>
    <s v="RJ-UDAIPUR"/>
    <d v="2020-08-31T00:00:00"/>
  </r>
  <r>
    <s v="812759119066"/>
    <x v="2622"/>
    <s v="VINAYAK TRADERS"/>
    <n v="119066"/>
    <s v="RAJENDRA KUMAR RATAN LAL JAIN"/>
    <n v="206.5"/>
    <n v="0"/>
    <n v="0"/>
    <n v="60"/>
    <n v="0"/>
    <n v="0"/>
    <n v="59.25"/>
    <n v="1.25"/>
    <n v="0"/>
    <n v="55"/>
    <n v="0"/>
    <n v="0"/>
    <n v="58.5"/>
    <n v="0"/>
    <n v="0"/>
    <n v="127.25"/>
    <n v="13.25"/>
    <n v="0"/>
    <n v="92"/>
    <n v="10"/>
    <n v="0"/>
    <n v="199.8"/>
    <n v="0"/>
    <n v="19.8"/>
    <n v="858.3"/>
    <n v="24.5"/>
    <n v="0"/>
    <s v="BANSWARA"/>
    <s v="DUNGARPUR"/>
    <s v="RJ-UDAIPUR"/>
    <d v="2020-09-02T00:00:00"/>
  </r>
  <r>
    <s v="813198142269"/>
    <x v="2623"/>
    <s v="R K TRADERS"/>
    <n v="142269"/>
    <s v="CHAMUNDA BUILDING MATERIAL SUP"/>
    <n v="30"/>
    <n v="0"/>
    <n v="0"/>
    <n v="45"/>
    <n v="0"/>
    <n v="0"/>
    <n v="75"/>
    <n v="0"/>
    <n v="10"/>
    <n v="65"/>
    <n v="0"/>
    <n v="0"/>
    <n v="10"/>
    <n v="0"/>
    <n v="0"/>
    <n v="50"/>
    <n v="0"/>
    <n v="0"/>
    <n v="40"/>
    <n v="0"/>
    <n v="20"/>
    <n v="50"/>
    <n v="0"/>
    <n v="0"/>
    <n v="365"/>
    <n v="0"/>
    <n v="30"/>
    <s v="BANSWARA"/>
    <s v="DUNGARPUR"/>
    <s v="RJ-UDAIPUR"/>
    <d v="2020-10-07T00:00:00"/>
  </r>
  <r>
    <s v="813254122377"/>
    <x v="2624"/>
    <s v="MAA KHEMAJ CONSTRUCTION &amp; SUPP"/>
    <n v="122377"/>
    <s v="NILKANTH CONSTRUCTION"/>
    <n v="17.5"/>
    <n v="0"/>
    <n v="0"/>
    <n v="17.5"/>
    <n v="0"/>
    <n v="0"/>
    <n v="35"/>
    <n v="0"/>
    <n v="0"/>
    <n v="20"/>
    <n v="0"/>
    <n v="0"/>
    <n v="45"/>
    <n v="0"/>
    <n v="0"/>
    <n v="25"/>
    <n v="0"/>
    <n v="0"/>
    <n v="80"/>
    <n v="0"/>
    <n v="0"/>
    <n v="15"/>
    <n v="0"/>
    <n v="0"/>
    <n v="255"/>
    <n v="0"/>
    <n v="0"/>
    <s v="BANSWARA"/>
    <s v="DUNGARPUR"/>
    <s v="RJ-UDAIPUR"/>
    <d v="2020-10-12T00:00:00"/>
  </r>
  <r>
    <s v="813256119066"/>
    <x v="2625"/>
    <s v="BHAWANI &amp; BROTHERS"/>
    <n v="119066"/>
    <s v="RAJENDRA KUMAR RATAN LAL JAIN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s v="BANSWARA"/>
    <s v="DUNGARPUR"/>
    <s v="RJ-UDAIPUR"/>
    <d v="2020-10-12T00:00:00"/>
  </r>
  <r>
    <s v="813257201162"/>
    <x v="2626"/>
    <s v="NIRMALA GARASIYA"/>
    <n v="201162"/>
    <s v="SANDEEP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"/>
    <s v="DUNGARPUR"/>
    <s v="RJ-UDAIPUR"/>
    <d v="2020-10-12T00:00:00"/>
  </r>
  <r>
    <s v="813293119066"/>
    <x v="2627"/>
    <s v="NILESH &amp; BROTHERS"/>
    <n v="119066"/>
    <s v="RAJENDRA KUMAR RATAN LAL JAIN"/>
    <n v="0"/>
    <n v="0"/>
    <n v="0"/>
    <n v="15"/>
    <n v="0"/>
    <n v="0"/>
    <n v="10"/>
    <n v="0"/>
    <n v="0"/>
    <n v="35"/>
    <n v="0"/>
    <n v="0"/>
    <n v="0"/>
    <n v="0"/>
    <n v="0"/>
    <n v="0"/>
    <n v="0"/>
    <n v="0"/>
    <n v="60"/>
    <n v="0"/>
    <n v="0"/>
    <n v="0"/>
    <n v="0"/>
    <n v="0"/>
    <n v="120"/>
    <n v="0"/>
    <n v="0"/>
    <s v="BANSWARA"/>
    <s v="DUNGARPUR"/>
    <s v="RJ-UDAIPUR"/>
    <d v="2020-10-15T00:00:00"/>
  </r>
  <r>
    <s v="813829140984"/>
    <x v="2628"/>
    <s v="SANJAY KUMAR PURUSHOTAM SHAH"/>
    <n v="140984"/>
    <s v="SHIVANG SAINETORY &amp; HARDWARE"/>
    <n v="90"/>
    <n v="0"/>
    <n v="0"/>
    <n v="140"/>
    <n v="20"/>
    <n v="0"/>
    <n v="270"/>
    <n v="20"/>
    <n v="20"/>
    <n v="165"/>
    <n v="0"/>
    <n v="0"/>
    <n v="145"/>
    <n v="10"/>
    <n v="0"/>
    <n v="77.5"/>
    <n v="0"/>
    <n v="17.5"/>
    <n v="65"/>
    <n v="0"/>
    <n v="15"/>
    <n v="0"/>
    <n v="0"/>
    <n v="0"/>
    <n v="952.5"/>
    <n v="50"/>
    <n v="52.5"/>
    <s v="BANSWARA"/>
    <s v="DUNGARPUR"/>
    <s v="RJ-UDAIPUR"/>
    <d v="2020-12-14T00:00:00"/>
  </r>
  <r>
    <s v="813830140960"/>
    <x v="2629"/>
    <s v="HONEY TRADERS"/>
    <n v="140960"/>
    <s v="HARI OM CEMENT SUPPLIERS"/>
    <n v="0"/>
    <n v="0"/>
    <n v="0"/>
    <n v="7.5"/>
    <n v="0"/>
    <n v="0"/>
    <n v="60"/>
    <n v="0"/>
    <n v="0"/>
    <n v="0"/>
    <n v="0"/>
    <n v="0"/>
    <n v="0"/>
    <n v="0"/>
    <n v="0"/>
    <n v="0"/>
    <n v="0"/>
    <n v="0"/>
    <n v="20"/>
    <n v="0"/>
    <n v="0"/>
    <n v="0"/>
    <n v="0"/>
    <n v="0"/>
    <n v="87.5"/>
    <n v="0"/>
    <n v="0"/>
    <s v="BANSWARA"/>
    <s v="DUNGARPUR"/>
    <s v="RJ-UDAIPUR"/>
    <d v="2020-12-14T00:00:00"/>
  </r>
  <r>
    <s v="813933172798"/>
    <x v="2630"/>
    <s v="MOKSHI ENTERPRISES"/>
    <n v="172798"/>
    <s v="PANKAJ TRADERS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10"/>
    <n v="0"/>
    <n v="0"/>
    <s v="BANSWARA"/>
    <s v="DUNGARPUR"/>
    <s v="RJ-UDAIPUR"/>
    <d v="2020-12-24T00:00:00"/>
  </r>
  <r>
    <s v="813979203968"/>
    <x v="2631"/>
    <s v="MAA ASHAPURA BUILDING MATERIAL"/>
    <n v="203968"/>
    <s v="J J INFRA BUIL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"/>
    <s v="DUNGARPUR"/>
    <s v="RJ-UDAIPUR"/>
    <d v="2020-12-26T00:00:00"/>
  </r>
  <r>
    <s v="814084142269"/>
    <x v="2632"/>
    <s v="R B CONSTRUCTION"/>
    <n v="142269"/>
    <s v="CHAMUNDA BUILDING MATERIAL SUP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s v="BANSWARA"/>
    <s v="DUNGARPUR"/>
    <s v="RJ-UDAIPUR"/>
    <d v="2021-01-06T00:00:00"/>
  </r>
  <r>
    <s v="814346201162"/>
    <x v="2633"/>
    <s v="PATEL SUPPLIERS"/>
    <n v="201162"/>
    <s v="SANDEEP TRADERS"/>
    <n v="45"/>
    <n v="0"/>
    <n v="0"/>
    <n v="60"/>
    <n v="0"/>
    <n v="0"/>
    <n v="65"/>
    <n v="0"/>
    <n v="0"/>
    <n v="25"/>
    <n v="0"/>
    <n v="0"/>
    <n v="15"/>
    <n v="0"/>
    <n v="0"/>
    <n v="70"/>
    <n v="0"/>
    <n v="0"/>
    <n v="0"/>
    <n v="0"/>
    <n v="0"/>
    <n v="35"/>
    <n v="0"/>
    <n v="0"/>
    <n v="315"/>
    <n v="0"/>
    <n v="0"/>
    <s v="BANSWARA"/>
    <s v="DUNGARPUR"/>
    <s v="RJ-UDAIPUR"/>
    <d v="2021-01-30T00:00:00"/>
  </r>
  <r>
    <s v="814387119066"/>
    <x v="2634"/>
    <s v="KHODIYAR CONSTRUCTION &amp; DEVELO"/>
    <n v="119066"/>
    <s v="RAJENDRA KUMAR RATAN LAL JAIN"/>
    <n v="0"/>
    <n v="0"/>
    <n v="0"/>
    <n v="0"/>
    <n v="0"/>
    <n v="0"/>
    <n v="0"/>
    <n v="0"/>
    <n v="0"/>
    <n v="0"/>
    <n v="0"/>
    <n v="0"/>
    <n v="10"/>
    <n v="0"/>
    <n v="0"/>
    <n v="5"/>
    <n v="0"/>
    <n v="0"/>
    <n v="0"/>
    <n v="0"/>
    <n v="0"/>
    <n v="0"/>
    <n v="0"/>
    <n v="0"/>
    <n v="15"/>
    <n v="0"/>
    <n v="0"/>
    <s v="BANSWARA"/>
    <s v="DUNGARPUR"/>
    <s v="RJ-UDAIPUR"/>
    <d v="2021-02-04T00:00:00"/>
  </r>
  <r>
    <s v="814577119066"/>
    <x v="2635"/>
    <s v="KRISHNA PLYWOOD &amp; HARDWARE"/>
    <n v="119066"/>
    <s v="RAJENDRA KUMAR RATAN LAL JAIN"/>
    <n v="0"/>
    <n v="0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2.5"/>
    <n v="0"/>
    <n v="0"/>
    <s v="BANSWARA"/>
    <s v="DUNGARPUR"/>
    <s v="RJ-UDAIPUR"/>
    <d v="2021-02-23T00:00:00"/>
  </r>
  <r>
    <s v="814701178764"/>
    <x v="2636"/>
    <s v="HARSHIT BUILDING MATERIAL"/>
    <n v="178764"/>
    <s v="PERFECT TRADERS"/>
    <n v="32.5"/>
    <n v="0"/>
    <n v="0"/>
    <n v="65.5"/>
    <n v="0"/>
    <n v="0"/>
    <n v="95"/>
    <n v="0"/>
    <n v="0"/>
    <n v="67.5"/>
    <n v="0"/>
    <n v="20"/>
    <n v="50"/>
    <n v="0"/>
    <n v="0"/>
    <n v="47.5"/>
    <n v="0"/>
    <n v="0"/>
    <n v="62.5"/>
    <n v="0"/>
    <n v="0"/>
    <n v="52.5"/>
    <n v="0"/>
    <n v="20"/>
    <n v="473"/>
    <n v="0"/>
    <n v="20"/>
    <s v="BANSWARA"/>
    <s v="DUNGARPUR"/>
    <s v="RJ-UDAIPUR"/>
    <d v="2021-03-05T00:00:00"/>
  </r>
  <r>
    <s v="814824142269"/>
    <x v="2637"/>
    <s v="AKSHARA CEMENT SUPPLIERS"/>
    <n v="142269"/>
    <s v="CHAMUNDA BUILDING MATERIAL SUP"/>
    <n v="15"/>
    <n v="0"/>
    <n v="0"/>
    <n v="15"/>
    <n v="0"/>
    <n v="0"/>
    <n v="0"/>
    <n v="0"/>
    <n v="0"/>
    <n v="20"/>
    <n v="0"/>
    <n v="0"/>
    <n v="0"/>
    <n v="0"/>
    <n v="0"/>
    <n v="27.5"/>
    <n v="0"/>
    <n v="0"/>
    <n v="0"/>
    <n v="0"/>
    <n v="0"/>
    <n v="0"/>
    <n v="0"/>
    <n v="0"/>
    <n v="77.5"/>
    <n v="0"/>
    <n v="0"/>
    <s v="BANSWARA"/>
    <s v="DUNGARPUR"/>
    <s v="RJ-UDAIPUR"/>
    <d v="2021-03-23T00:00:00"/>
  </r>
  <r>
    <s v="814941119066"/>
    <x v="2638"/>
    <s v="NARESH TRADERS"/>
    <n v="119066"/>
    <s v="RAJENDRA KUMAR RATAN LAL JAIN"/>
    <n v="0"/>
    <n v="0"/>
    <n v="0"/>
    <n v="2.5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3.5"/>
    <n v="0"/>
    <n v="0"/>
    <s v="BANSWARA"/>
    <s v="DUNGARPUR"/>
    <s v="RJ-UDAIPUR"/>
    <d v="2021-04-13T00:00:00"/>
  </r>
  <r>
    <s v="815100119066"/>
    <x v="2639"/>
    <s v="RAJ TRADERS"/>
    <n v="119066"/>
    <s v="RAJENDRA KUMAR RATAN LAL JAIN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BANSWARA"/>
    <s v="DUNGARPUR"/>
    <s v="RJ-UDAIPUR"/>
    <d v="2021-05-31T00:00:00"/>
  </r>
  <r>
    <s v="815236119066"/>
    <x v="2640"/>
    <s v="KHOTHARI SAPLYRAYS AND CON"/>
    <n v="119066"/>
    <s v="RAJENDRA KUMAR RATAN LAL JAIN"/>
    <n v="1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5"/>
    <n v="0"/>
    <n v="0"/>
    <n v="26"/>
    <n v="0"/>
    <n v="0"/>
    <s v="BANSWARA"/>
    <s v="DUNGARPUR"/>
    <s v="RJ-UDAIPUR"/>
    <d v="2021-06-24T00:00:00"/>
  </r>
  <r>
    <s v="815394172798"/>
    <x v="2641"/>
    <s v="TRIPURA CEMENT SUPPLIERS"/>
    <n v="172798"/>
    <s v="PANKAJ TRADERS"/>
    <n v="0"/>
    <n v="0"/>
    <n v="0"/>
    <n v="65"/>
    <n v="0"/>
    <n v="0"/>
    <n v="80"/>
    <n v="0"/>
    <n v="0"/>
    <n v="15"/>
    <n v="0"/>
    <n v="0"/>
    <n v="15"/>
    <n v="0"/>
    <n v="0"/>
    <n v="0"/>
    <n v="0"/>
    <n v="0"/>
    <n v="35"/>
    <n v="0"/>
    <n v="0"/>
    <n v="45"/>
    <n v="0"/>
    <n v="0"/>
    <n v="255"/>
    <n v="0"/>
    <n v="0"/>
    <s v="BANSWARA"/>
    <s v="DUNGARPUR"/>
    <s v="RJ-UDAIPUR"/>
    <d v="2021-07-03T00:00:00"/>
  </r>
  <r>
    <s v="815395142269"/>
    <x v="2642"/>
    <s v="PANKAJ KUMAR DIXIT"/>
    <n v="142269"/>
    <s v="CHAMUNDA BUILDING MATERIAL SUP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s v="BANSWARA"/>
    <s v="DUNGARPUR"/>
    <s v="RJ-UDAIPUR"/>
    <d v="2021-07-03T00:00:00"/>
  </r>
  <r>
    <s v="815983140960"/>
    <x v="2643"/>
    <s v="HARIOM TRADERS"/>
    <n v="140960"/>
    <s v="HARI OM CEMENT SUPPLIERS"/>
    <n v="20"/>
    <n v="0"/>
    <n v="0"/>
    <n v="35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0"/>
    <n v="0"/>
    <s v="BANSWARA"/>
    <s v="DUNGARPUR"/>
    <s v="RJ-UDAIPUR"/>
    <d v="2021-08-18T00:00:00"/>
  </r>
  <r>
    <s v="815984140960"/>
    <x v="2644"/>
    <s v="DHULCHAND S/O HIMALA"/>
    <n v="140960"/>
    <s v="HARI OM CEMENT SUPPLIERS"/>
    <n v="50"/>
    <n v="0"/>
    <n v="0"/>
    <n v="35"/>
    <n v="0"/>
    <n v="0"/>
    <n v="57.5"/>
    <n v="0"/>
    <n v="0"/>
    <n v="0"/>
    <n v="0"/>
    <n v="0"/>
    <n v="0"/>
    <n v="0"/>
    <n v="0"/>
    <n v="15"/>
    <n v="0"/>
    <n v="0"/>
    <n v="0"/>
    <n v="0"/>
    <n v="0"/>
    <n v="0"/>
    <n v="0"/>
    <n v="0"/>
    <n v="157.5"/>
    <n v="0"/>
    <n v="0"/>
    <s v="BANSWARA"/>
    <s v="DUNGARPUR"/>
    <s v="RJ-UDAIPUR"/>
    <d v="2021-08-18T00:00:00"/>
  </r>
  <r>
    <s v="816088203968"/>
    <x v="2645"/>
    <s v="SHREE BALAJI ENTERPRISES"/>
    <n v="203968"/>
    <s v="J J INFRA BUIL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"/>
    <s v="DUNGARPUR"/>
    <s v="RJ-UDAIPUR"/>
    <d v="2021-08-24T00:00:00"/>
  </r>
  <r>
    <s v="816329119066"/>
    <x v="2646"/>
    <s v="ISHITA TRADERS"/>
    <n v="119066"/>
    <s v="RAJENDRA KUMAR RATAN LAL JAIN"/>
    <n v="108"/>
    <n v="0"/>
    <n v="0"/>
    <n v="40"/>
    <n v="0"/>
    <n v="0"/>
    <n v="145"/>
    <n v="0"/>
    <n v="15"/>
    <n v="95"/>
    <n v="0"/>
    <n v="25"/>
    <n v="135"/>
    <n v="12.5"/>
    <n v="0"/>
    <n v="0"/>
    <n v="0"/>
    <n v="0"/>
    <n v="0"/>
    <n v="0"/>
    <n v="0"/>
    <n v="0"/>
    <n v="0"/>
    <n v="0"/>
    <n v="523"/>
    <n v="12.5"/>
    <n v="40"/>
    <s v="BANSWARA"/>
    <s v="DUNGARPUR"/>
    <s v="RJ-UDAIPUR"/>
    <d v="2021-09-13T00:00:00"/>
  </r>
  <r>
    <s v="816330119066"/>
    <x v="2647"/>
    <s v="RAJASTHAN TRADERS"/>
    <n v="119066"/>
    <s v="RAJENDRA KUMAR RATAN LAL JAIN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5"/>
    <n v="0"/>
    <n v="0"/>
    <s v="BANSWARA"/>
    <s v="DUNGARPUR"/>
    <s v="RJ-UDAIPUR"/>
    <d v="2021-09-13T00:00:00"/>
  </r>
  <r>
    <s v="816368122377"/>
    <x v="2648"/>
    <s v="SHREE KASHT BHANJAN CONSTRUCTI"/>
    <n v="122377"/>
    <s v="NILKANTH CONSTRUCTION"/>
    <n v="27.5"/>
    <n v="0"/>
    <n v="0"/>
    <n v="35"/>
    <n v="0"/>
    <n v="0"/>
    <n v="0"/>
    <n v="0"/>
    <n v="0"/>
    <n v="10"/>
    <n v="0"/>
    <n v="0"/>
    <n v="10"/>
    <n v="0"/>
    <n v="0"/>
    <n v="0"/>
    <n v="0"/>
    <n v="0"/>
    <n v="25"/>
    <n v="0"/>
    <n v="10"/>
    <n v="15"/>
    <n v="0"/>
    <n v="0"/>
    <n v="122.5"/>
    <n v="0"/>
    <n v="10"/>
    <s v="BANSWARA"/>
    <s v="DUNGARPUR"/>
    <s v="RJ-UDAIPUR"/>
    <d v="2021-09-16T00:00:00"/>
  </r>
  <r>
    <s v="816442172872"/>
    <x v="2649"/>
    <s v="HARI OM ENTERPRISES"/>
    <n v="172872"/>
    <s v="HARSAD KUMAR KHEM CHAND"/>
    <n v="15"/>
    <n v="0"/>
    <n v="0"/>
    <n v="35"/>
    <n v="0"/>
    <n v="0"/>
    <n v="105"/>
    <n v="0"/>
    <n v="0"/>
    <n v="40"/>
    <n v="0"/>
    <n v="0"/>
    <n v="30"/>
    <n v="0"/>
    <n v="0"/>
    <n v="60"/>
    <n v="0"/>
    <n v="0"/>
    <n v="60"/>
    <n v="15"/>
    <n v="0"/>
    <n v="15"/>
    <n v="0"/>
    <n v="0"/>
    <n v="360"/>
    <n v="15"/>
    <n v="0"/>
    <s v="BANSWARA"/>
    <s v="DUNGARPUR"/>
    <s v="RJ-UDAIPUR"/>
    <d v="2021-09-22T00:00:00"/>
  </r>
  <r>
    <s v="816634142243"/>
    <x v="2650"/>
    <s v="ALBURHANI TIMBERS"/>
    <n v="142243"/>
    <s v="ADINAT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BANSWARA"/>
    <s v="DUNGARPUR"/>
    <s v="RJ-UDAIPUR"/>
    <d v="2021-10-05T00:00:00"/>
  </r>
  <r>
    <s v="816950119066"/>
    <x v="2651"/>
    <s v="VISHAL TRADERS"/>
    <n v="119066"/>
    <s v="RAJENDRA KUMAR RATAN LAL JAIN"/>
    <n v="50"/>
    <n v="0"/>
    <n v="0"/>
    <n v="70"/>
    <n v="0"/>
    <n v="0"/>
    <n v="45"/>
    <n v="0"/>
    <n v="0"/>
    <n v="45"/>
    <n v="10"/>
    <n v="0"/>
    <n v="10"/>
    <n v="5"/>
    <n v="0"/>
    <n v="0"/>
    <n v="0"/>
    <n v="0"/>
    <n v="76"/>
    <n v="0"/>
    <n v="0"/>
    <n v="50"/>
    <n v="0"/>
    <n v="0"/>
    <n v="346"/>
    <n v="15"/>
    <n v="0"/>
    <s v="BANSWARA"/>
    <s v="DUNGARPUR"/>
    <s v="RJ-UDAIPUR"/>
    <d v="2021-11-02T00:00:00"/>
  </r>
  <r>
    <s v="817123119066"/>
    <x v="2652"/>
    <s v="RAJASTHAN HARDWARE"/>
    <n v="119066"/>
    <s v="RAJENDRA KUMAR RATAN LAL JAIN"/>
    <n v="50"/>
    <n v="0"/>
    <n v="0"/>
    <n v="0"/>
    <n v="0"/>
    <n v="0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0"/>
    <n v="0"/>
    <s v="BANSWARA"/>
    <s v="DUNGARPUR"/>
    <s v="RJ-UDAIPUR"/>
    <d v="2021-11-25T00:00:00"/>
  </r>
  <r>
    <s v="817124140960"/>
    <x v="2653"/>
    <s v="JOSHI KRISHI FARM"/>
    <n v="140960"/>
    <s v="HARI OM CEMENT SUPPLIERS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s v="BANSWARA"/>
    <s v="DUNGARPUR"/>
    <s v="RJ-UDAIPUR"/>
    <d v="2021-11-25T00:00:00"/>
  </r>
  <r>
    <s v="817586119066"/>
    <x v="2654"/>
    <s v="PADMAWATI TRADERS"/>
    <n v="119066"/>
    <s v="RAJENDRA KUMAR RATAN LAL JAIN"/>
    <n v="74.5"/>
    <n v="0"/>
    <n v="0"/>
    <n v="13"/>
    <n v="0"/>
    <n v="0"/>
    <n v="80"/>
    <n v="0"/>
    <n v="0"/>
    <n v="35"/>
    <n v="0"/>
    <n v="0"/>
    <n v="0"/>
    <n v="0"/>
    <n v="0"/>
    <n v="78.5"/>
    <n v="0"/>
    <n v="0"/>
    <n v="0"/>
    <n v="0"/>
    <n v="0"/>
    <n v="0"/>
    <n v="0"/>
    <n v="0"/>
    <n v="281"/>
    <n v="0"/>
    <n v="0"/>
    <s v="BANSWARA"/>
    <s v="DUNGARPUR"/>
    <s v="RJ-UDAIPUR"/>
    <d v="2022-01-03T00:00:00"/>
  </r>
  <r>
    <s v="817595142269"/>
    <x v="2655"/>
    <s v="MAHADEV TRADERS"/>
    <n v="142269"/>
    <s v="CHAMUNDA BUILDING MATERIAL SUP"/>
    <n v="35"/>
    <n v="0"/>
    <n v="0"/>
    <n v="0"/>
    <n v="0"/>
    <n v="0"/>
    <n v="0"/>
    <n v="0"/>
    <n v="0"/>
    <n v="50"/>
    <n v="0"/>
    <n v="0"/>
    <n v="0"/>
    <n v="0"/>
    <n v="0"/>
    <n v="35"/>
    <n v="0"/>
    <n v="0"/>
    <n v="95"/>
    <n v="0"/>
    <n v="0"/>
    <n v="105"/>
    <n v="0"/>
    <n v="0"/>
    <n v="320"/>
    <n v="0"/>
    <n v="0"/>
    <s v="BANSWARA"/>
    <s v="DUNGARPUR"/>
    <s v="RJ-UDAIPUR"/>
    <d v="2022-01-04T00:00:00"/>
  </r>
  <r>
    <s v="817659140984"/>
    <x v="2656"/>
    <s v="PATIDAR BUILDING MATERIAL"/>
    <n v="140984"/>
    <s v="SHIVANG SAINETORY &amp; HARDWARE"/>
    <n v="15"/>
    <n v="0"/>
    <n v="0"/>
    <n v="35"/>
    <n v="15"/>
    <n v="0"/>
    <n v="125"/>
    <n v="0"/>
    <n v="0"/>
    <n v="55"/>
    <n v="0"/>
    <n v="0"/>
    <n v="10"/>
    <n v="10"/>
    <n v="0"/>
    <n v="32.5"/>
    <n v="0"/>
    <n v="0"/>
    <n v="50"/>
    <n v="0"/>
    <n v="0"/>
    <n v="0"/>
    <n v="0"/>
    <n v="0"/>
    <n v="322.5"/>
    <n v="25"/>
    <n v="0"/>
    <s v="BANSWARA"/>
    <s v="DUNGARPUR"/>
    <s v="RJ-UDAIPUR"/>
    <d v="2022-01-12T00:00:00"/>
  </r>
  <r>
    <s v="817715142241"/>
    <x v="2657"/>
    <s v="CHIRAG JAIN"/>
    <n v="142241"/>
    <s v="NISHANT TRADERS"/>
    <n v="4"/>
    <n v="0"/>
    <n v="0"/>
    <n v="25"/>
    <n v="0"/>
    <n v="0"/>
    <n v="95"/>
    <n v="0"/>
    <n v="0"/>
    <n v="80"/>
    <n v="0"/>
    <n v="0"/>
    <n v="10"/>
    <n v="0"/>
    <n v="0"/>
    <n v="0"/>
    <n v="0"/>
    <n v="0"/>
    <n v="0"/>
    <n v="0"/>
    <n v="0"/>
    <n v="75"/>
    <n v="0"/>
    <n v="0"/>
    <n v="289"/>
    <n v="0"/>
    <n v="0"/>
    <s v="BANSWARA"/>
    <s v="DUNGARPUR"/>
    <s v="RJ-UDAIPUR"/>
    <d v="2022-01-17T00:00:00"/>
  </r>
  <r>
    <s v="818141178764"/>
    <x v="2658"/>
    <s v="M K TRADERS"/>
    <n v="178764"/>
    <s v="PERFECT TRADERS"/>
    <n v="50"/>
    <n v="0"/>
    <n v="0"/>
    <n v="0"/>
    <n v="0"/>
    <n v="0"/>
    <n v="50"/>
    <n v="0"/>
    <n v="0"/>
    <n v="62"/>
    <n v="0"/>
    <n v="0"/>
    <n v="20"/>
    <n v="0"/>
    <n v="0"/>
    <n v="25"/>
    <n v="0"/>
    <n v="0"/>
    <n v="32.5"/>
    <n v="0"/>
    <n v="0"/>
    <n v="35"/>
    <n v="0"/>
    <n v="0"/>
    <n v="274.5"/>
    <n v="0"/>
    <n v="0"/>
    <s v="BANSWARA"/>
    <s v="DUNGARPUR"/>
    <s v="RJ-UDAIPUR"/>
    <d v="2022-02-24T00:00:00"/>
  </r>
  <r>
    <s v="818192172798"/>
    <x v="2659"/>
    <s v="DIKSHIT KALAL"/>
    <n v="172798"/>
    <s v="PANKAJ TRADERS"/>
    <n v="0"/>
    <n v="0"/>
    <n v="0"/>
    <n v="0"/>
    <n v="0"/>
    <n v="0"/>
    <n v="50"/>
    <n v="0"/>
    <n v="0"/>
    <n v="10"/>
    <n v="0"/>
    <n v="0"/>
    <n v="20"/>
    <n v="0"/>
    <n v="0"/>
    <n v="25"/>
    <n v="0"/>
    <n v="0"/>
    <n v="0"/>
    <n v="0"/>
    <n v="0"/>
    <n v="0"/>
    <n v="0"/>
    <n v="0"/>
    <n v="105"/>
    <n v="0"/>
    <n v="0"/>
    <s v="BANSWARA"/>
    <s v="DUNGARPUR"/>
    <s v="RJ-UDAIPUR"/>
    <d v="2022-02-26T00:00:00"/>
  </r>
  <r>
    <s v="818482119066"/>
    <x v="2660"/>
    <s v="CHANDRAVEER SINGH"/>
    <n v="119066"/>
    <s v="RAJENDRA KUMAR RATAN LAL JAIN"/>
    <n v="0"/>
    <n v="0"/>
    <n v="0"/>
    <n v="0"/>
    <n v="0"/>
    <n v="0"/>
    <n v="35"/>
    <n v="0"/>
    <n v="0"/>
    <n v="0"/>
    <n v="0"/>
    <n v="0"/>
    <n v="0"/>
    <n v="0"/>
    <n v="0"/>
    <n v="0"/>
    <n v="0"/>
    <n v="0"/>
    <n v="50"/>
    <n v="10"/>
    <n v="0"/>
    <n v="0"/>
    <n v="0"/>
    <n v="0"/>
    <n v="85"/>
    <n v="10"/>
    <n v="0"/>
    <s v="BANSWARA"/>
    <s v="DUNGARPUR"/>
    <s v="RJ-UDAIPUR"/>
    <d v="2022-03-26T00:00:00"/>
  </r>
  <r>
    <s v="818566142269"/>
    <x v="2661"/>
    <s v="GOVIND GARI"/>
    <n v="142269"/>
    <s v="CHAMUNDA BUILDING MATERIAL SUP"/>
    <n v="120"/>
    <n v="17.5"/>
    <n v="0"/>
    <n v="92.5"/>
    <n v="0"/>
    <n v="0"/>
    <n v="165"/>
    <n v="0"/>
    <n v="10"/>
    <n v="80"/>
    <n v="0"/>
    <n v="35"/>
    <n v="57.5"/>
    <n v="0"/>
    <n v="20"/>
    <n v="102.5"/>
    <n v="0"/>
    <n v="0"/>
    <n v="92.5"/>
    <n v="0"/>
    <n v="0"/>
    <n v="107.5"/>
    <n v="17.5"/>
    <n v="15"/>
    <n v="817.5"/>
    <n v="17.5"/>
    <n v="65"/>
    <s v="BANSWARA"/>
    <s v="DUNGARPUR"/>
    <s v="RJ-UDAIPUR"/>
    <d v="2022-03-31T00:00:00"/>
  </r>
  <r>
    <s v="818608122377"/>
    <x v="2662"/>
    <s v="BHAVNA BILDING MATERIYALS"/>
    <n v="122377"/>
    <s v="NILKANTH CONSTRUCTION"/>
    <n v="70"/>
    <n v="0"/>
    <n v="0"/>
    <n v="107.5"/>
    <n v="0"/>
    <n v="0"/>
    <n v="105"/>
    <n v="0"/>
    <n v="15"/>
    <n v="55"/>
    <n v="0"/>
    <n v="0"/>
    <n v="65"/>
    <n v="0"/>
    <n v="0"/>
    <n v="55"/>
    <n v="0"/>
    <n v="0"/>
    <n v="40"/>
    <n v="10"/>
    <n v="0"/>
    <n v="45"/>
    <n v="0"/>
    <n v="0"/>
    <n v="542.5"/>
    <n v="10"/>
    <n v="15"/>
    <s v="BANSWARA"/>
    <s v="DUNGARPUR"/>
    <s v="RJ-UDAIPUR"/>
    <d v="2022-04-09T00:00:00"/>
  </r>
  <r>
    <s v="819401119066"/>
    <x v="2663"/>
    <s v="RAJSHREE ENTERPRISES"/>
    <n v="119066"/>
    <s v="RAJENDRA KUMAR RATAN LAL JAIN"/>
    <n v="0"/>
    <n v="0"/>
    <n v="0"/>
    <n v="0"/>
    <n v="0"/>
    <n v="0"/>
    <n v="35"/>
    <n v="0"/>
    <n v="5"/>
    <n v="0"/>
    <n v="0"/>
    <n v="0"/>
    <n v="35"/>
    <n v="10"/>
    <n v="0"/>
    <n v="0"/>
    <n v="0"/>
    <n v="0"/>
    <n v="0"/>
    <n v="0"/>
    <n v="0"/>
    <n v="0"/>
    <n v="0"/>
    <n v="0"/>
    <n v="70"/>
    <n v="10"/>
    <n v="5"/>
    <s v="BANSWARA"/>
    <s v="DUNGARPUR"/>
    <s v="RJ-UDAIPUR"/>
    <d v="2022-06-18T00:00:00"/>
  </r>
  <r>
    <s v="819815142241"/>
    <x v="2664"/>
    <s v="SAVITA BRICKS"/>
    <n v="142241"/>
    <s v="NISHANT TRADERS"/>
    <n v="0"/>
    <n v="0"/>
    <n v="0"/>
    <n v="0"/>
    <n v="0"/>
    <n v="0"/>
    <n v="0"/>
    <n v="0"/>
    <n v="0"/>
    <n v="45"/>
    <n v="0"/>
    <n v="0"/>
    <n v="10"/>
    <n v="0"/>
    <n v="0"/>
    <n v="10"/>
    <n v="0"/>
    <n v="0"/>
    <n v="7.5"/>
    <n v="0"/>
    <n v="0"/>
    <n v="15"/>
    <n v="0"/>
    <n v="0"/>
    <n v="87.5"/>
    <n v="0"/>
    <n v="0"/>
    <s v="BANSWARA"/>
    <s v="DUNGARPUR"/>
    <s v="RJ-UDAIPUR"/>
    <d v="2022-07-18T00:00:00"/>
  </r>
  <r>
    <s v="819982142242"/>
    <x v="2665"/>
    <s v="MOHAN LAL PATEL"/>
    <n v="142242"/>
    <s v="RAJESH KUMAR GOKUL JI KALAL"/>
    <n v="0"/>
    <n v="0"/>
    <n v="0"/>
    <n v="0"/>
    <n v="0"/>
    <n v="0"/>
    <n v="0"/>
    <n v="0"/>
    <n v="0"/>
    <n v="0"/>
    <n v="0"/>
    <n v="0"/>
    <n v="50"/>
    <n v="0"/>
    <n v="0"/>
    <n v="35"/>
    <n v="0"/>
    <n v="0"/>
    <n v="25"/>
    <n v="0"/>
    <n v="0"/>
    <n v="15"/>
    <n v="0"/>
    <n v="0"/>
    <n v="125"/>
    <n v="0"/>
    <n v="0"/>
    <s v="BANSWARA"/>
    <s v="DUNGARPUR"/>
    <s v="RJ-UDAIPUR"/>
    <d v="2022-07-28T00:00:00"/>
  </r>
  <r>
    <s v="819742205782"/>
    <x v="2666"/>
    <s v="RAHUL GANDHI"/>
    <n v="205782"/>
    <s v="KATARIA ENTERPRISE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15"/>
    <n v="0"/>
    <n v="0"/>
    <s v="BANSWARA"/>
    <s v="DUNGARPUR"/>
    <s v="RJ-UDAIPUR"/>
    <d v="2022-07-14T00:00:00"/>
  </r>
  <r>
    <s v="820209178764"/>
    <x v="2667"/>
    <s v="SWASTIK ARCHITECT &amp; MATERIAL"/>
    <n v="178764"/>
    <s v="PERFECT TRADERS"/>
    <n v="0"/>
    <n v="0"/>
    <n v="0"/>
    <n v="0"/>
    <n v="0"/>
    <n v="0"/>
    <n v="0"/>
    <n v="0"/>
    <n v="0"/>
    <n v="0"/>
    <n v="0"/>
    <n v="0"/>
    <n v="0"/>
    <n v="0"/>
    <n v="0"/>
    <n v="55"/>
    <n v="0"/>
    <n v="20"/>
    <n v="17.5"/>
    <n v="0"/>
    <n v="0"/>
    <n v="30"/>
    <n v="0"/>
    <n v="0"/>
    <n v="102.5"/>
    <n v="0"/>
    <n v="20"/>
    <s v="BANSWARA"/>
    <s v="DUNGARPUR"/>
    <s v="RJ-UDAIPUR"/>
    <d v="2022-08-22T00:00:00"/>
  </r>
  <r>
    <s v="820411140984"/>
    <x v="2668"/>
    <s v="SAWARIYA SANITARY AND HARDWARE"/>
    <n v="140984"/>
    <s v="SHIVANG SAINETORY &amp; HARDWARE"/>
    <n v="0"/>
    <n v="0"/>
    <n v="0"/>
    <n v="0"/>
    <n v="0"/>
    <n v="0"/>
    <n v="0"/>
    <n v="0"/>
    <n v="0"/>
    <n v="0"/>
    <n v="0"/>
    <n v="0"/>
    <n v="0"/>
    <n v="0"/>
    <n v="0"/>
    <n v="95"/>
    <n v="0"/>
    <n v="0"/>
    <n v="110"/>
    <n v="35"/>
    <n v="20"/>
    <n v="35"/>
    <n v="0"/>
    <n v="0"/>
    <n v="240"/>
    <n v="35"/>
    <n v="20"/>
    <s v="BANSWARA"/>
    <s v="DUNGARPUR"/>
    <s v="RJ-UDAIPUR"/>
    <d v="2022-09-06T00:00:00"/>
  </r>
  <r>
    <s v="820412119066"/>
    <x v="2669"/>
    <s v="RATNA KALASH TRADERS"/>
    <n v="119066"/>
    <s v="RAJENDRA KUMAR RATAN LAL JAIN"/>
    <n v="0"/>
    <n v="0"/>
    <n v="0"/>
    <n v="0"/>
    <n v="0"/>
    <n v="0"/>
    <n v="0"/>
    <n v="0"/>
    <n v="0"/>
    <n v="0"/>
    <n v="0"/>
    <n v="0"/>
    <n v="0"/>
    <n v="0"/>
    <n v="0"/>
    <n v="77.5"/>
    <n v="0"/>
    <n v="0"/>
    <n v="53.5"/>
    <n v="10"/>
    <n v="0"/>
    <n v="0"/>
    <n v="0"/>
    <n v="0"/>
    <n v="131"/>
    <n v="10"/>
    <n v="0"/>
    <s v="BANSWARA"/>
    <s v="DUNGARPUR"/>
    <s v="RJ-UDAIPUR"/>
    <d v="2022-09-06T00:00:00"/>
  </r>
  <r>
    <s v="820413140984"/>
    <x v="2670"/>
    <s v="YAMUNA TRADERS"/>
    <n v="140984"/>
    <s v="SHIVANG SAINETORY &amp; HARDWARE"/>
    <n v="0"/>
    <n v="0"/>
    <n v="0"/>
    <n v="0"/>
    <n v="0"/>
    <n v="0"/>
    <n v="0"/>
    <n v="0"/>
    <n v="0"/>
    <n v="0"/>
    <n v="0"/>
    <n v="0"/>
    <n v="0"/>
    <n v="0"/>
    <n v="0"/>
    <n v="85"/>
    <n v="0"/>
    <n v="17.5"/>
    <n v="85"/>
    <n v="0"/>
    <n v="0"/>
    <n v="50"/>
    <n v="0"/>
    <n v="0"/>
    <n v="220"/>
    <n v="0"/>
    <n v="17.5"/>
    <s v="BANSWARA"/>
    <s v="DUNGARPUR"/>
    <s v="RJ-UDAIPUR"/>
    <d v="2022-09-06T00:00:00"/>
  </r>
  <r>
    <s v="820505119066"/>
    <x v="2671"/>
    <s v="AARAV CONSTRUCTION AND SANITAR"/>
    <n v="119066"/>
    <s v="RAJENDRA KUMAR RATAN LAL JAIN"/>
    <n v="0"/>
    <n v="0"/>
    <n v="0"/>
    <n v="0"/>
    <n v="0"/>
    <n v="0"/>
    <n v="0"/>
    <n v="0"/>
    <n v="0"/>
    <n v="0"/>
    <n v="0"/>
    <n v="0"/>
    <n v="0"/>
    <n v="0"/>
    <n v="0"/>
    <n v="110"/>
    <n v="0"/>
    <n v="0"/>
    <n v="134"/>
    <n v="17"/>
    <n v="0"/>
    <n v="120"/>
    <n v="10"/>
    <n v="0"/>
    <n v="364"/>
    <n v="17"/>
    <n v="0"/>
    <s v="BANSWARA"/>
    <s v="DUNGARPUR"/>
    <s v="RJ-UDAIPUR"/>
    <d v="2022-09-13T00:00:00"/>
  </r>
  <r>
    <s v="817630119066"/>
    <x v="2672"/>
    <s v="SUTHAR BROTHERS"/>
    <n v="119066"/>
    <s v="RAJENDRA KUMAR RATAN LAL JAIN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BANSWARA"/>
    <s v="DUNGARPUR"/>
    <s v="RJ-UDAIPUR"/>
    <d v="2022-01-08T00:00:00"/>
  </r>
  <r>
    <s v="820499143395"/>
    <x v="2673"/>
    <s v="ARVIND KUMAR PATEL"/>
    <n v="143395"/>
    <s v="ASHAPURA BUILDING MATERIAL SUP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15"/>
    <n v="0"/>
    <n v="0"/>
    <s v="BANSWARA"/>
    <s v="DUNGARPUR"/>
    <s v="RJ-UDAIPUR"/>
    <d v="2022-09-13T00:00:00"/>
  </r>
  <r>
    <s v="820707122377"/>
    <x v="2674"/>
    <s v="DIVYADEEP ENTERPRISES"/>
    <n v="122377"/>
    <s v="NILKANTH CONSTRUCTION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20"/>
    <n v="0"/>
    <n v="0"/>
    <n v="10"/>
    <n v="0"/>
    <n v="0"/>
    <n v="40"/>
    <n v="0"/>
    <n v="0"/>
    <s v="BANSWARA"/>
    <s v="DUNGARPUR"/>
    <s v="RJ-UDAIPUR"/>
    <d v="2022-09-24T00:00:00"/>
  </r>
  <r>
    <s v="820863119066"/>
    <x v="2675"/>
    <s v="DHULJI PATIDAR"/>
    <n v="119066"/>
    <s v="RAJENDRA KUMAR RATAN LAL JAI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"/>
    <n v="0"/>
    <n v="0"/>
    <n v="84.35"/>
    <n v="0"/>
    <n v="0"/>
    <n v="230.35"/>
    <n v="0"/>
    <n v="0"/>
    <s v="BANSWARA"/>
    <s v="DUNGARPUR"/>
    <s v="RJ-UDAIPUR"/>
    <d v="2022-10-04T00:00:00"/>
  </r>
  <r>
    <s v="820664142269"/>
    <x v="2676"/>
    <s v="ANIL KUMAR PATIDAR"/>
    <n v="142269"/>
    <s v="CHAMUNDA BUILDING MATERIAL SU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35"/>
    <n v="0"/>
    <n v="0"/>
    <n v="70"/>
    <n v="0"/>
    <n v="0"/>
    <s v="BANSWARA"/>
    <s v="DUNGARPUR"/>
    <s v="RJ-UDAIPUR"/>
    <d v="2022-09-21T00:00:00"/>
  </r>
  <r>
    <s v="821035119066"/>
    <x v="2677"/>
    <s v="SANJAY TRADERS"/>
    <n v="119066"/>
    <s v="RAJENDRA KUMAR RATAN LAL JAI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5.5"/>
    <n v="0"/>
    <n v="0"/>
    <n v="444"/>
    <n v="0"/>
    <n v="0"/>
    <n v="759.5"/>
    <n v="0"/>
    <n v="0"/>
    <s v="BANSWARA"/>
    <s v="DUNGARPUR"/>
    <s v="RJ-UDAIPUR"/>
    <d v="2022-10-20T00:00:00"/>
  </r>
  <r>
    <s v="813979149826"/>
    <x v="2631"/>
    <s v="MAA ASHAPURA BUILDING MATERIAL"/>
    <n v="149826"/>
    <s v="ASHAPURA BUILDING MATERIAL SUP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BANSWARA"/>
    <s v="DUNGARPUR"/>
    <s v="RJ-UDAIPUR"/>
    <d v="2020-12-26T00:00:00"/>
  </r>
  <r>
    <s v="801916119050"/>
    <x v="2678"/>
    <s v="SHREE RAM KIRANA STORE"/>
    <n v="119050"/>
    <s v="RAJASTHAN CEMENT CORPORATION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n v="0"/>
    <n v="0"/>
    <n v="0"/>
    <n v="0"/>
    <n v="0"/>
    <n v="0"/>
    <n v="20"/>
    <n v="0"/>
    <n v="0"/>
    <s v="DUNGARPUR"/>
    <s v="DUNGARPUR"/>
    <s v="RJ-UDAIPUR"/>
    <d v="2013-04-02T00:00:00"/>
  </r>
  <r>
    <s v="802149119050"/>
    <x v="2679"/>
    <s v="PARINARY SANATRY AND COLOUR"/>
    <n v="119050"/>
    <s v="RAJASTHAN CEMENT CORPORATION"/>
    <n v="63"/>
    <n v="0"/>
    <n v="0"/>
    <n v="70"/>
    <n v="0"/>
    <n v="0"/>
    <n v="103.75"/>
    <n v="0"/>
    <n v="0"/>
    <n v="35"/>
    <n v="0"/>
    <n v="0"/>
    <n v="25"/>
    <n v="0"/>
    <n v="0"/>
    <n v="51"/>
    <n v="0"/>
    <n v="0"/>
    <n v="40"/>
    <n v="0"/>
    <n v="0"/>
    <n v="10"/>
    <n v="0"/>
    <n v="0"/>
    <n v="397.75"/>
    <n v="0"/>
    <n v="0"/>
    <s v="DUNGARPUR"/>
    <s v="DUNGARPUR"/>
    <s v="RJ-UDAIPUR"/>
    <d v="2013-07-05T00:00:00"/>
  </r>
  <r>
    <s v="802151121706"/>
    <x v="2680"/>
    <s v="AMUL KUMAR ISHWAR LAL"/>
    <n v="121706"/>
    <s v="ANKIT TRADERS"/>
    <n v="157"/>
    <n v="6"/>
    <n v="0"/>
    <n v="248"/>
    <n v="10"/>
    <n v="0"/>
    <n v="287"/>
    <n v="0"/>
    <n v="35"/>
    <n v="261"/>
    <n v="0"/>
    <n v="10"/>
    <n v="170"/>
    <n v="0"/>
    <n v="10"/>
    <n v="255"/>
    <n v="0"/>
    <n v="10"/>
    <n v="279"/>
    <n v="0"/>
    <n v="0"/>
    <n v="80"/>
    <n v="0"/>
    <n v="0"/>
    <n v="1737"/>
    <n v="16"/>
    <n v="65"/>
    <s v="DUNGARPUR"/>
    <s v="DUNGARPUR"/>
    <s v="RJ-UDAIPUR"/>
    <d v="2013-07-05T00:00:00"/>
  </r>
  <r>
    <s v="802210174756"/>
    <x v="2681"/>
    <s v="ANNAPURNA CEMENT SUPPLIERS"/>
    <n v="174756"/>
    <s v="SHAH TRADERS"/>
    <n v="50"/>
    <n v="0"/>
    <n v="0"/>
    <n v="60"/>
    <n v="0"/>
    <n v="0"/>
    <n v="60"/>
    <n v="0"/>
    <n v="0"/>
    <n v="30.5"/>
    <n v="0"/>
    <n v="5.5"/>
    <n v="15"/>
    <n v="0"/>
    <n v="0"/>
    <n v="25"/>
    <n v="0"/>
    <n v="0"/>
    <n v="0"/>
    <n v="0"/>
    <n v="0"/>
    <n v="40"/>
    <n v="0"/>
    <n v="0"/>
    <n v="280.5"/>
    <n v="0"/>
    <n v="5.5"/>
    <s v="DUNGARPUR"/>
    <s v="DUNGARPUR"/>
    <s v="RJ-UDAIPUR"/>
    <d v="2013-07-16T00:00:00"/>
  </r>
  <r>
    <s v="802371174756"/>
    <x v="2682"/>
    <s v="PATIDAR TRADING COMPANY"/>
    <n v="174756"/>
    <s v="SHAH TRADERS"/>
    <n v="55"/>
    <n v="0"/>
    <n v="0"/>
    <n v="15"/>
    <n v="0"/>
    <n v="0"/>
    <n v="71"/>
    <n v="0"/>
    <n v="0"/>
    <n v="43"/>
    <n v="0"/>
    <n v="0"/>
    <n v="25"/>
    <n v="0"/>
    <n v="0"/>
    <n v="51"/>
    <n v="0"/>
    <n v="6"/>
    <n v="22"/>
    <n v="0"/>
    <n v="0"/>
    <n v="75"/>
    <n v="0"/>
    <n v="0"/>
    <n v="357"/>
    <n v="0"/>
    <n v="6"/>
    <s v="DUNGARPUR"/>
    <s v="DUNGARPUR"/>
    <s v="RJ-UDAIPUR"/>
    <d v="2013-08-07T00:00:00"/>
  </r>
  <r>
    <s v="802841119050"/>
    <x v="2683"/>
    <s v="JITENDRA KUMAR KANHAIYA LAL KA"/>
    <n v="119050"/>
    <s v="RAJASTHAN CEMENT CORPORATION"/>
    <n v="10"/>
    <n v="0"/>
    <n v="0"/>
    <n v="40"/>
    <n v="0"/>
    <n v="0"/>
    <n v="15.5"/>
    <n v="0"/>
    <n v="0"/>
    <n v="10"/>
    <n v="0"/>
    <n v="0"/>
    <n v="0"/>
    <n v="0"/>
    <n v="0"/>
    <n v="20"/>
    <n v="0"/>
    <n v="0"/>
    <n v="0"/>
    <n v="0"/>
    <n v="0"/>
    <n v="0"/>
    <n v="0"/>
    <n v="0"/>
    <n v="95.5"/>
    <n v="0"/>
    <n v="0"/>
    <s v="DUNGARPUR"/>
    <s v="DUNGARPUR"/>
    <s v="RJ-UDAIPUR"/>
    <d v="2013-08-17T00:00:00"/>
  </r>
  <r>
    <s v="802968174756"/>
    <x v="2684"/>
    <s v="VEER PRAKASH CHOTA LAL JAIN"/>
    <n v="174756"/>
    <s v="SHAH TRADERS"/>
    <n v="45"/>
    <n v="0"/>
    <n v="0"/>
    <n v="40"/>
    <n v="0"/>
    <n v="0"/>
    <n v="24"/>
    <n v="0"/>
    <n v="0"/>
    <n v="31.75"/>
    <n v="0"/>
    <n v="6.75"/>
    <n v="30"/>
    <n v="0"/>
    <n v="0"/>
    <n v="15"/>
    <n v="0"/>
    <n v="0"/>
    <n v="50"/>
    <n v="0"/>
    <n v="0"/>
    <n v="20"/>
    <n v="0"/>
    <n v="0"/>
    <n v="255.75"/>
    <n v="0"/>
    <n v="6.75"/>
    <s v="DUNGARPUR"/>
    <s v="DUNGARPUR"/>
    <s v="RJ-UDAIPUR"/>
    <d v="2013-10-22T00:00:00"/>
  </r>
  <r>
    <s v="802972174756"/>
    <x v="2685"/>
    <s v="MOHAN LAL PATEL S/O VEL JI PAT"/>
    <n v="174756"/>
    <s v="SHA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UNGARPUR"/>
    <s v="DUNGARPUR"/>
    <s v="RJ-UDAIPUR"/>
    <d v="2013-10-31T00:00:00"/>
  </r>
  <r>
    <s v="803141119050"/>
    <x v="2686"/>
    <s v="DURGA TRADING COMPANY"/>
    <n v="119050"/>
    <s v="RAJASTHAN CEMENT CORPORATION"/>
    <n v="6.5"/>
    <n v="0"/>
    <n v="0"/>
    <n v="35"/>
    <n v="6.5"/>
    <n v="0"/>
    <n v="0"/>
    <n v="0"/>
    <n v="0"/>
    <n v="37.5"/>
    <n v="7.5"/>
    <n v="0"/>
    <n v="37"/>
    <n v="0"/>
    <n v="0"/>
    <n v="30"/>
    <n v="0"/>
    <n v="0"/>
    <n v="30"/>
    <n v="0"/>
    <n v="0"/>
    <n v="24"/>
    <n v="4"/>
    <n v="0"/>
    <n v="200"/>
    <n v="14"/>
    <n v="0"/>
    <s v="DUNGARPUR"/>
    <s v="DUNGARPUR"/>
    <s v="RJ-UDAIPUR"/>
    <d v="2014-01-19T00:00:00"/>
  </r>
  <r>
    <s v="803794119050"/>
    <x v="2687"/>
    <s v="RAMAN LAL DEVNATH JI BHATI"/>
    <n v="119050"/>
    <s v="RAJASTHAN CEMENT CORPORATION"/>
    <n v="50"/>
    <n v="0"/>
    <n v="0"/>
    <n v="20"/>
    <n v="0"/>
    <n v="0"/>
    <n v="30"/>
    <n v="0"/>
    <n v="0"/>
    <n v="30"/>
    <n v="0"/>
    <n v="0"/>
    <n v="30"/>
    <n v="0"/>
    <n v="0"/>
    <n v="51.5"/>
    <n v="0"/>
    <n v="6.5"/>
    <n v="47"/>
    <n v="0"/>
    <n v="5"/>
    <n v="20"/>
    <n v="0"/>
    <n v="9"/>
    <n v="278.5"/>
    <n v="0"/>
    <n v="11.5"/>
    <s v="DUNGARPUR"/>
    <s v="DUNGARPUR"/>
    <s v="RJ-UDAIPUR"/>
    <d v="2015-01-09T00:00:00"/>
  </r>
  <r>
    <s v="803832119050"/>
    <x v="2688"/>
    <s v="MOHAN LAL BAKORJI PRAJAPAT"/>
    <n v="119050"/>
    <s v="RAJASTHAN CEMENT CORPORATION"/>
    <n v="10"/>
    <n v="0"/>
    <n v="0"/>
    <n v="32.5"/>
    <n v="0"/>
    <n v="0"/>
    <n v="40"/>
    <n v="0"/>
    <n v="0"/>
    <n v="55"/>
    <n v="0"/>
    <n v="0"/>
    <n v="45"/>
    <n v="0"/>
    <n v="0"/>
    <n v="10"/>
    <n v="0"/>
    <n v="0"/>
    <n v="40"/>
    <n v="0"/>
    <n v="0"/>
    <n v="10"/>
    <n v="0"/>
    <n v="0"/>
    <n v="242.5"/>
    <n v="0"/>
    <n v="0"/>
    <s v="DUNGARPUR"/>
    <s v="DUNGARPUR"/>
    <s v="RJ-UDAIPUR"/>
    <d v="2015-02-06T00:00:00"/>
  </r>
  <r>
    <s v="803954202842"/>
    <x v="2689"/>
    <s v="BHAGYA LAXMI TRADERS"/>
    <n v="202842"/>
    <s v="M.R.TRADING COMPANY"/>
    <n v="0"/>
    <n v="0"/>
    <n v="0"/>
    <n v="0"/>
    <n v="0"/>
    <n v="0"/>
    <n v="0"/>
    <n v="0"/>
    <n v="0"/>
    <n v="0"/>
    <n v="0"/>
    <n v="0"/>
    <n v="5"/>
    <n v="0"/>
    <n v="0"/>
    <n v="30"/>
    <n v="0"/>
    <n v="0"/>
    <n v="30"/>
    <n v="0"/>
    <n v="0"/>
    <n v="30"/>
    <n v="0"/>
    <n v="0"/>
    <n v="95"/>
    <n v="0"/>
    <n v="0"/>
    <s v="DUNGARPUR"/>
    <s v="DUNGARPUR"/>
    <s v="RJ-UDAIPUR"/>
    <d v="2015-04-21T00:00:00"/>
  </r>
  <r>
    <s v="804050174756"/>
    <x v="2690"/>
    <s v="NILESH TRADERS"/>
    <n v="174756"/>
    <s v="SHAH TRADERS"/>
    <n v="45"/>
    <n v="4"/>
    <n v="0"/>
    <n v="24"/>
    <n v="0"/>
    <n v="0"/>
    <n v="54"/>
    <n v="0"/>
    <n v="0"/>
    <n v="30"/>
    <n v="0"/>
    <n v="0"/>
    <n v="35"/>
    <n v="0"/>
    <n v="0"/>
    <n v="45"/>
    <n v="0"/>
    <n v="0"/>
    <n v="42"/>
    <n v="0"/>
    <n v="0"/>
    <n v="40"/>
    <n v="0"/>
    <n v="0"/>
    <n v="315"/>
    <n v="4"/>
    <n v="0"/>
    <s v="DUNGARPUR"/>
    <s v="DUNGARPUR"/>
    <s v="RJ-UDAIPUR"/>
    <d v="2015-06-04T00:00:00"/>
  </r>
  <r>
    <s v="804079174756"/>
    <x v="2691"/>
    <s v="HARI OM TRADERS"/>
    <n v="174756"/>
    <s v="SHAH TRADERS"/>
    <n v="10"/>
    <n v="0"/>
    <n v="0"/>
    <n v="6"/>
    <n v="0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s v="DUNGARPUR"/>
    <s v="DUNGARPUR"/>
    <s v="RJ-UDAIPUR"/>
    <d v="2015-06-19T00:00:00"/>
  </r>
  <r>
    <s v="804898119050"/>
    <x v="2692"/>
    <s v="PATEL BUILDING MATERIAL"/>
    <n v="119050"/>
    <s v="RAJASTHAN CEMENT CORPORATION"/>
    <n v="10"/>
    <n v="0"/>
    <n v="0"/>
    <n v="10"/>
    <n v="0"/>
    <n v="0"/>
    <n v="30"/>
    <n v="0"/>
    <n v="0"/>
    <n v="15"/>
    <n v="0"/>
    <n v="0"/>
    <n v="0"/>
    <n v="0"/>
    <n v="0"/>
    <n v="20"/>
    <n v="0"/>
    <n v="0"/>
    <n v="0"/>
    <n v="0"/>
    <n v="0"/>
    <n v="20"/>
    <n v="0"/>
    <n v="0"/>
    <n v="105"/>
    <n v="0"/>
    <n v="0"/>
    <s v="DUNGARPUR"/>
    <s v="DUNGARPUR"/>
    <s v="RJ-UDAIPUR"/>
    <d v="2016-03-10T00:00:00"/>
  </r>
  <r>
    <s v="805420119050"/>
    <x v="2693"/>
    <s v="PARTH CONSTRUCTION"/>
    <n v="119050"/>
    <s v="RAJASTHAN CEMENT CORPORATION"/>
    <n v="82"/>
    <n v="0"/>
    <n v="0"/>
    <n v="40"/>
    <n v="0"/>
    <n v="0"/>
    <n v="20"/>
    <n v="0"/>
    <n v="0"/>
    <n v="65"/>
    <n v="0"/>
    <n v="0"/>
    <n v="29"/>
    <n v="0"/>
    <n v="0"/>
    <n v="15"/>
    <n v="0"/>
    <n v="0"/>
    <n v="20"/>
    <n v="0"/>
    <n v="0"/>
    <n v="42"/>
    <n v="0"/>
    <n v="0"/>
    <n v="313"/>
    <n v="0"/>
    <n v="0"/>
    <s v="DUNGARPUR"/>
    <s v="DUNGARPUR"/>
    <s v="RJ-UDAIPUR"/>
    <d v="2016-08-12T00:00:00"/>
  </r>
  <r>
    <s v="805828208066"/>
    <x v="2694"/>
    <s v="THOBJI PATIDAR"/>
    <n v="208066"/>
    <s v="SHIV CORPORATION"/>
    <n v="61"/>
    <n v="0.5"/>
    <n v="0"/>
    <n v="35"/>
    <n v="6"/>
    <n v="0"/>
    <n v="0"/>
    <n v="0"/>
    <n v="0"/>
    <n v="20"/>
    <n v="3"/>
    <n v="0"/>
    <n v="0"/>
    <n v="0"/>
    <n v="0"/>
    <n v="0"/>
    <n v="0"/>
    <n v="0"/>
    <n v="0"/>
    <n v="0"/>
    <n v="0"/>
    <n v="0"/>
    <n v="0"/>
    <n v="0"/>
    <n v="116"/>
    <n v="9.5"/>
    <n v="0"/>
    <s v="DUNGARPUR"/>
    <s v="DUNGARPUR"/>
    <s v="RJ-UDAIPUR"/>
    <d v="2016-12-02T00:00:00"/>
  </r>
  <r>
    <s v="807626119050"/>
    <x v="2695"/>
    <s v="MAHALAXMI CONSTRUCTION"/>
    <n v="119050"/>
    <s v="RAJASTHAN CEMENT CORPORATION"/>
    <n v="10"/>
    <n v="0"/>
    <n v="0"/>
    <n v="10"/>
    <n v="0"/>
    <n v="0"/>
    <n v="20"/>
    <n v="0"/>
    <n v="0"/>
    <n v="40"/>
    <n v="0"/>
    <n v="0"/>
    <n v="20"/>
    <n v="0"/>
    <n v="0"/>
    <n v="30"/>
    <n v="0"/>
    <n v="0"/>
    <n v="0"/>
    <n v="0"/>
    <n v="0"/>
    <n v="10"/>
    <n v="0"/>
    <n v="0"/>
    <n v="140"/>
    <n v="0"/>
    <n v="0"/>
    <s v="DUNGARPUR"/>
    <s v="DUNGARPUR"/>
    <s v="RJ-UDAIPUR"/>
    <d v="2017-12-22T00:00:00"/>
  </r>
  <r>
    <s v="807948119050"/>
    <x v="2696"/>
    <s v="KANKU BUILDING MATERIAL"/>
    <n v="119050"/>
    <s v="RAJASTHAN CEMENT CORPORATION"/>
    <n v="65"/>
    <n v="0"/>
    <n v="0"/>
    <n v="0"/>
    <n v="0"/>
    <n v="0"/>
    <n v="0"/>
    <n v="0"/>
    <n v="0"/>
    <n v="10"/>
    <n v="0"/>
    <n v="0"/>
    <n v="20"/>
    <n v="0"/>
    <n v="0"/>
    <n v="20"/>
    <n v="0"/>
    <n v="0"/>
    <n v="0"/>
    <n v="0"/>
    <n v="0"/>
    <n v="20"/>
    <n v="0"/>
    <n v="0"/>
    <n v="135"/>
    <n v="0"/>
    <n v="0"/>
    <s v="DUNGARPUR"/>
    <s v="DUNGARPUR"/>
    <s v="RJ-UDAIPUR"/>
    <d v="2018-01-27T00:00:00"/>
  </r>
  <r>
    <s v="808082119050"/>
    <x v="2697"/>
    <s v="RATANLAL DOVACHAND JAIN"/>
    <n v="119050"/>
    <s v="RAJASTHAN CEMENT CORPORATION"/>
    <n v="0"/>
    <n v="0"/>
    <n v="0"/>
    <n v="0"/>
    <n v="0"/>
    <n v="0"/>
    <n v="0"/>
    <n v="0"/>
    <n v="0"/>
    <n v="0"/>
    <n v="0"/>
    <n v="0"/>
    <n v="10"/>
    <n v="0"/>
    <n v="0"/>
    <n v="3"/>
    <n v="0"/>
    <n v="0"/>
    <n v="10"/>
    <n v="0"/>
    <n v="0"/>
    <n v="10"/>
    <n v="0"/>
    <n v="0"/>
    <n v="33"/>
    <n v="0"/>
    <n v="0"/>
    <s v="DUNGARPUR"/>
    <s v="DUNGARPUR"/>
    <s v="RJ-UDAIPUR"/>
    <d v="2018-03-05T00:00:00"/>
  </r>
  <r>
    <s v="808198144804"/>
    <x v="2698"/>
    <s v="SHIV LAL PRABHU LALAJI PATEL"/>
    <n v="144804"/>
    <s v="MANGAL JI MADHAV JI"/>
    <n v="42"/>
    <n v="0"/>
    <n v="0"/>
    <n v="35"/>
    <n v="0"/>
    <n v="0"/>
    <n v="30"/>
    <n v="0"/>
    <n v="0"/>
    <n v="17.75"/>
    <n v="0"/>
    <n v="6.55"/>
    <n v="0"/>
    <n v="0"/>
    <n v="0"/>
    <n v="0"/>
    <n v="0"/>
    <n v="0"/>
    <n v="0"/>
    <n v="0"/>
    <n v="0"/>
    <n v="0"/>
    <n v="0"/>
    <n v="0"/>
    <n v="124.75"/>
    <n v="0"/>
    <n v="6.55"/>
    <s v="DUNGARPUR"/>
    <s v="DUNGARPUR"/>
    <s v="RJ-UDAIPUR"/>
    <d v="2018-04-07T00:00:00"/>
  </r>
  <r>
    <s v="808200119050"/>
    <x v="2699"/>
    <s v="LAXMI HARDWARE"/>
    <n v="119050"/>
    <s v="RAJASTHAN CEMENT CORPORATION"/>
    <n v="10"/>
    <n v="0"/>
    <n v="0"/>
    <n v="0"/>
    <n v="0"/>
    <n v="0"/>
    <n v="0"/>
    <n v="0"/>
    <n v="0"/>
    <n v="0"/>
    <n v="0"/>
    <n v="0"/>
    <n v="7"/>
    <n v="0"/>
    <n v="0"/>
    <n v="0"/>
    <n v="0"/>
    <n v="0"/>
    <n v="10"/>
    <n v="0"/>
    <n v="0"/>
    <n v="10"/>
    <n v="0"/>
    <n v="0"/>
    <n v="37"/>
    <n v="0"/>
    <n v="0"/>
    <s v="DUNGARPUR"/>
    <s v="DUNGARPUR"/>
    <s v="RJ-UDAIPUR"/>
    <d v="2018-04-07T00:00:00"/>
  </r>
  <r>
    <s v="808310172084"/>
    <x v="2700"/>
    <s v="GOPAL LAL PATIDAR"/>
    <n v="172084"/>
    <s v="PRAJAPATI BUILDING MATERIAL"/>
    <n v="0"/>
    <n v="0"/>
    <n v="0"/>
    <n v="0"/>
    <n v="0"/>
    <n v="0"/>
    <n v="0"/>
    <n v="0"/>
    <n v="0"/>
    <n v="0"/>
    <n v="0"/>
    <n v="0"/>
    <n v="25"/>
    <n v="0"/>
    <n v="0"/>
    <n v="30"/>
    <n v="0"/>
    <n v="0"/>
    <n v="37"/>
    <n v="7"/>
    <n v="0"/>
    <n v="0"/>
    <n v="0"/>
    <n v="0"/>
    <n v="92"/>
    <n v="7"/>
    <n v="0"/>
    <s v="DUNGARPUR"/>
    <s v="DUNGARPUR"/>
    <s v="RJ-UDAIPUR"/>
    <d v="2018-05-05T00:00:00"/>
  </r>
  <r>
    <s v="808312202842"/>
    <x v="2701"/>
    <s v="BHOGI LAL SUKH LAL JAIN"/>
    <n v="202842"/>
    <s v="M.R.TRADING COMPANY"/>
    <n v="125"/>
    <n v="10"/>
    <n v="0"/>
    <n v="77"/>
    <n v="20"/>
    <n v="0"/>
    <n v="205"/>
    <n v="0"/>
    <n v="10"/>
    <n v="149"/>
    <n v="0"/>
    <n v="14"/>
    <n v="20"/>
    <n v="0"/>
    <n v="0"/>
    <n v="45"/>
    <n v="0"/>
    <n v="0"/>
    <n v="40"/>
    <n v="0"/>
    <n v="0"/>
    <n v="40"/>
    <n v="0"/>
    <n v="0"/>
    <n v="701"/>
    <n v="30"/>
    <n v="24"/>
    <s v="DUNGARPUR"/>
    <s v="DUNGARPUR"/>
    <s v="RJ-UDAIPUR"/>
    <d v="2018-05-05T00:00:00"/>
  </r>
  <r>
    <s v="808328121572"/>
    <x v="2702"/>
    <s v="RAJ ELECTRIC AND MACHINERY STO"/>
    <n v="121572"/>
    <s v="FAKHRUDDIN ABDEALI LUKA WALA"/>
    <n v="0"/>
    <n v="0"/>
    <n v="0"/>
    <n v="17.5"/>
    <n v="0"/>
    <n v="0"/>
    <n v="0"/>
    <n v="0"/>
    <n v="0"/>
    <n v="15"/>
    <n v="0"/>
    <n v="0"/>
    <n v="20"/>
    <n v="0"/>
    <n v="0"/>
    <n v="20"/>
    <n v="0"/>
    <n v="0"/>
    <n v="20"/>
    <n v="0"/>
    <n v="0"/>
    <n v="44.5"/>
    <n v="0"/>
    <n v="2.5"/>
    <n v="137"/>
    <n v="0"/>
    <n v="0"/>
    <s v="DUNGARPUR"/>
    <s v="DUNGARPUR"/>
    <s v="RJ-UDAIPUR"/>
    <d v="2018-05-08T00:00:00"/>
  </r>
  <r>
    <s v="808548119050"/>
    <x v="2703"/>
    <s v="GAJENDRA CEMENT SUPPLIERS"/>
    <n v="119050"/>
    <s v="RAJASTHAN CEMENT CORPORATION"/>
    <n v="20"/>
    <n v="0"/>
    <n v="0"/>
    <n v="0"/>
    <n v="0"/>
    <n v="0"/>
    <n v="0"/>
    <n v="0"/>
    <n v="0"/>
    <n v="35"/>
    <n v="0"/>
    <n v="0"/>
    <n v="0"/>
    <n v="0"/>
    <n v="0"/>
    <n v="30"/>
    <n v="0"/>
    <n v="0"/>
    <n v="0"/>
    <n v="0"/>
    <n v="0"/>
    <n v="5"/>
    <n v="0"/>
    <n v="5"/>
    <n v="90"/>
    <n v="0"/>
    <n v="0"/>
    <s v="DUNGARPUR"/>
    <s v="DUNGARPUR"/>
    <s v="RJ-UDAIPUR"/>
    <d v="2018-06-09T00:00:00"/>
  </r>
  <r>
    <s v="808552173728"/>
    <x v="2704"/>
    <s v="SAI TRADERS"/>
    <n v="173728"/>
    <s v="LAXMI CEMANT AND BUILDING MATE"/>
    <n v="30"/>
    <n v="0"/>
    <n v="0"/>
    <n v="10"/>
    <n v="0"/>
    <n v="0"/>
    <n v="25"/>
    <n v="0"/>
    <n v="0"/>
    <n v="25"/>
    <n v="0"/>
    <n v="0"/>
    <n v="5"/>
    <n v="0"/>
    <n v="0"/>
    <n v="0"/>
    <n v="0"/>
    <n v="0"/>
    <n v="0"/>
    <n v="0"/>
    <n v="0"/>
    <n v="0"/>
    <n v="0"/>
    <n v="0"/>
    <n v="95"/>
    <n v="0"/>
    <n v="0"/>
    <s v="DUNGARPUR"/>
    <s v="DUNGARPUR"/>
    <s v="RJ-UDAIPUR"/>
    <d v="2018-06-09T00:00:00"/>
  </r>
  <r>
    <s v="808558119050"/>
    <x v="2705"/>
    <s v="PATEL DEVILAL UDHAV JI"/>
    <n v="119050"/>
    <s v="RAJASTHAN CEMENT CORPORATION"/>
    <n v="80"/>
    <n v="0"/>
    <n v="0"/>
    <n v="35"/>
    <n v="0"/>
    <n v="0"/>
    <n v="72.5"/>
    <n v="0"/>
    <n v="0"/>
    <n v="0"/>
    <n v="0"/>
    <n v="0"/>
    <n v="0"/>
    <n v="0"/>
    <n v="0"/>
    <n v="45"/>
    <n v="0"/>
    <n v="0"/>
    <n v="40"/>
    <n v="0"/>
    <n v="0"/>
    <n v="60"/>
    <n v="0"/>
    <n v="0"/>
    <n v="332.5"/>
    <n v="0"/>
    <n v="0"/>
    <s v="DUNGARPUR"/>
    <s v="DUNGARPUR"/>
    <s v="RJ-UDAIPUR"/>
    <d v="2018-06-11T00:00:00"/>
  </r>
  <r>
    <s v="808559119050"/>
    <x v="2706"/>
    <s v="HANUMAN TRADERS"/>
    <n v="119050"/>
    <s v="RAJASTHAN CEMENT CORPORATION"/>
    <n v="10"/>
    <n v="0"/>
    <n v="0"/>
    <n v="15"/>
    <n v="0"/>
    <n v="0"/>
    <n v="40"/>
    <n v="0"/>
    <n v="0"/>
    <n v="50"/>
    <n v="0"/>
    <n v="0"/>
    <n v="10"/>
    <n v="0"/>
    <n v="0"/>
    <n v="10"/>
    <n v="0"/>
    <n v="0"/>
    <n v="10"/>
    <n v="0"/>
    <n v="0"/>
    <n v="20"/>
    <n v="0"/>
    <n v="0"/>
    <n v="165"/>
    <n v="0"/>
    <n v="0"/>
    <s v="DUNGARPUR"/>
    <s v="DUNGARPUR"/>
    <s v="RJ-UDAIPUR"/>
    <d v="2018-06-11T00:00:00"/>
  </r>
  <r>
    <s v="808615121574"/>
    <x v="2707"/>
    <s v="JAY AMBE BUILDING MATERIALS"/>
    <n v="121574"/>
    <s v="TORAVAT JAYANTILAL JAVEERCHAND"/>
    <n v="0"/>
    <n v="0"/>
    <n v="0"/>
    <n v="50"/>
    <n v="0"/>
    <n v="0"/>
    <n v="89"/>
    <n v="0"/>
    <n v="0"/>
    <n v="60"/>
    <n v="0"/>
    <n v="0"/>
    <n v="25"/>
    <n v="0"/>
    <n v="0"/>
    <n v="101"/>
    <n v="0"/>
    <n v="0"/>
    <n v="50"/>
    <n v="0"/>
    <n v="0"/>
    <n v="50"/>
    <n v="0"/>
    <n v="0"/>
    <n v="425"/>
    <n v="0"/>
    <n v="0"/>
    <s v="DUNGARPUR"/>
    <s v="DUNGARPUR"/>
    <s v="RJ-UDAIPUR"/>
    <d v="2018-06-20T00:00:00"/>
  </r>
  <r>
    <s v="808618173728"/>
    <x v="2708"/>
    <s v="HAVCHAND KALAL"/>
    <n v="173728"/>
    <s v="LAXMI CEMANT AND BUILDING MATE"/>
    <n v="12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s v="DUNGARPUR"/>
    <s v="DUNGARPUR"/>
    <s v="RJ-UDAIPUR"/>
    <d v="2018-06-20T00:00:00"/>
  </r>
  <r>
    <s v="808618174756"/>
    <x v="2708"/>
    <s v="HAVCHAND KALAL"/>
    <n v="174756"/>
    <s v="SHAH TRADERS"/>
    <n v="14"/>
    <n v="0"/>
    <n v="0"/>
    <n v="10"/>
    <n v="0"/>
    <n v="0"/>
    <n v="10"/>
    <n v="0"/>
    <n v="0"/>
    <n v="36.5"/>
    <n v="0"/>
    <n v="1.5"/>
    <n v="20"/>
    <n v="0"/>
    <n v="0"/>
    <n v="25"/>
    <n v="0"/>
    <n v="0"/>
    <n v="45"/>
    <n v="0"/>
    <n v="0"/>
    <n v="45"/>
    <n v="0"/>
    <n v="0"/>
    <n v="205.5"/>
    <n v="0"/>
    <n v="1.5"/>
    <s v="DUNGARPUR"/>
    <s v="DUNGARPUR"/>
    <s v="RJ-UDAIPUR"/>
    <d v="2018-06-20T00:00:00"/>
  </r>
  <r>
    <s v="808622119050"/>
    <x v="2709"/>
    <s v="MAHAVEER KUMAR BADAMILAL"/>
    <n v="119050"/>
    <s v="RAJASTHAN CEMENT CORPORATION"/>
    <n v="144.6"/>
    <n v="21"/>
    <n v="0"/>
    <n v="141"/>
    <n v="11"/>
    <n v="0"/>
    <n v="207.25"/>
    <n v="0"/>
    <n v="17.25"/>
    <n v="230"/>
    <n v="5"/>
    <n v="5"/>
    <n v="71.75"/>
    <n v="0"/>
    <n v="6.75"/>
    <n v="191.2"/>
    <n v="4.7"/>
    <n v="0"/>
    <n v="117.05"/>
    <n v="22.05"/>
    <n v="0"/>
    <n v="125"/>
    <n v="0"/>
    <n v="0"/>
    <n v="1227.8499999999999"/>
    <n v="63.75"/>
    <n v="29"/>
    <s v="DUNGARPUR"/>
    <s v="DUNGARPUR"/>
    <s v="RJ-UDAIPUR"/>
    <d v="2018-06-21T00:00:00"/>
  </r>
  <r>
    <s v="808623119050"/>
    <x v="2710"/>
    <s v="SHIV SHAKTI CEMENT SUPPLIERS"/>
    <n v="119050"/>
    <s v="RAJASTHAN CEMENT CORPORATION"/>
    <n v="100"/>
    <n v="0"/>
    <n v="0"/>
    <n v="90"/>
    <n v="0"/>
    <n v="0"/>
    <n v="102.5"/>
    <n v="0"/>
    <n v="5"/>
    <n v="35"/>
    <n v="0"/>
    <n v="0"/>
    <n v="76"/>
    <n v="0"/>
    <n v="7"/>
    <n v="65.5"/>
    <n v="0"/>
    <n v="5"/>
    <n v="70"/>
    <n v="0"/>
    <n v="0"/>
    <n v="25"/>
    <n v="0"/>
    <n v="5"/>
    <n v="564"/>
    <n v="0"/>
    <n v="17"/>
    <s v="DUNGARPUR"/>
    <s v="DUNGARPUR"/>
    <s v="RJ-UDAIPUR"/>
    <d v="2018-06-21T00:00:00"/>
  </r>
  <r>
    <s v="808792144804"/>
    <x v="2711"/>
    <s v="HONEY TRADERS"/>
    <n v="144804"/>
    <s v="MANGAL JI MADHAV JI"/>
    <n v="75"/>
    <n v="7.75"/>
    <n v="0"/>
    <n v="41"/>
    <n v="0"/>
    <n v="0"/>
    <n v="80.5"/>
    <n v="8"/>
    <n v="0"/>
    <n v="40.299999999999997"/>
    <n v="6.25"/>
    <n v="0"/>
    <n v="0"/>
    <n v="0"/>
    <n v="0"/>
    <n v="28"/>
    <n v="0"/>
    <n v="2.5"/>
    <n v="8"/>
    <n v="0"/>
    <n v="0"/>
    <n v="30"/>
    <n v="0"/>
    <n v="0"/>
    <n v="302.8"/>
    <n v="22"/>
    <n v="2.5"/>
    <s v="DUNGARPUR"/>
    <s v="DUNGARPUR"/>
    <s v="RJ-UDAIPUR"/>
    <d v="2018-08-18T00:00:00"/>
  </r>
  <r>
    <s v="808792174756"/>
    <x v="2711"/>
    <s v="HONEY TRADERS"/>
    <n v="174756"/>
    <s v="SHAH TRADERS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DUNGARPUR"/>
    <s v="DUNGARPUR"/>
    <s v="RJ-UDAIPUR"/>
    <d v="2018-08-18T00:00:00"/>
  </r>
  <r>
    <s v="808835146910"/>
    <x v="2712"/>
    <s v="NARAYAN WELDING WORKS"/>
    <n v="146910"/>
    <s v="KOTHARI KANTILAL SHANKARLAL"/>
    <n v="0"/>
    <n v="0"/>
    <n v="0"/>
    <n v="0"/>
    <n v="0"/>
    <n v="0"/>
    <n v="15"/>
    <n v="0"/>
    <n v="0"/>
    <n v="10"/>
    <n v="0"/>
    <n v="0"/>
    <n v="7.5"/>
    <n v="0"/>
    <n v="0"/>
    <n v="22.5"/>
    <n v="0"/>
    <n v="0"/>
    <n v="0"/>
    <n v="0"/>
    <n v="0"/>
    <n v="40"/>
    <n v="0"/>
    <n v="0"/>
    <n v="95"/>
    <n v="0"/>
    <n v="0"/>
    <s v="DUNGARPUR"/>
    <s v="DUNGARPUR"/>
    <s v="RJ-UDAIPUR"/>
    <d v="2018-08-31T00:00:00"/>
  </r>
  <r>
    <s v="808837121706"/>
    <x v="2713"/>
    <s v="MEGHA TRADERS"/>
    <n v="121706"/>
    <s v="ANKIT TRADERS"/>
    <n v="10"/>
    <n v="0"/>
    <n v="0"/>
    <n v="0"/>
    <n v="0"/>
    <n v="0"/>
    <n v="65"/>
    <n v="0"/>
    <n v="10"/>
    <n v="50"/>
    <n v="0"/>
    <n v="10"/>
    <n v="100"/>
    <n v="0"/>
    <n v="0"/>
    <n v="94.5"/>
    <n v="0"/>
    <n v="0"/>
    <n v="165"/>
    <n v="0"/>
    <n v="0"/>
    <n v="30"/>
    <n v="0"/>
    <n v="0"/>
    <n v="514.5"/>
    <n v="0"/>
    <n v="20"/>
    <s v="DUNGARPUR"/>
    <s v="DUNGARPUR"/>
    <s v="RJ-UDAIPUR"/>
    <d v="2018-08-31T00:00:00"/>
  </r>
  <r>
    <s v="808845121574"/>
    <x v="2714"/>
    <s v="VISHAV KARMA PATHAR GODAM"/>
    <n v="121574"/>
    <s v="TORAVAT JAYANTILAL JAVEERCHAND"/>
    <n v="5"/>
    <n v="0"/>
    <n v="0"/>
    <n v="80"/>
    <n v="0"/>
    <n v="0"/>
    <n v="92"/>
    <n v="0"/>
    <n v="0"/>
    <n v="15"/>
    <n v="0"/>
    <n v="0"/>
    <n v="5"/>
    <n v="0"/>
    <n v="0"/>
    <n v="25"/>
    <n v="0"/>
    <n v="0"/>
    <n v="30"/>
    <n v="0"/>
    <n v="0"/>
    <n v="45"/>
    <n v="0"/>
    <n v="0"/>
    <n v="297"/>
    <n v="0"/>
    <n v="0"/>
    <s v="DUNGARPUR"/>
    <s v="DUNGARPUR"/>
    <s v="RJ-UDAIPUR"/>
    <d v="2018-09-04T00:00:00"/>
  </r>
  <r>
    <s v="808849173728"/>
    <x v="2715"/>
    <s v="POONAM ENTERPRISES"/>
    <n v="173728"/>
    <s v="LAXMI CEMANT AND BUILDING MATE"/>
    <n v="10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s v="DUNGARPUR"/>
    <s v="DUNGARPUR"/>
    <s v="RJ-UDAIPUR"/>
    <d v="2018-09-04T00:00:00"/>
  </r>
  <r>
    <s v="808894174756"/>
    <x v="2716"/>
    <s v="POPATLAL KALAL"/>
    <n v="174756"/>
    <s v="SHAH TRADERS"/>
    <n v="40"/>
    <n v="0"/>
    <n v="0"/>
    <n v="15"/>
    <n v="0"/>
    <n v="0"/>
    <n v="45"/>
    <n v="0"/>
    <n v="0"/>
    <n v="27.25"/>
    <n v="0"/>
    <n v="7.25"/>
    <n v="15"/>
    <n v="0"/>
    <n v="0"/>
    <n v="15"/>
    <n v="0"/>
    <n v="0"/>
    <n v="51"/>
    <n v="0"/>
    <n v="0"/>
    <n v="15"/>
    <n v="0"/>
    <n v="0"/>
    <n v="223.25"/>
    <n v="0"/>
    <n v="7.25"/>
    <s v="DUNGARPUR"/>
    <s v="DUNGARPUR"/>
    <s v="RJ-UDAIPUR"/>
    <d v="2018-07-11T00:00:00"/>
  </r>
  <r>
    <s v="808895119050"/>
    <x v="2717"/>
    <s v="TOLACHAND KALAL"/>
    <n v="119050"/>
    <s v="RAJASTHAN CEMENT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UNGARPUR"/>
    <s v="DUNGARPUR"/>
    <s v="RJ-UDAIPUR"/>
    <d v="2018-07-11T00:00:00"/>
  </r>
  <r>
    <s v="808928202842"/>
    <x v="2718"/>
    <s v="KUMKUM KIRANA STORE"/>
    <n v="202842"/>
    <s v="M.R.TRADING COMPANY"/>
    <n v="55"/>
    <n v="0"/>
    <n v="0"/>
    <n v="60"/>
    <n v="0"/>
    <n v="0"/>
    <n v="75"/>
    <n v="0"/>
    <n v="0"/>
    <n v="70"/>
    <n v="0"/>
    <n v="0"/>
    <n v="25.5"/>
    <n v="0"/>
    <n v="0"/>
    <n v="65.099999999999994"/>
    <n v="2.6"/>
    <n v="7.5"/>
    <n v="40"/>
    <n v="0"/>
    <n v="0"/>
    <n v="40"/>
    <n v="0"/>
    <n v="0"/>
    <n v="430.6"/>
    <n v="2.6"/>
    <n v="7.5"/>
    <s v="DUNGARPUR"/>
    <s v="DUNGARPUR"/>
    <s v="RJ-UDAIPUR"/>
    <d v="2018-07-13T00:00:00"/>
  </r>
  <r>
    <s v="809217121572"/>
    <x v="2719"/>
    <s v="SAIFEE HARDWARE"/>
    <n v="121572"/>
    <s v="FAKHRUDDIN ABDEALI LUKA WALA"/>
    <n v="60"/>
    <n v="0"/>
    <n v="0"/>
    <n v="57.5"/>
    <n v="0"/>
    <n v="0"/>
    <n v="50"/>
    <n v="0"/>
    <n v="0"/>
    <n v="71.5"/>
    <n v="0"/>
    <n v="0"/>
    <n v="30"/>
    <n v="0"/>
    <n v="0"/>
    <n v="20"/>
    <n v="0"/>
    <n v="0"/>
    <n v="50"/>
    <n v="0"/>
    <n v="0"/>
    <n v="59"/>
    <n v="0"/>
    <n v="0"/>
    <n v="398"/>
    <n v="0"/>
    <n v="0"/>
    <s v="DUNGARPUR"/>
    <s v="DUNGARPUR"/>
    <s v="RJ-UDAIPUR"/>
    <d v="2019-03-01T00:00:00"/>
  </r>
  <r>
    <s v="809368144447"/>
    <x v="2720"/>
    <s v="ARVIND KIRANA STORE"/>
    <n v="144447"/>
    <s v="PARAS ENTERPRISES"/>
    <n v="40"/>
    <n v="0"/>
    <n v="0"/>
    <n v="35"/>
    <n v="0"/>
    <n v="0"/>
    <n v="34"/>
    <n v="0"/>
    <n v="0"/>
    <n v="25"/>
    <n v="0"/>
    <n v="0"/>
    <n v="20"/>
    <n v="0"/>
    <n v="0"/>
    <n v="15"/>
    <n v="0"/>
    <n v="0"/>
    <n v="65"/>
    <n v="0"/>
    <n v="0"/>
    <n v="63"/>
    <n v="0"/>
    <n v="0"/>
    <n v="297"/>
    <n v="0"/>
    <n v="0"/>
    <s v="DUNGARPUR"/>
    <s v="DUNGARPUR"/>
    <s v="RJ-UDAIPUR"/>
    <d v="2019-04-13T00:00:00"/>
  </r>
  <r>
    <s v="809418144747"/>
    <x v="2721"/>
    <s v="HARI OM CONSTRUCTION"/>
    <n v="144747"/>
    <s v="ROOP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UNGARPUR"/>
    <s v="DUNGARPUR"/>
    <s v="RJ-UDAIPUR"/>
    <d v="2019-04-22T00:00:00"/>
  </r>
  <r>
    <s v="809420174756"/>
    <x v="2722"/>
    <s v="HITESH KALAL"/>
    <n v="174756"/>
    <s v="SHAH TRADERS"/>
    <n v="30"/>
    <n v="0"/>
    <n v="0"/>
    <n v="30"/>
    <n v="0"/>
    <n v="0"/>
    <n v="45"/>
    <n v="0"/>
    <n v="0"/>
    <n v="25"/>
    <n v="0"/>
    <n v="0"/>
    <n v="10"/>
    <n v="0"/>
    <n v="0"/>
    <n v="20.5"/>
    <n v="0"/>
    <n v="0"/>
    <n v="31"/>
    <n v="0"/>
    <n v="0"/>
    <n v="45"/>
    <n v="0"/>
    <n v="0"/>
    <n v="236.5"/>
    <n v="0"/>
    <n v="0"/>
    <s v="DUNGARPUR"/>
    <s v="DUNGARPUR"/>
    <s v="RJ-UDAIPUR"/>
    <d v="2019-04-22T00:00:00"/>
  </r>
  <r>
    <s v="809988173728"/>
    <x v="2723"/>
    <s v="BHAVIN KUMAR LAXMAN LAL KATARA"/>
    <n v="173728"/>
    <s v="LAXMI CEMANT AND BUILDING MATE"/>
    <n v="0"/>
    <n v="0"/>
    <n v="0"/>
    <n v="0"/>
    <n v="0"/>
    <n v="0"/>
    <n v="15"/>
    <n v="0"/>
    <n v="0"/>
    <n v="61"/>
    <n v="0"/>
    <n v="0"/>
    <n v="20"/>
    <n v="1.45"/>
    <n v="3.55"/>
    <n v="20"/>
    <n v="0"/>
    <n v="0"/>
    <n v="104"/>
    <n v="10"/>
    <n v="9"/>
    <n v="30"/>
    <n v="0"/>
    <n v="0"/>
    <n v="250"/>
    <n v="11.45"/>
    <n v="12.55"/>
    <s v="DUNGARPUR"/>
    <s v="DUNGARPUR"/>
    <s v="RJ-UDAIPUR"/>
    <d v="2019-07-20T00:00:00"/>
  </r>
  <r>
    <s v="810159172084"/>
    <x v="2724"/>
    <s v="MAHADEV BUILDING MATERIAL"/>
    <n v="172084"/>
    <s v="PRAJAPATI BUILDING MATERIAL"/>
    <n v="35"/>
    <n v="0"/>
    <n v="0"/>
    <n v="80"/>
    <n v="0"/>
    <n v="0"/>
    <n v="55"/>
    <n v="0"/>
    <n v="0"/>
    <n v="41"/>
    <n v="0"/>
    <n v="11"/>
    <n v="30"/>
    <n v="0"/>
    <n v="0"/>
    <n v="22.5"/>
    <n v="0"/>
    <n v="0"/>
    <n v="40"/>
    <n v="0"/>
    <n v="5"/>
    <n v="25"/>
    <n v="0"/>
    <n v="0"/>
    <n v="328.5"/>
    <n v="0"/>
    <n v="16"/>
    <s v="DUNGARPUR"/>
    <s v="DUNGARPUR"/>
    <s v="RJ-UDAIPUR"/>
    <d v="2019-08-05T00:00:00"/>
  </r>
  <r>
    <s v="810274144447"/>
    <x v="2725"/>
    <s v="LEHARI VASTU SHASTRA &amp; CONSULT"/>
    <n v="144447"/>
    <s v="PARAS ENTERPRISES"/>
    <n v="40"/>
    <n v="0"/>
    <n v="0"/>
    <n v="35"/>
    <n v="0"/>
    <n v="0"/>
    <n v="78"/>
    <n v="0"/>
    <n v="0"/>
    <n v="65"/>
    <n v="0"/>
    <n v="0"/>
    <n v="30"/>
    <n v="0"/>
    <n v="0"/>
    <n v="40"/>
    <n v="0"/>
    <n v="0"/>
    <n v="15"/>
    <n v="0"/>
    <n v="0"/>
    <n v="20"/>
    <n v="0"/>
    <n v="0"/>
    <n v="323"/>
    <n v="0"/>
    <n v="0"/>
    <s v="DUNGARPUR"/>
    <s v="DUNGARPUR"/>
    <s v="RJ-UDAIPUR"/>
    <d v="2019-08-19T00:00:00"/>
  </r>
  <r>
    <s v="810560142332"/>
    <x v="2726"/>
    <s v="JAYNTILAL PARMAR"/>
    <n v="142332"/>
    <s v="SANTOSH KIRANA AND CEMENT"/>
    <n v="20"/>
    <n v="0"/>
    <n v="0"/>
    <n v="20"/>
    <n v="0"/>
    <n v="0"/>
    <n v="33"/>
    <n v="0"/>
    <n v="0"/>
    <n v="10"/>
    <n v="0"/>
    <n v="0"/>
    <n v="15"/>
    <n v="0"/>
    <n v="0"/>
    <n v="0"/>
    <n v="0"/>
    <n v="0"/>
    <n v="15"/>
    <n v="0"/>
    <n v="0"/>
    <n v="0"/>
    <n v="0"/>
    <n v="0"/>
    <n v="113"/>
    <n v="0"/>
    <n v="0"/>
    <s v="DUNGARPUR"/>
    <s v="DUNGARPUR"/>
    <s v="RJ-UDAIPUR"/>
    <d v="2019-09-26T00:00:00"/>
  </r>
  <r>
    <s v="810841179755"/>
    <x v="2727"/>
    <s v="RAKESH STONE SUPPLIERS"/>
    <n v="179755"/>
    <s v="R &amp; K ENTERPRISES"/>
    <n v="120"/>
    <n v="0"/>
    <n v="0"/>
    <n v="90"/>
    <n v="0"/>
    <n v="0"/>
    <n v="197.5"/>
    <n v="0"/>
    <n v="10"/>
    <n v="99"/>
    <n v="0"/>
    <n v="0"/>
    <n v="24.5"/>
    <n v="0"/>
    <n v="4"/>
    <n v="16"/>
    <n v="0"/>
    <n v="0"/>
    <n v="59"/>
    <n v="9"/>
    <n v="0"/>
    <n v="22.5"/>
    <n v="0"/>
    <n v="0"/>
    <n v="628.5"/>
    <n v="9"/>
    <n v="14"/>
    <s v="DUNGARPUR"/>
    <s v="DUNGARPUR"/>
    <s v="RJ-UDAIPUR"/>
    <d v="2019-11-25T00:00:00"/>
  </r>
  <r>
    <s v="810906173728"/>
    <x v="2728"/>
    <s v="SOMNATH CONSTRUCTION AND BUILD"/>
    <n v="173728"/>
    <s v="LAXMI CEMANT AND BUILDING MATE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DUNGARPUR"/>
    <s v="DUNGARPUR"/>
    <s v="RJ-UDAIPUR"/>
    <d v="2019-12-04T00:00:00"/>
  </r>
  <r>
    <s v="811047174756"/>
    <x v="2729"/>
    <s v="RAI SINGH AND SANTOSH KUNWAR"/>
    <n v="174756"/>
    <s v="SHAH TRADERS"/>
    <n v="40"/>
    <n v="0"/>
    <n v="0"/>
    <n v="50"/>
    <n v="0"/>
    <n v="0"/>
    <n v="65"/>
    <n v="0"/>
    <n v="0"/>
    <n v="25"/>
    <n v="0"/>
    <n v="0"/>
    <n v="15"/>
    <n v="0"/>
    <n v="0"/>
    <n v="47"/>
    <n v="0"/>
    <n v="0"/>
    <n v="15"/>
    <n v="0"/>
    <n v="0"/>
    <n v="35"/>
    <n v="0"/>
    <n v="0"/>
    <n v="292"/>
    <n v="0"/>
    <n v="0"/>
    <s v="DUNGARPUR"/>
    <s v="DUNGARPUR"/>
    <s v="RJ-UDAIPUR"/>
    <d v="2019-12-23T00:00:00"/>
  </r>
  <r>
    <s v="811254208066"/>
    <x v="2730"/>
    <s v="BHARAT LAL PATIDAR"/>
    <n v="208066"/>
    <s v="SHIV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UNGARPUR"/>
    <s v="DUNGARPUR"/>
    <s v="RJ-UDAIPUR"/>
    <d v="2020-01-14T00:00:00"/>
  </r>
  <r>
    <s v="811254213658"/>
    <x v="2730"/>
    <s v="BHARAT LAL PATIDAR"/>
    <n v="213658"/>
    <s v="SHIV-G-CORPORATION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5"/>
    <n v="0"/>
    <n v="0"/>
    <n v="0"/>
    <n v="0"/>
    <n v="0"/>
    <n v="6"/>
    <n v="0"/>
    <n v="0"/>
    <s v="DUNGARPUR"/>
    <s v="DUNGARPUR"/>
    <s v="RJ-UDAIPUR"/>
    <d v="2020-01-14T00:00:00"/>
  </r>
  <r>
    <s v="811596119050"/>
    <x v="2731"/>
    <s v="JAY AMBE STONE SUPPLIERS"/>
    <n v="119050"/>
    <s v="RAJASTHAN CEMENT CORPORATION"/>
    <n v="85"/>
    <n v="0"/>
    <n v="0"/>
    <n v="162.5"/>
    <n v="0"/>
    <n v="0"/>
    <n v="138.55000000000001"/>
    <n v="0"/>
    <n v="0"/>
    <n v="185"/>
    <n v="10"/>
    <n v="0"/>
    <n v="52"/>
    <n v="32.5"/>
    <n v="0"/>
    <n v="105"/>
    <n v="0"/>
    <n v="0"/>
    <n v="97.5"/>
    <n v="12.5"/>
    <n v="0"/>
    <n v="70"/>
    <n v="0"/>
    <n v="0"/>
    <n v="895.55"/>
    <n v="55"/>
    <n v="0"/>
    <s v="DUNGARPUR"/>
    <s v="DUNGARPUR"/>
    <s v="RJ-UDAIPUR"/>
    <d v="2020-02-24T00:00:00"/>
  </r>
  <r>
    <s v="811817119050"/>
    <x v="2732"/>
    <s v="V K ENTERPRISES"/>
    <n v="119050"/>
    <s v="RAJASTHAN CEMENT CORPORATION"/>
    <n v="0"/>
    <n v="0"/>
    <n v="0"/>
    <n v="0"/>
    <n v="0"/>
    <n v="0"/>
    <n v="0"/>
    <n v="0"/>
    <n v="0"/>
    <n v="7.5"/>
    <n v="0"/>
    <n v="0"/>
    <n v="0"/>
    <n v="0"/>
    <n v="0"/>
    <n v="0"/>
    <n v="0"/>
    <n v="0"/>
    <n v="0"/>
    <n v="0"/>
    <n v="0"/>
    <n v="0"/>
    <n v="0"/>
    <n v="0"/>
    <n v="7.5"/>
    <n v="0"/>
    <n v="0"/>
    <s v="DUNGARPUR"/>
    <s v="DUNGARPUR"/>
    <s v="RJ-UDAIPUR"/>
    <d v="2020-05-20T00:00:00"/>
  </r>
  <r>
    <s v="812267172084"/>
    <x v="2733"/>
    <s v="OM SAI BUILDING MATERIAL &amp; CON"/>
    <n v="172084"/>
    <s v="PRAJAPATI BUILDING MATERIAL"/>
    <n v="50"/>
    <n v="0"/>
    <n v="0"/>
    <n v="85"/>
    <n v="0"/>
    <n v="0"/>
    <n v="65"/>
    <n v="0"/>
    <n v="0"/>
    <n v="20"/>
    <n v="0"/>
    <n v="0"/>
    <n v="60"/>
    <n v="0"/>
    <n v="0"/>
    <n v="10"/>
    <n v="0"/>
    <n v="0"/>
    <n v="98"/>
    <n v="6.5"/>
    <n v="0"/>
    <n v="23"/>
    <n v="0"/>
    <n v="0"/>
    <n v="411"/>
    <n v="6.5"/>
    <n v="0"/>
    <s v="DUNGARPUR"/>
    <s v="DUNGARPUR"/>
    <s v="RJ-UDAIPUR"/>
    <d v="2020-07-17T00:00:00"/>
  </r>
  <r>
    <s v="812317174756"/>
    <x v="2734"/>
    <s v="AMRIT LAL SUTHAR"/>
    <n v="174756"/>
    <s v="SHAH TRADERS"/>
    <n v="75"/>
    <n v="0"/>
    <n v="0"/>
    <n v="30"/>
    <n v="0"/>
    <n v="0"/>
    <n v="50"/>
    <n v="0"/>
    <n v="0"/>
    <n v="10"/>
    <n v="0"/>
    <n v="0"/>
    <n v="15"/>
    <n v="0"/>
    <n v="0"/>
    <n v="15"/>
    <n v="0"/>
    <n v="0"/>
    <n v="15"/>
    <n v="0"/>
    <n v="0"/>
    <n v="25"/>
    <n v="0"/>
    <n v="0"/>
    <n v="235"/>
    <n v="0"/>
    <n v="0"/>
    <s v="DUNGARPUR"/>
    <s v="DUNGARPUR"/>
    <s v="RJ-UDAIPUR"/>
    <d v="2020-07-22T00:00:00"/>
  </r>
  <r>
    <s v="812320172084"/>
    <x v="2735"/>
    <s v="ANEEL TRADERS"/>
    <n v="172084"/>
    <s v="PRAJAPATI BUILDING MATERIAL"/>
    <n v="35"/>
    <n v="0"/>
    <n v="0"/>
    <n v="50"/>
    <n v="0"/>
    <n v="0"/>
    <n v="45"/>
    <n v="0"/>
    <n v="0"/>
    <n v="0"/>
    <n v="0"/>
    <n v="0"/>
    <n v="20"/>
    <n v="0"/>
    <n v="0"/>
    <n v="115"/>
    <n v="0"/>
    <n v="0"/>
    <n v="130"/>
    <n v="5"/>
    <n v="0"/>
    <n v="42"/>
    <n v="0"/>
    <n v="0"/>
    <n v="437"/>
    <n v="5"/>
    <n v="0"/>
    <s v="DUNGARPUR"/>
    <s v="DUNGARPUR"/>
    <s v="RJ-UDAIPUR"/>
    <d v="2020-07-22T00:00:00"/>
  </r>
  <r>
    <s v="812507144447"/>
    <x v="2736"/>
    <s v="MEWAR MILK COLLECTION CENTER"/>
    <n v="144447"/>
    <s v="PARAS ENTERPRISES"/>
    <n v="41"/>
    <n v="0"/>
    <n v="0"/>
    <n v="0"/>
    <n v="0"/>
    <n v="0"/>
    <n v="35"/>
    <n v="0"/>
    <n v="0"/>
    <n v="70"/>
    <n v="0"/>
    <n v="0"/>
    <n v="35"/>
    <n v="2"/>
    <n v="0"/>
    <n v="15"/>
    <n v="0"/>
    <n v="0"/>
    <n v="45"/>
    <n v="0"/>
    <n v="0"/>
    <n v="30"/>
    <n v="0"/>
    <n v="0"/>
    <n v="271"/>
    <n v="2"/>
    <n v="0"/>
    <s v="DUNGARPUR"/>
    <s v="DUNGARPUR"/>
    <s v="RJ-UDAIPUR"/>
    <d v="2020-08-12T00:00:00"/>
  </r>
  <r>
    <s v="812757174756"/>
    <x v="2737"/>
    <s v="KALPESH  PATEL"/>
    <n v="174756"/>
    <s v="SHAH TRADERS"/>
    <n v="10"/>
    <n v="0"/>
    <n v="0"/>
    <n v="10"/>
    <n v="0"/>
    <n v="0"/>
    <n v="0"/>
    <n v="0"/>
    <n v="0"/>
    <n v="15"/>
    <n v="0"/>
    <n v="0"/>
    <n v="0"/>
    <n v="0"/>
    <n v="0"/>
    <n v="0"/>
    <n v="0"/>
    <n v="0"/>
    <n v="10"/>
    <n v="0"/>
    <n v="0"/>
    <n v="35"/>
    <n v="0"/>
    <n v="0"/>
    <n v="80"/>
    <n v="0"/>
    <n v="0"/>
    <s v="DUNGARPUR"/>
    <s v="DUNGARPUR"/>
    <s v="RJ-UDAIPUR"/>
    <d v="2020-09-02T00:00:00"/>
  </r>
  <r>
    <s v="813060174558"/>
    <x v="2738"/>
    <s v="SHIV SHAKTI TRADERS"/>
    <n v="174558"/>
    <s v="HARI OM MATERIAL SUPPLIERS"/>
    <n v="3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s v="DUNGARPUR"/>
    <s v="DUNGARPUR"/>
    <s v="RJ-UDAIPUR"/>
    <d v="2020-09-25T00:00:00"/>
  </r>
  <r>
    <s v="813105202842"/>
    <x v="2739"/>
    <s v="OM SAI KIRANA AND GENERAL STOR"/>
    <n v="202842"/>
    <s v="M.R.TRADING COMPANY"/>
    <n v="105"/>
    <n v="0"/>
    <n v="0"/>
    <n v="50"/>
    <n v="0"/>
    <n v="0"/>
    <n v="95"/>
    <n v="5"/>
    <n v="0"/>
    <n v="91"/>
    <n v="6"/>
    <n v="0"/>
    <n v="27.5"/>
    <n v="0"/>
    <n v="0"/>
    <n v="55"/>
    <n v="0"/>
    <n v="0"/>
    <n v="30"/>
    <n v="0"/>
    <n v="0"/>
    <n v="35"/>
    <n v="0"/>
    <n v="0"/>
    <n v="488.5"/>
    <n v="11"/>
    <n v="0"/>
    <s v="DUNGARPUR"/>
    <s v="DUNGARPUR"/>
    <s v="RJ-UDAIPUR"/>
    <d v="2020-09-29T00:00:00"/>
  </r>
  <r>
    <s v="813106144747"/>
    <x v="2740"/>
    <s v="MUSKAN MATERIAL SUPPLIERS"/>
    <n v="144747"/>
    <s v="ROOP ENTERPRISES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DUNGARPUR"/>
    <s v="DUNGARPUR"/>
    <s v="RJ-UDAIPUR"/>
    <d v="2020-09-29T00:00:00"/>
  </r>
  <r>
    <s v="813269119050"/>
    <x v="2741"/>
    <s v="UMESH KIRANA STORE"/>
    <n v="119050"/>
    <s v="RAJASTHAN CEMENT CORPORATION"/>
    <n v="20"/>
    <n v="0"/>
    <n v="0"/>
    <n v="20"/>
    <n v="0"/>
    <n v="0"/>
    <n v="95"/>
    <n v="0"/>
    <n v="0"/>
    <n v="0"/>
    <n v="0"/>
    <n v="0"/>
    <n v="10"/>
    <n v="0"/>
    <n v="0"/>
    <n v="31.5"/>
    <n v="0"/>
    <n v="6.5"/>
    <n v="12.5"/>
    <n v="0"/>
    <n v="2.5"/>
    <n v="0"/>
    <n v="0"/>
    <n v="0"/>
    <n v="189"/>
    <n v="0"/>
    <n v="9"/>
    <s v="DUNGARPUR"/>
    <s v="DUNGARPUR"/>
    <s v="RJ-UDAIPUR"/>
    <d v="2020-10-14T00:00:00"/>
  </r>
  <r>
    <s v="813277146910"/>
    <x v="2742"/>
    <s v="KAVITA TRADERS"/>
    <n v="146910"/>
    <s v="KOTHARI KANTILAL SHANKARLAL"/>
    <n v="5"/>
    <n v="0"/>
    <n v="0"/>
    <n v="0"/>
    <n v="0"/>
    <n v="0"/>
    <n v="65"/>
    <n v="0"/>
    <n v="0"/>
    <n v="6"/>
    <n v="0"/>
    <n v="0"/>
    <n v="5"/>
    <n v="0"/>
    <n v="0"/>
    <n v="7.5"/>
    <n v="0"/>
    <n v="0"/>
    <n v="7"/>
    <n v="0"/>
    <n v="0"/>
    <n v="7.5"/>
    <n v="0"/>
    <n v="0"/>
    <n v="103"/>
    <n v="0"/>
    <n v="0"/>
    <s v="DUNGARPUR"/>
    <s v="DUNGARPUR"/>
    <s v="RJ-UDAIPUR"/>
    <d v="2020-10-15T00:00:00"/>
  </r>
  <r>
    <s v="813279146910"/>
    <x v="2743"/>
    <s v="ASHISH MANISH TRADERS"/>
    <n v="146910"/>
    <s v="KOTHARI KANTILAL SHANKARLAL"/>
    <n v="80"/>
    <n v="0"/>
    <n v="0"/>
    <n v="0"/>
    <n v="10"/>
    <n v="0"/>
    <n v="30.5"/>
    <n v="2.5"/>
    <n v="0"/>
    <n v="49.5"/>
    <n v="8.5"/>
    <n v="0"/>
    <n v="20.5"/>
    <n v="0"/>
    <n v="0"/>
    <n v="17.5"/>
    <n v="0"/>
    <n v="0"/>
    <n v="27"/>
    <n v="0"/>
    <n v="0"/>
    <n v="31"/>
    <n v="0"/>
    <n v="0"/>
    <n v="256"/>
    <n v="21"/>
    <n v="0"/>
    <s v="DUNGARPUR"/>
    <s v="DUNGARPUR"/>
    <s v="RJ-UDAIPUR"/>
    <d v="2020-10-15T00:00:00"/>
  </r>
  <r>
    <s v="813302177092"/>
    <x v="2744"/>
    <s v="KHUSHI ENTERPRISE"/>
    <n v="177092"/>
    <s v="RAJARAM BUILDING AND ELECTRIC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UNGARPUR"/>
    <s v="DUNGARPUR"/>
    <s v="RJ-UDAIPUR"/>
    <d v="2020-10-17T00:00:00"/>
  </r>
  <r>
    <s v="813303177092"/>
    <x v="2745"/>
    <s v="MAHADEV ELECTRICALS"/>
    <n v="177092"/>
    <s v="RAJARAM BUILDING AND ELECTRICA"/>
    <n v="50"/>
    <n v="0"/>
    <n v="0"/>
    <n v="55.5"/>
    <n v="0"/>
    <n v="0"/>
    <n v="51.5"/>
    <n v="0"/>
    <n v="0"/>
    <n v="30"/>
    <n v="5"/>
    <n v="0"/>
    <n v="35"/>
    <n v="0"/>
    <n v="0"/>
    <n v="15"/>
    <n v="0"/>
    <n v="0"/>
    <n v="25"/>
    <n v="0"/>
    <n v="0"/>
    <n v="45"/>
    <n v="0"/>
    <n v="0"/>
    <n v="307"/>
    <n v="5"/>
    <n v="0"/>
    <s v="DUNGARPUR"/>
    <s v="DUNGARPUR"/>
    <s v="RJ-UDAIPUR"/>
    <d v="2020-10-17T00:00:00"/>
  </r>
  <r>
    <s v="813647144447"/>
    <x v="2746"/>
    <s v="POOJA CONSTRUCTION"/>
    <n v="144447"/>
    <s v="PARAS ENTERPRISES"/>
    <n v="16"/>
    <n v="0"/>
    <n v="0"/>
    <n v="10"/>
    <n v="6"/>
    <n v="0"/>
    <n v="20"/>
    <n v="0"/>
    <n v="0"/>
    <n v="0"/>
    <n v="0"/>
    <n v="0"/>
    <n v="0"/>
    <n v="0"/>
    <n v="0"/>
    <n v="0"/>
    <n v="0"/>
    <n v="0"/>
    <n v="0"/>
    <n v="0"/>
    <n v="0"/>
    <n v="15"/>
    <n v="0"/>
    <n v="0"/>
    <n v="61"/>
    <n v="6"/>
    <n v="0"/>
    <s v="DUNGARPUR"/>
    <s v="DUNGARPUR"/>
    <s v="RJ-UDAIPUR"/>
    <d v="2020-11-26T00:00:00"/>
  </r>
  <r>
    <s v="813647144747"/>
    <x v="2746"/>
    <s v="POOJA CONSTRUCTION"/>
    <n v="144747"/>
    <s v="ROOP ENTERPRISES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5"/>
    <n v="0"/>
    <n v="0"/>
    <s v="DUNGARPUR"/>
    <s v="DUNGARPUR"/>
    <s v="RJ-UDAIPUR"/>
    <d v="2020-11-26T00:00:00"/>
  </r>
  <r>
    <s v="813651178223"/>
    <x v="2747"/>
    <s v="JAI KALYAN PASHU AAHAR &amp; BUILD"/>
    <n v="178223"/>
    <s v="M V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UNGARPUR"/>
    <s v="DUNGARPUR"/>
    <s v="RJ-UDAIPUR"/>
    <d v="2020-11-26T00:00:00"/>
  </r>
  <r>
    <s v="813674179755"/>
    <x v="2748"/>
    <s v="BHAVIKA TRADERS"/>
    <n v="179755"/>
    <s v="R &amp; K ENTERPRISES"/>
    <n v="0"/>
    <n v="0"/>
    <n v="0"/>
    <n v="10"/>
    <n v="0"/>
    <n v="0"/>
    <n v="20"/>
    <n v="0"/>
    <n v="0"/>
    <n v="21"/>
    <n v="0"/>
    <n v="0"/>
    <n v="23.5"/>
    <n v="0"/>
    <n v="0"/>
    <n v="31.5"/>
    <n v="0"/>
    <n v="0"/>
    <n v="22.5"/>
    <n v="0"/>
    <n v="0"/>
    <n v="20"/>
    <n v="0"/>
    <n v="0"/>
    <n v="148.5"/>
    <n v="0"/>
    <n v="0"/>
    <s v="DUNGARPUR"/>
    <s v="DUNGARPUR"/>
    <s v="RJ-UDAIPUR"/>
    <d v="2020-11-27T00:00:00"/>
  </r>
  <r>
    <s v="813679173728"/>
    <x v="2749"/>
    <s v="BASANTI TRADERS"/>
    <n v="173728"/>
    <s v="LAXMI CEMANT AND BUILDING MATE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20"/>
    <n v="0"/>
    <n v="0"/>
    <n v="0"/>
    <n v="0"/>
    <n v="0"/>
    <n v="30"/>
    <n v="0"/>
    <n v="0"/>
    <s v="DUNGARPUR"/>
    <s v="DUNGARPUR"/>
    <s v="RJ-UDAIPUR"/>
    <d v="2020-11-27T00:00:00"/>
  </r>
  <r>
    <s v="813834179755"/>
    <x v="2750"/>
    <s v="SIDDHI VINAYAK TIMBER AND KARS"/>
    <n v="179755"/>
    <s v="R &amp; K ENTERPRISES"/>
    <n v="32.5"/>
    <n v="0"/>
    <n v="0"/>
    <n v="25"/>
    <n v="12.5"/>
    <n v="0"/>
    <n v="49.5"/>
    <n v="4"/>
    <n v="3"/>
    <n v="87.5"/>
    <n v="0"/>
    <n v="0"/>
    <n v="33"/>
    <n v="0"/>
    <n v="0"/>
    <n v="56.5"/>
    <n v="0"/>
    <n v="0"/>
    <n v="44"/>
    <n v="0"/>
    <n v="5"/>
    <n v="19.5"/>
    <n v="0"/>
    <n v="0"/>
    <n v="347.5"/>
    <n v="16.5"/>
    <n v="8"/>
    <s v="DUNGARPUR"/>
    <s v="DUNGARPUR"/>
    <s v="RJ-UDAIPUR"/>
    <d v="2020-12-14T00:00:00"/>
  </r>
  <r>
    <s v="814011144747"/>
    <x v="2751"/>
    <s v="BAJRANG BUILDING MATERIALS"/>
    <n v="144747"/>
    <s v="ROOP ENTERPRIS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UNGARPUR"/>
    <s v="DUNGARPUR"/>
    <s v="RJ-UDAIPUR"/>
    <d v="2020-12-29T00:00:00"/>
  </r>
  <r>
    <s v="814013172084"/>
    <x v="2752"/>
    <s v="MAYAL TRADERS"/>
    <n v="172084"/>
    <s v="PRAJAPATI BUILDING MATERIAL"/>
    <n v="10"/>
    <n v="0"/>
    <n v="0"/>
    <n v="20"/>
    <n v="0"/>
    <n v="0"/>
    <n v="45"/>
    <n v="0"/>
    <n v="0"/>
    <n v="5"/>
    <n v="0"/>
    <n v="0"/>
    <n v="40"/>
    <n v="10"/>
    <n v="0"/>
    <n v="45"/>
    <n v="0"/>
    <n v="0"/>
    <n v="30"/>
    <n v="0"/>
    <n v="0"/>
    <n v="10"/>
    <n v="0"/>
    <n v="0"/>
    <n v="205"/>
    <n v="10"/>
    <n v="0"/>
    <s v="DUNGARPUR"/>
    <s v="DUNGARPUR"/>
    <s v="RJ-UDAIPUR"/>
    <d v="2020-12-29T00:00:00"/>
  </r>
  <r>
    <s v="814048144747"/>
    <x v="2753"/>
    <s v="JETHOLESHWAR ENTERPRISES"/>
    <n v="144747"/>
    <s v="ROOP ENTERPRISES"/>
    <n v="181.5"/>
    <n v="12.5"/>
    <n v="0"/>
    <n v="162.5"/>
    <n v="5"/>
    <n v="0"/>
    <n v="113.5"/>
    <n v="0"/>
    <n v="11.5"/>
    <n v="127.75"/>
    <n v="3.25"/>
    <n v="0"/>
    <n v="95"/>
    <n v="0"/>
    <n v="0"/>
    <n v="95.5"/>
    <n v="18"/>
    <n v="0"/>
    <n v="23"/>
    <n v="3"/>
    <n v="0"/>
    <n v="84"/>
    <n v="0"/>
    <n v="0"/>
    <n v="882.75"/>
    <n v="41.75"/>
    <n v="11.5"/>
    <s v="DUNGARPUR"/>
    <s v="DUNGARPUR"/>
    <s v="RJ-UDAIPUR"/>
    <d v="2020-12-31T00:00:00"/>
  </r>
  <r>
    <s v="814140119050"/>
    <x v="2754"/>
    <s v="SAI RAM KRISHI FARM"/>
    <n v="119050"/>
    <s v="RAJASTHAN CEMENT CORPORATION"/>
    <n v="67"/>
    <n v="0"/>
    <n v="0"/>
    <n v="51"/>
    <n v="0"/>
    <n v="0"/>
    <n v="49"/>
    <n v="0"/>
    <n v="0"/>
    <n v="95"/>
    <n v="0"/>
    <n v="0"/>
    <n v="60"/>
    <n v="0"/>
    <n v="0"/>
    <n v="40"/>
    <n v="0"/>
    <n v="0"/>
    <n v="55"/>
    <n v="0"/>
    <n v="0"/>
    <n v="45"/>
    <n v="0"/>
    <n v="0"/>
    <n v="462"/>
    <n v="0"/>
    <n v="0"/>
    <s v="DUNGARPUR"/>
    <s v="DUNGARPUR"/>
    <s v="RJ-UDAIPUR"/>
    <d v="2021-01-13T00:00:00"/>
  </r>
  <r>
    <s v="814141202881"/>
    <x v="2755"/>
    <s v="NEW SB HARDWARE AND BUILDING M"/>
    <n v="202881"/>
    <s v="MS SANITARY &amp; PAINTS"/>
    <n v="75"/>
    <n v="11"/>
    <n v="0"/>
    <n v="71"/>
    <n v="0"/>
    <n v="0"/>
    <n v="55"/>
    <n v="0"/>
    <n v="0"/>
    <n v="85"/>
    <n v="0"/>
    <n v="0"/>
    <n v="22.5"/>
    <n v="7.5"/>
    <n v="0"/>
    <n v="95"/>
    <n v="0"/>
    <n v="0"/>
    <n v="50"/>
    <n v="0"/>
    <n v="0"/>
    <n v="60"/>
    <n v="0"/>
    <n v="0"/>
    <n v="513.5"/>
    <n v="18.5"/>
    <n v="0"/>
    <s v="DUNGARPUR"/>
    <s v="DUNGARPUR"/>
    <s v="RJ-UDAIPUR"/>
    <d v="2021-01-13T00:00:00"/>
  </r>
  <r>
    <s v="814596172084"/>
    <x v="2756"/>
    <s v="MADHAV LAL &amp; SONS"/>
    <n v="172084"/>
    <s v="PRAJAPATI BUILDING MATERIAL"/>
    <n v="65"/>
    <n v="0"/>
    <n v="0"/>
    <n v="50"/>
    <n v="0"/>
    <n v="0"/>
    <n v="35"/>
    <n v="0"/>
    <n v="0"/>
    <n v="0"/>
    <n v="0"/>
    <n v="0"/>
    <n v="35"/>
    <n v="0"/>
    <n v="0"/>
    <n v="55"/>
    <n v="5"/>
    <n v="0"/>
    <n v="94.5"/>
    <n v="2.5"/>
    <n v="0"/>
    <n v="35"/>
    <n v="0"/>
    <n v="0"/>
    <n v="369.5"/>
    <n v="7.5"/>
    <n v="0"/>
    <s v="DUNGARPUR"/>
    <s v="DUNGARPUR"/>
    <s v="RJ-UDAIPUR"/>
    <d v="2021-02-24T00:00:00"/>
  </r>
  <r>
    <s v="814603179755"/>
    <x v="2757"/>
    <s v="NILKANTH CONSTRUCTION"/>
    <n v="179755"/>
    <s v="R &amp; K ENTERPRISES"/>
    <n v="56"/>
    <n v="0"/>
    <n v="0"/>
    <n v="53"/>
    <n v="15"/>
    <n v="0"/>
    <n v="58.5"/>
    <n v="0"/>
    <n v="9"/>
    <n v="62.5"/>
    <n v="12.5"/>
    <n v="0"/>
    <n v="44"/>
    <n v="0"/>
    <n v="0"/>
    <n v="44"/>
    <n v="0"/>
    <n v="0"/>
    <n v="26"/>
    <n v="0"/>
    <n v="0"/>
    <n v="48"/>
    <n v="0"/>
    <n v="3.5"/>
    <n v="392"/>
    <n v="27.5"/>
    <n v="9"/>
    <s v="DUNGARPUR"/>
    <s v="DUNGARPUR"/>
    <s v="RJ-UDAIPUR"/>
    <d v="2021-02-25T00:00:00"/>
  </r>
  <r>
    <s v="814923174558"/>
    <x v="2758"/>
    <s v="BHAVANI STONE INDUSTRY"/>
    <n v="174558"/>
    <s v="HARI OM MATERIAL SUPPLIERS"/>
    <n v="0"/>
    <n v="0"/>
    <n v="0"/>
    <n v="20"/>
    <n v="0"/>
    <n v="0"/>
    <n v="20"/>
    <n v="0"/>
    <n v="0"/>
    <n v="25"/>
    <n v="0"/>
    <n v="0"/>
    <n v="5"/>
    <n v="0"/>
    <n v="0"/>
    <n v="27.5"/>
    <n v="0"/>
    <n v="0"/>
    <n v="49.5"/>
    <n v="0"/>
    <n v="0"/>
    <n v="20"/>
    <n v="0"/>
    <n v="0"/>
    <n v="167"/>
    <n v="0"/>
    <n v="0"/>
    <s v="DUNGARPUR"/>
    <s v="DUNGARPUR"/>
    <s v="RJ-UDAIPUR"/>
    <d v="2021-04-09T00:00:00"/>
  </r>
  <r>
    <s v="815016144447"/>
    <x v="2759"/>
    <s v="MAA TRIPURA CEMENT SUPPLIERS"/>
    <n v="144447"/>
    <s v="PARAS ENTERPRISES"/>
    <n v="25"/>
    <n v="0"/>
    <n v="0"/>
    <n v="10"/>
    <n v="0"/>
    <n v="0"/>
    <n v="25"/>
    <n v="0"/>
    <n v="0"/>
    <n v="45"/>
    <n v="0"/>
    <n v="0"/>
    <n v="15"/>
    <n v="0"/>
    <n v="0"/>
    <n v="0"/>
    <n v="0"/>
    <n v="0"/>
    <n v="0"/>
    <n v="0"/>
    <n v="0"/>
    <n v="0"/>
    <n v="0"/>
    <n v="0"/>
    <n v="120"/>
    <n v="0"/>
    <n v="0"/>
    <s v="DUNGARPUR"/>
    <s v="DUNGARPUR"/>
    <s v="RJ-UDAIPUR"/>
    <d v="2021-04-29T00:00:00"/>
  </r>
  <r>
    <s v="815232144747"/>
    <x v="2760"/>
    <s v="FAKHRI ENTERPRISES"/>
    <n v="144747"/>
    <s v="ROOP ENTERPRISES"/>
    <n v="0"/>
    <n v="0"/>
    <n v="0"/>
    <n v="44.5"/>
    <n v="0"/>
    <n v="0"/>
    <n v="85"/>
    <n v="0"/>
    <n v="5"/>
    <n v="70"/>
    <n v="0"/>
    <n v="0"/>
    <n v="71.5"/>
    <n v="0"/>
    <n v="0"/>
    <n v="40.5"/>
    <n v="0"/>
    <n v="0"/>
    <n v="25"/>
    <n v="0"/>
    <n v="0"/>
    <n v="116.5"/>
    <n v="0"/>
    <n v="0"/>
    <n v="453"/>
    <n v="0"/>
    <n v="5"/>
    <s v="DUNGARPUR"/>
    <s v="DUNGARPUR"/>
    <s v="RJ-UDAIPUR"/>
    <d v="2021-06-23T00:00:00"/>
  </r>
  <r>
    <s v="815836142332"/>
    <x v="2761"/>
    <s v="RUDRAKSH AUTO PARTS"/>
    <n v="142332"/>
    <s v="SANTOSH KIRANA AND CEMENT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5"/>
    <n v="0"/>
    <n v="0"/>
    <s v="DUNGARPUR"/>
    <s v="DUNGARPUR"/>
    <s v="RJ-UDAIPUR"/>
    <d v="2021-08-04T00:00:00"/>
  </r>
  <r>
    <s v="815837174756"/>
    <x v="2762"/>
    <s v="AANJANA MATERIAL SUPPLIERS"/>
    <n v="174756"/>
    <s v="SHAH TRADERS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DUNGARPUR"/>
    <s v="DUNGARPUR"/>
    <s v="RJ-UDAIPUR"/>
    <d v="2021-08-04T00:00:00"/>
  </r>
  <r>
    <s v="815906174377"/>
    <x v="2763"/>
    <s v="SHREEJI CONSTRUCTION"/>
    <n v="174377"/>
    <s v="PATIDAR CEMENT CORPORATION"/>
    <n v="0"/>
    <n v="0"/>
    <n v="0"/>
    <n v="0"/>
    <n v="0"/>
    <n v="0"/>
    <n v="0"/>
    <n v="0"/>
    <n v="0"/>
    <n v="5"/>
    <n v="0"/>
    <n v="0"/>
    <n v="0"/>
    <n v="0"/>
    <n v="0"/>
    <n v="5"/>
    <n v="0"/>
    <n v="0"/>
    <n v="10"/>
    <n v="0"/>
    <n v="0"/>
    <n v="0"/>
    <n v="0"/>
    <n v="0"/>
    <n v="20"/>
    <n v="0"/>
    <n v="0"/>
    <s v="DUNGARPUR"/>
    <s v="DUNGARPUR"/>
    <s v="RJ-UDAIPUR"/>
    <d v="2021-08-11T00:00:00"/>
  </r>
  <r>
    <s v="816189144279"/>
    <x v="2764"/>
    <s v="SHANTILAL RAKHABCHAND JAIN"/>
    <n v="144279"/>
    <s v="SHREE PADAMAVATI TRADERS"/>
    <n v="65"/>
    <n v="0"/>
    <n v="0"/>
    <n v="20"/>
    <n v="0"/>
    <n v="0"/>
    <n v="88.5"/>
    <n v="0"/>
    <n v="0"/>
    <n v="20"/>
    <n v="0"/>
    <n v="0"/>
    <n v="35"/>
    <n v="0"/>
    <n v="0"/>
    <n v="62.5"/>
    <n v="12.5"/>
    <n v="0"/>
    <n v="75"/>
    <n v="0"/>
    <n v="0"/>
    <n v="7"/>
    <n v="0"/>
    <n v="0"/>
    <n v="373"/>
    <n v="12.5"/>
    <n v="0"/>
    <s v="DUNGARPUR"/>
    <s v="DUNGARPUR"/>
    <s v="RJ-UDAIPUR"/>
    <d v="2021-08-28T00:00:00"/>
  </r>
  <r>
    <s v="816324146910"/>
    <x v="2765"/>
    <s v="MRP CONSTRUCTION AND SUPPLIERS"/>
    <n v="146910"/>
    <s v="KOTHARI KANTILAL SHANKARLAL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0"/>
    <n v="0"/>
    <n v="0"/>
    <n v="25"/>
    <n v="0"/>
    <n v="0"/>
    <n v="32.5"/>
    <n v="0"/>
    <n v="0"/>
    <s v="DUNGARPUR"/>
    <s v="DUNGARPUR"/>
    <s v="RJ-UDAIPUR"/>
    <d v="2021-09-13T00:00:00"/>
  </r>
  <r>
    <s v="816501119050"/>
    <x v="2766"/>
    <s v="AMBIKA CONSTRUCTION &amp; BUILDING"/>
    <n v="119050"/>
    <s v="RAJASTHAN CEMENT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DUNGARPUR"/>
    <s v="DUNGARPUR"/>
    <s v="RJ-UDAIPUR"/>
    <d v="2021-09-25T00:00:00"/>
  </r>
  <r>
    <s v="816895144747"/>
    <x v="2767"/>
    <s v="OM SAI TRADERS"/>
    <n v="144747"/>
    <s v="ROOP ENTERPRISES"/>
    <n v="10"/>
    <n v="0"/>
    <n v="0"/>
    <n v="42"/>
    <n v="0"/>
    <n v="0"/>
    <n v="60"/>
    <n v="0"/>
    <n v="0"/>
    <n v="43"/>
    <n v="0"/>
    <n v="0"/>
    <n v="27.5"/>
    <n v="0"/>
    <n v="0"/>
    <n v="48"/>
    <n v="0"/>
    <n v="0"/>
    <n v="17.5"/>
    <n v="0"/>
    <n v="0"/>
    <n v="7.5"/>
    <n v="0"/>
    <n v="0"/>
    <n v="255.5"/>
    <n v="0"/>
    <n v="0"/>
    <s v="DUNGARPUR"/>
    <s v="DUNGARPUR"/>
    <s v="RJ-UDAIPUR"/>
    <d v="2021-10-30T00:00:00"/>
  </r>
  <r>
    <s v="816896172084"/>
    <x v="2768"/>
    <s v="PITRA KRIPA BUILDING MATERIAL"/>
    <n v="172084"/>
    <s v="PRAJAPATI BUILDING MATERIAL"/>
    <n v="30"/>
    <n v="0"/>
    <n v="0"/>
    <n v="65"/>
    <n v="0"/>
    <n v="0"/>
    <n v="65"/>
    <n v="0"/>
    <n v="0"/>
    <n v="10"/>
    <n v="0"/>
    <n v="0"/>
    <n v="35"/>
    <n v="0"/>
    <n v="0"/>
    <n v="40"/>
    <n v="0"/>
    <n v="0"/>
    <n v="55"/>
    <n v="0"/>
    <n v="0"/>
    <n v="20"/>
    <n v="0"/>
    <n v="0"/>
    <n v="320"/>
    <n v="0"/>
    <n v="0"/>
    <s v="DUNGARPUR"/>
    <s v="DUNGARPUR"/>
    <s v="RJ-UDAIPUR"/>
    <d v="2021-10-30T00:00:00"/>
  </r>
  <r>
    <s v="816897173728"/>
    <x v="2769"/>
    <s v="SAI ENTERPRISES"/>
    <n v="173728"/>
    <s v="LAXMI CEMANT AND BUILDING MATE"/>
    <n v="221"/>
    <n v="10"/>
    <n v="0"/>
    <n v="120"/>
    <n v="0"/>
    <n v="0"/>
    <n v="51.25"/>
    <n v="0"/>
    <n v="9.75"/>
    <n v="43"/>
    <n v="0"/>
    <n v="0"/>
    <n v="58.65"/>
    <n v="0"/>
    <n v="0"/>
    <n v="25"/>
    <n v="0"/>
    <n v="0"/>
    <n v="18.75"/>
    <n v="1.25"/>
    <n v="0"/>
    <n v="40"/>
    <n v="0"/>
    <n v="0"/>
    <n v="577.65"/>
    <n v="11.25"/>
    <n v="9.75"/>
    <s v="DUNGARPUR"/>
    <s v="DUNGARPUR"/>
    <s v="RJ-UDAIPUR"/>
    <d v="2021-10-30T00:00:00"/>
  </r>
  <r>
    <s v="816898205747"/>
    <x v="2770"/>
    <s v="VISHAL KIRANA STORE"/>
    <n v="205747"/>
    <s v="DRL BUILDING MATERIAL &amp;  SUPPL"/>
    <n v="10"/>
    <n v="0"/>
    <n v="0"/>
    <n v="11"/>
    <n v="0"/>
    <n v="0"/>
    <n v="12.5"/>
    <n v="0"/>
    <n v="0"/>
    <n v="10"/>
    <n v="0"/>
    <n v="0"/>
    <n v="0"/>
    <n v="0"/>
    <n v="0"/>
    <n v="0"/>
    <n v="0"/>
    <n v="0"/>
    <n v="0"/>
    <n v="0"/>
    <n v="0"/>
    <n v="0"/>
    <n v="0"/>
    <n v="0"/>
    <n v="43.5"/>
    <n v="0"/>
    <n v="0"/>
    <s v="DUNGARPUR"/>
    <s v="DUNGARPUR"/>
    <s v="RJ-UDAIPUR"/>
    <d v="2021-10-30T00:00:00"/>
  </r>
  <r>
    <s v="816921144747"/>
    <x v="2771"/>
    <s v="AASHAPURA HARDWARE AND SANTERY"/>
    <n v="144747"/>
    <s v="ROOP ENTERPRISES"/>
    <n v="40.25"/>
    <n v="0"/>
    <n v="0"/>
    <n v="6"/>
    <n v="10.25"/>
    <n v="0"/>
    <n v="35"/>
    <n v="0"/>
    <n v="0"/>
    <n v="23.5"/>
    <n v="3.5"/>
    <n v="0"/>
    <n v="0"/>
    <n v="0"/>
    <n v="0"/>
    <n v="8"/>
    <n v="0"/>
    <n v="0"/>
    <n v="10"/>
    <n v="0"/>
    <n v="0"/>
    <n v="10"/>
    <n v="0"/>
    <n v="0"/>
    <n v="132.75"/>
    <n v="13.75"/>
    <n v="0"/>
    <s v="DUNGARPUR"/>
    <s v="DUNGARPUR"/>
    <s v="RJ-UDAIPUR"/>
    <d v="2021-10-30T00:00:00"/>
  </r>
  <r>
    <s v="816922206412"/>
    <x v="2772"/>
    <s v="HARIOM ENTERPRISES"/>
    <n v="206412"/>
    <s v="RAJARAM ENTERPRISES"/>
    <n v="30"/>
    <n v="35"/>
    <n v="0"/>
    <n v="81"/>
    <n v="0"/>
    <n v="0"/>
    <n v="110"/>
    <n v="0"/>
    <n v="0"/>
    <n v="40"/>
    <n v="0"/>
    <n v="0"/>
    <n v="20"/>
    <n v="0"/>
    <n v="0"/>
    <n v="35"/>
    <n v="0"/>
    <n v="0"/>
    <n v="30"/>
    <n v="0"/>
    <n v="0"/>
    <n v="40"/>
    <n v="0"/>
    <n v="0"/>
    <n v="386"/>
    <n v="35"/>
    <n v="0"/>
    <s v="DUNGARPUR"/>
    <s v="DUNGARPUR"/>
    <s v="RJ-UDAIPUR"/>
    <d v="2021-10-30T00:00:00"/>
  </r>
  <r>
    <s v="816923144747"/>
    <x v="2773"/>
    <s v="NAVNIT TRADERS"/>
    <n v="144747"/>
    <s v="ROOP ENTERPRISES"/>
    <n v="100"/>
    <n v="5"/>
    <n v="0"/>
    <n v="115"/>
    <n v="0"/>
    <n v="0"/>
    <n v="122.5"/>
    <n v="0"/>
    <n v="2.5"/>
    <n v="67.5"/>
    <n v="0"/>
    <n v="0"/>
    <n v="40.5"/>
    <n v="0"/>
    <n v="0"/>
    <n v="96.25"/>
    <n v="3.75"/>
    <n v="0"/>
    <n v="17.5"/>
    <n v="0"/>
    <n v="0"/>
    <n v="38"/>
    <n v="0"/>
    <n v="0"/>
    <n v="597.25"/>
    <n v="8.75"/>
    <n v="2.5"/>
    <s v="DUNGARPUR"/>
    <s v="DUNGARPUR"/>
    <s v="RJ-UDAIPUR"/>
    <d v="2021-10-30T00:00:00"/>
  </r>
  <r>
    <s v="816970143464"/>
    <x v="2774"/>
    <s v="HARIOM BROTHERS"/>
    <n v="143464"/>
    <s v="JYOTI BUILDING MATERIAL SUPPLI"/>
    <n v="15"/>
    <n v="0"/>
    <n v="0"/>
    <n v="45"/>
    <n v="0"/>
    <n v="0"/>
    <n v="90"/>
    <n v="0"/>
    <n v="0"/>
    <n v="70"/>
    <n v="0"/>
    <n v="0"/>
    <n v="0"/>
    <n v="0"/>
    <n v="0"/>
    <n v="7"/>
    <n v="0"/>
    <n v="0"/>
    <n v="27"/>
    <n v="0"/>
    <n v="0"/>
    <n v="5"/>
    <n v="0"/>
    <n v="0"/>
    <n v="259"/>
    <n v="0"/>
    <n v="0"/>
    <s v="DUNGARPUR"/>
    <s v="DUNGARPUR"/>
    <s v="RJ-UDAIPUR"/>
    <d v="2021-11-08T00:00:00"/>
  </r>
  <r>
    <s v="816975142332"/>
    <x v="2775"/>
    <s v="NAKSH TRADERS"/>
    <n v="142332"/>
    <s v="SANTOSH KIRANA AND CEMENT"/>
    <n v="20"/>
    <n v="0"/>
    <n v="0"/>
    <n v="5"/>
    <n v="0"/>
    <n v="0"/>
    <n v="35"/>
    <n v="0"/>
    <n v="0"/>
    <n v="15"/>
    <n v="0"/>
    <n v="0"/>
    <n v="14"/>
    <n v="0"/>
    <n v="0"/>
    <n v="0"/>
    <n v="0"/>
    <n v="0"/>
    <n v="0"/>
    <n v="0"/>
    <n v="0"/>
    <n v="0"/>
    <n v="0"/>
    <n v="0"/>
    <n v="89"/>
    <n v="0"/>
    <n v="0"/>
    <s v="DUNGARPUR"/>
    <s v="DUNGARPUR"/>
    <s v="RJ-UDAIPUR"/>
    <d v="2021-11-09T00:00:00"/>
  </r>
  <r>
    <s v="817073119050"/>
    <x v="2776"/>
    <s v="UMIYA PATIDAR BUILDING MATERIA"/>
    <n v="119050"/>
    <s v="RAJASTHAN CEMENT CORPORATION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DUNGARPUR"/>
    <s v="DUNGARPUR"/>
    <s v="RJ-UDAIPUR"/>
    <d v="2021-11-22T00:00:00"/>
  </r>
  <r>
    <s v="817073144747"/>
    <x v="2776"/>
    <s v="UMIYA PATIDAR BUILDING MATERIA"/>
    <n v="144747"/>
    <s v="ROOP ENTERPRISES"/>
    <n v="95"/>
    <n v="0"/>
    <n v="0"/>
    <n v="60"/>
    <n v="0"/>
    <n v="0"/>
    <n v="47.5"/>
    <n v="0"/>
    <n v="0"/>
    <n v="70"/>
    <n v="0"/>
    <n v="0"/>
    <n v="31"/>
    <n v="0"/>
    <n v="0"/>
    <n v="17.5"/>
    <n v="0"/>
    <n v="0"/>
    <n v="25"/>
    <n v="0"/>
    <n v="0"/>
    <n v="61"/>
    <n v="0"/>
    <n v="0"/>
    <n v="407"/>
    <n v="0"/>
    <n v="0"/>
    <s v="DUNGARPUR"/>
    <s v="DUNGARPUR"/>
    <s v="RJ-UDAIPUR"/>
    <d v="2021-11-22T00:00:00"/>
  </r>
  <r>
    <s v="817074203760"/>
    <x v="2777"/>
    <s v="KHUSHI TRADERS"/>
    <n v="203760"/>
    <s v="SHREE SAI CONSTRUCTION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DUNGARPUR"/>
    <s v="DUNGARPUR"/>
    <s v="RJ-UDAIPUR"/>
    <d v="2021-11-22T00:00:00"/>
  </r>
  <r>
    <s v="817087142332"/>
    <x v="2778"/>
    <s v="KANHAIYA LAL KALAL"/>
    <n v="142332"/>
    <s v="SANTOSH KIRANA AND CEMENT"/>
    <n v="45"/>
    <n v="0"/>
    <n v="0"/>
    <n v="20"/>
    <n v="0"/>
    <n v="0"/>
    <n v="10"/>
    <n v="0"/>
    <n v="0"/>
    <n v="25"/>
    <n v="15"/>
    <n v="0"/>
    <n v="0"/>
    <n v="0"/>
    <n v="0"/>
    <n v="0"/>
    <n v="0"/>
    <n v="0"/>
    <n v="0"/>
    <n v="0"/>
    <n v="0"/>
    <n v="0"/>
    <n v="0"/>
    <n v="0"/>
    <n v="100"/>
    <n v="15"/>
    <n v="0"/>
    <s v="DUNGARPUR"/>
    <s v="DUNGARPUR"/>
    <s v="RJ-UDAIPUR"/>
    <d v="2021-11-23T00:00:00"/>
  </r>
  <r>
    <s v="817121174756"/>
    <x v="2779"/>
    <s v="BHOI DINESH CHANDRA TRADERS"/>
    <n v="174756"/>
    <s v="SHAH TRADERS"/>
    <n v="0"/>
    <n v="0"/>
    <n v="0"/>
    <n v="20"/>
    <n v="0"/>
    <n v="0"/>
    <n v="16"/>
    <n v="0"/>
    <n v="0"/>
    <n v="30"/>
    <n v="0"/>
    <n v="0"/>
    <n v="10"/>
    <n v="0"/>
    <n v="0"/>
    <n v="31"/>
    <n v="0"/>
    <n v="0"/>
    <n v="35"/>
    <n v="0"/>
    <n v="0"/>
    <n v="20"/>
    <n v="0"/>
    <n v="0"/>
    <n v="162"/>
    <n v="0"/>
    <n v="0"/>
    <s v="DUNGARPUR"/>
    <s v="DUNGARPUR"/>
    <s v="RJ-UDAIPUR"/>
    <d v="2021-11-25T00:00:00"/>
  </r>
  <r>
    <s v="817168119050"/>
    <x v="2780"/>
    <s v="KAVYA CONSTRUCTION"/>
    <n v="119050"/>
    <s v="RAJASTHAN CEMENT CORPORATION"/>
    <n v="62"/>
    <n v="0"/>
    <n v="0"/>
    <n v="100"/>
    <n v="0"/>
    <n v="0"/>
    <n v="120.5"/>
    <n v="6"/>
    <n v="0"/>
    <n v="0"/>
    <n v="0"/>
    <n v="0"/>
    <n v="20"/>
    <n v="0"/>
    <n v="0"/>
    <n v="0"/>
    <n v="0"/>
    <n v="0"/>
    <n v="10"/>
    <n v="0"/>
    <n v="0"/>
    <n v="0"/>
    <n v="0"/>
    <n v="0"/>
    <n v="312.5"/>
    <n v="6"/>
    <n v="0"/>
    <s v="DUNGARPUR"/>
    <s v="DUNGARPUR"/>
    <s v="RJ-UDAIPUR"/>
    <d v="2021-11-29T00:00:00"/>
  </r>
  <r>
    <s v="817277174756"/>
    <x v="2781"/>
    <s v="MAHENDRA KUMAR SUTHAR"/>
    <n v="174756"/>
    <s v="SHAH TRADERS"/>
    <n v="0"/>
    <n v="0"/>
    <n v="0"/>
    <n v="20"/>
    <n v="0"/>
    <n v="0"/>
    <n v="20"/>
    <n v="0"/>
    <n v="0"/>
    <n v="10"/>
    <n v="0"/>
    <n v="0"/>
    <n v="0"/>
    <n v="0"/>
    <n v="0"/>
    <n v="30.65"/>
    <n v="13.15"/>
    <n v="2.5"/>
    <n v="11"/>
    <n v="11"/>
    <n v="0"/>
    <n v="0"/>
    <n v="0"/>
    <n v="0"/>
    <n v="91.65"/>
    <n v="24.15"/>
    <n v="2.5"/>
    <s v="DUNGARPUR"/>
    <s v="DUNGARPUR"/>
    <s v="RJ-UDAIPUR"/>
    <d v="2021-12-11T00:00:00"/>
  </r>
  <r>
    <s v="817302121706"/>
    <x v="2782"/>
    <s v="ROYAL ENTERPRISES"/>
    <n v="121706"/>
    <s v="ANKIT TRADERS"/>
    <n v="40"/>
    <n v="0"/>
    <n v="0"/>
    <n v="20"/>
    <n v="0"/>
    <n v="0"/>
    <n v="60"/>
    <n v="0"/>
    <n v="50"/>
    <n v="10"/>
    <n v="0"/>
    <n v="0"/>
    <n v="10"/>
    <n v="0"/>
    <n v="0"/>
    <n v="0"/>
    <n v="0"/>
    <n v="0"/>
    <n v="25"/>
    <n v="0"/>
    <n v="0"/>
    <n v="0"/>
    <n v="0"/>
    <n v="0"/>
    <n v="165"/>
    <n v="0"/>
    <n v="50"/>
    <s v="DUNGARPUR"/>
    <s v="DUNGARPUR"/>
    <s v="RJ-UDAIPUR"/>
    <d v="2021-12-14T00:00:00"/>
  </r>
  <r>
    <s v="817743177092"/>
    <x v="2783"/>
    <s v="SANVI ENTERPRISES"/>
    <n v="177092"/>
    <s v="RAJARAM BUILDING AND ELECTRICA"/>
    <n v="20"/>
    <n v="0"/>
    <n v="0"/>
    <n v="95"/>
    <n v="0"/>
    <n v="0"/>
    <n v="105.5"/>
    <n v="5"/>
    <n v="0"/>
    <n v="40"/>
    <n v="10"/>
    <n v="0"/>
    <n v="36.5"/>
    <n v="0"/>
    <n v="0"/>
    <n v="21"/>
    <n v="0"/>
    <n v="0"/>
    <n v="20"/>
    <n v="0"/>
    <n v="0"/>
    <n v="45"/>
    <n v="0"/>
    <n v="0"/>
    <n v="383"/>
    <n v="15"/>
    <n v="0"/>
    <s v="DUNGARPUR"/>
    <s v="DUNGARPUR"/>
    <s v="RJ-UDAIPUR"/>
    <d v="2022-01-19T00:00:00"/>
  </r>
  <r>
    <s v="817744119050"/>
    <x v="2784"/>
    <s v="DHAN KUBER ENTERPRISES"/>
    <n v="119050"/>
    <s v="RAJASTHAN CEMENT CORPORATION"/>
    <n v="0"/>
    <n v="0"/>
    <n v="0"/>
    <n v="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5"/>
    <n v="0"/>
    <n v="0"/>
    <s v="DUNGARPUR"/>
    <s v="DUNGARPUR"/>
    <s v="RJ-UDAIPUR"/>
    <d v="2022-01-19T00:00:00"/>
  </r>
  <r>
    <s v="817744144747"/>
    <x v="2784"/>
    <s v="DHAN KUBER ENTERPRISES"/>
    <n v="144747"/>
    <s v="ROOP ENTERPRISES"/>
    <n v="30"/>
    <n v="0"/>
    <n v="0"/>
    <n v="56"/>
    <n v="0"/>
    <n v="0"/>
    <n v="95.5"/>
    <n v="0.5"/>
    <n v="0"/>
    <n v="86.25"/>
    <n v="6.25"/>
    <n v="0"/>
    <n v="55"/>
    <n v="0"/>
    <n v="0"/>
    <n v="61"/>
    <n v="0"/>
    <n v="0"/>
    <n v="10"/>
    <n v="0"/>
    <n v="0"/>
    <n v="52.5"/>
    <n v="0"/>
    <n v="0"/>
    <n v="446.25"/>
    <n v="6.75"/>
    <n v="0"/>
    <s v="DUNGARPUR"/>
    <s v="DUNGARPUR"/>
    <s v="RJ-UDAIPUR"/>
    <d v="2022-01-19T00:00:00"/>
  </r>
  <r>
    <s v="818021174756"/>
    <x v="2785"/>
    <s v="MANYATA TRADING"/>
    <n v="174756"/>
    <s v="SHAH TRADERS"/>
    <n v="10"/>
    <n v="0"/>
    <n v="0"/>
    <n v="20"/>
    <n v="0"/>
    <n v="0"/>
    <n v="70"/>
    <n v="0"/>
    <n v="0"/>
    <n v="65"/>
    <n v="0"/>
    <n v="0"/>
    <n v="45"/>
    <n v="0"/>
    <n v="0"/>
    <n v="31.25"/>
    <n v="0"/>
    <n v="1.25"/>
    <n v="57.5"/>
    <n v="7.5"/>
    <n v="0"/>
    <n v="0"/>
    <n v="0"/>
    <n v="0"/>
    <n v="298.75"/>
    <n v="7.5"/>
    <n v="1.25"/>
    <s v="DUNGARPUR"/>
    <s v="DUNGARPUR"/>
    <s v="RJ-UDAIPUR"/>
    <d v="2022-02-14T00:00:00"/>
  </r>
  <r>
    <s v="818295208066"/>
    <x v="2786"/>
    <s v="PATIDAR KRISHI FIRM NANDOR"/>
    <n v="208066"/>
    <s v="SHIV CORPORATION"/>
    <n v="35"/>
    <n v="0"/>
    <n v="0"/>
    <n v="5"/>
    <n v="0"/>
    <n v="0"/>
    <n v="0"/>
    <n v="0"/>
    <n v="0"/>
    <n v="16"/>
    <n v="0"/>
    <n v="0"/>
    <n v="0"/>
    <n v="0"/>
    <n v="0"/>
    <n v="0"/>
    <n v="0"/>
    <n v="0"/>
    <n v="0"/>
    <n v="0"/>
    <n v="0"/>
    <n v="0"/>
    <n v="0"/>
    <n v="0"/>
    <n v="56"/>
    <n v="0"/>
    <n v="0"/>
    <s v="DUNGARPUR"/>
    <s v="DUNGARPUR"/>
    <s v="RJ-UDAIPUR"/>
    <d v="2022-03-07T00:00:00"/>
  </r>
  <r>
    <s v="818372119050"/>
    <x v="2787"/>
    <s v="GOKUL IRON AND CONSTRUCTION"/>
    <n v="119050"/>
    <s v="RAJASTHAN CEMENT CORPORATION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DUNGARPUR"/>
    <s v="DUNGARPUR"/>
    <s v="RJ-UDAIPUR"/>
    <d v="2022-03-14T00:00:00"/>
  </r>
  <r>
    <s v="818372144747"/>
    <x v="2787"/>
    <s v="GOKUL IRON AND CONSTRUCTION"/>
    <n v="144747"/>
    <s v="ROOP ENTERPRISES"/>
    <n v="72"/>
    <n v="0"/>
    <n v="0"/>
    <n v="20"/>
    <n v="0"/>
    <n v="0"/>
    <n v="24.65"/>
    <n v="0"/>
    <n v="0"/>
    <n v="15"/>
    <n v="0"/>
    <n v="0"/>
    <n v="13.5"/>
    <n v="0"/>
    <n v="0"/>
    <n v="0"/>
    <n v="0"/>
    <n v="0"/>
    <n v="14"/>
    <n v="5"/>
    <n v="0"/>
    <n v="7.5"/>
    <n v="0"/>
    <n v="0"/>
    <n v="166.65"/>
    <n v="5"/>
    <n v="0"/>
    <s v="DUNGARPUR"/>
    <s v="DUNGARPUR"/>
    <s v="RJ-UDAIPUR"/>
    <d v="2022-03-14T00:00:00"/>
  </r>
  <r>
    <s v="818405175956"/>
    <x v="2788"/>
    <s v="NILKANTH ENTERPRISES"/>
    <n v="175956"/>
    <s v="K K ENTERPRISES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5"/>
    <n v="0"/>
    <n v="0"/>
    <s v="DUNGARPUR"/>
    <s v="DUNGARPUR"/>
    <s v="RJ-UDAIPUR"/>
    <d v="2022-03-19T00:00:00"/>
  </r>
  <r>
    <s v="818621146402"/>
    <x v="2789"/>
    <s v="BALAJI CONSTRUCTION"/>
    <n v="146402"/>
    <s v="VIJAY KUMAR AJIT PRASAD"/>
    <n v="0"/>
    <n v="0"/>
    <n v="0"/>
    <n v="0"/>
    <n v="0"/>
    <n v="0"/>
    <n v="15"/>
    <n v="0"/>
    <n v="0"/>
    <n v="29"/>
    <n v="0"/>
    <n v="0"/>
    <n v="0"/>
    <n v="0"/>
    <n v="0"/>
    <n v="0"/>
    <n v="0"/>
    <n v="0"/>
    <n v="0"/>
    <n v="0"/>
    <n v="0"/>
    <n v="0"/>
    <n v="0"/>
    <n v="0"/>
    <n v="44"/>
    <n v="0"/>
    <n v="0"/>
    <s v="DUNGARPUR"/>
    <s v="DUNGARPUR"/>
    <s v="RJ-UDAIPUR"/>
    <d v="2022-04-12T00:00:00"/>
  </r>
  <r>
    <s v="818878173728"/>
    <x v="2790"/>
    <s v="BHAWANI BUILDING MATERIAL AND"/>
    <n v="173728"/>
    <s v="LAXMI CEMANT AND BUILDING MATE"/>
    <n v="0"/>
    <n v="0"/>
    <n v="0"/>
    <n v="35"/>
    <n v="0"/>
    <n v="0"/>
    <n v="75"/>
    <n v="0"/>
    <n v="0"/>
    <n v="97"/>
    <n v="0"/>
    <n v="0"/>
    <n v="55"/>
    <n v="0"/>
    <n v="0"/>
    <n v="88"/>
    <n v="0"/>
    <n v="0"/>
    <n v="50.75"/>
    <n v="19.75"/>
    <n v="0"/>
    <n v="81"/>
    <n v="0"/>
    <n v="0"/>
    <n v="481.75"/>
    <n v="19.75"/>
    <n v="0"/>
    <s v="DUNGARPUR"/>
    <s v="DUNGARPUR"/>
    <s v="RJ-UDAIPUR"/>
    <d v="2022-05-09T00:00:00"/>
  </r>
  <r>
    <s v="818892172084"/>
    <x v="2791"/>
    <s v="PATIDAR BUILDING MATERIAL"/>
    <n v="172084"/>
    <s v="PRAJAPATI BUILDING MATERIAL"/>
    <n v="0"/>
    <n v="0"/>
    <n v="0"/>
    <n v="10"/>
    <n v="0"/>
    <n v="0"/>
    <n v="30"/>
    <n v="0"/>
    <n v="0"/>
    <n v="10"/>
    <n v="0"/>
    <n v="0"/>
    <n v="20"/>
    <n v="0"/>
    <n v="0"/>
    <n v="0"/>
    <n v="0"/>
    <n v="0"/>
    <n v="0"/>
    <n v="0"/>
    <n v="0"/>
    <n v="0"/>
    <n v="0"/>
    <n v="0"/>
    <n v="70"/>
    <n v="0"/>
    <n v="0"/>
    <s v="DUNGARPUR"/>
    <s v="DUNGARPUR"/>
    <s v="RJ-UDAIPUR"/>
    <d v="2022-05-10T00:00:00"/>
  </r>
  <r>
    <s v="818910212251"/>
    <x v="2792"/>
    <s v="JAY BAJRANGBALI TRADERS"/>
    <n v="212251"/>
    <s v="SHREE MADHUR CONSTRUCTION"/>
    <n v="0"/>
    <n v="0"/>
    <n v="0"/>
    <n v="0"/>
    <n v="0"/>
    <n v="0"/>
    <n v="40"/>
    <n v="0"/>
    <n v="0"/>
    <n v="65"/>
    <n v="0"/>
    <n v="0"/>
    <n v="75"/>
    <n v="0"/>
    <n v="0"/>
    <n v="70"/>
    <n v="0"/>
    <n v="0"/>
    <n v="98.5"/>
    <n v="0"/>
    <n v="0"/>
    <n v="50"/>
    <n v="0"/>
    <n v="0"/>
    <n v="398.5"/>
    <n v="0"/>
    <n v="0"/>
    <s v="DUNGARPUR"/>
    <s v="DUNGARPUR"/>
    <s v="RJ-UDAIPUR"/>
    <d v="2022-05-11T00:00:00"/>
  </r>
  <r>
    <s v="819055142332"/>
    <x v="2793"/>
    <s v="KAYA BUILDING MATERIAL"/>
    <n v="142332"/>
    <s v="SANTOSH KIRANA AND CEMENT"/>
    <n v="0"/>
    <n v="0"/>
    <n v="0"/>
    <n v="10"/>
    <n v="0"/>
    <n v="0"/>
    <n v="80"/>
    <n v="0"/>
    <n v="0"/>
    <n v="50"/>
    <n v="0"/>
    <n v="0"/>
    <n v="40"/>
    <n v="0"/>
    <n v="0"/>
    <n v="65"/>
    <n v="0"/>
    <n v="0"/>
    <n v="60"/>
    <n v="0"/>
    <n v="0"/>
    <n v="0"/>
    <n v="0"/>
    <n v="0"/>
    <n v="305"/>
    <n v="0"/>
    <n v="0"/>
    <s v="DUNGARPUR"/>
    <s v="DUNGARPUR"/>
    <s v="RJ-UDAIPUR"/>
    <d v="2022-05-25T00:00:00"/>
  </r>
  <r>
    <s v="819239144804"/>
    <x v="2794"/>
    <s v="MANGALAM TRADERS"/>
    <n v="144804"/>
    <s v="MANGAL JI MADHAV JI"/>
    <n v="0"/>
    <n v="0"/>
    <n v="0"/>
    <n v="0"/>
    <n v="0"/>
    <n v="0"/>
    <n v="18.5"/>
    <n v="0"/>
    <n v="0"/>
    <n v="25"/>
    <n v="0"/>
    <n v="0"/>
    <n v="0"/>
    <n v="0"/>
    <n v="0"/>
    <n v="15"/>
    <n v="0"/>
    <n v="0"/>
    <n v="8"/>
    <n v="0"/>
    <n v="0"/>
    <n v="30"/>
    <n v="0"/>
    <n v="0"/>
    <n v="96.5"/>
    <n v="0"/>
    <n v="0"/>
    <s v="DUNGARPUR"/>
    <s v="DUNGARPUR"/>
    <s v="RJ-UDAIPUR"/>
    <d v="2022-06-09T00:00:00"/>
  </r>
  <r>
    <s v="819371173728"/>
    <x v="2795"/>
    <s v="SOUMYAA TRADERS"/>
    <n v="173728"/>
    <s v="LAXMI CEMANT AND BUILDING MATE"/>
    <n v="0"/>
    <n v="0"/>
    <n v="0"/>
    <n v="0"/>
    <n v="0"/>
    <n v="0"/>
    <n v="35"/>
    <n v="0"/>
    <n v="0"/>
    <n v="15"/>
    <n v="0"/>
    <n v="0"/>
    <n v="25"/>
    <n v="0"/>
    <n v="0"/>
    <n v="65"/>
    <n v="0"/>
    <n v="0"/>
    <n v="100"/>
    <n v="4"/>
    <n v="0"/>
    <n v="55"/>
    <n v="0"/>
    <n v="0"/>
    <n v="295"/>
    <n v="4"/>
    <n v="0"/>
    <s v="DUNGARPUR"/>
    <s v="DUNGARPUR"/>
    <s v="RJ-UDAIPUR"/>
    <d v="2022-06-16T00:00:00"/>
  </r>
  <r>
    <s v="819682177092"/>
    <x v="2796"/>
    <s v="RAMESH PATIDAR"/>
    <n v="177092"/>
    <s v="RAJARAM BUILDING AND ELECTRICA"/>
    <n v="0"/>
    <n v="0"/>
    <n v="0"/>
    <n v="0"/>
    <n v="0"/>
    <n v="0"/>
    <n v="0"/>
    <n v="0"/>
    <n v="0"/>
    <n v="25"/>
    <n v="5"/>
    <n v="0"/>
    <n v="9"/>
    <n v="0"/>
    <n v="0"/>
    <n v="31"/>
    <n v="0"/>
    <n v="0"/>
    <n v="10"/>
    <n v="0"/>
    <n v="0"/>
    <n v="20"/>
    <n v="0"/>
    <n v="0"/>
    <n v="95"/>
    <n v="5"/>
    <n v="0"/>
    <s v="DUNGARPUR"/>
    <s v="DUNGARPUR"/>
    <s v="RJ-UDAIPUR"/>
    <d v="2022-07-09T00:00:00"/>
  </r>
  <r>
    <s v="819684144747"/>
    <x v="2797"/>
    <s v="BAJRANG BALI CONSTRUCTION"/>
    <n v="144747"/>
    <s v="ROOP ENTERPRISES"/>
    <n v="0"/>
    <n v="0"/>
    <n v="0"/>
    <n v="0"/>
    <n v="0"/>
    <n v="0"/>
    <n v="0"/>
    <n v="0"/>
    <n v="0"/>
    <n v="10"/>
    <n v="0"/>
    <n v="0"/>
    <n v="0"/>
    <n v="0"/>
    <n v="0"/>
    <n v="33"/>
    <n v="0"/>
    <n v="0"/>
    <n v="0"/>
    <n v="0"/>
    <n v="0"/>
    <n v="32.5"/>
    <n v="0"/>
    <n v="0"/>
    <n v="75.5"/>
    <n v="0"/>
    <n v="0"/>
    <s v="DUNGARPUR"/>
    <s v="DUNGARPUR"/>
    <s v="RJ-UDAIPUR"/>
    <d v="2022-07-09T00:00:00"/>
  </r>
  <r>
    <s v="820138174756"/>
    <x v="2798"/>
    <s v="AMBIKA TRADING COMPANY"/>
    <n v="174756"/>
    <s v="SHAH TRADERS"/>
    <n v="0"/>
    <n v="0"/>
    <n v="0"/>
    <n v="0"/>
    <n v="0"/>
    <n v="0"/>
    <n v="0"/>
    <n v="0"/>
    <n v="0"/>
    <n v="0"/>
    <n v="0"/>
    <n v="0"/>
    <n v="25"/>
    <n v="0"/>
    <n v="0"/>
    <n v="40"/>
    <n v="0"/>
    <n v="0"/>
    <n v="20"/>
    <n v="0"/>
    <n v="0"/>
    <n v="20"/>
    <n v="0"/>
    <n v="0"/>
    <n v="105"/>
    <n v="0"/>
    <n v="0"/>
    <s v="DUNGARPUR"/>
    <s v="DUNGARPUR"/>
    <s v="RJ-UDAIPUR"/>
    <d v="2022-08-16T00:00:00"/>
  </r>
  <r>
    <s v="820140143464"/>
    <x v="2799"/>
    <s v="S C KHARADI BUILDING MATERIAL"/>
    <s v="143464"/>
    <s v="JYOTI BUILDING MATERIAL SUPPLI"/>
    <n v="0"/>
    <n v="0"/>
    <n v="0"/>
    <n v="0"/>
    <n v="0"/>
    <n v="0"/>
    <n v="0"/>
    <n v="0"/>
    <n v="0"/>
    <n v="0"/>
    <n v="0"/>
    <n v="0"/>
    <n v="25"/>
    <n v="0"/>
    <n v="0"/>
    <n v="25"/>
    <n v="0"/>
    <n v="0"/>
    <n v="82"/>
    <n v="0"/>
    <n v="0"/>
    <n v="50"/>
    <n v="0"/>
    <n v="0"/>
    <n v="182"/>
    <n v="0"/>
    <n v="0"/>
    <s v="DUNGARPUR"/>
    <s v="DUNGARPUR"/>
    <s v="RJ-UDAIPUR"/>
    <d v="2022-08-16T00:00:00"/>
  </r>
  <r>
    <s v="820425143464"/>
    <x v="2800"/>
    <s v="MAA ASHAPURA BUILDING MATERIAL"/>
    <n v="143464"/>
    <s v="JYOTI BUILDING MATERIAL SUPPLI"/>
    <n v="0"/>
    <n v="0"/>
    <n v="0"/>
    <n v="0"/>
    <n v="0"/>
    <n v="0"/>
    <n v="0"/>
    <n v="0"/>
    <n v="0"/>
    <n v="0"/>
    <n v="0"/>
    <n v="0"/>
    <n v="0"/>
    <n v="0"/>
    <n v="0"/>
    <n v="75"/>
    <n v="0"/>
    <n v="0"/>
    <n v="55"/>
    <n v="0"/>
    <n v="0"/>
    <n v="15"/>
    <n v="0"/>
    <n v="0"/>
    <n v="145"/>
    <n v="0"/>
    <n v="0"/>
    <s v="DUNGARPUR"/>
    <s v="DUNGARPUR"/>
    <s v="RJ-UDAIPUR"/>
    <d v="2022-09-07T00:00:00"/>
  </r>
  <r>
    <s v="805828213658"/>
    <x v="2694"/>
    <s v="THOBJI PATIDAR"/>
    <n v="213658"/>
    <s v="SHIV-G-CORPORATION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2.5"/>
    <n v="0"/>
    <n v="0"/>
    <n v="18.05"/>
    <n v="0"/>
    <n v="0"/>
    <n v="55.55"/>
    <n v="0"/>
    <n v="0"/>
    <s v="DUNGARPUR"/>
    <s v="DUNGARPUR"/>
    <s v="RJ-UDAIPUR"/>
    <d v="2016-12-02T00:00:00"/>
  </r>
  <r>
    <s v="820393179755"/>
    <x v="2801"/>
    <s v="JAY KALYAAN TRADERS"/>
    <n v="179755"/>
    <s v="R &amp; K ENTERPRISES"/>
    <n v="0"/>
    <n v="0"/>
    <n v="0"/>
    <n v="0"/>
    <n v="0"/>
    <n v="0"/>
    <n v="0"/>
    <n v="0"/>
    <n v="0"/>
    <n v="0"/>
    <n v="0"/>
    <n v="0"/>
    <n v="0"/>
    <n v="0"/>
    <n v="0"/>
    <n v="35.5"/>
    <n v="0"/>
    <n v="0"/>
    <n v="7.5"/>
    <n v="0"/>
    <n v="0"/>
    <n v="55"/>
    <n v="0"/>
    <n v="0"/>
    <n v="98"/>
    <n v="0"/>
    <n v="0"/>
    <s v="DUNGARPUR"/>
    <s v="DUNGARPUR"/>
    <s v="RJ-UDAIPUR"/>
    <d v="2022-09-05T00:00:00"/>
  </r>
  <r>
    <s v="817176179755"/>
    <x v="2802"/>
    <s v="TRIPURA IRON &amp; HARDWARE"/>
    <n v="179755"/>
    <s v="R &amp; K ENTERPRISE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DUNGARPUR"/>
    <s v="DUNGARPUR"/>
    <s v="RJ-UDAIPUR"/>
    <d v="2021-11-30T00:00:00"/>
  </r>
  <r>
    <s v="820587179755"/>
    <x v="2803"/>
    <s v="RISHABH ENTERPRISES"/>
    <n v="179755"/>
    <s v="R &amp; K ENTERPRISES"/>
    <n v="0"/>
    <n v="0"/>
    <n v="0"/>
    <n v="0"/>
    <n v="0"/>
    <n v="0"/>
    <n v="0"/>
    <n v="0"/>
    <n v="0"/>
    <n v="0"/>
    <n v="0"/>
    <n v="0"/>
    <n v="0"/>
    <n v="0"/>
    <n v="0"/>
    <n v="55"/>
    <n v="0"/>
    <n v="0"/>
    <n v="7.5"/>
    <n v="0"/>
    <n v="0"/>
    <n v="25.5"/>
    <n v="0"/>
    <n v="0"/>
    <n v="88"/>
    <n v="0"/>
    <n v="0"/>
    <s v="DUNGARPUR"/>
    <s v="DUNGARPUR"/>
    <s v="RJ-UDAIPUR"/>
    <d v="2022-09-17T00:00:00"/>
  </r>
  <r>
    <s v="820672119050"/>
    <x v="2804"/>
    <s v="SHREE PANCHMUKHI HANUMAN STEEL"/>
    <n v="119050"/>
    <s v="RAJASTHAN CEMENT CORPORATION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10"/>
    <n v="0"/>
    <n v="0"/>
    <n v="25"/>
    <n v="0"/>
    <n v="0"/>
    <s v="DUNGARPUR"/>
    <s v="DUNGARPUR"/>
    <s v="RJ-UDAIPUR"/>
    <d v="2022-09-22T00:00:00"/>
  </r>
  <r>
    <s v="818295213658"/>
    <x v="2786"/>
    <s v="PATIDAR KRISHI FIRM NANDOR"/>
    <n v="213658"/>
    <s v="SHIV-G-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5"/>
    <n v="0"/>
    <n v="0"/>
    <n v="5"/>
    <n v="0"/>
    <n v="0"/>
    <n v="22.5"/>
    <n v="0"/>
    <n v="0"/>
    <s v="DUNGARPUR"/>
    <s v="DUNGARPUR"/>
    <s v="RJ-UDAIPUR"/>
    <d v="2022-03-07T00:00:00"/>
  </r>
  <r>
    <s v="820576203330"/>
    <x v="2805"/>
    <s v="ROHIT PATIDAR"/>
    <n v="203330"/>
    <s v="VIKAS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  <n v="0"/>
    <n v="0"/>
    <n v="40"/>
    <n v="0"/>
    <n v="0"/>
    <s v="DUNGARPUR"/>
    <s v="DUNGARPUR"/>
    <s v="RJ-UDAIPUR"/>
    <d v="2022-09-17T00:00:00"/>
  </r>
  <r>
    <s v="820673121706"/>
    <x v="2806"/>
    <s v="KAIVAL BUILDING MATERIAL"/>
    <n v="121706"/>
    <s v="ANKIT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10"/>
    <n v="0"/>
    <n v="0"/>
    <n v="30"/>
    <n v="0"/>
    <n v="0"/>
    <s v="DUNGARPUR"/>
    <s v="DUNGARPUR"/>
    <s v="RJ-UDAIPUR"/>
    <d v="2022-09-22T00:00:00"/>
  </r>
  <r>
    <s v="821034174756"/>
    <x v="2807"/>
    <s v="JAI BHOLENATH TRADERS"/>
    <n v="174756"/>
    <s v="SHAH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15"/>
    <n v="0"/>
    <n v="0"/>
    <s v="DUNGARPUR"/>
    <s v="DUNGARPUR"/>
    <s v="RJ-UDAIPUR"/>
    <d v="2022-10-20T00:00:00"/>
  </r>
  <r>
    <s v="815906214236"/>
    <x v="2763"/>
    <s v="SHREEJI CONSTRUCTION"/>
    <n v="214236"/>
    <s v="PATIDAR CEMENT 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25"/>
    <n v="0"/>
    <n v="0"/>
    <s v="DUNGARPUR"/>
    <s v="DUNGARPUR"/>
    <s v="RJ-UDAIPUR"/>
    <d v="2021-08-11T00:00:00"/>
  </r>
  <r>
    <s v="821332213658"/>
    <x v="2808"/>
    <s v="JIGNESH PATIDAR"/>
    <n v="213658"/>
    <s v="SHIV-G-CORPORATI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2"/>
    <n v="0"/>
    <n v="0"/>
    <n v="27"/>
    <n v="0"/>
    <n v="0"/>
    <s v="DUNGARPUR"/>
    <s v="DUNGARPUR"/>
    <s v="RJ-UDAIPUR"/>
    <d v="2022-11-22T00:00:00"/>
  </r>
  <r>
    <s v="801582119028"/>
    <x v="2809"/>
    <s v="KRISHNA CEMENT SUPPLIERS"/>
    <n v="119028"/>
    <s v="KANHAYALAL &amp; SONS"/>
    <n v="186"/>
    <n v="0"/>
    <n v="0"/>
    <n v="155"/>
    <n v="0"/>
    <n v="0"/>
    <n v="62"/>
    <n v="0"/>
    <n v="0"/>
    <n v="101"/>
    <n v="8"/>
    <n v="0"/>
    <n v="62"/>
    <n v="0"/>
    <n v="0"/>
    <n v="62"/>
    <n v="0"/>
    <n v="0"/>
    <n v="109"/>
    <n v="0"/>
    <n v="0"/>
    <n v="31"/>
    <n v="0"/>
    <n v="0"/>
    <n v="768"/>
    <n v="8"/>
    <n v="0"/>
    <s v="RAJSAMAND"/>
    <s v="UDAIPUR"/>
    <s v="RJ-UDAIPUR"/>
    <d v="2012-12-28T00:00:00"/>
  </r>
  <r>
    <s v="801766119028"/>
    <x v="2810"/>
    <s v="SURENDRA TRADERS"/>
    <n v="119028"/>
    <s v="KANHAYALAL &amp; SONS"/>
    <n v="0"/>
    <n v="0"/>
    <n v="0"/>
    <n v="0"/>
    <n v="0"/>
    <n v="0"/>
    <n v="31"/>
    <n v="0"/>
    <n v="0"/>
    <n v="31"/>
    <n v="0"/>
    <n v="0"/>
    <n v="0"/>
    <n v="0"/>
    <n v="0"/>
    <n v="62"/>
    <n v="0"/>
    <n v="0"/>
    <n v="0"/>
    <n v="0"/>
    <n v="0"/>
    <n v="0"/>
    <n v="0"/>
    <n v="0"/>
    <n v="124"/>
    <n v="0"/>
    <n v="0"/>
    <s v="RAJSAMAND"/>
    <s v="UDAIPUR"/>
    <s v="RJ-UDAIPUR"/>
    <d v="2013-02-22T00:00:00"/>
  </r>
  <r>
    <s v="801881119028"/>
    <x v="2811"/>
    <s v="DEVKRIPA CEMENT SUPPLIER'S"/>
    <n v="119028"/>
    <s v="KANHAYALAL &amp; SONS"/>
    <n v="262"/>
    <n v="6"/>
    <n v="0"/>
    <n v="285"/>
    <n v="14"/>
    <n v="0"/>
    <n v="255.5"/>
    <n v="7.5"/>
    <n v="0"/>
    <n v="155"/>
    <n v="0"/>
    <n v="0"/>
    <n v="157"/>
    <n v="2"/>
    <n v="0"/>
    <n v="269"/>
    <n v="0"/>
    <n v="0"/>
    <n v="186"/>
    <n v="0"/>
    <n v="0"/>
    <n v="155"/>
    <n v="0"/>
    <n v="0"/>
    <n v="1724.5"/>
    <n v="29.5"/>
    <n v="0"/>
    <s v="RAJSAMAND"/>
    <s v="UDAIPUR"/>
    <s v="RJ-UDAIPUR"/>
    <d v="2013-03-26T00:00:00"/>
  </r>
  <r>
    <s v="801920119028"/>
    <x v="2812"/>
    <s v="DATAR TRADING CO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47"/>
    <n v="0"/>
    <n v="0"/>
    <n v="16"/>
    <n v="0"/>
    <n v="0"/>
    <n v="72"/>
    <n v="0"/>
    <n v="0"/>
    <n v="135"/>
    <n v="0"/>
    <n v="0"/>
    <s v="RAJSAMAND"/>
    <s v="UDAIPUR"/>
    <s v="RJ-UDAIPUR"/>
    <d v="2013-04-02T00:00:00"/>
  </r>
  <r>
    <s v="802012119028"/>
    <x v="2813"/>
    <s v="RADHEY CEMENT SUPPLILERS"/>
    <n v="119028"/>
    <s v="KANHAYALAL &amp; SONS"/>
    <n v="0"/>
    <n v="0"/>
    <n v="0"/>
    <n v="0"/>
    <n v="0"/>
    <n v="0"/>
    <n v="16"/>
    <n v="0"/>
    <n v="0"/>
    <n v="0"/>
    <n v="0"/>
    <n v="0"/>
    <n v="0"/>
    <n v="0"/>
    <n v="0"/>
    <n v="31"/>
    <n v="0"/>
    <n v="0"/>
    <n v="0"/>
    <n v="0"/>
    <n v="0"/>
    <n v="0"/>
    <n v="0"/>
    <n v="0"/>
    <n v="47"/>
    <n v="0"/>
    <n v="0"/>
    <s v="RAJSAMAND"/>
    <s v="UDAIPUR"/>
    <s v="RJ-UDAIPUR"/>
    <d v="2013-04-30T00:00:00"/>
  </r>
  <r>
    <s v="802212119028"/>
    <x v="2814"/>
    <s v="DEEWANA CEMENT TRADERS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31"/>
    <n v="0"/>
    <n v="0"/>
    <n v="0"/>
    <n v="0"/>
    <n v="0"/>
    <n v="0"/>
    <n v="0"/>
    <n v="0"/>
    <n v="31"/>
    <n v="0"/>
    <n v="0"/>
    <s v="RAJSAMAND"/>
    <s v="UDAIPUR"/>
    <s v="RJ-UDAIPUR"/>
    <d v="2013-07-16T00:00:00"/>
  </r>
  <r>
    <s v="802214172597"/>
    <x v="2815"/>
    <s v="GEETA CEMENT SUPPLIERS"/>
    <n v="172597"/>
    <s v="SONU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13-07-16T00:00:00"/>
  </r>
  <r>
    <s v="803292119028"/>
    <x v="2816"/>
    <s v="HIMMAT SINGH MOTI SINGH CEMENT"/>
    <n v="119028"/>
    <s v="KANHAYALAL &amp; SONS"/>
    <n v="62"/>
    <n v="0"/>
    <n v="0"/>
    <n v="124"/>
    <n v="0"/>
    <n v="0"/>
    <n v="160"/>
    <n v="0"/>
    <n v="5"/>
    <n v="134"/>
    <n v="20"/>
    <n v="0"/>
    <n v="72"/>
    <n v="0"/>
    <n v="10"/>
    <n v="72"/>
    <n v="41"/>
    <n v="0"/>
    <n v="155"/>
    <n v="10"/>
    <n v="0"/>
    <n v="0"/>
    <n v="0"/>
    <n v="0"/>
    <n v="779"/>
    <n v="71"/>
    <n v="15"/>
    <s v="RAJSAMAND"/>
    <s v="UDAIPUR"/>
    <s v="RJ-UDAIPUR"/>
    <d v="2014-04-22T00:00:00"/>
  </r>
  <r>
    <s v="803690119028"/>
    <x v="2817"/>
    <s v="KRISHNA CEMENT SUPPLIERS"/>
    <n v="119028"/>
    <s v="KANHAYALAL &amp; SONS"/>
    <n v="186"/>
    <n v="0"/>
    <n v="0"/>
    <n v="93"/>
    <n v="31"/>
    <n v="0"/>
    <n v="155"/>
    <n v="0"/>
    <n v="0"/>
    <n v="157.5"/>
    <n v="8.75"/>
    <n v="34.75"/>
    <n v="207"/>
    <n v="10"/>
    <n v="0"/>
    <n v="16"/>
    <n v="0"/>
    <n v="0"/>
    <n v="50"/>
    <n v="18"/>
    <n v="25"/>
    <n v="88"/>
    <n v="0"/>
    <n v="0"/>
    <n v="952.5"/>
    <n v="67.75"/>
    <n v="59.75"/>
    <s v="RAJSAMAND"/>
    <s v="UDAIPUR"/>
    <s v="RJ-UDAIPUR"/>
    <d v="2014-11-13T00:00:00"/>
  </r>
  <r>
    <s v="803691119028"/>
    <x v="2818"/>
    <s v="JAI RAM BALAI TRADING COMPANY"/>
    <n v="119028"/>
    <s v="KANHAYALAL &amp; SONS"/>
    <n v="186"/>
    <n v="0"/>
    <n v="0"/>
    <n v="93"/>
    <n v="0"/>
    <n v="0"/>
    <n v="155"/>
    <n v="10"/>
    <n v="31"/>
    <n v="62"/>
    <n v="0"/>
    <n v="0"/>
    <n v="0"/>
    <n v="0"/>
    <n v="0"/>
    <n v="46"/>
    <n v="0"/>
    <n v="0"/>
    <n v="76"/>
    <n v="20"/>
    <n v="0"/>
    <n v="124"/>
    <n v="31"/>
    <n v="10"/>
    <n v="742"/>
    <n v="30"/>
    <n v="31"/>
    <s v="RAJSAMAND"/>
    <s v="UDAIPUR"/>
    <s v="RJ-UDAIPUR"/>
    <d v="2014-11-13T00:00:00"/>
  </r>
  <r>
    <s v="804165119028"/>
    <x v="2819"/>
    <s v="SHREE JI CONSTRUCTION MATERIAL"/>
    <n v="119028"/>
    <s v="KANHAYALAL &amp; SONS"/>
    <n v="0"/>
    <n v="0"/>
    <n v="0"/>
    <n v="0"/>
    <n v="0"/>
    <n v="0"/>
    <n v="15"/>
    <n v="0"/>
    <n v="0"/>
    <n v="0"/>
    <n v="0"/>
    <n v="0"/>
    <n v="0"/>
    <n v="0"/>
    <n v="0"/>
    <n v="31"/>
    <n v="0"/>
    <n v="0"/>
    <n v="0"/>
    <n v="0"/>
    <n v="0"/>
    <n v="52"/>
    <n v="0"/>
    <n v="0"/>
    <n v="98"/>
    <n v="0"/>
    <n v="0"/>
    <s v="RAJSAMAND"/>
    <s v="UDAIPUR"/>
    <s v="RJ-UDAIPUR"/>
    <d v="2015-08-04T00:00:00"/>
  </r>
  <r>
    <s v="804310119028"/>
    <x v="2820"/>
    <s v="BHERUNATH CERAMICS"/>
    <n v="119028"/>
    <s v="KANHAYALAL &amp; SONS"/>
    <n v="318"/>
    <n v="0"/>
    <n v="0"/>
    <n v="253.5"/>
    <n v="0"/>
    <n v="0"/>
    <n v="310"/>
    <n v="0"/>
    <n v="0"/>
    <n v="279"/>
    <n v="0"/>
    <n v="0"/>
    <n v="260.5"/>
    <n v="0"/>
    <n v="0"/>
    <n v="465"/>
    <n v="0"/>
    <n v="0"/>
    <n v="644"/>
    <n v="10"/>
    <n v="0"/>
    <n v="154"/>
    <n v="15"/>
    <n v="20"/>
    <n v="2684"/>
    <n v="10"/>
    <n v="0"/>
    <s v="RAJSAMAND"/>
    <s v="UDAIPUR"/>
    <s v="RJ-UDAIPUR"/>
    <d v="2015-09-25T00:00:00"/>
  </r>
  <r>
    <s v="804474119028"/>
    <x v="2821"/>
    <s v="GAURAV CEMENT AGENCY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15"/>
    <n v="0"/>
    <n v="0"/>
    <s v="RAJSAMAND"/>
    <s v="UDAIPUR"/>
    <s v="RJ-UDAIPUR"/>
    <d v="2015-12-03T00:00:00"/>
  </r>
  <r>
    <s v="804971119028"/>
    <x v="2822"/>
    <s v="SINGHAVI BROTHERS"/>
    <n v="119028"/>
    <s v="KANHAYALAL &amp; SONS"/>
    <n v="0"/>
    <n v="0"/>
    <n v="0"/>
    <n v="0"/>
    <n v="0"/>
    <n v="0"/>
    <n v="31"/>
    <n v="0"/>
    <n v="0"/>
    <n v="62"/>
    <n v="0"/>
    <n v="0"/>
    <n v="0"/>
    <n v="0"/>
    <n v="0"/>
    <n v="31"/>
    <n v="0"/>
    <n v="0"/>
    <n v="0"/>
    <n v="0"/>
    <n v="0"/>
    <n v="124"/>
    <n v="0"/>
    <n v="0"/>
    <n v="248"/>
    <n v="0"/>
    <n v="0"/>
    <s v="RAJSAMAND"/>
    <s v="UDAIPUR"/>
    <s v="RJ-UDAIPUR"/>
    <d v="2016-04-21T00:00:00"/>
  </r>
  <r>
    <s v="805323119028"/>
    <x v="2823"/>
    <s v="KARDHAR CEMENT SUPPLIERS"/>
    <n v="119028"/>
    <s v="KANHAYALAL &amp; SONS"/>
    <n v="0"/>
    <n v="0"/>
    <n v="0"/>
    <n v="0"/>
    <n v="0"/>
    <n v="0"/>
    <n v="21"/>
    <n v="0"/>
    <n v="0"/>
    <n v="0"/>
    <n v="0"/>
    <n v="0"/>
    <n v="0"/>
    <n v="0"/>
    <n v="0"/>
    <n v="31"/>
    <n v="0"/>
    <n v="0"/>
    <n v="0"/>
    <n v="0"/>
    <n v="0"/>
    <n v="0"/>
    <n v="0"/>
    <n v="0"/>
    <n v="52"/>
    <n v="0"/>
    <n v="0"/>
    <s v="RAJSAMAND"/>
    <s v="UDAIPUR"/>
    <s v="RJ-UDAIPUR"/>
    <d v="2016-07-21T00:00:00"/>
  </r>
  <r>
    <s v="805324119028"/>
    <x v="2824"/>
    <s v="MATESHWARI CEMENT SUPPLIERS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62"/>
    <n v="0"/>
    <n v="0"/>
    <n v="0"/>
    <n v="0"/>
    <n v="0"/>
    <n v="0"/>
    <n v="0"/>
    <n v="0"/>
    <n v="62"/>
    <n v="0"/>
    <n v="0"/>
    <s v="RAJSAMAND"/>
    <s v="UDAIPUR"/>
    <s v="RJ-UDAIPUR"/>
    <d v="2016-07-21T00:00:00"/>
  </r>
  <r>
    <s v="805351119028"/>
    <x v="2825"/>
    <s v="KHEDA DEVI BUILDING MATERIALS"/>
    <n v="119028"/>
    <s v="KANHAYALAL &amp; SONS"/>
    <n v="31"/>
    <n v="0"/>
    <n v="0"/>
    <n v="0"/>
    <n v="0"/>
    <n v="0"/>
    <n v="93"/>
    <n v="0"/>
    <n v="0"/>
    <n v="93"/>
    <n v="0"/>
    <n v="0"/>
    <n v="0"/>
    <n v="0"/>
    <n v="0"/>
    <n v="0"/>
    <n v="0"/>
    <n v="0"/>
    <n v="56"/>
    <n v="0"/>
    <n v="0"/>
    <n v="62"/>
    <n v="0"/>
    <n v="0"/>
    <n v="335"/>
    <n v="0"/>
    <n v="0"/>
    <s v="RAJSAMAND"/>
    <s v="UDAIPUR"/>
    <s v="RJ-UDAIPUR"/>
    <d v="2016-07-26T00:00:00"/>
  </r>
  <r>
    <s v="805624119028"/>
    <x v="2826"/>
    <s v="SHREE BHERUNATH CEMENT SUPPLIE"/>
    <n v="119028"/>
    <s v="KANHAYALAL &amp; SONS"/>
    <n v="0"/>
    <n v="0"/>
    <n v="0"/>
    <n v="0"/>
    <n v="0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31"/>
    <n v="0"/>
    <n v="0"/>
    <s v="RAJSAMAND"/>
    <s v="UDAIPUR"/>
    <s v="RJ-UDAIPUR"/>
    <d v="2016-10-10T00:00:00"/>
  </r>
  <r>
    <s v="805969119028"/>
    <x v="2827"/>
    <s v="JAY MAHADEV CONSTRUCTION"/>
    <n v="119028"/>
    <s v="KANHAYALAL &amp; SONS"/>
    <n v="62"/>
    <n v="0"/>
    <n v="0"/>
    <n v="155"/>
    <n v="0"/>
    <n v="0"/>
    <n v="62"/>
    <n v="0"/>
    <n v="0"/>
    <n v="62"/>
    <n v="0"/>
    <n v="0"/>
    <n v="62"/>
    <n v="0"/>
    <n v="9"/>
    <n v="7"/>
    <n v="0"/>
    <n v="7"/>
    <n v="0"/>
    <n v="0"/>
    <n v="0"/>
    <n v="31"/>
    <n v="0"/>
    <n v="5"/>
    <n v="441"/>
    <n v="0"/>
    <n v="16"/>
    <s v="RAJSAMAND"/>
    <s v="UDAIPUR"/>
    <s v="RJ-UDAIPUR"/>
    <d v="2017-01-21T00:00:00"/>
  </r>
  <r>
    <s v="806362119028"/>
    <x v="2828"/>
    <s v="BHERUNATH CEMENT SUPPLIERS"/>
    <n v="119028"/>
    <s v="KANHAYALAL &amp; SONS"/>
    <n v="93"/>
    <n v="0"/>
    <n v="0"/>
    <n v="31"/>
    <n v="0"/>
    <n v="0"/>
    <n v="124"/>
    <n v="0"/>
    <n v="0"/>
    <n v="93"/>
    <n v="0"/>
    <n v="0"/>
    <n v="62"/>
    <n v="0"/>
    <n v="0"/>
    <n v="93"/>
    <n v="0"/>
    <n v="0"/>
    <n v="0"/>
    <n v="0"/>
    <n v="0"/>
    <n v="93"/>
    <n v="0"/>
    <n v="0"/>
    <n v="589"/>
    <n v="0"/>
    <n v="0"/>
    <s v="RAJSAMAND"/>
    <s v="UDAIPUR"/>
    <s v="RJ-UDAIPUR"/>
    <d v="2017-05-15T00:00:00"/>
  </r>
  <r>
    <s v="806915119028"/>
    <x v="2829"/>
    <s v="VISHWAKARMA STONE SUPPLIER"/>
    <n v="119028"/>
    <s v="KANHAYALAL &amp; SONS"/>
    <n v="0"/>
    <n v="0"/>
    <n v="0"/>
    <n v="0"/>
    <n v="0"/>
    <n v="0"/>
    <n v="31"/>
    <n v="0"/>
    <n v="0"/>
    <n v="0"/>
    <n v="0"/>
    <n v="0"/>
    <n v="0"/>
    <n v="0"/>
    <n v="0"/>
    <n v="0"/>
    <n v="0"/>
    <n v="0"/>
    <n v="31"/>
    <n v="0"/>
    <n v="0"/>
    <n v="93"/>
    <n v="0"/>
    <n v="0"/>
    <n v="155"/>
    <n v="0"/>
    <n v="0"/>
    <s v="RAJSAMAND"/>
    <s v="UDAIPUR"/>
    <s v="RJ-UDAIPUR"/>
    <d v="2017-09-25T00:00:00"/>
  </r>
  <r>
    <s v="806943119028"/>
    <x v="2830"/>
    <s v="MANOHAR LAL"/>
    <n v="119028"/>
    <s v="KANHAYALAL &amp; SONS"/>
    <n v="0"/>
    <n v="0"/>
    <n v="0"/>
    <n v="0"/>
    <n v="0"/>
    <n v="0"/>
    <n v="0"/>
    <n v="0"/>
    <n v="0"/>
    <n v="0"/>
    <n v="0"/>
    <n v="0"/>
    <n v="27.5"/>
    <n v="0"/>
    <n v="0"/>
    <n v="0"/>
    <n v="0"/>
    <n v="0"/>
    <n v="0"/>
    <n v="0"/>
    <n v="0"/>
    <n v="0"/>
    <n v="0"/>
    <n v="0"/>
    <n v="27.5"/>
    <n v="0"/>
    <n v="0"/>
    <s v="RAJSAMAND"/>
    <s v="UDAIPUR"/>
    <s v="RJ-UDAIPUR"/>
    <d v="2017-09-29T00:00:00"/>
  </r>
  <r>
    <s v="807066176015"/>
    <x v="2831"/>
    <s v="DWARKESH KHAD BEEJ BHANDAR"/>
    <n v="176015"/>
    <s v="DEVNARAYAN TRADERS"/>
    <n v="25"/>
    <n v="2.5"/>
    <n v="0"/>
    <n v="26.5"/>
    <n v="5"/>
    <n v="0"/>
    <n v="10"/>
    <n v="0"/>
    <n v="0"/>
    <n v="29.5"/>
    <n v="0"/>
    <n v="0"/>
    <n v="0"/>
    <n v="0"/>
    <n v="0"/>
    <n v="10"/>
    <n v="0"/>
    <n v="0"/>
    <n v="0"/>
    <n v="0"/>
    <n v="0"/>
    <n v="0"/>
    <n v="0"/>
    <n v="0"/>
    <n v="101"/>
    <n v="7.5"/>
    <n v="0"/>
    <s v="RAJSAMAND"/>
    <s v="UDAIPUR"/>
    <s v="RJ-UDAIPUR"/>
    <d v="2018-10-11T00:00:00"/>
  </r>
  <r>
    <s v="807603122282"/>
    <x v="2832"/>
    <s v="BABA RAMDEV CONTRACTOR"/>
    <n v="122282"/>
    <s v="PIPARA SALES"/>
    <n v="38"/>
    <n v="0"/>
    <n v="0"/>
    <n v="51"/>
    <n v="0"/>
    <n v="0"/>
    <n v="71"/>
    <n v="0"/>
    <n v="0"/>
    <n v="52"/>
    <n v="0"/>
    <n v="0"/>
    <n v="58"/>
    <n v="0"/>
    <n v="0"/>
    <n v="56"/>
    <n v="0"/>
    <n v="0"/>
    <n v="32"/>
    <n v="0"/>
    <n v="0"/>
    <n v="47"/>
    <n v="0"/>
    <n v="0"/>
    <n v="405"/>
    <n v="0"/>
    <n v="0"/>
    <s v="RAJSAMAND"/>
    <s v="UDAIPUR"/>
    <s v="RJ-UDAIPUR"/>
    <d v="2017-12-07T00:00:00"/>
  </r>
  <r>
    <s v="807681119028"/>
    <x v="2833"/>
    <s v="SALEEM MOHAMMAD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0"/>
    <n v="0"/>
    <n v="0"/>
    <n v="10"/>
    <n v="0"/>
    <n v="0"/>
    <n v="40"/>
    <n v="0"/>
    <n v="0"/>
    <s v="RAJSAMAND"/>
    <s v="UDAIPUR"/>
    <s v="RJ-UDAIPUR"/>
    <d v="2017-12-30T00:00:00"/>
  </r>
  <r>
    <s v="807703119028"/>
    <x v="2834"/>
    <s v="MAHALAKSHMI BUILDING MATERIAL"/>
    <n v="119028"/>
    <s v="KANHAYALAL &amp; SONS"/>
    <n v="0"/>
    <n v="0"/>
    <n v="0"/>
    <n v="0"/>
    <n v="0"/>
    <n v="0"/>
    <n v="31"/>
    <n v="0"/>
    <n v="0"/>
    <n v="62"/>
    <n v="0"/>
    <n v="0"/>
    <n v="0"/>
    <n v="0"/>
    <n v="0"/>
    <n v="0"/>
    <n v="0"/>
    <n v="0"/>
    <n v="0"/>
    <n v="0"/>
    <n v="0"/>
    <n v="62"/>
    <n v="0"/>
    <n v="0"/>
    <n v="155"/>
    <n v="0"/>
    <n v="0"/>
    <s v="RAJSAMAND"/>
    <s v="UDAIPUR"/>
    <s v="RJ-UDAIPUR"/>
    <d v="2018-10-18T00:00:00"/>
  </r>
  <r>
    <s v="808173122282"/>
    <x v="2835"/>
    <s v="SIKANDAR KATHAT"/>
    <n v="122282"/>
    <s v="PIPARA SALES"/>
    <n v="25"/>
    <n v="0"/>
    <n v="0"/>
    <n v="51"/>
    <n v="0"/>
    <n v="0"/>
    <n v="37"/>
    <n v="0"/>
    <n v="0"/>
    <n v="41.75"/>
    <n v="0"/>
    <n v="0"/>
    <n v="24"/>
    <n v="0"/>
    <n v="0"/>
    <n v="40"/>
    <n v="0"/>
    <n v="0"/>
    <n v="24"/>
    <n v="0"/>
    <n v="0"/>
    <n v="39"/>
    <n v="0"/>
    <n v="0"/>
    <n v="281.75"/>
    <n v="0"/>
    <n v="0"/>
    <s v="RAJSAMAND"/>
    <s v="UDAIPUR"/>
    <s v="RJ-UDAIPUR"/>
    <d v="2018-03-27T00:00:00"/>
  </r>
  <r>
    <s v="808553172597"/>
    <x v="2836"/>
    <s v="SHREE BHERUNATH ENTERPRISES"/>
    <n v="172597"/>
    <s v="SONU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18-06-09T00:00:00"/>
  </r>
  <r>
    <s v="808678119028"/>
    <x v="2837"/>
    <s v="SHREE HARI OM TRADERS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18-07-18T00:00:00"/>
  </r>
  <r>
    <s v="808818172905"/>
    <x v="2838"/>
    <s v="KAILASH TRADING COMPANY"/>
    <n v="172905"/>
    <s v="SHRI CHARBHUJA CEMENT SUPPLIER"/>
    <n v="17.5"/>
    <n v="0"/>
    <n v="0"/>
    <n v="31"/>
    <n v="0"/>
    <n v="0"/>
    <n v="7"/>
    <n v="0"/>
    <n v="0"/>
    <n v="47.5"/>
    <n v="0"/>
    <n v="0"/>
    <n v="25"/>
    <n v="0"/>
    <n v="10"/>
    <n v="50"/>
    <n v="0"/>
    <n v="7.5"/>
    <n v="10"/>
    <n v="0"/>
    <n v="0"/>
    <n v="20"/>
    <n v="0"/>
    <n v="0"/>
    <n v="208"/>
    <n v="0"/>
    <n v="17.5"/>
    <s v="RAJSAMAND"/>
    <s v="UDAIPUR"/>
    <s v="RJ-UDAIPUR"/>
    <d v="2018-08-25T00:00:00"/>
  </r>
  <r>
    <s v="808820119028"/>
    <x v="2839"/>
    <s v="MAHIMA CONSTRUCTION"/>
    <n v="119028"/>
    <s v="KANHAYALAL &amp; SONS"/>
    <n v="31"/>
    <n v="0"/>
    <n v="0"/>
    <n v="31"/>
    <n v="0"/>
    <n v="0"/>
    <n v="0"/>
    <n v="0"/>
    <n v="0"/>
    <n v="0"/>
    <n v="0"/>
    <n v="0"/>
    <n v="31"/>
    <n v="0"/>
    <n v="0"/>
    <n v="93"/>
    <n v="0"/>
    <n v="0"/>
    <n v="31"/>
    <n v="0"/>
    <n v="0"/>
    <n v="62"/>
    <n v="0"/>
    <n v="0"/>
    <n v="279"/>
    <n v="0"/>
    <n v="0"/>
    <s v="RAJSAMAND"/>
    <s v="UDAIPUR"/>
    <s v="RJ-UDAIPUR"/>
    <d v="2018-08-25T00:00:00"/>
  </r>
  <r>
    <s v="809985119028"/>
    <x v="2840"/>
    <s v="PADAM AGENCIES"/>
    <n v="119028"/>
    <s v="KANHAYALAL &amp; SONS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0"/>
    <n v="0"/>
    <s v="RAJSAMAND"/>
    <s v="UDAIPUR"/>
    <s v="RJ-UDAIPUR"/>
    <d v="2019-07-20T00:00:00"/>
  </r>
  <r>
    <s v="809986119028"/>
    <x v="2841"/>
    <s v="TULSI RAM SALVI"/>
    <n v="119028"/>
    <s v="KANHAYALAL &amp; SONS"/>
    <n v="0"/>
    <n v="0"/>
    <n v="0"/>
    <n v="0"/>
    <n v="0"/>
    <n v="0"/>
    <n v="16"/>
    <n v="0"/>
    <n v="0"/>
    <n v="93"/>
    <n v="0"/>
    <n v="0"/>
    <n v="0"/>
    <n v="0"/>
    <n v="0"/>
    <n v="62"/>
    <n v="0"/>
    <n v="0"/>
    <n v="31"/>
    <n v="0"/>
    <n v="0"/>
    <n v="93"/>
    <n v="0"/>
    <n v="0"/>
    <n v="295"/>
    <n v="0"/>
    <n v="0"/>
    <s v="RAJSAMAND"/>
    <s v="UDAIPUR"/>
    <s v="RJ-UDAIPUR"/>
    <d v="2019-07-20T00:00:00"/>
  </r>
  <r>
    <s v="810224119028"/>
    <x v="2842"/>
    <s v="RADAJI KIRANA AND CEMENT SUPPL"/>
    <n v="119028"/>
    <s v="KANHAYALAL &amp; SONS"/>
    <n v="0"/>
    <n v="0"/>
    <n v="0"/>
    <n v="0"/>
    <n v="0"/>
    <n v="0"/>
    <n v="15"/>
    <n v="0"/>
    <n v="0"/>
    <n v="31"/>
    <n v="0"/>
    <n v="0"/>
    <n v="0"/>
    <n v="0"/>
    <n v="0"/>
    <n v="37"/>
    <n v="0"/>
    <n v="0"/>
    <n v="0"/>
    <n v="0"/>
    <n v="0"/>
    <n v="31"/>
    <n v="0"/>
    <n v="0"/>
    <n v="114"/>
    <n v="0"/>
    <n v="0"/>
    <s v="RAJSAMAND"/>
    <s v="UDAIPUR"/>
    <s v="RJ-UDAIPUR"/>
    <d v="2019-08-12T00:00:00"/>
  </r>
  <r>
    <s v="810512119028"/>
    <x v="2843"/>
    <s v="SHRI DEVASI CEMENT AGENCY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26"/>
    <n v="0"/>
    <n v="0"/>
    <n v="36"/>
    <n v="0"/>
    <n v="10"/>
    <s v="RAJSAMAND"/>
    <s v="UDAIPUR"/>
    <s v="RJ-UDAIPUR"/>
    <d v="2019-09-18T00:00:00"/>
  </r>
  <r>
    <s v="810741172597"/>
    <x v="2844"/>
    <s v="ASHAPURA KIRANA AND GENERAL ST"/>
    <n v="172597"/>
    <s v="SONU TRADERS"/>
    <n v="2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5"/>
    <n v="0"/>
    <n v="0"/>
    <s v="RAJSAMAND"/>
    <s v="UDAIPUR"/>
    <s v="RJ-UDAIPUR"/>
    <d v="2019-11-06T00:00:00"/>
  </r>
  <r>
    <s v="811045172905"/>
    <x v="2845"/>
    <s v="MATESHWARI CEMENT SUPPLIERS"/>
    <n v="172905"/>
    <s v="SHRI CHARBHUJA CEMENT SUPPLIER"/>
    <n v="0"/>
    <n v="0"/>
    <n v="0"/>
    <n v="0"/>
    <n v="0"/>
    <n v="0"/>
    <n v="31"/>
    <n v="0"/>
    <n v="0"/>
    <n v="19"/>
    <n v="0"/>
    <n v="5"/>
    <n v="40"/>
    <n v="0"/>
    <n v="5"/>
    <n v="54"/>
    <n v="0"/>
    <n v="0"/>
    <n v="20"/>
    <n v="0"/>
    <n v="0"/>
    <n v="41"/>
    <n v="5"/>
    <n v="5"/>
    <n v="205"/>
    <n v="0"/>
    <n v="10"/>
    <s v="RAJSAMAND"/>
    <s v="UDAIPUR"/>
    <s v="RJ-UDAIPUR"/>
    <d v="2019-12-23T00:00:00"/>
  </r>
  <r>
    <s v="811774119028"/>
    <x v="2846"/>
    <s v="HARI SINGH RAJPUT"/>
    <n v="119028"/>
    <s v="KANHAYALAL &amp; SONS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6"/>
    <n v="0"/>
    <n v="0"/>
    <s v="RAJSAMAND"/>
    <s v="UDAIPUR"/>
    <s v="RJ-UDAIPUR"/>
    <d v="2020-03-20T00:00:00"/>
  </r>
  <r>
    <s v="811998119028"/>
    <x v="2847"/>
    <s v="JAI BHERUNATH KIRANA AND GENER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20-06-25T00:00:00"/>
  </r>
  <r>
    <s v="812000179550"/>
    <x v="2848"/>
    <s v="AADESH JAY BABA RAMDEV STONE S"/>
    <n v="179550"/>
    <s v="PAWAN CEMENT &amp; HARDWARE CENTR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20-06-25T00:00:00"/>
  </r>
  <r>
    <s v="812003119028"/>
    <x v="2849"/>
    <s v="SHRI RAM CEMENT SUPPLIERS"/>
    <n v="119028"/>
    <s v="KANHAYALAL &amp; SONS"/>
    <n v="0"/>
    <n v="0"/>
    <n v="0"/>
    <n v="0"/>
    <n v="0"/>
    <n v="0"/>
    <n v="31"/>
    <n v="0"/>
    <n v="0"/>
    <n v="0"/>
    <n v="0"/>
    <n v="0"/>
    <n v="0"/>
    <n v="0"/>
    <n v="0"/>
    <n v="31"/>
    <n v="0"/>
    <n v="0"/>
    <n v="46"/>
    <n v="0"/>
    <n v="0"/>
    <n v="15"/>
    <n v="0"/>
    <n v="0"/>
    <n v="123"/>
    <n v="0"/>
    <n v="0"/>
    <s v="RAJSAMAND"/>
    <s v="UDAIPUR"/>
    <s v="RJ-UDAIPUR"/>
    <d v="2020-06-25T00:00:00"/>
  </r>
  <r>
    <s v="812047201838"/>
    <x v="2850"/>
    <s v="VISHU ENTERPRISES"/>
    <n v="201838"/>
    <s v="SUKHWAL KRISHI KENDER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RAJSAMAND"/>
    <s v="UDAIPUR"/>
    <s v="RJ-UDAIPUR"/>
    <d v="2020-06-29T00:00:00"/>
  </r>
  <r>
    <s v="812976119028"/>
    <x v="2851"/>
    <s v="MATESHWARI CEMENT SUPPLIERS"/>
    <n v="119028"/>
    <s v="KANHAYALAL &amp; SONS"/>
    <n v="0"/>
    <n v="0"/>
    <n v="0"/>
    <n v="0"/>
    <n v="0"/>
    <n v="0"/>
    <n v="31"/>
    <n v="0"/>
    <n v="0"/>
    <n v="62"/>
    <n v="0"/>
    <n v="0"/>
    <n v="0"/>
    <n v="0"/>
    <n v="0"/>
    <n v="31"/>
    <n v="0"/>
    <n v="0"/>
    <n v="21"/>
    <n v="0"/>
    <n v="0"/>
    <n v="16"/>
    <n v="0"/>
    <n v="0"/>
    <n v="161"/>
    <n v="0"/>
    <n v="0"/>
    <s v="RAJSAMAND"/>
    <s v="UDAIPUR"/>
    <s v="RJ-UDAIPUR"/>
    <d v="2020-09-19T00:00:00"/>
  </r>
  <r>
    <s v="812978172906"/>
    <x v="2852"/>
    <s v="BHAGVATI LAL RAMESH CHANDRA"/>
    <n v="172906"/>
    <s v="MAA KRIPA CEMENT &amp; BUILDING MA"/>
    <n v="25"/>
    <n v="0"/>
    <n v="0"/>
    <n v="15"/>
    <n v="0"/>
    <n v="0"/>
    <n v="35"/>
    <n v="0"/>
    <n v="30"/>
    <n v="10"/>
    <n v="0"/>
    <n v="0"/>
    <n v="20"/>
    <n v="0"/>
    <n v="0"/>
    <n v="56.5"/>
    <n v="0"/>
    <n v="0"/>
    <n v="15"/>
    <n v="0"/>
    <n v="0"/>
    <n v="20"/>
    <n v="0"/>
    <n v="0"/>
    <n v="196.5"/>
    <n v="0"/>
    <n v="30"/>
    <s v="RAJSAMAND"/>
    <s v="UDAIPUR"/>
    <s v="RJ-UDAIPUR"/>
    <d v="2020-09-19T00:00:00"/>
  </r>
  <r>
    <s v="813866119028"/>
    <x v="2853"/>
    <s v="CHARBHUJA TRADERS CEMENT SUPPL"/>
    <n v="119028"/>
    <s v="KANHAYALAL &amp; SONS"/>
    <n v="0"/>
    <n v="0"/>
    <n v="0"/>
    <n v="0"/>
    <n v="0"/>
    <n v="0"/>
    <n v="15"/>
    <n v="0"/>
    <n v="0"/>
    <n v="0"/>
    <n v="0"/>
    <n v="0"/>
    <n v="0"/>
    <n v="0"/>
    <n v="0"/>
    <n v="31"/>
    <n v="0"/>
    <n v="0"/>
    <n v="0"/>
    <n v="0"/>
    <n v="0"/>
    <n v="83"/>
    <n v="0"/>
    <n v="0"/>
    <n v="129"/>
    <n v="0"/>
    <n v="0"/>
    <s v="RAJSAMAND"/>
    <s v="UDAIPUR"/>
    <s v="RJ-UDAIPUR"/>
    <d v="2020-12-17T00:00:00"/>
  </r>
  <r>
    <s v="814108119028"/>
    <x v="2854"/>
    <s v="SHREE DEV CEMENT &amp; BUILDING MA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21-01-08T00:00:00"/>
  </r>
  <r>
    <s v="814530172597"/>
    <x v="2855"/>
    <s v="SAI TRADERS"/>
    <n v="172597"/>
    <s v="SONU TRADERS"/>
    <n v="0"/>
    <n v="0"/>
    <n v="0"/>
    <n v="0"/>
    <n v="0"/>
    <n v="0"/>
    <n v="7.5"/>
    <n v="0"/>
    <n v="7.5"/>
    <n v="0"/>
    <n v="0"/>
    <n v="0"/>
    <n v="0"/>
    <n v="0"/>
    <n v="0"/>
    <n v="0"/>
    <n v="0"/>
    <n v="0"/>
    <n v="0"/>
    <n v="0"/>
    <n v="0"/>
    <n v="0"/>
    <n v="0"/>
    <n v="0"/>
    <n v="7.5"/>
    <n v="0"/>
    <n v="7.5"/>
    <s v="RAJSAMAND"/>
    <s v="UDAIPUR"/>
    <s v="RJ-UDAIPUR"/>
    <d v="2021-02-18T00:00:00"/>
  </r>
  <r>
    <s v="814758122282"/>
    <x v="2856"/>
    <s v="MAN SINGH"/>
    <n v="122282"/>
    <s v="PIPARA SALES"/>
    <n v="10"/>
    <n v="0"/>
    <n v="0"/>
    <n v="13"/>
    <n v="0"/>
    <n v="0"/>
    <n v="19"/>
    <n v="0"/>
    <n v="0"/>
    <n v="17.5"/>
    <n v="0"/>
    <n v="0"/>
    <n v="16"/>
    <n v="0"/>
    <n v="0"/>
    <n v="0"/>
    <n v="0"/>
    <n v="0"/>
    <n v="8"/>
    <n v="0"/>
    <n v="0"/>
    <n v="16"/>
    <n v="0"/>
    <n v="0"/>
    <n v="99.5"/>
    <n v="0"/>
    <n v="0"/>
    <s v="RAJSAMAND"/>
    <s v="UDAIPUR"/>
    <s v="RJ-UDAIPUR"/>
    <d v="2021-03-13T00:00:00"/>
  </r>
  <r>
    <s v="815655172597"/>
    <x v="2857"/>
    <s v="DEVNARAYAN CONSTRUCTION"/>
    <n v="172597"/>
    <s v="SONU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21-07-26T00:00:00"/>
  </r>
  <r>
    <s v="815755176015"/>
    <x v="2858"/>
    <s v="JAY MAA BHAWANI CEMENT"/>
    <n v="176015"/>
    <s v="DEVNARAYAN TRADERS"/>
    <n v="0"/>
    <n v="0"/>
    <n v="0"/>
    <n v="0"/>
    <n v="0"/>
    <n v="0"/>
    <n v="43.5"/>
    <n v="0"/>
    <n v="3.5"/>
    <n v="17.5"/>
    <n v="0"/>
    <n v="0"/>
    <n v="0"/>
    <n v="0"/>
    <n v="0"/>
    <n v="37"/>
    <n v="4"/>
    <n v="11"/>
    <n v="10"/>
    <n v="9"/>
    <n v="0"/>
    <n v="18"/>
    <n v="0"/>
    <n v="0"/>
    <n v="126"/>
    <n v="13"/>
    <n v="14.5"/>
    <s v="RAJSAMAND"/>
    <s v="UDAIPUR"/>
    <s v="RJ-UDAIPUR"/>
    <d v="2021-07-29T00:00:00"/>
  </r>
  <r>
    <s v="815755205778"/>
    <x v="2858"/>
    <s v="JAY MAA BHAWANI CEMENT"/>
    <n v="205778"/>
    <s v="VIKAS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21-07-29T00:00:00"/>
  </r>
  <r>
    <s v="815756119028"/>
    <x v="2859"/>
    <s v="BHERUNATH CEMENT SUPPLIERS"/>
    <n v="119028"/>
    <s v="KANHAYALAL &amp; SONS"/>
    <n v="0"/>
    <n v="0"/>
    <n v="0"/>
    <n v="0"/>
    <n v="0"/>
    <n v="0"/>
    <n v="0"/>
    <n v="0"/>
    <n v="0"/>
    <n v="0"/>
    <n v="0"/>
    <n v="0"/>
    <n v="16"/>
    <n v="0"/>
    <n v="0"/>
    <n v="0"/>
    <n v="0"/>
    <n v="0"/>
    <n v="0"/>
    <n v="0"/>
    <n v="0"/>
    <n v="52"/>
    <n v="0"/>
    <n v="0"/>
    <n v="68"/>
    <n v="0"/>
    <n v="0"/>
    <s v="RAJSAMAND"/>
    <s v="UDAIPUR"/>
    <s v="RJ-UDAIPUR"/>
    <d v="2021-07-29T00:00:00"/>
  </r>
  <r>
    <s v="815757119028"/>
    <x v="2860"/>
    <s v="MATESHWARI TRADING COMPANY"/>
    <n v="119028"/>
    <s v="KANHAYALAL &amp; SON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RAJSAMAND"/>
    <s v="UDAIPUR"/>
    <s v="RJ-UDAIPUR"/>
    <d v="2021-07-29T00:00:00"/>
  </r>
  <r>
    <s v="815835201838"/>
    <x v="2861"/>
    <s v="MAHAKAL TRADERS"/>
    <n v="201838"/>
    <s v="SUKHWAL KRISHI KENDER"/>
    <n v="10"/>
    <n v="0"/>
    <n v="0"/>
    <n v="0"/>
    <n v="0"/>
    <n v="0"/>
    <n v="40"/>
    <n v="0"/>
    <n v="0"/>
    <n v="7.5"/>
    <n v="0"/>
    <n v="0"/>
    <n v="4.5"/>
    <n v="4.5"/>
    <n v="0"/>
    <n v="7"/>
    <n v="0"/>
    <n v="0"/>
    <n v="0"/>
    <n v="0"/>
    <n v="0"/>
    <n v="10"/>
    <n v="0"/>
    <n v="0"/>
    <n v="79"/>
    <n v="4.5"/>
    <n v="0"/>
    <s v="RAJSAMAND"/>
    <s v="UDAIPUR"/>
    <s v="RJ-UDAIPUR"/>
    <d v="2021-08-04T00:00:00"/>
  </r>
  <r>
    <s v="816263176015"/>
    <x v="2862"/>
    <s v="MATESHWARI CEMENT SUPPLIERS"/>
    <n v="176015"/>
    <s v="DEVNARAYAN TRADERS"/>
    <n v="54.5"/>
    <n v="0"/>
    <n v="0"/>
    <n v="35"/>
    <n v="0"/>
    <n v="0"/>
    <n v="45.5"/>
    <n v="0"/>
    <n v="10.5"/>
    <n v="32.5"/>
    <n v="0"/>
    <n v="0"/>
    <n v="6"/>
    <n v="0"/>
    <n v="0"/>
    <n v="51"/>
    <n v="0"/>
    <n v="3.5"/>
    <n v="56.7"/>
    <n v="0"/>
    <n v="0"/>
    <n v="42"/>
    <n v="12"/>
    <n v="0"/>
    <n v="323.2"/>
    <n v="0"/>
    <n v="14"/>
    <s v="RAJSAMAND"/>
    <s v="UDAIPUR"/>
    <s v="RJ-UDAIPUR"/>
    <d v="2021-09-04T00:00:00"/>
  </r>
  <r>
    <s v="816298119028"/>
    <x v="2863"/>
    <s v="JAI BHERUNATH ENTERPRISES"/>
    <n v="119028"/>
    <s v="KANHAYALAL &amp; SONS"/>
    <n v="31"/>
    <n v="0"/>
    <n v="0"/>
    <n v="0"/>
    <n v="0"/>
    <n v="0"/>
    <n v="62"/>
    <n v="0"/>
    <n v="0"/>
    <n v="93"/>
    <n v="0"/>
    <n v="0"/>
    <n v="31"/>
    <n v="0"/>
    <n v="0"/>
    <n v="0"/>
    <n v="0"/>
    <n v="0"/>
    <n v="0"/>
    <n v="0"/>
    <n v="0"/>
    <n v="0"/>
    <n v="0"/>
    <n v="0"/>
    <n v="217"/>
    <n v="0"/>
    <n v="0"/>
    <s v="RAJSAMAND"/>
    <s v="UDAIPUR"/>
    <s v="RJ-UDAIPUR"/>
    <d v="2021-09-09T00:00:00"/>
  </r>
  <r>
    <s v="816494119028"/>
    <x v="2864"/>
    <s v="SHREE KSHETRAPAL CEMENT SUPPLI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21-09-25T00:00:00"/>
  </r>
  <r>
    <s v="816494172597"/>
    <x v="2864"/>
    <s v="SHREE KSHETRAPAL CEMENT SUPPLI"/>
    <s v="172597"/>
    <s v="SONU TRADERS"/>
    <n v="0"/>
    <n v="0"/>
    <n v="0"/>
    <n v="0"/>
    <n v="0"/>
    <n v="0"/>
    <n v="0"/>
    <n v="0"/>
    <n v="0"/>
    <n v="0"/>
    <n v="0"/>
    <n v="0"/>
    <n v="17"/>
    <n v="0"/>
    <n v="17"/>
    <n v="0"/>
    <n v="0"/>
    <n v="0"/>
    <n v="0"/>
    <n v="0"/>
    <n v="0"/>
    <n v="0"/>
    <n v="0"/>
    <n v="0"/>
    <n v="17"/>
    <n v="0"/>
    <n v="17"/>
    <s v="RAJSAMAND"/>
    <s v="UDAIPUR"/>
    <s v="RJ-UDAIPUR"/>
    <d v="2021-09-25T00:00:00"/>
  </r>
  <r>
    <s v="817164172597"/>
    <x v="2865"/>
    <s v="SOLANKI TRADERS"/>
    <n v="172597"/>
    <s v="SONU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RAJSAMAND"/>
    <s v="UDAIPUR"/>
    <s v="RJ-UDAIPUR"/>
    <d v="2021-11-29T00:00:00"/>
  </r>
  <r>
    <s v="817165119028"/>
    <x v="2866"/>
    <s v="MATESHWARI KIRANA AND GENERAL"/>
    <n v="119028"/>
    <s v="KANHAYALAL &amp; SONS"/>
    <n v="0"/>
    <n v="0"/>
    <n v="0"/>
    <n v="0"/>
    <n v="0"/>
    <n v="0"/>
    <n v="16"/>
    <n v="0"/>
    <n v="0"/>
    <n v="31"/>
    <n v="0"/>
    <n v="0"/>
    <n v="0"/>
    <n v="0"/>
    <n v="0"/>
    <n v="0"/>
    <n v="0"/>
    <n v="0"/>
    <n v="0"/>
    <n v="0"/>
    <n v="0"/>
    <n v="0"/>
    <n v="0"/>
    <n v="0"/>
    <n v="47"/>
    <n v="0"/>
    <n v="0"/>
    <s v="RAJSAMAND"/>
    <s v="UDAIPUR"/>
    <s v="RJ-UDAIPUR"/>
    <d v="2021-11-29T00:00:00"/>
  </r>
  <r>
    <s v="819319172597"/>
    <x v="2867"/>
    <s v="SOHAN SINGH CHADANA"/>
    <n v="172597"/>
    <s v="SONU TRADERS"/>
    <n v="0"/>
    <n v="0"/>
    <n v="0"/>
    <n v="0"/>
    <n v="0"/>
    <n v="0"/>
    <n v="77.5"/>
    <n v="0"/>
    <n v="0"/>
    <n v="40"/>
    <n v="0"/>
    <n v="0"/>
    <n v="22"/>
    <n v="0"/>
    <n v="15"/>
    <n v="53"/>
    <n v="2"/>
    <n v="5"/>
    <n v="75"/>
    <n v="0"/>
    <n v="0"/>
    <n v="67"/>
    <n v="0"/>
    <n v="5"/>
    <n v="334.5"/>
    <n v="2"/>
    <n v="20"/>
    <s v="RAJSAMAND"/>
    <s v="UDAIPUR"/>
    <s v="RJ-UDAIPUR"/>
    <d v="2022-06-13T00:00:00"/>
  </r>
  <r>
    <s v="819319172905"/>
    <x v="2867"/>
    <s v="SOHAN SINGH CHADANA"/>
    <n v="172905"/>
    <s v="SHRI CHARBHUJA CEMENT SUPPLIER"/>
    <n v="0"/>
    <n v="0"/>
    <n v="0"/>
    <n v="0"/>
    <n v="0"/>
    <n v="0"/>
    <n v="0"/>
    <n v="0"/>
    <n v="0"/>
    <n v="3.5"/>
    <n v="3.5"/>
    <n v="0"/>
    <n v="0"/>
    <n v="0"/>
    <n v="0"/>
    <n v="0"/>
    <n v="0"/>
    <n v="0"/>
    <n v="0"/>
    <n v="0"/>
    <n v="0"/>
    <n v="0"/>
    <n v="0"/>
    <n v="0"/>
    <n v="3.5"/>
    <n v="3.5"/>
    <n v="0"/>
    <s v="RAJSAMAND"/>
    <s v="UDAIPUR"/>
    <s v="RJ-UDAIPUR"/>
    <d v="2022-06-13T00:00:00"/>
  </r>
  <r>
    <s v="819329172905"/>
    <x v="2868"/>
    <s v="SHREE RAM TRADING COMPANY"/>
    <n v="172905"/>
    <s v="SHRI CHARBHUJA CEMENT SUPPLIER"/>
    <n v="0"/>
    <n v="0"/>
    <n v="0"/>
    <n v="0"/>
    <n v="0"/>
    <n v="0"/>
    <n v="5"/>
    <n v="0"/>
    <n v="5"/>
    <n v="19.75"/>
    <n v="0"/>
    <n v="5"/>
    <n v="15"/>
    <n v="0"/>
    <n v="0"/>
    <n v="27"/>
    <n v="0"/>
    <n v="17"/>
    <n v="10"/>
    <n v="0"/>
    <n v="0"/>
    <n v="35"/>
    <n v="0"/>
    <n v="0"/>
    <n v="111.75"/>
    <n v="0"/>
    <n v="27"/>
    <s v="RAJSAMAND"/>
    <s v="UDAIPUR"/>
    <s v="RJ-UDAIPUR"/>
    <d v="2022-06-13T00:00:00"/>
  </r>
  <r>
    <s v="821100119028"/>
    <x v="2869"/>
    <s v="SHREE SWASTIK TRADERS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1"/>
    <n v="0"/>
    <n v="0"/>
    <n v="46"/>
    <n v="0"/>
    <n v="0"/>
    <s v="RAJSAMAND"/>
    <s v="UDAIPUR"/>
    <s v="RJ-UDAIPUR"/>
    <d v="2022-10-31T00:00:00"/>
  </r>
  <r>
    <s v="821101119028"/>
    <x v="2870"/>
    <s v="CHAVNDA CEMENT SUPPLIERS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RAJSAMAND"/>
    <s v="UDAIPUR"/>
    <s v="RJ-UDAIPUR"/>
    <d v="2022-10-31T00:00:00"/>
  </r>
  <r>
    <s v="821112119028"/>
    <x v="2871"/>
    <s v="BHAGYALAXMI ELECTRIC AND HARDW"/>
    <n v="119028"/>
    <s v="KANHAYALAL &amp;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6"/>
    <n v="0"/>
    <n v="0"/>
    <n v="31"/>
    <n v="0"/>
    <n v="0"/>
    <s v="RAJSAMAND"/>
    <s v="UDAIPUR"/>
    <s v="RJ-UDAIPUR"/>
    <d v="2022-10-31T00:00:00"/>
  </r>
  <r>
    <s v="821394170617"/>
    <x v="2872"/>
    <s v="SHRI SHYAM TRADING COMPANY"/>
    <n v="170617"/>
    <s v="MANGALAM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5"/>
    <n v="0"/>
    <n v="0"/>
    <n v="20"/>
    <n v="0"/>
    <n v="0"/>
    <s v="SIKAR"/>
    <s v="UDAIPUR"/>
    <s v="RJ-UDAIPUR"/>
    <d v="2022-11-26T00:00:00"/>
  </r>
  <r>
    <s v="821463149885"/>
    <x v="2873"/>
    <s v="SANJAY TRADING COMPANY"/>
    <n v="149885"/>
    <s v="LUHANI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10"/>
    <n v="25"/>
    <n v="0"/>
    <n v="0"/>
    <s v="SIKAR"/>
    <s v="UDAIPUR"/>
    <s v="RJ-UDAIPUR"/>
    <d v="2022-11-29T00:00:00"/>
  </r>
  <r>
    <s v="801757140967"/>
    <x v="2874"/>
    <s v="LAXMI PATHAR GODAM"/>
    <n v="140967"/>
    <s v="B.L.JAIN &amp; SONS"/>
    <n v="20"/>
    <n v="0"/>
    <n v="0"/>
    <n v="30"/>
    <n v="0"/>
    <n v="0"/>
    <n v="0"/>
    <n v="0"/>
    <n v="0"/>
    <n v="50"/>
    <n v="0"/>
    <n v="0"/>
    <n v="46.65"/>
    <n v="0"/>
    <n v="0"/>
    <n v="20"/>
    <n v="0"/>
    <n v="0"/>
    <n v="120"/>
    <n v="0"/>
    <n v="0"/>
    <n v="5"/>
    <n v="0"/>
    <n v="0"/>
    <n v="291.64999999999998"/>
    <n v="0"/>
    <n v="0"/>
    <s v="UDAIPUR"/>
    <s v="UDAIPUR"/>
    <s v="RJ-UDAIPUR"/>
    <d v="2013-02-22T00:00:00"/>
  </r>
  <r>
    <s v="801800119026"/>
    <x v="2875"/>
    <s v="ANOP SINGH GAUTAM SINGH"/>
    <n v="119026"/>
    <s v="FRIENDS SUPPLIERS CO.(L"/>
    <n v="35"/>
    <n v="0"/>
    <n v="0"/>
    <n v="32"/>
    <n v="0"/>
    <n v="0"/>
    <n v="50"/>
    <n v="0"/>
    <n v="0"/>
    <n v="50"/>
    <n v="0"/>
    <n v="0"/>
    <n v="50"/>
    <n v="10"/>
    <n v="0"/>
    <n v="30"/>
    <n v="0"/>
    <n v="0"/>
    <n v="10"/>
    <n v="0"/>
    <n v="0"/>
    <n v="0"/>
    <n v="0"/>
    <n v="0"/>
    <n v="257"/>
    <n v="10"/>
    <n v="0"/>
    <s v="UDAIPUR"/>
    <s v="UDAIPUR"/>
    <s v="RJ-UDAIPUR"/>
    <d v="2013-03-02T00:00:00"/>
  </r>
  <r>
    <s v="802147141115"/>
    <x v="2876"/>
    <s v="BHERUNATH  CEMENT AGENCY"/>
    <n v="141115"/>
    <s v="KALPESH CEMENT AGENCY"/>
    <n v="12.5"/>
    <n v="0"/>
    <n v="0"/>
    <n v="88.5"/>
    <n v="0"/>
    <n v="0"/>
    <n v="41.5"/>
    <n v="0"/>
    <n v="0"/>
    <n v="26"/>
    <n v="0"/>
    <n v="0"/>
    <n v="0"/>
    <n v="0"/>
    <n v="0"/>
    <n v="0"/>
    <n v="0"/>
    <n v="0"/>
    <n v="0"/>
    <n v="0"/>
    <n v="0"/>
    <n v="0"/>
    <n v="0"/>
    <n v="0"/>
    <n v="168.5"/>
    <n v="0"/>
    <n v="0"/>
    <s v="UDAIPUR"/>
    <s v="UDAIPUR"/>
    <s v="RJ-UDAIPUR"/>
    <d v="2013-07-05T00:00:00"/>
  </r>
  <r>
    <s v="802148141115"/>
    <x v="2877"/>
    <s v="SHREEYA DEVI CEMENT SUPPLIERS"/>
    <n v="141115"/>
    <s v="KALPESH CEMENT AGENCY"/>
    <n v="106.85"/>
    <n v="0"/>
    <n v="0"/>
    <n v="60"/>
    <n v="0"/>
    <n v="0"/>
    <n v="109.5"/>
    <n v="0"/>
    <n v="0"/>
    <n v="95.25"/>
    <n v="0"/>
    <n v="0"/>
    <n v="73.75"/>
    <n v="0"/>
    <n v="0"/>
    <n v="110"/>
    <n v="0"/>
    <n v="0"/>
    <n v="53.75"/>
    <n v="0"/>
    <n v="0"/>
    <n v="105"/>
    <n v="0"/>
    <n v="0"/>
    <n v="714.1"/>
    <n v="0"/>
    <n v="0"/>
    <s v="UDAIPUR"/>
    <s v="UDAIPUR"/>
    <s v="RJ-UDAIPUR"/>
    <d v="2013-07-05T00:00:00"/>
  </r>
  <r>
    <s v="802213119026"/>
    <x v="2878"/>
    <s v="LALIT CEMENT SUPPLIERS"/>
    <n v="119026"/>
    <s v="FRIENDS SUPPLIERS CO.(L"/>
    <n v="10"/>
    <n v="0"/>
    <n v="0"/>
    <n v="0"/>
    <n v="0"/>
    <n v="0"/>
    <n v="0"/>
    <n v="0"/>
    <n v="0"/>
    <n v="28"/>
    <n v="0"/>
    <n v="0"/>
    <n v="0"/>
    <n v="0"/>
    <n v="0"/>
    <n v="0"/>
    <n v="0"/>
    <n v="0"/>
    <n v="76.900000000000006"/>
    <n v="0"/>
    <n v="0"/>
    <n v="152.5"/>
    <n v="0"/>
    <n v="0"/>
    <n v="267.39999999999998"/>
    <n v="0"/>
    <n v="0"/>
    <s v="UDAIPUR"/>
    <s v="UDAIPUR"/>
    <s v="RJ-UDAIPUR"/>
    <d v="2013-07-16T00:00:00"/>
  </r>
  <r>
    <s v="802265179560"/>
    <x v="2879"/>
    <s v="PRIYA CEMENT &amp; SANITORY"/>
    <n v="179560"/>
    <s v="TIRUPATI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3-07-25T00:00:00"/>
  </r>
  <r>
    <s v="802370141115"/>
    <x v="2880"/>
    <s v="DATTAR CEMENT AGENCIES"/>
    <n v="141115"/>
    <s v="KALPESH CEMENT AGENCY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5"/>
    <n v="0"/>
    <n v="0"/>
    <n v="15"/>
    <n v="0"/>
    <n v="0"/>
    <n v="80"/>
    <n v="0"/>
    <n v="0"/>
    <s v="UDAIPUR"/>
    <s v="UDAIPUR"/>
    <s v="RJ-UDAIPUR"/>
    <d v="2013-08-07T00:00:00"/>
  </r>
  <r>
    <s v="802848179560"/>
    <x v="2881"/>
    <s v="DEV BUILD MATS"/>
    <n v="179560"/>
    <s v="TIRUPATI TRADING COMPANY"/>
    <n v="45"/>
    <n v="0"/>
    <n v="0"/>
    <n v="25"/>
    <n v="0"/>
    <n v="0"/>
    <n v="50"/>
    <n v="0"/>
    <n v="0"/>
    <n v="27.5"/>
    <n v="0"/>
    <n v="0"/>
    <n v="25"/>
    <n v="0"/>
    <n v="0"/>
    <n v="25"/>
    <n v="0"/>
    <n v="0"/>
    <n v="15"/>
    <n v="0"/>
    <n v="0"/>
    <n v="17.5"/>
    <n v="0"/>
    <n v="0"/>
    <n v="230"/>
    <n v="0"/>
    <n v="0"/>
    <s v="UDAIPUR"/>
    <s v="UDAIPUR"/>
    <s v="RJ-UDAIPUR"/>
    <d v="2013-08-23T00:00:00"/>
  </r>
  <r>
    <s v="802893140857"/>
    <x v="2882"/>
    <s v="BHAWANI STONE SUPPLIERS"/>
    <n v="140857"/>
    <s v="MERAWAT CEMENT AGENCY"/>
    <n v="38.5"/>
    <n v="10"/>
    <n v="0"/>
    <n v="80"/>
    <n v="3.5"/>
    <n v="0"/>
    <n v="40"/>
    <n v="16.75"/>
    <n v="0"/>
    <n v="30"/>
    <n v="2"/>
    <n v="0"/>
    <n v="30"/>
    <n v="7"/>
    <n v="0"/>
    <n v="39.5"/>
    <n v="0"/>
    <n v="0"/>
    <n v="10"/>
    <n v="0"/>
    <n v="0"/>
    <n v="45"/>
    <n v="15"/>
    <n v="0"/>
    <n v="313"/>
    <n v="39.25"/>
    <n v="0"/>
    <s v="UDAIPUR"/>
    <s v="UDAIPUR"/>
    <s v="RJ-UDAIPUR"/>
    <d v="2013-09-07T00:00:00"/>
  </r>
  <r>
    <s v="802894140848"/>
    <x v="2883"/>
    <s v="BHERUNATH CEMENT SUPPLIERS"/>
    <n v="140848"/>
    <s v="PADAM CEMENT SUPPLIERS"/>
    <n v="52.5"/>
    <n v="0"/>
    <n v="0"/>
    <n v="30"/>
    <n v="0"/>
    <n v="0"/>
    <n v="49"/>
    <n v="0"/>
    <n v="0"/>
    <n v="40"/>
    <n v="4.5"/>
    <n v="0"/>
    <n v="40"/>
    <n v="0"/>
    <n v="0"/>
    <n v="54.5"/>
    <n v="34.5"/>
    <n v="0"/>
    <n v="36"/>
    <n v="0"/>
    <n v="7.5"/>
    <n v="55"/>
    <n v="0"/>
    <n v="0"/>
    <n v="357"/>
    <n v="39"/>
    <n v="7.5"/>
    <s v="UDAIPUR"/>
    <s v="UDAIPUR"/>
    <s v="RJ-UDAIPUR"/>
    <d v="2013-09-07T00:00:00"/>
  </r>
  <r>
    <s v="802895140967"/>
    <x v="2884"/>
    <s v="SHIV SHAKTI  CEMENT SUPPLIERS"/>
    <n v="140967"/>
    <s v="B.L.JAIN &amp; SONS"/>
    <n v="60"/>
    <n v="0"/>
    <n v="0"/>
    <n v="40"/>
    <n v="0"/>
    <n v="0"/>
    <n v="40"/>
    <n v="0"/>
    <n v="0"/>
    <n v="10"/>
    <n v="0"/>
    <n v="0"/>
    <n v="70"/>
    <n v="0"/>
    <n v="0"/>
    <n v="25"/>
    <n v="0"/>
    <n v="0"/>
    <n v="35"/>
    <n v="0"/>
    <n v="10"/>
    <n v="25"/>
    <n v="0"/>
    <n v="0"/>
    <n v="305"/>
    <n v="0"/>
    <n v="10"/>
    <s v="UDAIPUR"/>
    <s v="UDAIPUR"/>
    <s v="RJ-UDAIPUR"/>
    <d v="2013-09-07T00:00:00"/>
  </r>
  <r>
    <s v="802896140967"/>
    <x v="2885"/>
    <s v="KAMLESH KIRANA STORE"/>
    <n v="140967"/>
    <s v="B.L.JAIN &amp; SONS"/>
    <n v="55"/>
    <n v="0"/>
    <n v="0"/>
    <n v="82.5"/>
    <n v="0"/>
    <n v="0"/>
    <n v="70"/>
    <n v="0"/>
    <n v="0"/>
    <n v="72.5"/>
    <n v="0"/>
    <n v="0"/>
    <n v="25"/>
    <n v="0"/>
    <n v="0"/>
    <n v="55"/>
    <n v="0"/>
    <n v="0"/>
    <n v="30"/>
    <n v="0"/>
    <n v="0"/>
    <n v="47.5"/>
    <n v="0"/>
    <n v="0"/>
    <n v="437.5"/>
    <n v="0"/>
    <n v="0"/>
    <s v="UDAIPUR"/>
    <s v="UDAIPUR"/>
    <s v="RJ-UDAIPUR"/>
    <d v="2013-09-07T00:00:00"/>
  </r>
  <r>
    <s v="802921141115"/>
    <x v="2886"/>
    <s v="MATESHWARI CEMENT SUPPLIERS"/>
    <n v="141115"/>
    <s v="KALPESH CEMENT AGENCY"/>
    <n v="20"/>
    <n v="0"/>
    <n v="0"/>
    <n v="15"/>
    <n v="0"/>
    <n v="0"/>
    <n v="0"/>
    <n v="0"/>
    <n v="0"/>
    <n v="0"/>
    <n v="0"/>
    <n v="0"/>
    <n v="35"/>
    <n v="0"/>
    <n v="0"/>
    <n v="30"/>
    <n v="0"/>
    <n v="0"/>
    <n v="0"/>
    <n v="0"/>
    <n v="0"/>
    <n v="0"/>
    <n v="0"/>
    <n v="0"/>
    <n v="100"/>
    <n v="0"/>
    <n v="0"/>
    <s v="UDAIPUR"/>
    <s v="UDAIPUR"/>
    <s v="RJ-UDAIPUR"/>
    <d v="2013-09-23T00:00:00"/>
  </r>
  <r>
    <s v="802923140857"/>
    <x v="2887"/>
    <s v="VISHWAKARMA STONE AGE CUTTING"/>
    <n v="140857"/>
    <s v="MERAWAT CEMENT AGENCY"/>
    <n v="10"/>
    <n v="0"/>
    <n v="0"/>
    <n v="0"/>
    <n v="0"/>
    <n v="0"/>
    <n v="30"/>
    <n v="0"/>
    <n v="0"/>
    <n v="20"/>
    <n v="0"/>
    <n v="0"/>
    <n v="30"/>
    <n v="0"/>
    <n v="0"/>
    <n v="30"/>
    <n v="0"/>
    <n v="0"/>
    <n v="10"/>
    <n v="0"/>
    <n v="0"/>
    <n v="30"/>
    <n v="0"/>
    <n v="0"/>
    <n v="160"/>
    <n v="0"/>
    <n v="0"/>
    <s v="UDAIPUR"/>
    <s v="UDAIPUR"/>
    <s v="RJ-UDAIPUR"/>
    <d v="2013-09-23T00:00:00"/>
  </r>
  <r>
    <s v="802925140963"/>
    <x v="2888"/>
    <s v="PARSHWANATH FERTILIZERS &amp; CHEM"/>
    <n v="140963"/>
    <s v="ADINATH CEMENT SUPPLIERS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UDAIPUR"/>
    <s v="UDAIPUR"/>
    <s v="RJ-UDAIPUR"/>
    <d v="2013-09-23T00:00:00"/>
  </r>
  <r>
    <s v="803020140851"/>
    <x v="2889"/>
    <s v="RAMESH KUMAR KANHAYA LAL SUTHA"/>
    <n v="140851"/>
    <s v="PASHAWNATH CEMENT SUPPLIERS"/>
    <n v="20"/>
    <n v="0"/>
    <n v="0"/>
    <n v="0"/>
    <n v="0"/>
    <n v="0"/>
    <n v="5"/>
    <n v="0"/>
    <n v="0"/>
    <n v="0"/>
    <n v="0"/>
    <n v="0"/>
    <n v="10"/>
    <n v="0"/>
    <n v="0"/>
    <n v="25"/>
    <n v="0"/>
    <n v="0"/>
    <n v="10"/>
    <n v="0"/>
    <n v="0"/>
    <n v="27.5"/>
    <n v="0"/>
    <n v="0"/>
    <n v="97.5"/>
    <n v="0"/>
    <n v="0"/>
    <s v="UDAIPUR"/>
    <s v="UDAIPUR"/>
    <s v="RJ-UDAIPUR"/>
    <d v="2013-12-02T00:00:00"/>
  </r>
  <r>
    <s v="803021140851"/>
    <x v="2890"/>
    <s v="SHANTI LAL SUTHAR"/>
    <n v="140851"/>
    <s v="PASHAWNATH CEMENT SUPPLIERS"/>
    <n v="20"/>
    <n v="0"/>
    <n v="0"/>
    <n v="20"/>
    <n v="0"/>
    <n v="0"/>
    <n v="70"/>
    <n v="0"/>
    <n v="0"/>
    <n v="20.5"/>
    <n v="3"/>
    <n v="0"/>
    <n v="70"/>
    <n v="0"/>
    <n v="0"/>
    <n v="27.5"/>
    <n v="0"/>
    <n v="0"/>
    <n v="30"/>
    <n v="0"/>
    <n v="0"/>
    <n v="52.5"/>
    <n v="0"/>
    <n v="10"/>
    <n v="310.5"/>
    <n v="3"/>
    <n v="0"/>
    <s v="UDAIPUR"/>
    <s v="UDAIPUR"/>
    <s v="RJ-UDAIPUR"/>
    <d v="2013-12-02T00:00:00"/>
  </r>
  <r>
    <s v="803022140851"/>
    <x v="2891"/>
    <s v="LAXMI LAL KALU LAL JAIN"/>
    <n v="140851"/>
    <s v="PASHAWNATH CEMENT SUPPLIERS"/>
    <n v="60"/>
    <n v="0"/>
    <n v="0"/>
    <n v="37"/>
    <n v="0"/>
    <n v="0"/>
    <n v="65"/>
    <n v="0"/>
    <n v="0"/>
    <n v="10"/>
    <n v="0"/>
    <n v="0"/>
    <n v="40"/>
    <n v="0"/>
    <n v="0"/>
    <n v="25"/>
    <n v="0"/>
    <n v="0"/>
    <n v="30"/>
    <n v="0"/>
    <n v="0"/>
    <n v="27.5"/>
    <n v="0"/>
    <n v="0"/>
    <n v="294.5"/>
    <n v="0"/>
    <n v="0"/>
    <s v="UDAIPUR"/>
    <s v="UDAIPUR"/>
    <s v="RJ-UDAIPUR"/>
    <d v="2013-12-02T00:00:00"/>
  </r>
  <r>
    <s v="803023140851"/>
    <x v="2892"/>
    <s v="KESAR SINGH"/>
    <n v="140851"/>
    <s v="PASHAWNATH CEMENT SUPPLIERS"/>
    <n v="50"/>
    <n v="0"/>
    <n v="0"/>
    <n v="25"/>
    <n v="0"/>
    <n v="0"/>
    <n v="45"/>
    <n v="0"/>
    <n v="0"/>
    <n v="0"/>
    <n v="0"/>
    <n v="0"/>
    <n v="20"/>
    <n v="0"/>
    <n v="0"/>
    <n v="45"/>
    <n v="0"/>
    <n v="0"/>
    <n v="10"/>
    <n v="0"/>
    <n v="0"/>
    <n v="25"/>
    <n v="0"/>
    <n v="0"/>
    <n v="220"/>
    <n v="0"/>
    <n v="0"/>
    <s v="UDAIPUR"/>
    <s v="UDAIPUR"/>
    <s v="RJ-UDAIPUR"/>
    <d v="2013-12-02T00:00:00"/>
  </r>
  <r>
    <s v="803049140860"/>
    <x v="2893"/>
    <s v="GANESH LAL RATAN LAL"/>
    <n v="140860"/>
    <s v="VIPUL CEMENT SUPPLIERS"/>
    <n v="40"/>
    <n v="0"/>
    <n v="0"/>
    <n v="30"/>
    <n v="0"/>
    <n v="0"/>
    <n v="102"/>
    <n v="10"/>
    <n v="0"/>
    <n v="30"/>
    <n v="0"/>
    <n v="0"/>
    <n v="40"/>
    <n v="0"/>
    <n v="0"/>
    <n v="30.75"/>
    <n v="0"/>
    <n v="0"/>
    <n v="37.5"/>
    <n v="10"/>
    <n v="0"/>
    <n v="40"/>
    <n v="0"/>
    <n v="0"/>
    <n v="350.25"/>
    <n v="20"/>
    <n v="0"/>
    <s v="UDAIPUR"/>
    <s v="UDAIPUR"/>
    <s v="RJ-UDAIPUR"/>
    <d v="2013-12-18T00:00:00"/>
  </r>
  <r>
    <s v="803071140848"/>
    <x v="2894"/>
    <s v="JAGDISH CHANDRA S/O NATHULAL S"/>
    <n v="140848"/>
    <s v="PADAM CEMENT SUPPLIERS"/>
    <n v="170"/>
    <n v="0"/>
    <n v="0"/>
    <n v="95"/>
    <n v="60"/>
    <n v="0"/>
    <n v="113.5"/>
    <n v="14.5"/>
    <n v="10"/>
    <n v="110.5"/>
    <n v="25.5"/>
    <n v="0"/>
    <n v="113"/>
    <n v="53"/>
    <n v="0"/>
    <n v="123.5"/>
    <n v="13.5"/>
    <n v="5"/>
    <n v="70"/>
    <n v="5"/>
    <n v="0"/>
    <n v="95"/>
    <n v="0"/>
    <n v="0"/>
    <n v="890.5"/>
    <n v="171.5"/>
    <n v="15"/>
    <s v="UDAIPUR"/>
    <s v="UDAIPUR"/>
    <s v="RJ-UDAIPUR"/>
    <d v="2013-12-23T00:00:00"/>
  </r>
  <r>
    <s v="803124140857"/>
    <x v="2895"/>
    <s v="MAHADEV CEMENT SUPPLIERS"/>
    <n v="140857"/>
    <s v="MERAWAT CEMENT AGENCY"/>
    <n v="10"/>
    <n v="0"/>
    <n v="0"/>
    <n v="0"/>
    <n v="0"/>
    <n v="0"/>
    <n v="15"/>
    <n v="0"/>
    <n v="0"/>
    <n v="5"/>
    <n v="0"/>
    <n v="0"/>
    <n v="10"/>
    <n v="0"/>
    <n v="0"/>
    <n v="17.5"/>
    <n v="7.5"/>
    <n v="0"/>
    <n v="0"/>
    <n v="0"/>
    <n v="0"/>
    <n v="0"/>
    <n v="0"/>
    <n v="0"/>
    <n v="57.5"/>
    <n v="7.5"/>
    <n v="0"/>
    <s v="UDAIPUR"/>
    <s v="UDAIPUR"/>
    <s v="RJ-UDAIPUR"/>
    <d v="2014-01-10T00:00:00"/>
  </r>
  <r>
    <s v="803188140857"/>
    <x v="2896"/>
    <s v="PATEL CEMENT SUPPLIERS"/>
    <n v="140857"/>
    <s v="MERAWAT CEMENT AGENCY"/>
    <n v="60"/>
    <n v="0"/>
    <n v="0"/>
    <n v="40"/>
    <n v="0"/>
    <n v="0"/>
    <n v="20"/>
    <n v="0"/>
    <n v="0"/>
    <n v="10"/>
    <n v="2"/>
    <n v="0"/>
    <n v="30"/>
    <n v="5"/>
    <n v="0"/>
    <n v="20"/>
    <n v="0"/>
    <n v="0"/>
    <n v="30"/>
    <n v="0"/>
    <n v="0"/>
    <n v="10"/>
    <n v="0"/>
    <n v="0"/>
    <n v="220"/>
    <n v="7"/>
    <n v="0"/>
    <s v="UDAIPUR"/>
    <s v="UDAIPUR"/>
    <s v="RJ-UDAIPUR"/>
    <d v="2014-02-10T00:00:00"/>
  </r>
  <r>
    <s v="803258140859"/>
    <x v="2897"/>
    <s v="M.K. CEMENT AGENCY"/>
    <n v="140859"/>
    <s v="KESHRIYA JI HARDWARE &amp; METAL S"/>
    <n v="30"/>
    <n v="0"/>
    <n v="0"/>
    <n v="30"/>
    <n v="0"/>
    <n v="0"/>
    <n v="55"/>
    <n v="0"/>
    <n v="0"/>
    <n v="30"/>
    <n v="0"/>
    <n v="0"/>
    <n v="0"/>
    <n v="0"/>
    <n v="0"/>
    <n v="48.75"/>
    <n v="0"/>
    <n v="0"/>
    <n v="22.5"/>
    <n v="0"/>
    <n v="2.5"/>
    <n v="10"/>
    <n v="0"/>
    <n v="0"/>
    <n v="226.25"/>
    <n v="0"/>
    <n v="2.5"/>
    <s v="UDAIPUR"/>
    <s v="UDAIPUR"/>
    <s v="RJ-UDAIPUR"/>
    <d v="2014-03-29T00:00:00"/>
  </r>
  <r>
    <s v="803260140849"/>
    <x v="2898"/>
    <s v="PARAS STONE SUPPLIERS"/>
    <n v="140849"/>
    <s v="SAWALIYA CEMENT SUPPLIERS"/>
    <n v="60"/>
    <n v="0"/>
    <n v="0"/>
    <n v="10"/>
    <n v="0"/>
    <n v="0"/>
    <n v="20"/>
    <n v="0"/>
    <n v="0"/>
    <n v="5"/>
    <n v="0"/>
    <n v="0"/>
    <n v="0"/>
    <n v="0"/>
    <n v="0"/>
    <n v="15"/>
    <n v="0"/>
    <n v="0"/>
    <n v="7.5"/>
    <n v="0"/>
    <n v="0"/>
    <n v="10"/>
    <n v="0"/>
    <n v="0"/>
    <n v="127.5"/>
    <n v="0"/>
    <n v="0"/>
    <s v="UDAIPUR"/>
    <s v="UDAIPUR"/>
    <s v="RJ-UDAIPUR"/>
    <d v="2014-03-29T00:00:00"/>
  </r>
  <r>
    <s v="803534141115"/>
    <x v="2899"/>
    <s v="JHAMESHWAR CEMENT SUPPLIERS"/>
    <n v="141115"/>
    <s v="KALPESH CEMENT AGENCY"/>
    <n v="100"/>
    <n v="0"/>
    <n v="0"/>
    <n v="50"/>
    <n v="0"/>
    <n v="0"/>
    <n v="132.5"/>
    <n v="0"/>
    <n v="0"/>
    <n v="77.5"/>
    <n v="0"/>
    <n v="0"/>
    <n v="112.5"/>
    <n v="0"/>
    <n v="0"/>
    <n v="115"/>
    <n v="0"/>
    <n v="5"/>
    <n v="80"/>
    <n v="0"/>
    <n v="0"/>
    <n v="114"/>
    <n v="0"/>
    <n v="13.75"/>
    <n v="781.5"/>
    <n v="0"/>
    <n v="5"/>
    <s v="UDAIPUR"/>
    <s v="UDAIPUR"/>
    <s v="RJ-UDAIPUR"/>
    <d v="2014-08-13T00:00:00"/>
  </r>
  <r>
    <s v="803778140849"/>
    <x v="2900"/>
    <s v="AMBA LAL SUTHAR CONTRECTOR"/>
    <n v="140849"/>
    <s v="SAWALIYA CEMENT SUPPLIERS"/>
    <n v="73"/>
    <n v="0"/>
    <n v="0"/>
    <n v="35"/>
    <n v="0"/>
    <n v="0"/>
    <n v="40"/>
    <n v="0"/>
    <n v="0"/>
    <n v="10"/>
    <n v="0"/>
    <n v="0"/>
    <n v="5"/>
    <n v="0"/>
    <n v="0"/>
    <n v="15"/>
    <n v="0"/>
    <n v="0"/>
    <n v="7.5"/>
    <n v="0"/>
    <n v="0"/>
    <n v="15"/>
    <n v="0"/>
    <n v="0"/>
    <n v="200.5"/>
    <n v="0"/>
    <n v="0"/>
    <s v="UDAIPUR"/>
    <s v="UDAIPUR"/>
    <s v="RJ-UDAIPUR"/>
    <d v="2015-01-03T00:00:00"/>
  </r>
  <r>
    <s v="803809140849"/>
    <x v="2901"/>
    <s v="SHREE RAM STONE SUPPLIERS"/>
    <n v="140849"/>
    <s v="SAWALIYA CEMENT SUPPLIERS"/>
    <n v="119"/>
    <n v="0"/>
    <n v="0"/>
    <n v="67.5"/>
    <n v="0"/>
    <n v="0"/>
    <n v="116"/>
    <n v="0"/>
    <n v="6"/>
    <n v="31"/>
    <n v="5"/>
    <n v="8"/>
    <n v="40.5"/>
    <n v="0"/>
    <n v="0"/>
    <n v="47"/>
    <n v="0"/>
    <n v="2.5"/>
    <n v="60"/>
    <n v="20"/>
    <n v="0"/>
    <n v="15"/>
    <n v="0"/>
    <n v="0"/>
    <n v="496"/>
    <n v="25"/>
    <n v="16.5"/>
    <s v="UDAIPUR"/>
    <s v="UDAIPUR"/>
    <s v="RJ-UDAIPUR"/>
    <d v="2015-01-21T00:00:00"/>
  </r>
  <r>
    <s v="803811140851"/>
    <x v="2902"/>
    <s v="JAGDISH SUTHAR"/>
    <n v="140851"/>
    <s v="PASHAWNATH CEMENT SUPPLIERS"/>
    <n v="0"/>
    <n v="0"/>
    <n v="0"/>
    <n v="0"/>
    <n v="0"/>
    <n v="0"/>
    <n v="0"/>
    <n v="0"/>
    <n v="0"/>
    <n v="0"/>
    <n v="0"/>
    <n v="0"/>
    <n v="5"/>
    <n v="0"/>
    <n v="0"/>
    <n v="20"/>
    <n v="0"/>
    <n v="0"/>
    <n v="0"/>
    <n v="0"/>
    <n v="0"/>
    <n v="0"/>
    <n v="0"/>
    <n v="0"/>
    <n v="25"/>
    <n v="0"/>
    <n v="0"/>
    <s v="UDAIPUR"/>
    <s v="UDAIPUR"/>
    <s v="RJ-UDAIPUR"/>
    <d v="2015-01-21T00:00:00"/>
  </r>
  <r>
    <s v="803946140851"/>
    <x v="2903"/>
    <s v="MUKESH STONE SUPPLIERS"/>
    <n v="140851"/>
    <s v="PASHAWNATH CEMENT SUPPLIERS"/>
    <n v="10"/>
    <n v="0"/>
    <n v="0"/>
    <n v="10"/>
    <n v="0"/>
    <n v="0"/>
    <n v="52.5"/>
    <n v="7.5"/>
    <n v="0"/>
    <n v="10"/>
    <n v="0"/>
    <n v="0"/>
    <n v="20"/>
    <n v="0"/>
    <n v="0"/>
    <n v="25"/>
    <n v="0"/>
    <n v="0"/>
    <n v="0"/>
    <n v="0"/>
    <n v="0"/>
    <n v="27.5"/>
    <n v="0"/>
    <n v="0"/>
    <n v="155"/>
    <n v="7.5"/>
    <n v="0"/>
    <s v="UDAIPUR"/>
    <s v="UDAIPUR"/>
    <s v="RJ-UDAIPUR"/>
    <d v="2015-04-16T00:00:00"/>
  </r>
  <r>
    <s v="803990140849"/>
    <x v="2904"/>
    <s v="VISHVAKARMA BUILDING MATERIAL"/>
    <n v="140849"/>
    <s v="SAWALIYA CEMENT SUPPLIERS"/>
    <n v="0"/>
    <n v="0"/>
    <n v="0"/>
    <n v="0"/>
    <n v="0"/>
    <n v="0"/>
    <n v="10"/>
    <n v="0"/>
    <n v="0"/>
    <n v="30"/>
    <n v="0"/>
    <n v="0"/>
    <n v="37.5"/>
    <n v="0"/>
    <n v="0"/>
    <n v="12.5"/>
    <n v="0"/>
    <n v="0"/>
    <n v="20"/>
    <n v="0"/>
    <n v="0"/>
    <n v="40"/>
    <n v="0"/>
    <n v="0"/>
    <n v="150"/>
    <n v="0"/>
    <n v="0"/>
    <s v="UDAIPUR"/>
    <s v="UDAIPUR"/>
    <s v="RJ-UDAIPUR"/>
    <d v="2015-05-15T00:00:00"/>
  </r>
  <r>
    <s v="803991140858"/>
    <x v="2905"/>
    <s v="ABHAY STONE &amp; BUILDING MATERIA"/>
    <n v="140858"/>
    <s v="RAMESH CHANDRA JAI CHAND"/>
    <n v="86"/>
    <n v="0"/>
    <n v="0"/>
    <n v="30"/>
    <n v="0"/>
    <n v="0"/>
    <n v="15"/>
    <n v="0"/>
    <n v="0"/>
    <n v="25"/>
    <n v="0"/>
    <n v="0"/>
    <n v="10"/>
    <n v="0"/>
    <n v="0"/>
    <n v="20"/>
    <n v="0"/>
    <n v="0"/>
    <n v="20"/>
    <n v="0"/>
    <n v="0"/>
    <n v="10"/>
    <n v="0"/>
    <n v="0"/>
    <n v="216"/>
    <n v="0"/>
    <n v="0"/>
    <s v="UDAIPUR"/>
    <s v="UDAIPUR"/>
    <s v="RJ-UDAIPUR"/>
    <d v="2015-05-15T00:00:00"/>
  </r>
  <r>
    <s v="803992140860"/>
    <x v="2906"/>
    <s v="RATAN LAL SUTHAR"/>
    <n v="140860"/>
    <s v="VIPUL CEMENT SUPPLIERS"/>
    <n v="90"/>
    <n v="0"/>
    <n v="0"/>
    <n v="40"/>
    <n v="0"/>
    <n v="0"/>
    <n v="35"/>
    <n v="0"/>
    <n v="0"/>
    <n v="10"/>
    <n v="0"/>
    <n v="0"/>
    <n v="40"/>
    <n v="0"/>
    <n v="0"/>
    <n v="36"/>
    <n v="5"/>
    <n v="0"/>
    <n v="53"/>
    <n v="15.5"/>
    <n v="0"/>
    <n v="20"/>
    <n v="0"/>
    <n v="0"/>
    <n v="324"/>
    <n v="20.5"/>
    <n v="0"/>
    <s v="UDAIPUR"/>
    <s v="UDAIPUR"/>
    <s v="RJ-UDAIPUR"/>
    <d v="2015-05-15T00:00:00"/>
  </r>
  <r>
    <s v="803992140857"/>
    <x v="2906"/>
    <s v="RATAN LAL SUTHAR"/>
    <n v="140857"/>
    <s v="MERAWAT CEMENT AGENCY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10"/>
    <n v="0"/>
    <n v="0"/>
    <s v="UDAIPUR"/>
    <s v="UDAIPUR"/>
    <s v="RJ-UDAIPUR"/>
    <d v="2015-05-15T00:00:00"/>
  </r>
  <r>
    <s v="803993140860"/>
    <x v="2907"/>
    <s v="KACHARU LAL PREMJI PATEL"/>
    <n v="140860"/>
    <s v="VIPUL CEMENT SUPPLIERS"/>
    <n v="40"/>
    <n v="0"/>
    <n v="0"/>
    <n v="25"/>
    <n v="0"/>
    <n v="0"/>
    <n v="25"/>
    <n v="0"/>
    <n v="0"/>
    <n v="10"/>
    <n v="0"/>
    <n v="0"/>
    <n v="0"/>
    <n v="0"/>
    <n v="0"/>
    <n v="0"/>
    <n v="0"/>
    <n v="0"/>
    <n v="10"/>
    <n v="0"/>
    <n v="0"/>
    <n v="7.5"/>
    <n v="4"/>
    <n v="0"/>
    <n v="117.5"/>
    <n v="0"/>
    <n v="0"/>
    <s v="UDAIPUR"/>
    <s v="UDAIPUR"/>
    <s v="RJ-UDAIPUR"/>
    <d v="2015-05-15T00:00:00"/>
  </r>
  <r>
    <s v="804006140966"/>
    <x v="2908"/>
    <s v="SINGHVI HARDWARE"/>
    <n v="140966"/>
    <s v="SWASTIK SAL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5-05-26T00:00:00"/>
  </r>
  <r>
    <s v="804057140967"/>
    <x v="2909"/>
    <s v="NAVNEET KUMAR MOHAN LAL JAIN"/>
    <n v="140967"/>
    <s v="B.L.JAIN &amp; SONS"/>
    <n v="65"/>
    <n v="0"/>
    <n v="0"/>
    <n v="60"/>
    <n v="0"/>
    <n v="0"/>
    <n v="30"/>
    <n v="0"/>
    <n v="0"/>
    <n v="0"/>
    <n v="0"/>
    <n v="0"/>
    <n v="25"/>
    <n v="0"/>
    <n v="0"/>
    <n v="0"/>
    <n v="0"/>
    <n v="0"/>
    <n v="0"/>
    <n v="0"/>
    <n v="0"/>
    <n v="70"/>
    <n v="0"/>
    <n v="0"/>
    <n v="250"/>
    <n v="0"/>
    <n v="0"/>
    <s v="UDAIPUR"/>
    <s v="UDAIPUR"/>
    <s v="RJ-UDAIPUR"/>
    <d v="2015-06-10T00:00:00"/>
  </r>
  <r>
    <s v="804058141115"/>
    <x v="2910"/>
    <s v="NAKODA CEMENT AGENCY"/>
    <n v="141115"/>
    <s v="KALPESH CEMENT AGENCY"/>
    <n v="209.5"/>
    <n v="0"/>
    <n v="0"/>
    <n v="122.35"/>
    <n v="2.5"/>
    <n v="0"/>
    <n v="188.75"/>
    <n v="10"/>
    <n v="0"/>
    <n v="171.45"/>
    <n v="0"/>
    <n v="0"/>
    <n v="221"/>
    <n v="6.75"/>
    <n v="0"/>
    <n v="197"/>
    <n v="7.5"/>
    <n v="0"/>
    <n v="197"/>
    <n v="7"/>
    <n v="0"/>
    <n v="177.5"/>
    <n v="2.5"/>
    <n v="0"/>
    <n v="1484.55"/>
    <n v="33.75"/>
    <n v="0"/>
    <s v="UDAIPUR"/>
    <s v="UDAIPUR"/>
    <s v="RJ-UDAIPUR"/>
    <d v="2015-06-10T00:00:00"/>
  </r>
  <r>
    <s v="804081170501"/>
    <x v="2911"/>
    <s v="BHERUNATH CEMENT SUPPLIER"/>
    <n v="170501"/>
    <s v="GURU OM KRIPA CEMENT SUPPLIERS"/>
    <n v="20"/>
    <n v="0"/>
    <n v="0"/>
    <n v="20"/>
    <n v="0"/>
    <n v="0"/>
    <n v="20"/>
    <n v="0"/>
    <n v="0"/>
    <n v="12.5"/>
    <n v="0"/>
    <n v="0"/>
    <n v="10"/>
    <n v="0"/>
    <n v="0"/>
    <n v="7.5"/>
    <n v="0"/>
    <n v="0"/>
    <n v="21"/>
    <n v="0"/>
    <n v="4"/>
    <n v="0"/>
    <n v="0"/>
    <n v="0"/>
    <n v="111"/>
    <n v="0"/>
    <n v="4"/>
    <s v="UDAIPUR"/>
    <s v="UDAIPUR"/>
    <s v="RJ-UDAIPUR"/>
    <d v="2018-09-29T00:00:00"/>
  </r>
  <r>
    <s v="804131140967"/>
    <x v="2912"/>
    <s v="MOTI LAL PARASKUMAR JAIN"/>
    <n v="140967"/>
    <s v="B.L.JAIN &amp; SONS"/>
    <n v="50"/>
    <n v="0"/>
    <n v="0"/>
    <n v="70"/>
    <n v="0"/>
    <n v="0"/>
    <n v="78.75"/>
    <n v="3.75"/>
    <n v="0"/>
    <n v="107.5"/>
    <n v="0"/>
    <n v="0"/>
    <n v="90"/>
    <n v="0"/>
    <n v="0"/>
    <n v="180"/>
    <n v="55"/>
    <n v="0"/>
    <n v="120"/>
    <n v="0"/>
    <n v="0"/>
    <n v="51.1"/>
    <n v="34.25"/>
    <n v="0"/>
    <n v="747.35"/>
    <n v="58.75"/>
    <n v="0"/>
    <s v="UDAIPUR"/>
    <s v="UDAIPUR"/>
    <s v="RJ-UDAIPUR"/>
    <d v="2015-07-15T00:00:00"/>
  </r>
  <r>
    <s v="804132179560"/>
    <x v="2913"/>
    <s v="SURBHI SANITATION"/>
    <n v="179560"/>
    <s v="TIRUPATI TRADING COMPANY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UDAIPUR"/>
    <s v="UDAIPUR"/>
    <s v="RJ-UDAIPUR"/>
    <d v="2015-07-15T00:00:00"/>
  </r>
  <r>
    <s v="804432141115"/>
    <x v="2914"/>
    <s v="SISODIA CEMENT AGENCIES"/>
    <n v="141115"/>
    <s v="KALPESH CEMENT AGENCY"/>
    <n v="136.75"/>
    <n v="0"/>
    <n v="0"/>
    <n v="120"/>
    <n v="0"/>
    <n v="0"/>
    <n v="91"/>
    <n v="0"/>
    <n v="0"/>
    <n v="130.5"/>
    <n v="0"/>
    <n v="3.5"/>
    <n v="114.75"/>
    <n v="0"/>
    <n v="8.25"/>
    <n v="85"/>
    <n v="0"/>
    <n v="0"/>
    <n v="80"/>
    <n v="0"/>
    <n v="0"/>
    <n v="110"/>
    <n v="0"/>
    <n v="0"/>
    <n v="868"/>
    <n v="0"/>
    <n v="11.75"/>
    <s v="UDAIPUR"/>
    <s v="UDAIPUR"/>
    <s v="RJ-UDAIPUR"/>
    <d v="2015-11-19T00:00:00"/>
  </r>
  <r>
    <s v="804632141115"/>
    <x v="2915"/>
    <s v="MATESHWARI ENTERPRISES AND STO"/>
    <n v="141115"/>
    <s v="KALPESH CEMENT AGENCY"/>
    <n v="60"/>
    <n v="0"/>
    <n v="0"/>
    <n v="74"/>
    <n v="0"/>
    <n v="0"/>
    <n v="105"/>
    <n v="0"/>
    <n v="0"/>
    <n v="90"/>
    <n v="5.5"/>
    <n v="0"/>
    <n v="70"/>
    <n v="0"/>
    <n v="0"/>
    <n v="100"/>
    <n v="0"/>
    <n v="0"/>
    <n v="60"/>
    <n v="0"/>
    <n v="0"/>
    <n v="50"/>
    <n v="10"/>
    <n v="5"/>
    <n v="609"/>
    <n v="5.5"/>
    <n v="0"/>
    <s v="UDAIPUR"/>
    <s v="UDAIPUR"/>
    <s v="RJ-UDAIPUR"/>
    <d v="2016-01-01T00:00:00"/>
  </r>
  <r>
    <s v="804897140857"/>
    <x v="2916"/>
    <s v="SHREE NATH CEMENT AGENCY"/>
    <n v="140857"/>
    <s v="MERAWAT CEMENT AGENCY"/>
    <n v="59"/>
    <n v="0"/>
    <n v="0"/>
    <n v="60"/>
    <n v="15"/>
    <n v="0"/>
    <n v="40"/>
    <n v="10"/>
    <n v="0"/>
    <n v="30"/>
    <n v="10"/>
    <n v="0"/>
    <n v="35"/>
    <n v="0"/>
    <n v="0"/>
    <n v="53"/>
    <n v="3"/>
    <n v="0"/>
    <n v="20"/>
    <n v="0"/>
    <n v="0"/>
    <n v="40"/>
    <n v="20"/>
    <n v="0"/>
    <n v="337"/>
    <n v="38"/>
    <n v="0"/>
    <s v="UDAIPUR"/>
    <s v="UDAIPUR"/>
    <s v="RJ-UDAIPUR"/>
    <d v="2016-03-10T00:00:00"/>
  </r>
  <r>
    <s v="804968140852"/>
    <x v="2917"/>
    <s v="GANPATI BUILDING MATERIAL"/>
    <n v="140852"/>
    <s v="NEW KALPE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6-04-21T00:00:00"/>
  </r>
  <r>
    <s v="804969140858"/>
    <x v="2918"/>
    <s v="MAA ASHAPURA CEMENT &amp; SANATRY"/>
    <n v="140858"/>
    <s v="RAMESH CHANDRA JAI CHAND"/>
    <n v="30"/>
    <n v="0"/>
    <n v="0"/>
    <n v="60"/>
    <n v="0"/>
    <n v="0"/>
    <n v="15"/>
    <n v="0"/>
    <n v="0"/>
    <n v="35"/>
    <n v="0"/>
    <n v="0"/>
    <n v="25"/>
    <n v="0"/>
    <n v="0"/>
    <n v="105"/>
    <n v="10"/>
    <n v="0"/>
    <n v="40"/>
    <n v="0"/>
    <n v="0"/>
    <n v="40.6"/>
    <n v="0"/>
    <n v="0"/>
    <n v="350.6"/>
    <n v="10"/>
    <n v="0"/>
    <s v="UDAIPUR"/>
    <s v="UDAIPUR"/>
    <s v="RJ-UDAIPUR"/>
    <d v="2016-04-21T00:00:00"/>
  </r>
  <r>
    <s v="805627175775"/>
    <x v="2919"/>
    <s v="SANWALIYA CEMENT SUPPLIERS"/>
    <n v="175775"/>
    <s v="CHARBHUJA ELECTRICALS &amp; HARDWA"/>
    <n v="30"/>
    <n v="0"/>
    <n v="0"/>
    <n v="0"/>
    <n v="0"/>
    <n v="0"/>
    <n v="22.5"/>
    <n v="0"/>
    <n v="0"/>
    <n v="0"/>
    <n v="0"/>
    <n v="0"/>
    <n v="0"/>
    <n v="0"/>
    <n v="0"/>
    <n v="0"/>
    <n v="0"/>
    <n v="0"/>
    <n v="0"/>
    <n v="0"/>
    <n v="0"/>
    <n v="0"/>
    <n v="0"/>
    <n v="0"/>
    <n v="52.5"/>
    <n v="0"/>
    <n v="0"/>
    <s v="UDAIPUR"/>
    <s v="UDAIPUR"/>
    <s v="RJ-UDAIPUR"/>
    <d v="2016-10-10T00:00:00"/>
  </r>
  <r>
    <s v="805646119026"/>
    <x v="2920"/>
    <s v="MUFFDAL BUILDING MATERIAL"/>
    <n v="119026"/>
    <s v="FRIENDS SUPPLIERS CO.(L"/>
    <n v="0"/>
    <n v="0"/>
    <n v="0"/>
    <n v="0"/>
    <n v="0"/>
    <n v="0"/>
    <n v="0"/>
    <n v="0"/>
    <n v="0"/>
    <n v="0"/>
    <n v="0"/>
    <n v="0"/>
    <n v="5"/>
    <n v="0"/>
    <n v="0"/>
    <n v="15"/>
    <n v="0"/>
    <n v="0"/>
    <n v="10"/>
    <n v="0"/>
    <n v="0"/>
    <n v="10"/>
    <n v="0"/>
    <n v="0"/>
    <n v="40"/>
    <n v="0"/>
    <n v="0"/>
    <s v="UDAIPUR"/>
    <s v="UDAIPUR"/>
    <s v="RJ-UDAIPUR"/>
    <d v="2016-10-18T00:00:00"/>
  </r>
  <r>
    <s v="806094140848"/>
    <x v="2921"/>
    <s v="SHIV CEMENT SUPPLIERS"/>
    <n v="140848"/>
    <s v="PADAM CEMENT SUPPLIERS"/>
    <n v="120"/>
    <n v="10"/>
    <n v="0"/>
    <n v="153.25"/>
    <n v="0"/>
    <n v="0"/>
    <n v="143"/>
    <n v="33"/>
    <n v="0"/>
    <n v="90"/>
    <n v="2.25"/>
    <n v="0"/>
    <n v="65"/>
    <n v="0"/>
    <n v="5"/>
    <n v="100"/>
    <n v="0"/>
    <n v="0"/>
    <n v="107"/>
    <n v="22"/>
    <n v="0"/>
    <n v="67.5"/>
    <n v="0"/>
    <n v="0"/>
    <n v="845.75"/>
    <n v="67.25"/>
    <n v="5"/>
    <s v="UDAIPUR"/>
    <s v="UDAIPUR"/>
    <s v="RJ-UDAIPUR"/>
    <d v="2017-02-23T00:00:00"/>
  </r>
  <r>
    <s v="806095140967"/>
    <x v="2922"/>
    <s v="GANESH LAL SHARMA"/>
    <n v="140967"/>
    <s v="B.L.JAIN &amp; SONS"/>
    <n v="65"/>
    <n v="0"/>
    <n v="0"/>
    <n v="85"/>
    <n v="0"/>
    <n v="0"/>
    <n v="211"/>
    <n v="6"/>
    <n v="0"/>
    <n v="100"/>
    <n v="0"/>
    <n v="0"/>
    <n v="83.5"/>
    <n v="3.5"/>
    <n v="0"/>
    <n v="187.5"/>
    <n v="0"/>
    <n v="2.5"/>
    <n v="166"/>
    <n v="0"/>
    <n v="6"/>
    <n v="35"/>
    <n v="0"/>
    <n v="0"/>
    <n v="933"/>
    <n v="9.5"/>
    <n v="8.5"/>
    <s v="UDAIPUR"/>
    <s v="UDAIPUR"/>
    <s v="RJ-UDAIPUR"/>
    <d v="2017-02-23T00:00:00"/>
  </r>
  <r>
    <s v="806176205969"/>
    <x v="2923"/>
    <s v="ABBAS ALI"/>
    <n v="205969"/>
    <s v="AKBAR ALI KHAKHADWALA AND SONS"/>
    <n v="70"/>
    <n v="0"/>
    <n v="0"/>
    <n v="20"/>
    <n v="0"/>
    <n v="0"/>
    <n v="70"/>
    <n v="0"/>
    <n v="0"/>
    <n v="75"/>
    <n v="0"/>
    <n v="0"/>
    <n v="45"/>
    <n v="0"/>
    <n v="0"/>
    <n v="77"/>
    <n v="3"/>
    <n v="0"/>
    <n v="52.5"/>
    <n v="0"/>
    <n v="0"/>
    <n v="71.5"/>
    <n v="1.5"/>
    <n v="0"/>
    <n v="481"/>
    <n v="3"/>
    <n v="0"/>
    <s v="UDAIPUR"/>
    <s v="UDAIPUR"/>
    <s v="RJ-UDAIPUR"/>
    <d v="2017-03-22T00:00:00"/>
  </r>
  <r>
    <s v="806827140848"/>
    <x v="2924"/>
    <s v="SWASTIK PANTS &amp; HARDWARE"/>
    <n v="140848"/>
    <s v="PADAM CEMENT SUPPLIERS"/>
    <n v="0"/>
    <n v="0"/>
    <n v="0"/>
    <n v="10"/>
    <n v="0"/>
    <n v="0"/>
    <n v="24"/>
    <n v="0"/>
    <n v="0"/>
    <n v="10"/>
    <n v="0"/>
    <n v="0"/>
    <n v="0"/>
    <n v="0"/>
    <n v="0"/>
    <n v="0"/>
    <n v="0"/>
    <n v="0"/>
    <n v="50"/>
    <n v="0"/>
    <n v="0"/>
    <n v="10"/>
    <n v="0"/>
    <n v="10"/>
    <n v="104"/>
    <n v="0"/>
    <n v="0"/>
    <s v="UDAIPUR"/>
    <s v="UDAIPUR"/>
    <s v="RJ-UDAIPUR"/>
    <d v="2017-09-01T00:00:00"/>
  </r>
  <r>
    <s v="806872119026"/>
    <x v="2925"/>
    <s v="LUCKY ENTERPRISES"/>
    <n v="119026"/>
    <s v="FRIENDS SUPPLIERS CO.(L"/>
    <n v="0"/>
    <n v="0"/>
    <n v="0"/>
    <n v="15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0"/>
    <n v="17.5"/>
    <n v="0"/>
    <n v="0"/>
    <s v="UDAIPUR"/>
    <s v="UDAIPUR"/>
    <s v="RJ-UDAIPUR"/>
    <d v="2017-09-11T00:00:00"/>
  </r>
  <r>
    <s v="806883119026"/>
    <x v="2926"/>
    <s v="KUNAL DISTRIBUTORS"/>
    <n v="119026"/>
    <s v="FRIENDS SUPPLIERS CO.(L"/>
    <n v="150"/>
    <n v="0"/>
    <n v="0"/>
    <n v="135.5"/>
    <n v="7.5"/>
    <n v="0"/>
    <n v="127.4"/>
    <n v="4.9000000000000004"/>
    <n v="0"/>
    <n v="96.1"/>
    <n v="0"/>
    <n v="0"/>
    <n v="65"/>
    <n v="0"/>
    <n v="0"/>
    <n v="132.25"/>
    <n v="10.25"/>
    <n v="0"/>
    <n v="34.75"/>
    <n v="0"/>
    <n v="0"/>
    <n v="0"/>
    <n v="0"/>
    <n v="0"/>
    <n v="741"/>
    <n v="22.65"/>
    <n v="0"/>
    <s v="UDAIPUR"/>
    <s v="UDAIPUR"/>
    <s v="RJ-UDAIPUR"/>
    <d v="2017-09-15T00:00:00"/>
  </r>
  <r>
    <s v="806971140860"/>
    <x v="2927"/>
    <s v="NAAMLA CONSTRUCTIONS"/>
    <n v="140860"/>
    <s v="VIPUL CEMENT SUPPLIERS"/>
    <n v="20"/>
    <n v="0"/>
    <n v="0"/>
    <n v="0"/>
    <n v="0"/>
    <n v="0"/>
    <n v="0"/>
    <n v="0"/>
    <n v="0"/>
    <n v="5"/>
    <n v="0"/>
    <n v="0"/>
    <n v="2"/>
    <n v="0"/>
    <n v="0"/>
    <n v="0"/>
    <n v="0"/>
    <n v="0"/>
    <n v="22.5"/>
    <n v="0"/>
    <n v="0"/>
    <n v="20"/>
    <n v="0"/>
    <n v="0"/>
    <n v="69.5"/>
    <n v="0"/>
    <n v="0"/>
    <s v="UDAIPUR"/>
    <s v="UDAIPUR"/>
    <s v="RJ-UDAIPUR"/>
    <d v="2017-10-12T00:00:00"/>
  </r>
  <r>
    <s v="806972147364"/>
    <x v="2928"/>
    <s v="ROYAL BUILDING MATERIAL"/>
    <n v="147364"/>
    <s v="RAJASTHAN ROYAL BUILDHOME SOL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7-10-12T00:00:00"/>
  </r>
  <r>
    <s v="806973141115"/>
    <x v="2929"/>
    <s v="SHREE ANNAPURNA CEMENT SUPPLIE"/>
    <n v="141115"/>
    <s v="KALPESH CEMENT AGENCY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n v="15"/>
    <n v="0"/>
    <n v="0"/>
    <n v="75"/>
    <n v="0"/>
    <n v="0"/>
    <s v="UDAIPUR"/>
    <s v="UDAIPUR"/>
    <s v="RJ-UDAIPUR"/>
    <d v="2017-10-12T00:00:00"/>
  </r>
  <r>
    <s v="806975141115"/>
    <x v="2930"/>
    <s v="MENARIA CEMENT AGENCY"/>
    <n v="141115"/>
    <s v="KALPESH CEMENT AGENCY"/>
    <n v="30"/>
    <n v="0"/>
    <n v="0"/>
    <n v="58"/>
    <n v="0"/>
    <n v="0"/>
    <n v="142"/>
    <n v="0"/>
    <n v="0"/>
    <n v="76"/>
    <n v="0"/>
    <n v="0"/>
    <n v="127.75"/>
    <n v="0"/>
    <n v="0"/>
    <n v="81"/>
    <n v="0"/>
    <n v="0"/>
    <n v="54.25"/>
    <n v="0"/>
    <n v="0"/>
    <n v="23"/>
    <n v="0"/>
    <n v="0"/>
    <n v="592"/>
    <n v="0"/>
    <n v="0"/>
    <s v="UDAIPUR"/>
    <s v="UDAIPUR"/>
    <s v="RJ-UDAIPUR"/>
    <d v="2017-10-12T00:00:00"/>
  </r>
  <r>
    <s v="806996140858"/>
    <x v="2931"/>
    <s v="HATIMI IRON"/>
    <n v="140858"/>
    <s v="RAMESH CHANDRA JAI CHAND"/>
    <n v="10"/>
    <n v="0"/>
    <n v="0"/>
    <n v="20"/>
    <n v="0"/>
    <n v="0"/>
    <n v="35"/>
    <n v="0"/>
    <n v="0"/>
    <n v="30"/>
    <n v="0"/>
    <n v="0"/>
    <n v="40"/>
    <n v="0"/>
    <n v="0"/>
    <n v="25"/>
    <n v="0"/>
    <n v="0"/>
    <n v="0"/>
    <n v="0"/>
    <n v="0"/>
    <n v="0"/>
    <n v="0"/>
    <n v="0"/>
    <n v="160"/>
    <n v="0"/>
    <n v="0"/>
    <s v="UDAIPUR"/>
    <s v="UDAIPUR"/>
    <s v="RJ-UDAIPUR"/>
    <d v="2017-10-17T00:00:00"/>
  </r>
  <r>
    <s v="807016140967"/>
    <x v="2932"/>
    <s v="MATESHWARI BUILDING MATERIAL S"/>
    <n v="140967"/>
    <s v="B.L.JAIN &amp; SONS"/>
    <n v="0"/>
    <n v="0"/>
    <n v="0"/>
    <n v="0"/>
    <n v="0"/>
    <n v="0"/>
    <n v="0"/>
    <n v="0"/>
    <n v="0"/>
    <n v="0"/>
    <n v="0"/>
    <n v="0"/>
    <n v="0"/>
    <n v="0"/>
    <n v="0"/>
    <n v="55"/>
    <n v="0"/>
    <n v="0"/>
    <n v="0"/>
    <n v="0"/>
    <n v="0"/>
    <n v="0"/>
    <n v="0"/>
    <n v="0"/>
    <n v="55"/>
    <n v="0"/>
    <n v="0"/>
    <s v="UDAIPUR"/>
    <s v="UDAIPUR"/>
    <s v="RJ-UDAIPUR"/>
    <d v="2017-10-28T00:00:00"/>
  </r>
  <r>
    <s v="807025146968"/>
    <x v="2933"/>
    <s v="HITESH BUILDING MATERIAL"/>
    <n v="146968"/>
    <s v="BHARAT BUILDCON"/>
    <n v="110"/>
    <n v="0"/>
    <n v="0"/>
    <n v="110"/>
    <n v="0"/>
    <n v="0"/>
    <n v="100"/>
    <n v="0"/>
    <n v="0"/>
    <n v="112.8"/>
    <n v="6.5"/>
    <n v="0"/>
    <n v="25"/>
    <n v="0"/>
    <n v="0"/>
    <n v="10"/>
    <n v="0"/>
    <n v="0"/>
    <n v="0"/>
    <n v="0"/>
    <n v="0"/>
    <n v="0"/>
    <n v="0"/>
    <n v="0"/>
    <n v="467.8"/>
    <n v="6.5"/>
    <n v="0"/>
    <s v="UDAIPUR"/>
    <s v="UDAIPUR"/>
    <s v="RJ-UDAIPUR"/>
    <d v="2017-11-04T00:00:00"/>
  </r>
  <r>
    <s v="807187141115"/>
    <x v="2934"/>
    <s v="RAGHUNATH SINGH"/>
    <n v="141115"/>
    <s v="KALPESH CEMENT AGENCY"/>
    <n v="0"/>
    <n v="0"/>
    <n v="0"/>
    <n v="0"/>
    <n v="0"/>
    <n v="0"/>
    <n v="33"/>
    <n v="0"/>
    <n v="0"/>
    <n v="36.25"/>
    <n v="0"/>
    <n v="0"/>
    <n v="0"/>
    <n v="0"/>
    <n v="0"/>
    <n v="0"/>
    <n v="0"/>
    <n v="0"/>
    <n v="0"/>
    <n v="0"/>
    <n v="0"/>
    <n v="0"/>
    <n v="0"/>
    <n v="0"/>
    <n v="69.25"/>
    <n v="0"/>
    <n v="0"/>
    <s v="UDAIPUR"/>
    <s v="UDAIPUR"/>
    <s v="RJ-UDAIPUR"/>
    <d v="2018-11-19T00:00:00"/>
  </r>
  <r>
    <s v="807261141115"/>
    <x v="2935"/>
    <s v="MAHAVEER STEEL AND SANITARY"/>
    <n v="141115"/>
    <s v="KALPE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8-11-27T00:00:00"/>
  </r>
  <r>
    <s v="807310140857"/>
    <x v="2936"/>
    <s v="SAVNA ENTERPRISES &amp; CONSTRUCTI"/>
    <n v="140857"/>
    <s v="MERAWAT CEMENT AGENCY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10"/>
    <n v="0"/>
    <n v="0"/>
    <n v="0"/>
    <n v="0"/>
    <n v="0"/>
    <n v="20"/>
    <n v="0"/>
    <n v="0"/>
    <s v="UDAIPUR"/>
    <s v="UDAIPUR"/>
    <s v="RJ-UDAIPUR"/>
    <d v="2018-12-07T00:00:00"/>
  </r>
  <r>
    <s v="807406143607"/>
    <x v="2937"/>
    <s v="SARDAR CEMENT SUPPLIERS"/>
    <n v="143607"/>
    <s v="KRISHNA AGENCIE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UDAIPUR"/>
    <s v="UDAIPUR"/>
    <s v="RJ-UDAIPUR"/>
    <d v="2018-12-24T00:00:00"/>
  </r>
  <r>
    <s v="807406173748"/>
    <x v="2937"/>
    <s v="SARDAR CEMENT SUPPLIERS"/>
    <n v="173748"/>
    <s v="LAMPS SARADA"/>
    <n v="75"/>
    <n v="0"/>
    <n v="0"/>
    <n v="78.75"/>
    <n v="0"/>
    <n v="0"/>
    <n v="50"/>
    <n v="0"/>
    <n v="0"/>
    <n v="30"/>
    <n v="0"/>
    <n v="0"/>
    <n v="20"/>
    <n v="0"/>
    <n v="0"/>
    <n v="15"/>
    <n v="0"/>
    <n v="0"/>
    <n v="20"/>
    <n v="0"/>
    <n v="0"/>
    <n v="25"/>
    <n v="0"/>
    <n v="0"/>
    <n v="313.75"/>
    <n v="0"/>
    <n v="0"/>
    <s v="UDAIPUR"/>
    <s v="UDAIPUR"/>
    <s v="RJ-UDAIPUR"/>
    <d v="2018-12-24T00:00:00"/>
  </r>
  <r>
    <s v="807407119026"/>
    <x v="2938"/>
    <s v="NEELKANTH TRADERS"/>
    <n v="119026"/>
    <s v="FRIENDS SUPPLIERS CO.(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8-12-24T00:00:00"/>
  </r>
  <r>
    <s v="807568140967"/>
    <x v="2939"/>
    <s v="ASHAPURA STONE SUPPLIERS"/>
    <n v="140967"/>
    <s v="B.L.JAIN &amp; SONS"/>
    <n v="90"/>
    <n v="0"/>
    <n v="0"/>
    <n v="10"/>
    <n v="0"/>
    <n v="0"/>
    <n v="10"/>
    <n v="0"/>
    <n v="0"/>
    <n v="52.5"/>
    <n v="0"/>
    <n v="0"/>
    <n v="48.5"/>
    <n v="3.5"/>
    <n v="0"/>
    <n v="75"/>
    <n v="0"/>
    <n v="0"/>
    <n v="0"/>
    <n v="0"/>
    <n v="0"/>
    <n v="150"/>
    <n v="0"/>
    <n v="0"/>
    <n v="436"/>
    <n v="3.5"/>
    <n v="0"/>
    <s v="UDAIPUR"/>
    <s v="UDAIPUR"/>
    <s v="RJ-UDAIPUR"/>
    <d v="2017-11-23T00:00:00"/>
  </r>
  <r>
    <s v="807718146968"/>
    <x v="2940"/>
    <s v="RAMILA BUILDING MATERIAL"/>
    <n v="146968"/>
    <s v="BHARAT BUILDCON"/>
    <n v="40"/>
    <n v="0"/>
    <n v="0"/>
    <n v="20"/>
    <n v="0"/>
    <n v="0"/>
    <n v="40"/>
    <n v="0"/>
    <n v="0"/>
    <n v="60"/>
    <n v="0"/>
    <n v="0"/>
    <n v="14.95"/>
    <n v="0"/>
    <n v="0"/>
    <n v="59.5"/>
    <n v="0"/>
    <n v="0"/>
    <n v="73.5"/>
    <n v="6.5"/>
    <n v="6.5"/>
    <n v="30.5"/>
    <n v="0"/>
    <n v="0"/>
    <n v="338.45"/>
    <n v="6.5"/>
    <n v="6.5"/>
    <s v="UDAIPUR"/>
    <s v="UDAIPUR"/>
    <s v="RJ-UDAIPUR"/>
    <d v="2019-01-10T00:00:00"/>
  </r>
  <r>
    <s v="807719141115"/>
    <x v="2941"/>
    <s v="SHREE NARAYAN ENTERPRISES"/>
    <n v="141115"/>
    <s v="KALPESH CEMENT AGENCY"/>
    <n v="238.85"/>
    <n v="5"/>
    <n v="0"/>
    <n v="256.5"/>
    <n v="0"/>
    <n v="0"/>
    <n v="159.75"/>
    <n v="18"/>
    <n v="0"/>
    <n v="252.6"/>
    <n v="0"/>
    <n v="0"/>
    <n v="121"/>
    <n v="0"/>
    <n v="0"/>
    <n v="135.5"/>
    <n v="2.5"/>
    <n v="0"/>
    <n v="137"/>
    <n v="7.5"/>
    <n v="0"/>
    <n v="171.7"/>
    <n v="0"/>
    <n v="0"/>
    <n v="1472.9"/>
    <n v="33"/>
    <n v="0"/>
    <s v="UDAIPUR"/>
    <s v="UDAIPUR"/>
    <s v="RJ-UDAIPUR"/>
    <d v="2019-01-10T00:00:00"/>
  </r>
  <r>
    <s v="807909140858"/>
    <x v="2942"/>
    <s v="HARENDRA CEMENT AGENCY"/>
    <n v="140858"/>
    <s v="RAMESH CHANDRA JAI CHAND"/>
    <n v="60"/>
    <n v="0"/>
    <n v="0"/>
    <n v="10"/>
    <n v="0"/>
    <n v="0"/>
    <n v="10"/>
    <n v="0"/>
    <n v="0"/>
    <n v="20"/>
    <n v="0"/>
    <n v="0"/>
    <n v="0"/>
    <n v="0"/>
    <n v="0"/>
    <n v="0"/>
    <n v="0"/>
    <n v="0"/>
    <n v="0"/>
    <n v="0"/>
    <n v="0"/>
    <n v="0"/>
    <n v="0"/>
    <n v="0"/>
    <n v="100"/>
    <n v="0"/>
    <n v="0"/>
    <s v="UDAIPUR"/>
    <s v="UDAIPUR"/>
    <s v="RJ-UDAIPUR"/>
    <d v="2018-01-18T00:00:00"/>
  </r>
  <r>
    <s v="808084209796"/>
    <x v="2943"/>
    <s v="LAXMI BUILDING MATERIAL"/>
    <n v="209796"/>
    <s v="SHAKTAWAT BUILDING MATERIAL"/>
    <n v="50"/>
    <n v="0"/>
    <n v="0"/>
    <n v="20"/>
    <n v="0"/>
    <n v="0"/>
    <n v="0"/>
    <n v="0"/>
    <n v="0"/>
    <n v="30"/>
    <n v="0"/>
    <n v="0"/>
    <n v="5"/>
    <n v="0"/>
    <n v="0"/>
    <n v="25"/>
    <n v="0"/>
    <n v="0"/>
    <n v="10"/>
    <n v="0"/>
    <n v="0"/>
    <n v="20"/>
    <n v="0"/>
    <n v="0"/>
    <n v="160"/>
    <n v="0"/>
    <n v="0"/>
    <s v="UDAIPUR"/>
    <s v="UDAIPUR"/>
    <s v="RJ-UDAIPUR"/>
    <d v="2018-03-05T00:00:00"/>
  </r>
  <r>
    <s v="808087140967"/>
    <x v="2944"/>
    <s v="LAXMI TRADERS AND STONE SUPPLI"/>
    <n v="140967"/>
    <s v="B.L.JAIN &amp; SONS"/>
    <n v="35"/>
    <n v="0"/>
    <n v="0"/>
    <n v="0"/>
    <n v="0"/>
    <n v="0"/>
    <n v="40"/>
    <n v="0"/>
    <n v="0"/>
    <n v="36"/>
    <n v="0"/>
    <n v="0"/>
    <n v="0"/>
    <n v="0"/>
    <n v="0"/>
    <n v="50"/>
    <n v="0"/>
    <n v="0"/>
    <n v="10"/>
    <n v="0"/>
    <n v="0"/>
    <n v="133.75"/>
    <n v="0"/>
    <n v="0"/>
    <n v="304.75"/>
    <n v="0"/>
    <n v="0"/>
    <s v="UDAIPUR"/>
    <s v="UDAIPUR"/>
    <s v="RJ-UDAIPUR"/>
    <d v="2018-03-05T00:00:00"/>
  </r>
  <r>
    <s v="808088140967"/>
    <x v="2945"/>
    <s v="BALAJI BUILDING MATERIAL SUPPL"/>
    <n v="140967"/>
    <s v="B.L.JAIN &amp; SONS"/>
    <n v="10"/>
    <n v="0"/>
    <n v="0"/>
    <n v="0"/>
    <n v="0"/>
    <n v="0"/>
    <n v="0"/>
    <n v="0"/>
    <n v="0"/>
    <n v="0"/>
    <n v="0"/>
    <n v="0"/>
    <n v="10"/>
    <n v="0"/>
    <n v="0"/>
    <n v="7.5"/>
    <n v="0"/>
    <n v="0"/>
    <n v="0"/>
    <n v="0"/>
    <n v="0"/>
    <n v="0"/>
    <n v="0"/>
    <n v="0"/>
    <n v="27.5"/>
    <n v="0"/>
    <n v="0"/>
    <s v="UDAIPUR"/>
    <s v="UDAIPUR"/>
    <s v="RJ-UDAIPUR"/>
    <d v="2018-03-05T00:00:00"/>
  </r>
  <r>
    <s v="808152140967"/>
    <x v="2946"/>
    <s v="RAJASTHAN PATTHAR GODAM"/>
    <n v="140967"/>
    <s v="B.L.JAIN &amp; SONS"/>
    <n v="20"/>
    <n v="0"/>
    <n v="0"/>
    <n v="20"/>
    <n v="0"/>
    <n v="0"/>
    <n v="35"/>
    <n v="0"/>
    <n v="0"/>
    <n v="37.5"/>
    <n v="0"/>
    <n v="0"/>
    <n v="0"/>
    <n v="0"/>
    <n v="0"/>
    <n v="30"/>
    <n v="0"/>
    <n v="0"/>
    <n v="0"/>
    <n v="0"/>
    <n v="0"/>
    <n v="155"/>
    <n v="0"/>
    <n v="0"/>
    <n v="297.5"/>
    <n v="0"/>
    <n v="0"/>
    <s v="UDAIPUR"/>
    <s v="UDAIPUR"/>
    <s v="RJ-UDAIPUR"/>
    <d v="2018-03-22T00:00:00"/>
  </r>
  <r>
    <s v="808163140967"/>
    <x v="2947"/>
    <s v="VIJAY LAXMI BUILDING MATERIAL"/>
    <n v="140967"/>
    <s v="B.L.JAIN &amp; SONS"/>
    <n v="0"/>
    <n v="0"/>
    <n v="0"/>
    <n v="0"/>
    <n v="0"/>
    <n v="0"/>
    <n v="0"/>
    <n v="0"/>
    <n v="0"/>
    <n v="0"/>
    <n v="0"/>
    <n v="0"/>
    <n v="10"/>
    <n v="0"/>
    <n v="0"/>
    <n v="7.5"/>
    <n v="0"/>
    <n v="0"/>
    <n v="0"/>
    <n v="0"/>
    <n v="0"/>
    <n v="0"/>
    <n v="0"/>
    <n v="0"/>
    <n v="17.5"/>
    <n v="0"/>
    <n v="0"/>
    <s v="UDAIPUR"/>
    <s v="UDAIPUR"/>
    <s v="RJ-UDAIPUR"/>
    <d v="2018-03-23T00:00:00"/>
  </r>
  <r>
    <s v="808184141115"/>
    <x v="2948"/>
    <s v="KACHHARA CEMENT SUPPLIERS"/>
    <n v="141115"/>
    <s v="KALPESH CEMENT AGENCY"/>
    <n v="25"/>
    <n v="0"/>
    <n v="0"/>
    <n v="10"/>
    <n v="0"/>
    <n v="0"/>
    <n v="71.5"/>
    <n v="0"/>
    <n v="0"/>
    <n v="0"/>
    <n v="0"/>
    <n v="0"/>
    <n v="0"/>
    <n v="0"/>
    <n v="0"/>
    <n v="0"/>
    <n v="0"/>
    <n v="0"/>
    <n v="35"/>
    <n v="0"/>
    <n v="0"/>
    <n v="50"/>
    <n v="0"/>
    <n v="0"/>
    <n v="191.5"/>
    <n v="0"/>
    <n v="0"/>
    <s v="UDAIPUR"/>
    <s v="UDAIPUR"/>
    <s v="RJ-UDAIPUR"/>
    <d v="2018-03-30T00:00:00"/>
  </r>
  <r>
    <s v="808228140852"/>
    <x v="2949"/>
    <s v="CHOUBISA ENTERPRISES"/>
    <n v="140852"/>
    <s v="NEW KALPE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8-04-17T00:00:00"/>
  </r>
  <r>
    <s v="808271140848"/>
    <x v="2950"/>
    <s v="RAJESH CEMENT SUPPLIERS"/>
    <n v="140848"/>
    <s v="PADAM CEMENT SUPPLIERS"/>
    <n v="44"/>
    <n v="0"/>
    <n v="0"/>
    <n v="110"/>
    <n v="0"/>
    <n v="0"/>
    <n v="100"/>
    <n v="0"/>
    <n v="0"/>
    <n v="106.25"/>
    <n v="0"/>
    <n v="0"/>
    <n v="60"/>
    <n v="10"/>
    <n v="0"/>
    <n v="90"/>
    <n v="0"/>
    <n v="5"/>
    <n v="58"/>
    <n v="0"/>
    <n v="0"/>
    <n v="72.5"/>
    <n v="0"/>
    <n v="20"/>
    <n v="640.75"/>
    <n v="10"/>
    <n v="5"/>
    <s v="UDAIPUR"/>
    <s v="UDAIPUR"/>
    <s v="RJ-UDAIPUR"/>
    <d v="2018-04-27T00:00:00"/>
  </r>
  <r>
    <s v="808272140967"/>
    <x v="2951"/>
    <s v="SHREE BHERU BHAWANI STONE &amp; CE"/>
    <n v="140967"/>
    <s v="B.L.JAIN &amp; SONS"/>
    <n v="130"/>
    <n v="0"/>
    <n v="0"/>
    <n v="95"/>
    <n v="0"/>
    <n v="0"/>
    <n v="170"/>
    <n v="0"/>
    <n v="0"/>
    <n v="112.5"/>
    <n v="7.5"/>
    <n v="0"/>
    <n v="10"/>
    <n v="0"/>
    <n v="0"/>
    <n v="95"/>
    <n v="10"/>
    <n v="0"/>
    <n v="110"/>
    <n v="0"/>
    <n v="0"/>
    <n v="100"/>
    <n v="0"/>
    <n v="0"/>
    <n v="822.5"/>
    <n v="17.5"/>
    <n v="0"/>
    <s v="UDAIPUR"/>
    <s v="UDAIPUR"/>
    <s v="RJ-UDAIPUR"/>
    <d v="2018-04-27T00:00:00"/>
  </r>
  <r>
    <s v="808444140848"/>
    <x v="2952"/>
    <s v="JAI SHREE BHERUNATH CEMENT SUP"/>
    <n v="140848"/>
    <s v="PADAM CEMENT SUPPLIERS"/>
    <n v="0"/>
    <n v="0"/>
    <n v="0"/>
    <n v="10"/>
    <n v="0"/>
    <n v="0"/>
    <n v="50"/>
    <n v="0"/>
    <n v="0"/>
    <n v="23"/>
    <n v="3"/>
    <n v="0"/>
    <n v="10"/>
    <n v="0"/>
    <n v="0"/>
    <n v="27.5"/>
    <n v="0"/>
    <n v="0"/>
    <n v="30"/>
    <n v="0"/>
    <n v="0"/>
    <n v="20"/>
    <n v="0"/>
    <n v="0"/>
    <n v="170.5"/>
    <n v="3"/>
    <n v="0"/>
    <s v="UDAIPUR"/>
    <s v="UDAIPUR"/>
    <s v="RJ-UDAIPUR"/>
    <d v="2018-05-28T00:00:00"/>
  </r>
  <r>
    <s v="808498140858"/>
    <x v="2953"/>
    <s v="JAY GURUDEV BUILDING MATERIAL"/>
    <n v="140858"/>
    <s v="RAMESH CHANDRA JAI CHAND"/>
    <n v="45"/>
    <n v="0"/>
    <n v="0"/>
    <n v="50"/>
    <n v="0"/>
    <n v="0"/>
    <n v="203.5"/>
    <n v="0"/>
    <n v="4.5"/>
    <n v="81"/>
    <n v="0"/>
    <n v="0"/>
    <n v="103"/>
    <n v="0"/>
    <n v="0"/>
    <n v="107.5"/>
    <n v="0"/>
    <n v="0"/>
    <n v="74"/>
    <n v="8"/>
    <n v="0"/>
    <n v="112.5"/>
    <n v="0"/>
    <n v="0"/>
    <n v="776.5"/>
    <n v="8"/>
    <n v="4.5"/>
    <s v="UDAIPUR"/>
    <s v="UDAIPUR"/>
    <s v="RJ-UDAIPUR"/>
    <d v="2018-06-02T00:00:00"/>
  </r>
  <r>
    <s v="808554140967"/>
    <x v="2954"/>
    <s v="VISHVAKARMA PATTHAR GODAM"/>
    <n v="140967"/>
    <s v="B.L.JAIN &amp; SONS"/>
    <n v="10"/>
    <n v="0"/>
    <n v="0"/>
    <n v="20"/>
    <n v="0"/>
    <n v="0"/>
    <n v="7.5"/>
    <n v="0"/>
    <n v="0"/>
    <n v="0"/>
    <n v="0"/>
    <n v="0"/>
    <n v="20"/>
    <n v="0"/>
    <n v="0"/>
    <n v="0"/>
    <n v="0"/>
    <n v="0"/>
    <n v="0"/>
    <n v="0"/>
    <n v="0"/>
    <n v="15"/>
    <n v="0"/>
    <n v="0"/>
    <n v="72.5"/>
    <n v="0"/>
    <n v="0"/>
    <s v="UDAIPUR"/>
    <s v="UDAIPUR"/>
    <s v="RJ-UDAIPUR"/>
    <d v="2018-06-09T00:00:00"/>
  </r>
  <r>
    <s v="808889140967"/>
    <x v="2955"/>
    <s v="MANISH TRADING COMPANY"/>
    <n v="140967"/>
    <s v="B.L.JAIN &amp; SONS"/>
    <n v="90"/>
    <n v="0"/>
    <n v="0"/>
    <n v="10"/>
    <n v="0"/>
    <n v="0"/>
    <n v="85"/>
    <n v="0"/>
    <n v="0"/>
    <n v="65"/>
    <n v="0"/>
    <n v="0"/>
    <n v="40"/>
    <n v="0"/>
    <n v="0"/>
    <n v="70"/>
    <n v="0"/>
    <n v="0"/>
    <n v="0"/>
    <n v="0"/>
    <n v="0"/>
    <n v="35"/>
    <n v="0"/>
    <n v="0"/>
    <n v="395"/>
    <n v="0"/>
    <n v="0"/>
    <s v="UDAIPUR"/>
    <s v="UDAIPUR"/>
    <s v="RJ-UDAIPUR"/>
    <d v="2018-07-11T00:00:00"/>
  </r>
  <r>
    <s v="808892140858"/>
    <x v="2956"/>
    <s v="BHAGYALAXMI TRADERS"/>
    <n v="140858"/>
    <s v="RAMESH CHANDRA JAI CHAND"/>
    <n v="138"/>
    <n v="23"/>
    <n v="0"/>
    <n v="108"/>
    <n v="30"/>
    <n v="0"/>
    <n v="177.5"/>
    <n v="34"/>
    <n v="3.5"/>
    <n v="95"/>
    <n v="0"/>
    <n v="0"/>
    <n v="27.5"/>
    <n v="0"/>
    <n v="0"/>
    <n v="25"/>
    <n v="0"/>
    <n v="0"/>
    <n v="11"/>
    <n v="11"/>
    <n v="0"/>
    <n v="35.75"/>
    <n v="8.25"/>
    <n v="0"/>
    <n v="617.75"/>
    <n v="98"/>
    <n v="3.5"/>
    <s v="UDAIPUR"/>
    <s v="UDAIPUR"/>
    <s v="RJ-UDAIPUR"/>
    <d v="2018-07-11T00:00:00"/>
  </r>
  <r>
    <s v="808911209139"/>
    <x v="2957"/>
    <s v="MONIKA SANITARY &amp; HARDWARE AND"/>
    <n v="209139"/>
    <s v="VISHVA KARMA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8-07-12T00:00:00"/>
  </r>
  <r>
    <s v="808912146968"/>
    <x v="2958"/>
    <s v="DURGESHWARI BUILDING MATERIAL"/>
    <n v="146968"/>
    <s v="BHARAT BUILDCON"/>
    <n v="0"/>
    <n v="0"/>
    <n v="0"/>
    <n v="0"/>
    <n v="0"/>
    <n v="0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25"/>
    <n v="0"/>
    <n v="0"/>
    <s v="UDAIPUR"/>
    <s v="UDAIPUR"/>
    <s v="RJ-UDAIPUR"/>
    <d v="2018-07-12T00:00:00"/>
  </r>
  <r>
    <s v="808914119026"/>
    <x v="2959"/>
    <s v="KRISHNA CEMENT SUPPLIERS"/>
    <n v="119026"/>
    <s v="FRIENDS SUPPLIERS CO.(L"/>
    <n v="66.5"/>
    <n v="0"/>
    <n v="0"/>
    <n v="26.5"/>
    <n v="0"/>
    <n v="0"/>
    <n v="31"/>
    <n v="0"/>
    <n v="0"/>
    <n v="27"/>
    <n v="0"/>
    <n v="0"/>
    <n v="0"/>
    <n v="0"/>
    <n v="0"/>
    <n v="67.5"/>
    <n v="0"/>
    <n v="0"/>
    <n v="0"/>
    <n v="0"/>
    <n v="0"/>
    <n v="23.5"/>
    <n v="0"/>
    <n v="17.5"/>
    <n v="242"/>
    <n v="0"/>
    <n v="0"/>
    <s v="UDAIPUR"/>
    <s v="UDAIPUR"/>
    <s v="RJ-UDAIPUR"/>
    <d v="2018-07-12T00:00:00"/>
  </r>
  <r>
    <s v="808959178669"/>
    <x v="2960"/>
    <s v="PURNIMA BUILDING MATERIAL SANI"/>
    <n v="178669"/>
    <s v="JAIN STONE SUPPLIERS"/>
    <n v="21"/>
    <n v="0"/>
    <n v="0"/>
    <n v="45"/>
    <n v="6"/>
    <n v="0"/>
    <n v="45"/>
    <n v="0"/>
    <n v="0"/>
    <n v="20"/>
    <n v="0"/>
    <n v="0"/>
    <n v="20"/>
    <n v="0"/>
    <n v="0"/>
    <n v="25"/>
    <n v="0"/>
    <n v="0"/>
    <n v="40"/>
    <n v="0"/>
    <n v="0"/>
    <n v="40"/>
    <n v="0"/>
    <n v="0"/>
    <n v="256"/>
    <n v="6"/>
    <n v="0"/>
    <s v="UDAIPUR"/>
    <s v="UDAIPUR"/>
    <s v="RJ-UDAIPUR"/>
    <d v="2018-09-07T00:00:00"/>
  </r>
  <r>
    <s v="809012146968"/>
    <x v="2961"/>
    <s v="PRATHVI BUILDING MATERIAL"/>
    <n v="146968"/>
    <s v="BHARAT BUILDCON"/>
    <n v="20"/>
    <n v="0"/>
    <n v="0"/>
    <n v="0"/>
    <n v="0"/>
    <n v="0"/>
    <n v="5"/>
    <n v="0"/>
    <n v="0"/>
    <n v="30"/>
    <n v="0"/>
    <n v="0"/>
    <n v="0"/>
    <n v="0"/>
    <n v="0"/>
    <n v="0"/>
    <n v="0"/>
    <n v="0"/>
    <n v="35"/>
    <n v="0"/>
    <n v="0"/>
    <n v="16.5"/>
    <n v="0"/>
    <n v="0"/>
    <n v="106.5"/>
    <n v="0"/>
    <n v="0"/>
    <s v="UDAIPUR"/>
    <s v="UDAIPUR"/>
    <s v="RJ-UDAIPUR"/>
    <d v="2018-09-20T00:00:00"/>
  </r>
  <r>
    <s v="809020140848"/>
    <x v="2962"/>
    <s v="RAJ VIDYA CEMENT SUPPLIER"/>
    <n v="140848"/>
    <s v="PADAM CEMENT SUPPLIERS"/>
    <n v="50"/>
    <n v="0"/>
    <n v="0"/>
    <n v="50"/>
    <n v="0"/>
    <n v="0"/>
    <n v="59"/>
    <n v="0"/>
    <n v="1.5"/>
    <n v="40"/>
    <n v="0"/>
    <n v="0"/>
    <n v="20"/>
    <n v="0"/>
    <n v="0"/>
    <n v="76.5"/>
    <n v="0"/>
    <n v="1.25"/>
    <n v="15"/>
    <n v="0"/>
    <n v="0"/>
    <n v="33.5"/>
    <n v="0"/>
    <n v="10"/>
    <n v="344"/>
    <n v="0"/>
    <n v="2.75"/>
    <s v="UDAIPUR"/>
    <s v="UDAIPUR"/>
    <s v="RJ-UDAIPUR"/>
    <d v="2018-09-21T00:00:00"/>
  </r>
  <r>
    <s v="809114205966"/>
    <x v="2963"/>
    <s v="NARESH KUMAR"/>
    <n v="205966"/>
    <s v="POKHARNA CEMENT SUPPLIERS"/>
    <n v="0"/>
    <n v="10"/>
    <n v="0"/>
    <n v="25"/>
    <n v="0"/>
    <n v="0"/>
    <n v="25"/>
    <n v="0"/>
    <n v="0"/>
    <n v="30"/>
    <n v="5"/>
    <n v="0"/>
    <n v="25"/>
    <n v="0"/>
    <n v="0"/>
    <n v="32.5"/>
    <n v="0"/>
    <n v="0"/>
    <n v="37.5"/>
    <n v="0"/>
    <n v="0"/>
    <n v="22.5"/>
    <n v="0"/>
    <n v="0"/>
    <n v="197.5"/>
    <n v="15"/>
    <n v="0"/>
    <s v="UDAIPUR"/>
    <s v="UDAIPUR"/>
    <s v="RJ-UDAIPUR"/>
    <d v="2019-02-12T00:00:00"/>
  </r>
  <r>
    <s v="809115140967"/>
    <x v="2964"/>
    <s v="BASANTI LAL JAIN"/>
    <n v="140967"/>
    <s v="B.L.JAIN &amp; SONS"/>
    <n v="10"/>
    <n v="0"/>
    <n v="0"/>
    <n v="70"/>
    <n v="0"/>
    <n v="0"/>
    <n v="185"/>
    <n v="0"/>
    <n v="10"/>
    <n v="30"/>
    <n v="0"/>
    <n v="0"/>
    <n v="70"/>
    <n v="0"/>
    <n v="0"/>
    <n v="145"/>
    <n v="0"/>
    <n v="0"/>
    <n v="235"/>
    <n v="0"/>
    <n v="0"/>
    <n v="125"/>
    <n v="0"/>
    <n v="0"/>
    <n v="870"/>
    <n v="0"/>
    <n v="10"/>
    <s v="UDAIPUR"/>
    <s v="UDAIPUR"/>
    <s v="RJ-UDAIPUR"/>
    <d v="2019-02-12T00:00:00"/>
  </r>
  <r>
    <s v="809222140958"/>
    <x v="2965"/>
    <s v="NITESH CEMENT AGENCY"/>
    <n v="140958"/>
    <s v="HEMRAJ SUTHAR CONTRACTO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9-03-02T00:00:00"/>
  </r>
  <r>
    <s v="809241140860"/>
    <x v="2966"/>
    <s v="UDAY SINGH"/>
    <n v="140860"/>
    <s v="VIPUL CEMENT SUPPLIERS"/>
    <n v="20"/>
    <n v="0"/>
    <n v="0"/>
    <n v="30"/>
    <n v="0"/>
    <n v="0"/>
    <n v="20"/>
    <n v="0"/>
    <n v="0"/>
    <n v="10"/>
    <n v="0"/>
    <n v="0"/>
    <n v="30"/>
    <n v="0"/>
    <n v="0"/>
    <n v="30"/>
    <n v="0"/>
    <n v="0"/>
    <n v="44.5"/>
    <n v="0"/>
    <n v="0"/>
    <n v="10"/>
    <n v="0"/>
    <n v="0"/>
    <n v="194.5"/>
    <n v="0"/>
    <n v="0"/>
    <s v="UDAIPUR"/>
    <s v="UDAIPUR"/>
    <s v="RJ-UDAIPUR"/>
    <d v="2019-03-05T00:00:00"/>
  </r>
  <r>
    <s v="809242170501"/>
    <x v="2967"/>
    <s v="GOOD LUCK TRADING COMPANY"/>
    <n v="170501"/>
    <s v="GURU OM KRIPA CEMENT SUPPLIERS"/>
    <n v="10"/>
    <n v="0"/>
    <n v="0"/>
    <n v="0"/>
    <n v="0"/>
    <n v="0"/>
    <n v="0"/>
    <n v="0"/>
    <n v="0"/>
    <n v="0"/>
    <n v="0"/>
    <n v="0"/>
    <n v="10"/>
    <n v="0"/>
    <n v="0"/>
    <n v="15"/>
    <n v="0"/>
    <n v="0"/>
    <n v="22"/>
    <n v="0"/>
    <n v="0"/>
    <n v="0"/>
    <n v="0"/>
    <n v="0"/>
    <n v="57"/>
    <n v="0"/>
    <n v="0"/>
    <s v="UDAIPUR"/>
    <s v="UDAIPUR"/>
    <s v="RJ-UDAIPUR"/>
    <d v="2019-03-05T00:00:00"/>
  </r>
  <r>
    <s v="809281140967"/>
    <x v="2968"/>
    <s v="ARIHANT KIRANA AND BULDING MAT"/>
    <n v="140967"/>
    <s v="B.L.JAIN &amp; SONS"/>
    <n v="25"/>
    <n v="0"/>
    <n v="0"/>
    <n v="10"/>
    <n v="0"/>
    <n v="0"/>
    <n v="30"/>
    <n v="0"/>
    <n v="0"/>
    <n v="29"/>
    <n v="0"/>
    <n v="0"/>
    <n v="30"/>
    <n v="0"/>
    <n v="0"/>
    <n v="40"/>
    <n v="0"/>
    <n v="0"/>
    <n v="5"/>
    <n v="0"/>
    <n v="0"/>
    <n v="35"/>
    <n v="0"/>
    <n v="0"/>
    <n v="204"/>
    <n v="0"/>
    <n v="0"/>
    <s v="UDAIPUR"/>
    <s v="UDAIPUR"/>
    <s v="RJ-UDAIPUR"/>
    <d v="2019-03-19T00:00:00"/>
  </r>
  <r>
    <s v="809284140958"/>
    <x v="2969"/>
    <s v="RADHE SHYAM CEMENT SUPPLIERS"/>
    <n v="140958"/>
    <s v="HEMRAJ SUTHAR CONTRACTOR"/>
    <n v="27"/>
    <n v="0"/>
    <n v="0"/>
    <n v="30"/>
    <n v="7"/>
    <n v="0"/>
    <n v="30"/>
    <n v="0"/>
    <n v="0"/>
    <n v="30"/>
    <n v="0"/>
    <n v="0"/>
    <n v="0"/>
    <n v="0"/>
    <n v="0"/>
    <n v="0"/>
    <n v="0"/>
    <n v="0"/>
    <n v="20"/>
    <n v="0"/>
    <n v="0"/>
    <n v="0"/>
    <n v="0"/>
    <n v="0"/>
    <n v="137"/>
    <n v="7"/>
    <n v="0"/>
    <s v="UDAIPUR"/>
    <s v="UDAIPUR"/>
    <s v="RJ-UDAIPUR"/>
    <d v="2019-03-19T00:00:00"/>
  </r>
  <r>
    <s v="809285140967"/>
    <x v="2970"/>
    <s v="JINAL CONSTRUCTION"/>
    <n v="140967"/>
    <s v="B.L.JAIN &amp; SONS"/>
    <n v="20"/>
    <n v="0"/>
    <n v="0"/>
    <n v="46"/>
    <n v="0"/>
    <n v="0"/>
    <n v="0"/>
    <n v="0"/>
    <n v="0"/>
    <n v="85"/>
    <n v="0"/>
    <n v="0"/>
    <n v="0"/>
    <n v="0"/>
    <n v="0"/>
    <n v="0"/>
    <n v="0"/>
    <n v="0"/>
    <n v="120"/>
    <n v="0"/>
    <n v="0"/>
    <n v="125"/>
    <n v="0"/>
    <n v="0"/>
    <n v="396"/>
    <n v="0"/>
    <n v="0"/>
    <s v="UDAIPUR"/>
    <s v="UDAIPUR"/>
    <s v="RJ-UDAIPUR"/>
    <d v="2019-03-19T00:00:00"/>
  </r>
  <r>
    <s v="809312173729"/>
    <x v="2971"/>
    <s v="KHYALI LAL SUTHAR"/>
    <n v="173729"/>
    <s v="V. KAMLESH &amp; COMPANY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5"/>
    <n v="0"/>
    <n v="0"/>
    <s v="UDAIPUR"/>
    <s v="UDAIPUR"/>
    <s v="RJ-UDAIPUR"/>
    <d v="2019-03-30T00:00:00"/>
  </r>
  <r>
    <s v="809348173729"/>
    <x v="2972"/>
    <s v="HARI OM STONE SUPPLIERS"/>
    <n v="173729"/>
    <s v="V. KAMLESH &amp; COMPANY"/>
    <n v="10"/>
    <n v="0"/>
    <n v="0"/>
    <n v="17.5"/>
    <n v="0"/>
    <n v="0"/>
    <n v="32.5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s v="UDAIPUR"/>
    <s v="UDAIPUR"/>
    <s v="RJ-UDAIPUR"/>
    <d v="2019-04-09T00:00:00"/>
  </r>
  <r>
    <s v="809455146968"/>
    <x v="2973"/>
    <s v="AJIT KIRANA STORE"/>
    <n v="146968"/>
    <s v="BHARAT BUILDCON"/>
    <n v="50"/>
    <n v="0"/>
    <n v="0"/>
    <n v="80"/>
    <n v="0"/>
    <n v="0"/>
    <n v="46"/>
    <n v="0"/>
    <n v="0"/>
    <n v="43.5"/>
    <n v="6.5"/>
    <n v="0"/>
    <n v="14.5"/>
    <n v="0"/>
    <n v="0"/>
    <n v="0"/>
    <n v="0"/>
    <n v="0"/>
    <n v="25"/>
    <n v="0"/>
    <n v="0"/>
    <n v="52.5"/>
    <n v="0"/>
    <n v="0"/>
    <n v="311.5"/>
    <n v="6.5"/>
    <n v="0"/>
    <s v="UDAIPUR"/>
    <s v="UDAIPUR"/>
    <s v="RJ-UDAIPUR"/>
    <d v="2019-04-30T00:00:00"/>
  </r>
  <r>
    <s v="809551205966"/>
    <x v="2974"/>
    <s v="DEVI LAL KUMAWAT"/>
    <n v="205966"/>
    <s v="POKHARNA CEMENT SUPPLIERS"/>
    <n v="0"/>
    <n v="0"/>
    <n v="0"/>
    <n v="10"/>
    <n v="0"/>
    <n v="0"/>
    <n v="23"/>
    <n v="0"/>
    <n v="5"/>
    <n v="17.5"/>
    <n v="0"/>
    <n v="0"/>
    <n v="12.5"/>
    <n v="0"/>
    <n v="0"/>
    <n v="7.5"/>
    <n v="0"/>
    <n v="0"/>
    <n v="15"/>
    <n v="0"/>
    <n v="0"/>
    <n v="10"/>
    <n v="0"/>
    <n v="0"/>
    <n v="95.5"/>
    <n v="0"/>
    <n v="5"/>
    <s v="UDAIPUR"/>
    <s v="UDAIPUR"/>
    <s v="RJ-UDAIPUR"/>
    <d v="2019-05-15T00:00:00"/>
  </r>
  <r>
    <s v="809906119026"/>
    <x v="2975"/>
    <s v="HARI SINGH CHOUHAN"/>
    <n v="119026"/>
    <s v="FRIENDS SUPPLIERS CO.(L"/>
    <n v="0"/>
    <n v="0"/>
    <n v="0"/>
    <n v="0"/>
    <n v="0"/>
    <n v="0"/>
    <n v="0"/>
    <n v="0"/>
    <n v="0"/>
    <n v="21.95"/>
    <n v="0"/>
    <n v="0"/>
    <n v="0"/>
    <n v="0"/>
    <n v="0"/>
    <n v="0"/>
    <n v="0"/>
    <n v="0"/>
    <n v="0"/>
    <n v="0"/>
    <n v="0"/>
    <n v="0"/>
    <n v="0"/>
    <n v="0"/>
    <n v="21.95"/>
    <n v="0"/>
    <n v="0"/>
    <s v="UDAIPUR"/>
    <s v="UDAIPUR"/>
    <s v="RJ-UDAIPUR"/>
    <d v="2019-07-12T00:00:00"/>
  </r>
  <r>
    <s v="809907140848"/>
    <x v="2976"/>
    <s v="HITESH CEMENT SUPPLIERS"/>
    <n v="140848"/>
    <s v="PADAM CEMENT SUPPLIERS"/>
    <n v="100"/>
    <n v="0"/>
    <n v="0"/>
    <n v="97.5"/>
    <n v="0"/>
    <n v="0"/>
    <n v="105"/>
    <n v="0"/>
    <n v="0"/>
    <n v="70"/>
    <n v="0"/>
    <n v="0"/>
    <n v="60"/>
    <n v="0"/>
    <n v="0"/>
    <n v="110"/>
    <n v="0"/>
    <n v="0"/>
    <n v="39.5"/>
    <n v="0"/>
    <n v="0"/>
    <n v="90"/>
    <n v="10"/>
    <n v="0"/>
    <n v="672"/>
    <n v="0"/>
    <n v="0"/>
    <s v="UDAIPUR"/>
    <s v="UDAIPUR"/>
    <s v="RJ-UDAIPUR"/>
    <d v="2019-07-12T00:00:00"/>
  </r>
  <r>
    <s v="810157140848"/>
    <x v="2977"/>
    <s v="LAXMI SANITARY AND HARDWARE"/>
    <n v="140848"/>
    <s v="PADAM CEMENT SUPPLIERS"/>
    <n v="121.5"/>
    <n v="12.5"/>
    <n v="0"/>
    <n v="107.5"/>
    <n v="11.5"/>
    <n v="0"/>
    <n v="230"/>
    <n v="12.5"/>
    <n v="0"/>
    <n v="115"/>
    <n v="0"/>
    <n v="0"/>
    <n v="102"/>
    <n v="9.5"/>
    <n v="7.5"/>
    <n v="121"/>
    <n v="16"/>
    <n v="0"/>
    <n v="104"/>
    <n v="19.5"/>
    <n v="2.5"/>
    <n v="93"/>
    <n v="18"/>
    <n v="0"/>
    <n v="994"/>
    <n v="81.5"/>
    <n v="10"/>
    <s v="UDAIPUR"/>
    <s v="UDAIPUR"/>
    <s v="RJ-UDAIPUR"/>
    <d v="2019-08-05T00:00:00"/>
  </r>
  <r>
    <s v="810221140858"/>
    <x v="2978"/>
    <s v="KAHAKAL DEV CONSTRUCTION"/>
    <n v="140858"/>
    <s v="RAMESH CHANDRA JAI CHAND"/>
    <n v="83"/>
    <n v="0"/>
    <n v="0"/>
    <n v="92"/>
    <n v="8"/>
    <n v="0"/>
    <n v="65"/>
    <n v="0"/>
    <n v="0"/>
    <n v="55"/>
    <n v="0"/>
    <n v="0"/>
    <n v="10"/>
    <n v="0"/>
    <n v="0"/>
    <n v="115"/>
    <n v="0"/>
    <n v="0"/>
    <n v="45"/>
    <n v="0"/>
    <n v="0"/>
    <n v="100"/>
    <n v="0"/>
    <n v="12.5"/>
    <n v="565"/>
    <n v="8"/>
    <n v="0"/>
    <s v="UDAIPUR"/>
    <s v="UDAIPUR"/>
    <s v="RJ-UDAIPUR"/>
    <d v="2019-08-12T00:00:00"/>
  </r>
  <r>
    <s v="810299140851"/>
    <x v="2979"/>
    <s v="PEMAJI SUTHAR"/>
    <n v="140851"/>
    <s v="PASHAWNATH CEMENT SUPPLIERS"/>
    <n v="20"/>
    <n v="0"/>
    <n v="0"/>
    <n v="10"/>
    <n v="0"/>
    <n v="0"/>
    <n v="25"/>
    <n v="0"/>
    <n v="0"/>
    <n v="10"/>
    <n v="0"/>
    <n v="0"/>
    <n v="0"/>
    <n v="0"/>
    <n v="0"/>
    <n v="15"/>
    <n v="0"/>
    <n v="0"/>
    <n v="0"/>
    <n v="0"/>
    <n v="0"/>
    <n v="0"/>
    <n v="0"/>
    <n v="0"/>
    <n v="80"/>
    <n v="0"/>
    <n v="0"/>
    <s v="UDAIPUR"/>
    <s v="UDAIPUR"/>
    <s v="RJ-UDAIPUR"/>
    <d v="2019-08-21T00:00:00"/>
  </r>
  <r>
    <s v="810305140967"/>
    <x v="2980"/>
    <s v="SIDHI VINAYAK BUILDING MATERIA"/>
    <n v="140967"/>
    <s v="B.L.JAIN &amp; SONS"/>
    <n v="50"/>
    <n v="0"/>
    <n v="0"/>
    <n v="50"/>
    <n v="0"/>
    <n v="0"/>
    <n v="30"/>
    <n v="10"/>
    <n v="10"/>
    <n v="125"/>
    <n v="0"/>
    <n v="0"/>
    <n v="40"/>
    <n v="2.5"/>
    <n v="7.5"/>
    <n v="96.25"/>
    <n v="17.25"/>
    <n v="12"/>
    <n v="26.5"/>
    <n v="5.5"/>
    <n v="21"/>
    <n v="60"/>
    <n v="20"/>
    <n v="0"/>
    <n v="477.75"/>
    <n v="35.25"/>
    <n v="50.5"/>
    <s v="UDAIPUR"/>
    <s v="UDAIPUR"/>
    <s v="RJ-UDAIPUR"/>
    <d v="2019-08-22T00:00:00"/>
  </r>
  <r>
    <s v="810475173729"/>
    <x v="2981"/>
    <s v="BHAVANI SHANKAR"/>
    <n v="173729"/>
    <s v="V. KAMLESH &amp; COMPANY"/>
    <n v="0"/>
    <n v="0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s v="UDAIPUR"/>
    <s v="UDAIPUR"/>
    <s v="RJ-UDAIPUR"/>
    <d v="2019-09-11T00:00:00"/>
  </r>
  <r>
    <s v="810480141115"/>
    <x v="2982"/>
    <s v="BAYA CEMENT AND SANITARY"/>
    <n v="141115"/>
    <s v="KALPESH CEMENT AGENCY"/>
    <n v="0"/>
    <n v="0"/>
    <n v="0"/>
    <n v="35"/>
    <n v="0"/>
    <n v="0"/>
    <n v="5"/>
    <n v="0"/>
    <n v="5"/>
    <n v="36"/>
    <n v="0"/>
    <n v="0"/>
    <n v="0"/>
    <n v="0"/>
    <n v="0"/>
    <n v="35.5"/>
    <n v="2.5"/>
    <n v="0"/>
    <n v="0"/>
    <n v="0"/>
    <n v="0"/>
    <n v="0"/>
    <n v="0"/>
    <n v="0"/>
    <n v="111.5"/>
    <n v="2.5"/>
    <n v="5"/>
    <s v="UDAIPUR"/>
    <s v="UDAIPUR"/>
    <s v="RJ-UDAIPUR"/>
    <d v="2019-09-13T00:00:00"/>
  </r>
  <r>
    <s v="810558141115"/>
    <x v="2983"/>
    <s v="VIKRAM PALIWAL"/>
    <n v="141115"/>
    <s v="KALPESH CEMENT AGENCY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15"/>
    <n v="0"/>
    <n v="0"/>
    <n v="25"/>
    <n v="0"/>
    <n v="0"/>
    <n v="70"/>
    <n v="0"/>
    <n v="0"/>
    <s v="UDAIPUR"/>
    <s v="UDAIPUR"/>
    <s v="RJ-UDAIPUR"/>
    <d v="2019-09-26T00:00:00"/>
  </r>
  <r>
    <s v="810583140958"/>
    <x v="2984"/>
    <s v="HARSHAD LAL KIKOD"/>
    <n v="140958"/>
    <s v="HEMRAJ SUTHAR CONTRACTOR"/>
    <n v="20"/>
    <n v="0"/>
    <n v="0"/>
    <n v="10"/>
    <n v="0"/>
    <n v="0"/>
    <n v="5"/>
    <n v="0"/>
    <n v="0"/>
    <n v="3"/>
    <n v="0"/>
    <n v="0"/>
    <n v="0"/>
    <n v="0"/>
    <n v="0"/>
    <n v="0"/>
    <n v="0"/>
    <n v="0"/>
    <n v="0"/>
    <n v="0"/>
    <n v="0"/>
    <n v="10"/>
    <n v="0"/>
    <n v="0"/>
    <n v="48"/>
    <n v="0"/>
    <n v="0"/>
    <s v="UDAIPUR"/>
    <s v="UDAIPUR"/>
    <s v="RJ-UDAIPUR"/>
    <d v="2019-10-01T00:00:00"/>
  </r>
  <r>
    <s v="810840119026"/>
    <x v="2985"/>
    <s v="BHERUNATH CEMENT SUPPLIERS"/>
    <n v="119026"/>
    <s v="FRIENDS SUPPLIERS CO.(L"/>
    <n v="115"/>
    <n v="0"/>
    <n v="0"/>
    <n v="90"/>
    <n v="0"/>
    <n v="0"/>
    <n v="87.5"/>
    <n v="5"/>
    <n v="10"/>
    <n v="40"/>
    <n v="0"/>
    <n v="0"/>
    <n v="70"/>
    <n v="0"/>
    <n v="0"/>
    <n v="65"/>
    <n v="0"/>
    <n v="0"/>
    <n v="70"/>
    <n v="0"/>
    <n v="0"/>
    <n v="62.5"/>
    <n v="0"/>
    <n v="0"/>
    <n v="600"/>
    <n v="5"/>
    <n v="10"/>
    <s v="UDAIPUR"/>
    <s v="UDAIPUR"/>
    <s v="RJ-UDAIPUR"/>
    <d v="2019-11-25T00:00:00"/>
  </r>
  <r>
    <s v="810871140860"/>
    <x v="2986"/>
    <s v="FATEH LAL VAYA"/>
    <n v="140860"/>
    <s v="VIPUL CEMENT SUPPLIERS"/>
    <n v="40"/>
    <n v="0"/>
    <n v="0"/>
    <n v="0"/>
    <n v="0"/>
    <n v="0"/>
    <n v="10"/>
    <n v="0"/>
    <n v="0"/>
    <n v="10"/>
    <n v="0"/>
    <n v="0"/>
    <n v="0"/>
    <n v="0"/>
    <n v="0"/>
    <n v="7.5"/>
    <n v="0"/>
    <n v="0"/>
    <n v="0"/>
    <n v="0"/>
    <n v="0"/>
    <n v="0"/>
    <n v="0"/>
    <n v="0"/>
    <n v="67.5"/>
    <n v="0"/>
    <n v="0"/>
    <s v="UDAIPUR"/>
    <s v="UDAIPUR"/>
    <s v="RJ-UDAIPUR"/>
    <d v="2019-11-29T00:00:00"/>
  </r>
  <r>
    <s v="811070170501"/>
    <x v="2987"/>
    <s v="SHRI BHAIRUNATH CEMENT SUPPLIE"/>
    <n v="170501"/>
    <s v="GURU OM KRIPA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19-12-26T00:00:00"/>
  </r>
  <r>
    <s v="811070209796"/>
    <x v="2987"/>
    <s v="SHRI BHAIRUNATH CEMENT SUPPLIE"/>
    <n v="209796"/>
    <s v="SHAKTAWAT BUILDING MATERIAL"/>
    <n v="0"/>
    <n v="0"/>
    <n v="0"/>
    <n v="0"/>
    <n v="0"/>
    <n v="0"/>
    <n v="0"/>
    <n v="0"/>
    <n v="0"/>
    <n v="0"/>
    <n v="0"/>
    <n v="0"/>
    <n v="31"/>
    <n v="0"/>
    <n v="0"/>
    <n v="0"/>
    <n v="0"/>
    <n v="0"/>
    <n v="0"/>
    <n v="0"/>
    <n v="0"/>
    <n v="10"/>
    <n v="0"/>
    <n v="0"/>
    <n v="41"/>
    <n v="0"/>
    <n v="0"/>
    <s v="UDAIPUR"/>
    <s v="UDAIPUR"/>
    <s v="RJ-UDAIPUR"/>
    <d v="2019-12-26T00:00:00"/>
  </r>
  <r>
    <s v="811121143607"/>
    <x v="2988"/>
    <s v="AMRIT LAL PATEL"/>
    <n v="143607"/>
    <s v="KRISHNA AGENCIES"/>
    <n v="20"/>
    <n v="0"/>
    <n v="0"/>
    <n v="35"/>
    <n v="0"/>
    <n v="0"/>
    <n v="50"/>
    <n v="0"/>
    <n v="0"/>
    <n v="30"/>
    <n v="0"/>
    <n v="0"/>
    <n v="42.5"/>
    <n v="5.5"/>
    <n v="0"/>
    <n v="77.5"/>
    <n v="0"/>
    <n v="42.5"/>
    <n v="30"/>
    <n v="0"/>
    <n v="0"/>
    <n v="23.25"/>
    <n v="0"/>
    <n v="0.75"/>
    <n v="308.25"/>
    <n v="5.5"/>
    <n v="42.5"/>
    <s v="UDAIPUR"/>
    <s v="UDAIPUR"/>
    <s v="RJ-UDAIPUR"/>
    <d v="2019-12-28T00:00:00"/>
  </r>
  <r>
    <s v="811186143607"/>
    <x v="2989"/>
    <s v="SHUBHAM ENTERPRISES"/>
    <n v="143607"/>
    <s v="KRISHNA AGENCIES"/>
    <n v="20"/>
    <n v="10"/>
    <n v="0"/>
    <n v="50"/>
    <n v="0"/>
    <n v="0"/>
    <n v="45"/>
    <n v="0"/>
    <n v="0"/>
    <n v="27"/>
    <n v="5"/>
    <n v="0"/>
    <n v="59"/>
    <n v="0"/>
    <n v="0"/>
    <n v="17.5"/>
    <n v="0"/>
    <n v="0"/>
    <n v="32.5"/>
    <n v="0"/>
    <n v="0"/>
    <n v="22.5"/>
    <n v="0"/>
    <n v="7.5"/>
    <n v="273.5"/>
    <n v="15"/>
    <n v="0"/>
    <s v="UDAIPUR"/>
    <s v="UDAIPUR"/>
    <s v="RJ-UDAIPUR"/>
    <d v="2020-01-04T00:00:00"/>
  </r>
  <r>
    <s v="811187140967"/>
    <x v="2990"/>
    <s v="BHANWAR LAL SUTHAR"/>
    <n v="140967"/>
    <s v="B.L.JAIN &amp; SONS"/>
    <n v="34"/>
    <n v="0"/>
    <n v="0"/>
    <n v="100"/>
    <n v="0"/>
    <n v="0"/>
    <n v="45"/>
    <n v="0"/>
    <n v="0"/>
    <n v="0"/>
    <n v="0"/>
    <n v="0"/>
    <n v="0"/>
    <n v="0"/>
    <n v="0"/>
    <n v="15"/>
    <n v="0"/>
    <n v="0"/>
    <n v="0"/>
    <n v="0"/>
    <n v="0"/>
    <n v="0"/>
    <n v="0"/>
    <n v="0"/>
    <n v="194"/>
    <n v="0"/>
    <n v="0"/>
    <s v="UDAIPUR"/>
    <s v="UDAIPUR"/>
    <s v="RJ-UDAIPUR"/>
    <d v="2020-01-04T00:00:00"/>
  </r>
  <r>
    <s v="811270179560"/>
    <x v="2991"/>
    <s v="VARDHMAN AGENCIES"/>
    <n v="179560"/>
    <s v="TIRUPATI TRADING COMPANY"/>
    <n v="67.5"/>
    <n v="0"/>
    <n v="0"/>
    <n v="100"/>
    <n v="12.5"/>
    <n v="0"/>
    <n v="105"/>
    <n v="0"/>
    <n v="0"/>
    <n v="105"/>
    <n v="0"/>
    <n v="0"/>
    <n v="100"/>
    <n v="0"/>
    <n v="0"/>
    <n v="100"/>
    <n v="0"/>
    <n v="0"/>
    <n v="70"/>
    <n v="0"/>
    <n v="0"/>
    <n v="107.5"/>
    <n v="0"/>
    <n v="0"/>
    <n v="755"/>
    <n v="12.5"/>
    <n v="0"/>
    <s v="UDAIPUR"/>
    <s v="UDAIPUR"/>
    <s v="RJ-UDAIPUR"/>
    <d v="2020-01-17T00:00:00"/>
  </r>
  <r>
    <s v="811271141115"/>
    <x v="2992"/>
    <s v="ASHAPURA PAINTS"/>
    <n v="141115"/>
    <s v="KALPESH CEMENT AGENCY"/>
    <n v="0"/>
    <n v="0"/>
    <n v="0"/>
    <n v="0"/>
    <n v="0"/>
    <n v="0"/>
    <n v="72.5"/>
    <n v="0"/>
    <n v="0"/>
    <n v="30"/>
    <n v="0"/>
    <n v="0"/>
    <n v="0"/>
    <n v="0"/>
    <n v="0"/>
    <n v="0"/>
    <n v="0"/>
    <n v="0"/>
    <n v="0"/>
    <n v="0"/>
    <n v="0"/>
    <n v="0"/>
    <n v="0"/>
    <n v="0"/>
    <n v="102.5"/>
    <n v="0"/>
    <n v="0"/>
    <s v="UDAIPUR"/>
    <s v="UDAIPUR"/>
    <s v="RJ-UDAIPUR"/>
    <d v="2020-01-17T00:00:00"/>
  </r>
  <r>
    <s v="811273170501"/>
    <x v="2993"/>
    <s v="PATEL CEMENT SUPPLEIRS"/>
    <n v="170501"/>
    <s v="GURU OM KRIPA CEMENT SUPPLIERS"/>
    <n v="11.2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.25"/>
    <n v="0"/>
    <n v="0"/>
    <s v="UDAIPUR"/>
    <s v="UDAIPUR"/>
    <s v="RJ-UDAIPUR"/>
    <d v="2020-01-17T00:00:00"/>
  </r>
  <r>
    <s v="811274140848"/>
    <x v="2994"/>
    <s v="MAHENDRA SINGH RAJPUT"/>
    <n v="140848"/>
    <s v="PADAM CEMENT SUPPLIERS"/>
    <n v="10"/>
    <n v="0"/>
    <n v="0"/>
    <n v="30"/>
    <n v="0"/>
    <n v="0"/>
    <n v="90"/>
    <n v="0"/>
    <n v="10"/>
    <n v="10"/>
    <n v="0"/>
    <n v="0"/>
    <n v="10"/>
    <n v="0"/>
    <n v="0"/>
    <n v="30"/>
    <n v="0"/>
    <n v="0"/>
    <n v="20"/>
    <n v="0"/>
    <n v="0"/>
    <n v="27.5"/>
    <n v="10"/>
    <n v="0"/>
    <n v="227.5"/>
    <n v="0"/>
    <n v="10"/>
    <s v="UDAIPUR"/>
    <s v="UDAIPUR"/>
    <s v="RJ-UDAIPUR"/>
    <d v="2020-01-17T00:00:00"/>
  </r>
  <r>
    <s v="811387179560"/>
    <x v="2995"/>
    <s v="ASHISH KHANDELWAL"/>
    <n v="179560"/>
    <s v="TIRUPATI TRADING COMPANY"/>
    <n v="15"/>
    <n v="0"/>
    <n v="0"/>
    <n v="0"/>
    <n v="0"/>
    <n v="0"/>
    <n v="3"/>
    <n v="0"/>
    <n v="0"/>
    <n v="27.5"/>
    <n v="12.5"/>
    <n v="0"/>
    <n v="15"/>
    <n v="5"/>
    <n v="0"/>
    <n v="2.5"/>
    <n v="2.5"/>
    <n v="0"/>
    <n v="3.5"/>
    <n v="3.5"/>
    <n v="0"/>
    <n v="23"/>
    <n v="0.5"/>
    <n v="0"/>
    <n v="89.5"/>
    <n v="23.5"/>
    <n v="0"/>
    <s v="UDAIPUR"/>
    <s v="UDAIPUR"/>
    <s v="RJ-UDAIPUR"/>
    <d v="2020-01-31T00:00:00"/>
  </r>
  <r>
    <s v="811512140967"/>
    <x v="2996"/>
    <s v="RATAN LAL NAGDA"/>
    <n v="140967"/>
    <s v="B.L.JAIN &amp; SONS"/>
    <n v="20"/>
    <n v="0"/>
    <n v="0"/>
    <n v="55"/>
    <n v="0"/>
    <n v="0"/>
    <n v="20"/>
    <n v="0"/>
    <n v="0"/>
    <n v="20"/>
    <n v="0"/>
    <n v="0"/>
    <n v="0"/>
    <n v="0"/>
    <n v="0"/>
    <n v="140"/>
    <n v="0"/>
    <n v="0"/>
    <n v="20"/>
    <n v="0"/>
    <n v="0"/>
    <n v="15"/>
    <n v="0"/>
    <n v="0"/>
    <n v="290"/>
    <n v="0"/>
    <n v="0"/>
    <s v="UDAIPUR"/>
    <s v="UDAIPUR"/>
    <s v="RJ-UDAIPUR"/>
    <d v="2020-02-14T00:00:00"/>
  </r>
  <r>
    <s v="811623179560"/>
    <x v="2997"/>
    <s v="PARSHWANATH BUILDING MATERIAL"/>
    <n v="179560"/>
    <s v="TIRUPATI TRADING COMPANY"/>
    <n v="20"/>
    <n v="0"/>
    <n v="0"/>
    <n v="5"/>
    <n v="0"/>
    <n v="0"/>
    <n v="0"/>
    <n v="0"/>
    <n v="0"/>
    <n v="15"/>
    <n v="0"/>
    <n v="0"/>
    <n v="0"/>
    <n v="0"/>
    <n v="0"/>
    <n v="0"/>
    <n v="0"/>
    <n v="0"/>
    <n v="0"/>
    <n v="0"/>
    <n v="0"/>
    <n v="22.5"/>
    <n v="0"/>
    <n v="0"/>
    <n v="62.5"/>
    <n v="0"/>
    <n v="0"/>
    <s v="UDAIPUR"/>
    <s v="UDAIPUR"/>
    <s v="RJ-UDAIPUR"/>
    <d v="2020-02-27T00:00:00"/>
  </r>
  <r>
    <s v="811624179560"/>
    <x v="2998"/>
    <s v="KUBER ENTERPRISES"/>
    <n v="179560"/>
    <s v="TIRUPATI TRADING COMPANY"/>
    <n v="5"/>
    <n v="0"/>
    <n v="0"/>
    <n v="15"/>
    <n v="0"/>
    <n v="0"/>
    <n v="0"/>
    <n v="0"/>
    <n v="0"/>
    <n v="17.5"/>
    <n v="0"/>
    <n v="0"/>
    <n v="0"/>
    <n v="0"/>
    <n v="0"/>
    <n v="0"/>
    <n v="0"/>
    <n v="0"/>
    <n v="0"/>
    <n v="0"/>
    <n v="0"/>
    <n v="0"/>
    <n v="0"/>
    <n v="0"/>
    <n v="37.5"/>
    <n v="0"/>
    <n v="0"/>
    <s v="UDAIPUR"/>
    <s v="UDAIPUR"/>
    <s v="RJ-UDAIPUR"/>
    <d v="2020-02-27T00:00:00"/>
  </r>
  <r>
    <s v="811674179784"/>
    <x v="2999"/>
    <s v="ISHWAR PATEL"/>
    <n v="179784"/>
    <s v="NEW KRISHNA STONE AND BUILDING"/>
    <n v="110"/>
    <n v="0"/>
    <n v="0"/>
    <n v="45"/>
    <n v="0"/>
    <n v="0"/>
    <n v="98.5"/>
    <n v="1"/>
    <n v="0"/>
    <n v="25"/>
    <n v="0"/>
    <n v="0"/>
    <n v="63"/>
    <n v="13"/>
    <n v="0"/>
    <n v="42.7"/>
    <n v="0"/>
    <n v="0"/>
    <n v="83.5"/>
    <n v="0"/>
    <n v="0"/>
    <n v="99"/>
    <n v="0"/>
    <n v="0"/>
    <n v="566.70000000000005"/>
    <n v="14"/>
    <n v="0"/>
    <s v="UDAIPUR"/>
    <s v="UDAIPUR"/>
    <s v="RJ-UDAIPUR"/>
    <d v="2020-03-04T00:00:00"/>
  </r>
  <r>
    <s v="811676179784"/>
    <x v="3000"/>
    <s v="SHIV NARAYAN PATEL"/>
    <n v="179784"/>
    <s v="NEW KRISHNA STONE AND BUILDING"/>
    <n v="25"/>
    <n v="0"/>
    <n v="0"/>
    <n v="30"/>
    <n v="0"/>
    <n v="0"/>
    <n v="50"/>
    <n v="0"/>
    <n v="0"/>
    <n v="0"/>
    <n v="0"/>
    <n v="0"/>
    <n v="0"/>
    <n v="0"/>
    <n v="0"/>
    <n v="19.5"/>
    <n v="0"/>
    <n v="0"/>
    <n v="10"/>
    <n v="0"/>
    <n v="0"/>
    <n v="25"/>
    <n v="0"/>
    <n v="0"/>
    <n v="159.5"/>
    <n v="0"/>
    <n v="0"/>
    <s v="UDAIPUR"/>
    <s v="UDAIPUR"/>
    <s v="RJ-UDAIPUR"/>
    <d v="2020-03-04T00:00:00"/>
  </r>
  <r>
    <s v="811733179560"/>
    <x v="3001"/>
    <s v="NATIONAL CEMENT SUPPLIERS"/>
    <n v="179560"/>
    <s v="TIRUPATI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0-03-14T00:00:00"/>
  </r>
  <r>
    <s v="811872146968"/>
    <x v="3002"/>
    <s v="BALESHWAR IRON AND STEEL"/>
    <n v="146968"/>
    <s v="BHARAT BUILDCON"/>
    <n v="80"/>
    <n v="0"/>
    <n v="0"/>
    <n v="40"/>
    <n v="0"/>
    <n v="0"/>
    <n v="20"/>
    <n v="0"/>
    <n v="0"/>
    <n v="0"/>
    <n v="0"/>
    <n v="0"/>
    <n v="0"/>
    <n v="0"/>
    <n v="0"/>
    <n v="0"/>
    <n v="0"/>
    <n v="0"/>
    <n v="0"/>
    <n v="0"/>
    <n v="0"/>
    <n v="3.5"/>
    <n v="0"/>
    <n v="3.5"/>
    <n v="143.5"/>
    <n v="0"/>
    <n v="0"/>
    <s v="UDAIPUR"/>
    <s v="UDAIPUR"/>
    <s v="RJ-UDAIPUR"/>
    <d v="2020-06-08T00:00:00"/>
  </r>
  <r>
    <s v="812067119026"/>
    <x v="3003"/>
    <s v="KALRA BUILDING MATERIAL"/>
    <n v="119026"/>
    <s v="FRIENDS SUPPLIERS CO.(L"/>
    <n v="89.5"/>
    <n v="0"/>
    <n v="0"/>
    <n v="43.5"/>
    <n v="0"/>
    <n v="0"/>
    <n v="157.4"/>
    <n v="20.100000000000001"/>
    <n v="36.299999999999997"/>
    <n v="112.5"/>
    <n v="0"/>
    <n v="0"/>
    <n v="85.75"/>
    <n v="9.75"/>
    <n v="0"/>
    <n v="129.5"/>
    <n v="37"/>
    <n v="0"/>
    <n v="134.44999999999999"/>
    <n v="9"/>
    <n v="0"/>
    <n v="129"/>
    <n v="11.5"/>
    <n v="0"/>
    <n v="881.59999999999991"/>
    <n v="75.849999999999994"/>
    <n v="36.299999999999997"/>
    <s v="UDAIPUR"/>
    <s v="UDAIPUR"/>
    <s v="RJ-UDAIPUR"/>
    <d v="2020-06-29T00:00:00"/>
  </r>
  <r>
    <s v="812175141115"/>
    <x v="3004"/>
    <s v="NAKODA IRON AND CEMENT"/>
    <n v="141115"/>
    <s v="KALPESH CEMENT AGENCY"/>
    <n v="0"/>
    <n v="0"/>
    <n v="0"/>
    <n v="0"/>
    <n v="0"/>
    <n v="0"/>
    <n v="0"/>
    <n v="0"/>
    <n v="0"/>
    <n v="0"/>
    <n v="0"/>
    <n v="0"/>
    <n v="30.25"/>
    <n v="0"/>
    <n v="0"/>
    <n v="30.75"/>
    <n v="0"/>
    <n v="0"/>
    <n v="30"/>
    <n v="0"/>
    <n v="0"/>
    <n v="15"/>
    <n v="0"/>
    <n v="0"/>
    <n v="106"/>
    <n v="0"/>
    <n v="0"/>
    <s v="UDAIPUR"/>
    <s v="UDAIPUR"/>
    <s v="RJ-UDAIPUR"/>
    <d v="2020-07-10T00:00:00"/>
  </r>
  <r>
    <s v="812176179560"/>
    <x v="3005"/>
    <s v="SANWARIYA CONSTRUCTION AND BUI"/>
    <n v="179560"/>
    <s v="TIRUPATI TRADING COMPANY"/>
    <n v="7.5"/>
    <n v="0"/>
    <n v="0"/>
    <n v="0"/>
    <n v="0"/>
    <n v="0"/>
    <n v="5"/>
    <n v="0"/>
    <n v="0"/>
    <n v="32.5"/>
    <n v="0"/>
    <n v="0"/>
    <n v="40"/>
    <n v="0"/>
    <n v="0"/>
    <n v="37"/>
    <n v="0"/>
    <n v="0"/>
    <n v="30"/>
    <n v="0"/>
    <n v="0"/>
    <n v="10"/>
    <n v="0"/>
    <n v="0"/>
    <n v="162"/>
    <n v="0"/>
    <n v="0"/>
    <s v="UDAIPUR"/>
    <s v="UDAIPUR"/>
    <s v="RJ-UDAIPUR"/>
    <d v="2020-07-10T00:00:00"/>
  </r>
  <r>
    <s v="812177140967"/>
    <x v="3006"/>
    <s v="BHERU LAL KUMHAR"/>
    <n v="140967"/>
    <s v="B.L.JAIN &amp; SONS"/>
    <n v="0"/>
    <n v="0"/>
    <n v="0"/>
    <n v="0"/>
    <n v="0"/>
    <n v="0"/>
    <n v="10"/>
    <n v="0"/>
    <n v="0"/>
    <n v="50"/>
    <n v="0"/>
    <n v="0"/>
    <n v="55"/>
    <n v="0"/>
    <n v="0"/>
    <n v="70"/>
    <n v="0"/>
    <n v="0"/>
    <n v="15"/>
    <n v="0"/>
    <n v="0"/>
    <n v="20"/>
    <n v="0"/>
    <n v="0"/>
    <n v="220"/>
    <n v="0"/>
    <n v="0"/>
    <s v="UDAIPUR"/>
    <s v="UDAIPUR"/>
    <s v="RJ-UDAIPUR"/>
    <d v="2020-07-10T00:00:00"/>
  </r>
  <r>
    <s v="812218119026"/>
    <x v="3007"/>
    <s v="JAINICO DISTRIBUTORS"/>
    <n v="119026"/>
    <s v="FRIENDS SUPPLIERS CO.(L"/>
    <n v="10"/>
    <n v="0"/>
    <n v="0"/>
    <n v="0"/>
    <n v="0"/>
    <n v="0"/>
    <n v="0"/>
    <n v="0"/>
    <n v="0"/>
    <n v="18"/>
    <n v="0"/>
    <n v="0"/>
    <n v="25"/>
    <n v="0"/>
    <n v="0"/>
    <n v="35"/>
    <n v="0"/>
    <n v="0"/>
    <n v="10"/>
    <n v="0"/>
    <n v="0"/>
    <n v="7.5"/>
    <n v="0"/>
    <n v="0"/>
    <n v="105.5"/>
    <n v="0"/>
    <n v="0"/>
    <s v="UDAIPUR"/>
    <s v="UDAIPUR"/>
    <s v="RJ-UDAIPUR"/>
    <d v="2020-07-14T00:00:00"/>
  </r>
  <r>
    <s v="812265141115"/>
    <x v="3008"/>
    <s v="NIKHIL NENAWA"/>
    <n v="141115"/>
    <s v="KALPESH CEMENT AGENCY"/>
    <n v="49.5"/>
    <n v="0"/>
    <n v="0"/>
    <n v="0"/>
    <n v="0"/>
    <n v="0"/>
    <n v="0"/>
    <n v="0"/>
    <n v="0"/>
    <n v="0"/>
    <n v="0"/>
    <n v="0"/>
    <n v="15"/>
    <n v="0"/>
    <n v="0"/>
    <n v="25"/>
    <n v="0"/>
    <n v="0"/>
    <n v="90"/>
    <n v="0"/>
    <n v="0"/>
    <n v="100"/>
    <n v="0"/>
    <n v="0"/>
    <n v="279.5"/>
    <n v="0"/>
    <n v="0"/>
    <s v="UDAIPUR"/>
    <s v="UDAIPUR"/>
    <s v="RJ-UDAIPUR"/>
    <d v="2020-07-17T00:00:00"/>
  </r>
  <r>
    <s v="812266140859"/>
    <x v="3009"/>
    <s v="MEWADA BUILDING MATERIAL SUPPL"/>
    <n v="140859"/>
    <s v="KESHRIYA JI HARDWARE &amp; METAL S"/>
    <n v="0"/>
    <n v="0"/>
    <n v="0"/>
    <n v="10"/>
    <n v="0"/>
    <n v="0"/>
    <n v="20"/>
    <n v="0"/>
    <n v="0"/>
    <n v="0"/>
    <n v="0"/>
    <n v="0"/>
    <n v="0"/>
    <n v="0"/>
    <n v="0"/>
    <n v="30"/>
    <n v="0"/>
    <n v="0"/>
    <n v="0"/>
    <n v="0"/>
    <n v="0"/>
    <n v="10"/>
    <n v="0"/>
    <n v="0"/>
    <n v="70"/>
    <n v="0"/>
    <n v="0"/>
    <s v="UDAIPUR"/>
    <s v="UDAIPUR"/>
    <s v="RJ-UDAIPUR"/>
    <d v="2020-07-17T00:00:00"/>
  </r>
  <r>
    <s v="812289179560"/>
    <x v="3010"/>
    <s v="MAHALAXMI BUILDING MATERIAL"/>
    <n v="179560"/>
    <s v="TIRUPATI TRADING COMPANY"/>
    <n v="93.5"/>
    <n v="10"/>
    <n v="0"/>
    <n v="114"/>
    <n v="25"/>
    <n v="0"/>
    <n v="92.5"/>
    <n v="2.5"/>
    <n v="2.5"/>
    <n v="113.75"/>
    <n v="0"/>
    <n v="0"/>
    <n v="93"/>
    <n v="0"/>
    <n v="0"/>
    <n v="80"/>
    <n v="0"/>
    <n v="0"/>
    <n v="102.5"/>
    <n v="0"/>
    <n v="0"/>
    <n v="107.5"/>
    <n v="0"/>
    <n v="0"/>
    <n v="796.75"/>
    <n v="37.5"/>
    <n v="2.5"/>
    <s v="UDAIPUR"/>
    <s v="UDAIPUR"/>
    <s v="RJ-UDAIPUR"/>
    <d v="2020-07-20T00:00:00"/>
  </r>
  <r>
    <s v="812450140851"/>
    <x v="3011"/>
    <s v="RUPENDRA SINGH SHAKTAWAT"/>
    <n v="140851"/>
    <s v="PASHAWNATH CEMENT SUPPLIERS"/>
    <n v="48"/>
    <n v="0"/>
    <n v="0"/>
    <n v="60"/>
    <n v="0"/>
    <n v="0"/>
    <n v="35"/>
    <n v="0"/>
    <n v="0"/>
    <n v="0"/>
    <n v="0"/>
    <n v="0"/>
    <n v="0"/>
    <n v="0"/>
    <n v="0"/>
    <n v="10"/>
    <n v="0"/>
    <n v="0"/>
    <n v="0"/>
    <n v="0"/>
    <n v="0"/>
    <n v="10"/>
    <n v="0"/>
    <n v="0"/>
    <n v="163"/>
    <n v="0"/>
    <n v="0"/>
    <s v="UDAIPUR"/>
    <s v="UDAIPUR"/>
    <s v="RJ-UDAIPUR"/>
    <d v="2020-08-06T00:00:00"/>
  </r>
  <r>
    <s v="812451140858"/>
    <x v="3012"/>
    <s v="SURESH KUMAR"/>
    <n v="140858"/>
    <s v="RAMESH CHANDRA JAI CHAND"/>
    <n v="0"/>
    <n v="0"/>
    <n v="0"/>
    <n v="20"/>
    <n v="0"/>
    <n v="0"/>
    <n v="20"/>
    <n v="0"/>
    <n v="0"/>
    <n v="30"/>
    <n v="0"/>
    <n v="0"/>
    <n v="0"/>
    <n v="0"/>
    <n v="0"/>
    <n v="0"/>
    <n v="0"/>
    <n v="0"/>
    <n v="0"/>
    <n v="0"/>
    <n v="0"/>
    <n v="0"/>
    <n v="0"/>
    <n v="0"/>
    <n v="70"/>
    <n v="0"/>
    <n v="0"/>
    <s v="UDAIPUR"/>
    <s v="UDAIPUR"/>
    <s v="RJ-UDAIPUR"/>
    <d v="2020-08-06T00:00:00"/>
  </r>
  <r>
    <s v="812752203649"/>
    <x v="3013"/>
    <s v="RADHE SHYAM GURJAR"/>
    <n v="203649"/>
    <s v="ANANTRAJ ENTERPRISES"/>
    <n v="10"/>
    <n v="0"/>
    <n v="0"/>
    <n v="2.5"/>
    <n v="0"/>
    <n v="0"/>
    <n v="0"/>
    <n v="0"/>
    <n v="0"/>
    <n v="5"/>
    <n v="0"/>
    <n v="0"/>
    <n v="10"/>
    <n v="0"/>
    <n v="0"/>
    <n v="0"/>
    <n v="0"/>
    <n v="0"/>
    <n v="0"/>
    <n v="0"/>
    <n v="0"/>
    <n v="0"/>
    <n v="0"/>
    <n v="0"/>
    <n v="27.5"/>
    <n v="0"/>
    <n v="0"/>
    <s v="UDAIPUR"/>
    <s v="UDAIPUR"/>
    <s v="RJ-UDAIPUR"/>
    <d v="2020-09-02T00:00:00"/>
  </r>
  <r>
    <s v="812776178287"/>
    <x v="3014"/>
    <s v="SHREE MAA RUDHRANI BUILDING MA"/>
    <n v="178287"/>
    <s v="ADINATH BUILDCON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10"/>
    <n v="0"/>
    <n v="0"/>
    <s v="UDAIPUR"/>
    <s v="UDAIPUR"/>
    <s v="RJ-UDAIPUR"/>
    <d v="2020-09-04T00:00:00"/>
  </r>
  <r>
    <s v="812947178226"/>
    <x v="3015"/>
    <s v="VIAAN ASSOCIATES"/>
    <n v="178226"/>
    <s v="PANKAJ TRADING COMPANY"/>
    <n v="25"/>
    <n v="0"/>
    <n v="0"/>
    <n v="20"/>
    <n v="0"/>
    <n v="0"/>
    <n v="43.5"/>
    <n v="0"/>
    <n v="0"/>
    <n v="47"/>
    <n v="0"/>
    <n v="0"/>
    <n v="0"/>
    <n v="0"/>
    <n v="0"/>
    <n v="32.5"/>
    <n v="0"/>
    <n v="0"/>
    <n v="43"/>
    <n v="0"/>
    <n v="0"/>
    <n v="20"/>
    <n v="0"/>
    <n v="0"/>
    <n v="231"/>
    <n v="0"/>
    <n v="0"/>
    <s v="UDAIPUR"/>
    <s v="UDAIPUR"/>
    <s v="RJ-UDAIPUR"/>
    <d v="2020-09-17T00:00:00"/>
  </r>
  <r>
    <s v="813019141115"/>
    <x v="3016"/>
    <s v="KATARA BUILDING MATERIAL"/>
    <n v="141115"/>
    <s v="KALPESH CEMENT AGENCY"/>
    <n v="0"/>
    <n v="0"/>
    <n v="0"/>
    <n v="50"/>
    <n v="0"/>
    <n v="0"/>
    <n v="0"/>
    <n v="0"/>
    <n v="0"/>
    <n v="20"/>
    <n v="0"/>
    <n v="0"/>
    <n v="0"/>
    <n v="0"/>
    <n v="0"/>
    <n v="0"/>
    <n v="0"/>
    <n v="0"/>
    <n v="15"/>
    <n v="0"/>
    <n v="0"/>
    <n v="10"/>
    <n v="0"/>
    <n v="0"/>
    <n v="95"/>
    <n v="0"/>
    <n v="0"/>
    <s v="UDAIPUR"/>
    <s v="UDAIPUR"/>
    <s v="RJ-UDAIPUR"/>
    <d v="2020-09-23T00:00:00"/>
  </r>
  <r>
    <s v="813021170059"/>
    <x v="3017"/>
    <s v="SANWARIYA BUILDING MATERIAL SU"/>
    <n v="170059"/>
    <s v="SHREE OM CEMENT &amp; STONE SUPPLI"/>
    <n v="48.5"/>
    <n v="0"/>
    <n v="0"/>
    <n v="0"/>
    <n v="0"/>
    <n v="0"/>
    <n v="22.5"/>
    <n v="1.5"/>
    <n v="0"/>
    <n v="67.5"/>
    <n v="0"/>
    <n v="0"/>
    <n v="32.5"/>
    <n v="0"/>
    <n v="0"/>
    <n v="33"/>
    <n v="0"/>
    <n v="3.5"/>
    <n v="33"/>
    <n v="3.5"/>
    <n v="0"/>
    <n v="35"/>
    <n v="5"/>
    <n v="5"/>
    <n v="272"/>
    <n v="5"/>
    <n v="3.5"/>
    <s v="UDAIPUR"/>
    <s v="UDAIPUR"/>
    <s v="RJ-UDAIPUR"/>
    <d v="2020-09-23T00:00:00"/>
  </r>
  <r>
    <s v="813152140848"/>
    <x v="3018"/>
    <s v="MAHIPAL SINGH SARANGDEVOT"/>
    <n v="140848"/>
    <s v="PADAM CEMENT SUPPLIERS"/>
    <n v="70"/>
    <n v="0"/>
    <n v="0"/>
    <n v="40"/>
    <n v="0"/>
    <n v="0"/>
    <n v="57"/>
    <n v="0"/>
    <n v="0"/>
    <n v="45"/>
    <n v="0"/>
    <n v="0"/>
    <n v="20"/>
    <n v="0"/>
    <n v="0"/>
    <n v="72.5"/>
    <n v="0"/>
    <n v="0"/>
    <n v="42.5"/>
    <n v="0"/>
    <n v="2.5"/>
    <n v="65"/>
    <n v="10"/>
    <n v="0"/>
    <n v="412"/>
    <n v="0"/>
    <n v="2.5"/>
    <s v="UDAIPUR"/>
    <s v="UDAIPUR"/>
    <s v="RJ-UDAIPUR"/>
    <d v="2020-10-01T00:00:00"/>
  </r>
  <r>
    <s v="813161179560"/>
    <x v="3019"/>
    <s v="SHREE IDANA MAA BUILDING MATER"/>
    <n v="179560"/>
    <s v="TIRUPATI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0-10-01T00:00:00"/>
  </r>
  <r>
    <s v="813168140848"/>
    <x v="3020"/>
    <s v="VINOD DAS VAIRAGI"/>
    <n v="140848"/>
    <s v="PADAM CEMENT SUPPLIERS"/>
    <n v="0"/>
    <n v="0"/>
    <n v="0"/>
    <n v="0"/>
    <n v="0"/>
    <n v="0"/>
    <n v="30"/>
    <n v="0"/>
    <n v="0"/>
    <n v="25"/>
    <n v="0"/>
    <n v="0"/>
    <n v="10"/>
    <n v="0"/>
    <n v="0"/>
    <n v="35"/>
    <n v="0"/>
    <n v="0"/>
    <n v="0"/>
    <n v="0"/>
    <n v="0"/>
    <n v="0"/>
    <n v="0"/>
    <n v="0"/>
    <n v="100"/>
    <n v="0"/>
    <n v="0"/>
    <s v="UDAIPUR"/>
    <s v="UDAIPUR"/>
    <s v="RJ-UDAIPUR"/>
    <d v="2020-10-05T00:00:00"/>
  </r>
  <r>
    <s v="813170140958"/>
    <x v="3021"/>
    <s v="RAMESH KALAL"/>
    <n v="140958"/>
    <s v="HEMRAJ SUTHAR CONTRACTOR"/>
    <n v="20"/>
    <n v="0"/>
    <n v="0"/>
    <n v="40"/>
    <n v="0"/>
    <n v="0"/>
    <n v="56.5"/>
    <n v="6.5"/>
    <n v="0"/>
    <n v="20"/>
    <n v="0"/>
    <n v="0"/>
    <n v="0"/>
    <n v="0"/>
    <n v="0"/>
    <n v="0"/>
    <n v="0"/>
    <n v="0"/>
    <n v="35"/>
    <n v="5"/>
    <n v="0"/>
    <n v="20"/>
    <n v="0"/>
    <n v="0"/>
    <n v="191.5"/>
    <n v="11.5"/>
    <n v="0"/>
    <s v="UDAIPUR"/>
    <s v="UDAIPUR"/>
    <s v="RJ-UDAIPUR"/>
    <d v="2020-10-05T00:00:00"/>
  </r>
  <r>
    <s v="813185140859"/>
    <x v="3022"/>
    <s v="NAVIN CONSTRUCTION"/>
    <n v="140859"/>
    <s v="KESHRIYA JI HARDWARE &amp; METAL S"/>
    <n v="20"/>
    <n v="0"/>
    <n v="0"/>
    <n v="10"/>
    <n v="0"/>
    <n v="0"/>
    <n v="0"/>
    <n v="0"/>
    <n v="0"/>
    <n v="0"/>
    <n v="0"/>
    <n v="0"/>
    <n v="10"/>
    <n v="0"/>
    <n v="0"/>
    <n v="25"/>
    <n v="0"/>
    <n v="0"/>
    <n v="0"/>
    <n v="0"/>
    <n v="0"/>
    <n v="15"/>
    <n v="0"/>
    <n v="5"/>
    <n v="80"/>
    <n v="0"/>
    <n v="0"/>
    <s v="UDAIPUR"/>
    <s v="UDAIPUR"/>
    <s v="RJ-UDAIPUR"/>
    <d v="2020-10-06T00:00:00"/>
  </r>
  <r>
    <s v="813190140958"/>
    <x v="3023"/>
    <s v="RAJENDRA SINGH CHOUHAN"/>
    <n v="140958"/>
    <s v="HEMRAJ SUTHAR CONTRACTOR"/>
    <n v="10"/>
    <n v="0"/>
    <n v="0"/>
    <n v="1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30"/>
    <n v="0"/>
    <n v="0"/>
    <s v="UDAIPUR"/>
    <s v="UDAIPUR"/>
    <s v="RJ-UDAIPUR"/>
    <d v="2020-10-06T00:00:00"/>
  </r>
  <r>
    <s v="813194179560"/>
    <x v="3024"/>
    <s v="SHEETAL BUILDING MATERIAL AND"/>
    <n v="179560"/>
    <s v="TIRUPATI TRADING COMPANY"/>
    <n v="0"/>
    <n v="0"/>
    <n v="0"/>
    <n v="20"/>
    <n v="0"/>
    <n v="0"/>
    <n v="50"/>
    <n v="0"/>
    <n v="0"/>
    <n v="30"/>
    <n v="0"/>
    <n v="0"/>
    <n v="36.5"/>
    <n v="0"/>
    <n v="0"/>
    <n v="22.5"/>
    <n v="0"/>
    <n v="0"/>
    <n v="16"/>
    <n v="0"/>
    <n v="0"/>
    <n v="27.5"/>
    <n v="0"/>
    <n v="0"/>
    <n v="202.5"/>
    <n v="0"/>
    <n v="0"/>
    <s v="UDAIPUR"/>
    <s v="UDAIPUR"/>
    <s v="RJ-UDAIPUR"/>
    <d v="2020-10-06T00:00:00"/>
  </r>
  <r>
    <s v="813194204034"/>
    <x v="3024"/>
    <s v="SHEETAL BUILDING MATERIAL AND"/>
    <n v="204034"/>
    <s v="PATEL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0-10-06T00:00:00"/>
  </r>
  <r>
    <s v="813229179560"/>
    <x v="3025"/>
    <s v="GANPATI BULDIMAT"/>
    <n v="179560"/>
    <s v="TIRUPATI TRADING COMPANY"/>
    <n v="131"/>
    <n v="10"/>
    <n v="0"/>
    <n v="83"/>
    <n v="12.5"/>
    <n v="0"/>
    <n v="112.8"/>
    <n v="2.8"/>
    <n v="7.5"/>
    <n v="110.5"/>
    <n v="5"/>
    <n v="0"/>
    <n v="139.6"/>
    <n v="0"/>
    <n v="15"/>
    <n v="140"/>
    <n v="21.5"/>
    <n v="1"/>
    <n v="70"/>
    <n v="0"/>
    <n v="0"/>
    <n v="120"/>
    <n v="0"/>
    <n v="0"/>
    <n v="906.9"/>
    <n v="51.8"/>
    <n v="23.5"/>
    <s v="UDAIPUR"/>
    <s v="UDAIPUR"/>
    <s v="RJ-UDAIPUR"/>
    <d v="2020-10-09T00:00:00"/>
  </r>
  <r>
    <s v="813231140851"/>
    <x v="3026"/>
    <s v="LAXMAN LAL SUTHAR"/>
    <n v="140851"/>
    <s v="PASHAWNATH CEMENT SUPPLIERS"/>
    <n v="42"/>
    <n v="0"/>
    <n v="0"/>
    <n v="70.5"/>
    <n v="4"/>
    <n v="0"/>
    <n v="60"/>
    <n v="0"/>
    <n v="0"/>
    <n v="10"/>
    <n v="0"/>
    <n v="0"/>
    <n v="50"/>
    <n v="0"/>
    <n v="0"/>
    <n v="52.5"/>
    <n v="0"/>
    <n v="0"/>
    <n v="20"/>
    <n v="0"/>
    <n v="0"/>
    <n v="27.5"/>
    <n v="0"/>
    <n v="0"/>
    <n v="332.5"/>
    <n v="4"/>
    <n v="0"/>
    <s v="UDAIPUR"/>
    <s v="UDAIPUR"/>
    <s v="RJ-UDAIPUR"/>
    <d v="2020-10-09T00:00:00"/>
  </r>
  <r>
    <s v="813434140856"/>
    <x v="3027"/>
    <s v="CHAMUNDA BUILDING MATERIAL"/>
    <n v="140856"/>
    <s v="TIRUPATI BUILDING MATERIAL SUP"/>
    <n v="134"/>
    <n v="0"/>
    <n v="0"/>
    <n v="100"/>
    <n v="0"/>
    <n v="0"/>
    <n v="170"/>
    <n v="0"/>
    <n v="0"/>
    <n v="122.5"/>
    <n v="0"/>
    <n v="0"/>
    <n v="60"/>
    <n v="0"/>
    <n v="0"/>
    <n v="42.5"/>
    <n v="0"/>
    <n v="0"/>
    <n v="30"/>
    <n v="0"/>
    <n v="0"/>
    <n v="47.5"/>
    <n v="0"/>
    <n v="0"/>
    <n v="706.5"/>
    <n v="0"/>
    <n v="0"/>
    <s v="UDAIPUR"/>
    <s v="UDAIPUR"/>
    <s v="RJ-UDAIPUR"/>
    <d v="2020-10-28T00:00:00"/>
  </r>
  <r>
    <s v="813489147364"/>
    <x v="3028"/>
    <s v="RODAWAT BUILDMART"/>
    <n v="147364"/>
    <s v="RAJASTHAN ROYAL BUILDHOME SOLU"/>
    <n v="15"/>
    <n v="4"/>
    <n v="0"/>
    <n v="28.5"/>
    <n v="0"/>
    <n v="0"/>
    <n v="75"/>
    <n v="10"/>
    <n v="0"/>
    <n v="65"/>
    <n v="0"/>
    <n v="0"/>
    <n v="45"/>
    <n v="0"/>
    <n v="0"/>
    <n v="37"/>
    <n v="0"/>
    <n v="0"/>
    <n v="50"/>
    <n v="12.5"/>
    <n v="0"/>
    <n v="53.25"/>
    <n v="3.25"/>
    <n v="0"/>
    <n v="368.75"/>
    <n v="26.5"/>
    <n v="0"/>
    <s v="UDAIPUR"/>
    <s v="UDAIPUR"/>
    <s v="RJ-UDAIPUR"/>
    <d v="2020-11-02T00:00:00"/>
  </r>
  <r>
    <s v="813572140967"/>
    <x v="3029"/>
    <s v="SHIVSAGAR BUILDING MATERIAL"/>
    <n v="140967"/>
    <s v="B.L.JAIN &amp; SONS"/>
    <n v="10"/>
    <n v="0"/>
    <n v="0"/>
    <n v="20"/>
    <n v="0"/>
    <n v="0"/>
    <n v="80"/>
    <n v="0"/>
    <n v="0"/>
    <n v="30"/>
    <n v="0"/>
    <n v="0"/>
    <n v="20"/>
    <n v="0"/>
    <n v="0"/>
    <n v="20"/>
    <n v="0"/>
    <n v="0"/>
    <n v="33"/>
    <n v="3"/>
    <n v="0"/>
    <n v="25"/>
    <n v="0"/>
    <n v="0"/>
    <n v="238"/>
    <n v="3"/>
    <n v="0"/>
    <s v="UDAIPUR"/>
    <s v="UDAIPUR"/>
    <s v="RJ-UDAIPUR"/>
    <d v="2020-11-18T00:00:00"/>
  </r>
  <r>
    <s v="813731141115"/>
    <x v="3030"/>
    <s v="CHHAJED CEMENT SUPPLIERS"/>
    <n v="141115"/>
    <s v="KALPESH CEMENT AGENCY"/>
    <n v="0"/>
    <n v="0"/>
    <n v="0"/>
    <n v="0"/>
    <n v="0"/>
    <n v="0"/>
    <n v="63.25"/>
    <n v="0"/>
    <n v="0"/>
    <n v="16.5"/>
    <n v="0"/>
    <n v="0"/>
    <n v="0"/>
    <n v="0"/>
    <n v="0"/>
    <n v="0"/>
    <n v="0"/>
    <n v="0"/>
    <n v="35"/>
    <n v="0"/>
    <n v="0"/>
    <n v="0"/>
    <n v="0"/>
    <n v="0"/>
    <n v="114.75"/>
    <n v="0"/>
    <n v="0"/>
    <s v="UDAIPUR"/>
    <s v="UDAIPUR"/>
    <s v="RJ-UDAIPUR"/>
    <d v="2020-12-01T00:00:00"/>
  </r>
  <r>
    <s v="813778141115"/>
    <x v="3031"/>
    <s v="BHERUNATH CEMENT SUPPLIERS"/>
    <n v="141115"/>
    <s v="KALPESH CEMENT AGENCY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5"/>
    <n v="0"/>
    <n v="5"/>
    <s v="UDAIPUR"/>
    <s v="UDAIPUR"/>
    <s v="RJ-UDAIPUR"/>
    <d v="2020-12-08T00:00:00"/>
  </r>
  <r>
    <s v="813780140859"/>
    <x v="3032"/>
    <s v="SHRIRAM WELDING AND FURNITURE"/>
    <n v="140859"/>
    <s v="KESHRIYA JI HARDWARE &amp; METAL 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0-12-08T00:00:00"/>
  </r>
  <r>
    <s v="813936204034"/>
    <x v="3033"/>
    <s v="MANISHA TRADING COMPANY"/>
    <n v="204034"/>
    <s v="PATEL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0-12-24T00:00:00"/>
  </r>
  <r>
    <s v="814004141115"/>
    <x v="3034"/>
    <s v="SHRI MAHADEV BUILDING MATERIAL"/>
    <n v="141115"/>
    <s v="KALPESH CEMENT AGENCY"/>
    <n v="20"/>
    <n v="0"/>
    <n v="0"/>
    <n v="0"/>
    <n v="0"/>
    <n v="0"/>
    <n v="0"/>
    <n v="0"/>
    <n v="0"/>
    <n v="79.75"/>
    <n v="20"/>
    <n v="0"/>
    <n v="0"/>
    <n v="0"/>
    <n v="0"/>
    <n v="0"/>
    <n v="0"/>
    <n v="0"/>
    <n v="0"/>
    <n v="0"/>
    <n v="0"/>
    <n v="0"/>
    <n v="0"/>
    <n v="0"/>
    <n v="99.75"/>
    <n v="20"/>
    <n v="0"/>
    <s v="UDAIPUR"/>
    <s v="UDAIPUR"/>
    <s v="RJ-UDAIPUR"/>
    <d v="2020-12-29T00:00:00"/>
  </r>
  <r>
    <s v="814085140858"/>
    <x v="3035"/>
    <s v="ASHOKA MEENA"/>
    <n v="140858"/>
    <s v="RAMESH CHANDRA JAI CHAND"/>
    <n v="79"/>
    <n v="0"/>
    <n v="0"/>
    <n v="40"/>
    <n v="9"/>
    <n v="0"/>
    <n v="60"/>
    <n v="0"/>
    <n v="0"/>
    <n v="36"/>
    <n v="0"/>
    <n v="0"/>
    <n v="17.5"/>
    <n v="0"/>
    <n v="0"/>
    <n v="42.5"/>
    <n v="0"/>
    <n v="0"/>
    <n v="24"/>
    <n v="0"/>
    <n v="0"/>
    <n v="35"/>
    <n v="0"/>
    <n v="0"/>
    <n v="334"/>
    <n v="9"/>
    <n v="0"/>
    <s v="UDAIPUR"/>
    <s v="UDAIPUR"/>
    <s v="RJ-UDAIPUR"/>
    <d v="2021-01-06T00:00:00"/>
  </r>
  <r>
    <s v="814086141115"/>
    <x v="3036"/>
    <s v="HIND ENTERPRISES"/>
    <n v="141115"/>
    <s v="KALPE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1-01-06T00:00:00"/>
  </r>
  <r>
    <s v="814087205989"/>
    <x v="3037"/>
    <s v="S R BUILDING MATERIAL SUPPLIER"/>
    <n v="205989"/>
    <s v="JAGDISH BUILDING MATERIAL SUPP"/>
    <n v="12.5"/>
    <n v="0"/>
    <n v="0"/>
    <n v="10"/>
    <n v="0"/>
    <n v="0"/>
    <n v="78"/>
    <n v="0"/>
    <n v="0"/>
    <n v="22.5"/>
    <n v="0"/>
    <n v="0"/>
    <n v="28"/>
    <n v="0"/>
    <n v="0"/>
    <n v="0"/>
    <n v="0"/>
    <n v="0"/>
    <n v="10"/>
    <n v="0"/>
    <n v="0"/>
    <n v="0"/>
    <n v="0"/>
    <n v="0"/>
    <n v="161"/>
    <n v="0"/>
    <n v="0"/>
    <s v="UDAIPUR"/>
    <s v="UDAIPUR"/>
    <s v="RJ-UDAIPUR"/>
    <d v="2021-01-06T00:00:00"/>
  </r>
  <r>
    <s v="814106140859"/>
    <x v="3038"/>
    <s v="SANWARIYA ENTERPRISE"/>
    <n v="140859"/>
    <s v="KESHRIYA JI HARDWARE &amp; METAL S"/>
    <n v="0"/>
    <n v="0"/>
    <n v="0"/>
    <n v="20"/>
    <n v="0"/>
    <n v="0"/>
    <n v="20"/>
    <n v="0"/>
    <n v="0"/>
    <n v="0"/>
    <n v="0"/>
    <n v="0"/>
    <n v="0"/>
    <n v="0"/>
    <n v="0"/>
    <n v="18"/>
    <n v="0"/>
    <n v="0"/>
    <n v="0"/>
    <n v="0"/>
    <n v="0"/>
    <n v="0"/>
    <n v="0"/>
    <n v="0"/>
    <n v="58"/>
    <n v="0"/>
    <n v="0"/>
    <s v="UDAIPUR"/>
    <s v="UDAIPUR"/>
    <s v="RJ-UDAIPUR"/>
    <d v="2021-01-08T00:00:00"/>
  </r>
  <r>
    <s v="814107205992"/>
    <x v="3039"/>
    <s v="ASHOK BRIJLAL JAIN"/>
    <n v="205992"/>
    <s v="SISPURIA BUILDING MATERIAL"/>
    <n v="10"/>
    <n v="0"/>
    <n v="0"/>
    <n v="0"/>
    <n v="0"/>
    <n v="0"/>
    <n v="0"/>
    <n v="0"/>
    <n v="0"/>
    <n v="63.85"/>
    <n v="14.85"/>
    <n v="0"/>
    <n v="8"/>
    <n v="0"/>
    <n v="0"/>
    <n v="0"/>
    <n v="0"/>
    <n v="0"/>
    <n v="0"/>
    <n v="0"/>
    <n v="0"/>
    <n v="0"/>
    <n v="0"/>
    <n v="0"/>
    <n v="81.849999999999994"/>
    <n v="14.85"/>
    <n v="0"/>
    <s v="UDAIPUR"/>
    <s v="UDAIPUR"/>
    <s v="RJ-UDAIPUR"/>
    <d v="2021-01-08T00:00:00"/>
  </r>
  <r>
    <s v="814220141311"/>
    <x v="3040"/>
    <s v="PRINCE CEMENT SUPPLIER"/>
    <n v="141311"/>
    <s v="SHANTI LAL BHANAWAT"/>
    <n v="55"/>
    <n v="0"/>
    <n v="0"/>
    <n v="20"/>
    <n v="0"/>
    <n v="0"/>
    <n v="32.5"/>
    <n v="0"/>
    <n v="0"/>
    <n v="90.75"/>
    <n v="0"/>
    <n v="0"/>
    <n v="30"/>
    <n v="0"/>
    <n v="3"/>
    <n v="50"/>
    <n v="0"/>
    <n v="0"/>
    <n v="20"/>
    <n v="2.5"/>
    <n v="0"/>
    <n v="85"/>
    <n v="0"/>
    <n v="0"/>
    <n v="383.25"/>
    <n v="2.5"/>
    <n v="3"/>
    <s v="UDAIPUR"/>
    <s v="UDAIPUR"/>
    <s v="RJ-UDAIPUR"/>
    <d v="2021-01-21T00:00:00"/>
  </r>
  <r>
    <s v="814221170501"/>
    <x v="3041"/>
    <s v="BHAGWAN LAL DANGI"/>
    <n v="170501"/>
    <s v="GURU OM KRIPA CEMENT SUPPLIERS"/>
    <n v="0"/>
    <n v="0"/>
    <n v="0"/>
    <n v="0"/>
    <n v="0"/>
    <n v="0"/>
    <n v="8.75"/>
    <n v="0"/>
    <n v="0"/>
    <n v="0"/>
    <n v="0"/>
    <n v="0"/>
    <n v="0"/>
    <n v="0"/>
    <n v="0"/>
    <n v="0"/>
    <n v="0"/>
    <n v="0"/>
    <n v="0"/>
    <n v="0"/>
    <n v="0"/>
    <n v="0"/>
    <n v="0"/>
    <n v="0"/>
    <n v="8.75"/>
    <n v="0"/>
    <n v="0"/>
    <s v="UDAIPUR"/>
    <s v="UDAIPUR"/>
    <s v="RJ-UDAIPUR"/>
    <d v="2021-01-22T00:00:00"/>
  </r>
  <r>
    <s v="814222205966"/>
    <x v="3042"/>
    <s v="PYAR CHANDRA LOHAR"/>
    <n v="205966"/>
    <s v="POKHARNA CEMENT SUPPLIERS"/>
    <n v="10"/>
    <n v="0"/>
    <n v="0"/>
    <n v="0"/>
    <n v="0"/>
    <n v="0"/>
    <n v="5"/>
    <n v="0"/>
    <n v="0"/>
    <n v="2"/>
    <n v="0"/>
    <n v="0"/>
    <n v="9.5"/>
    <n v="0"/>
    <n v="0"/>
    <n v="0"/>
    <n v="0"/>
    <n v="0"/>
    <n v="2"/>
    <n v="0"/>
    <n v="0"/>
    <n v="0"/>
    <n v="0"/>
    <n v="0"/>
    <n v="28.5"/>
    <n v="0"/>
    <n v="0"/>
    <s v="UDAIPUR"/>
    <s v="UDAIPUR"/>
    <s v="RJ-UDAIPUR"/>
    <d v="2021-01-22T00:00:00"/>
  </r>
  <r>
    <s v="814223141115"/>
    <x v="3043"/>
    <s v="SHUBHAM SARIYA"/>
    <n v="141115"/>
    <s v="KALPESH CEMENT AGENCY"/>
    <n v="49.25"/>
    <n v="0"/>
    <n v="0"/>
    <n v="0"/>
    <n v="0"/>
    <n v="0"/>
    <n v="47.5"/>
    <n v="0"/>
    <n v="0"/>
    <n v="0"/>
    <n v="0"/>
    <n v="0"/>
    <n v="0"/>
    <n v="0"/>
    <n v="0"/>
    <n v="0"/>
    <n v="0"/>
    <n v="0"/>
    <n v="0"/>
    <n v="0"/>
    <n v="0"/>
    <n v="0"/>
    <n v="0"/>
    <n v="0"/>
    <n v="96.75"/>
    <n v="0"/>
    <n v="0"/>
    <s v="UDAIPUR"/>
    <s v="UDAIPUR"/>
    <s v="RJ-UDAIPUR"/>
    <d v="2021-01-22T00:00:00"/>
  </r>
  <r>
    <s v="814224206073"/>
    <x v="3044"/>
    <s v="FATEH SINGH RAJPUT"/>
    <n v="206073"/>
    <s v="SHREE TIRUPATI BALAJI BUILDIN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1-01-22T00:00:00"/>
  </r>
  <r>
    <s v="814225205989"/>
    <x v="3045"/>
    <s v="VISHAL TANKERS"/>
    <n v="205989"/>
    <s v="JAGDISH BUILDING MATERIAL SUPP"/>
    <n v="0"/>
    <n v="0"/>
    <n v="0"/>
    <n v="0"/>
    <n v="0"/>
    <n v="0"/>
    <n v="12.5"/>
    <n v="0"/>
    <n v="0"/>
    <n v="5"/>
    <n v="0"/>
    <n v="0"/>
    <n v="13"/>
    <n v="0"/>
    <n v="0"/>
    <n v="0"/>
    <n v="0"/>
    <n v="0"/>
    <n v="7.5"/>
    <n v="0"/>
    <n v="0"/>
    <n v="32.5"/>
    <n v="0"/>
    <n v="0"/>
    <n v="70.5"/>
    <n v="0"/>
    <n v="0"/>
    <s v="UDAIPUR"/>
    <s v="UDAIPUR"/>
    <s v="RJ-UDAIPUR"/>
    <d v="2021-01-22T00:00:00"/>
  </r>
  <r>
    <s v="814310205966"/>
    <x v="3046"/>
    <s v="MANGI LAL"/>
    <n v="205966"/>
    <s v="POKHARNA CEMENT SUPPLIERS"/>
    <n v="0"/>
    <n v="0"/>
    <n v="0"/>
    <n v="15"/>
    <n v="0"/>
    <n v="0"/>
    <n v="25"/>
    <n v="0"/>
    <n v="0"/>
    <n v="22.5"/>
    <n v="0"/>
    <n v="0"/>
    <n v="12.5"/>
    <n v="0"/>
    <n v="0"/>
    <n v="15"/>
    <n v="0"/>
    <n v="0"/>
    <n v="15"/>
    <n v="0"/>
    <n v="0"/>
    <n v="7.5"/>
    <n v="0"/>
    <n v="0"/>
    <n v="112.5"/>
    <n v="0"/>
    <n v="0"/>
    <s v="UDAIPUR"/>
    <s v="UDAIPUR"/>
    <s v="RJ-UDAIPUR"/>
    <d v="2021-01-29T00:00:00"/>
  </r>
  <r>
    <s v="814446205966"/>
    <x v="3047"/>
    <s v="JAGDISH KUMAR KASOTA"/>
    <n v="205966"/>
    <s v="POKHARNA CEMENT SUPPLIERS"/>
    <n v="0"/>
    <n v="0"/>
    <n v="0"/>
    <n v="0"/>
    <n v="0"/>
    <n v="0"/>
    <n v="35"/>
    <n v="0"/>
    <n v="0"/>
    <n v="10"/>
    <n v="0"/>
    <n v="0"/>
    <n v="7.5"/>
    <n v="0"/>
    <n v="0"/>
    <n v="0"/>
    <n v="0"/>
    <n v="0"/>
    <n v="2"/>
    <n v="0"/>
    <n v="0"/>
    <n v="0"/>
    <n v="0"/>
    <n v="0"/>
    <n v="54.5"/>
    <n v="0"/>
    <n v="0"/>
    <s v="UDAIPUR"/>
    <s v="UDAIPUR"/>
    <s v="RJ-UDAIPUR"/>
    <d v="2021-02-11T00:00:00"/>
  </r>
  <r>
    <s v="814505147364"/>
    <x v="3048"/>
    <s v="GANPATI BUILDING MATERIAL"/>
    <n v="147364"/>
    <s v="RAJASTHAN ROYAL BUILDHOME SOL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1-02-17T00:00:00"/>
  </r>
  <r>
    <s v="814505208776"/>
    <x v="3048"/>
    <s v="GANPATI BUILDING MATERIAL"/>
    <n v="208776"/>
    <s v="ABHIS BUILDTECH"/>
    <n v="0"/>
    <n v="0"/>
    <n v="0"/>
    <n v="10.5"/>
    <n v="0"/>
    <n v="0"/>
    <n v="12.5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0"/>
    <n v="0"/>
    <s v="UDAIPUR"/>
    <s v="UDAIPUR"/>
    <s v="RJ-UDAIPUR"/>
    <d v="2021-02-17T00:00:00"/>
  </r>
  <r>
    <s v="814623173748"/>
    <x v="3049"/>
    <s v="GANESH"/>
    <n v="173748"/>
    <s v="LAMPS SARADA"/>
    <n v="0"/>
    <n v="0"/>
    <n v="0"/>
    <n v="36"/>
    <n v="0"/>
    <n v="0"/>
    <n v="20"/>
    <n v="0"/>
    <n v="0"/>
    <n v="20"/>
    <n v="0"/>
    <n v="0"/>
    <n v="0"/>
    <n v="0"/>
    <n v="0"/>
    <n v="7.5"/>
    <n v="0"/>
    <n v="0"/>
    <n v="0"/>
    <n v="0"/>
    <n v="0"/>
    <n v="20"/>
    <n v="0"/>
    <n v="0"/>
    <n v="103.5"/>
    <n v="0"/>
    <n v="0"/>
    <s v="UDAIPUR"/>
    <s v="UDAIPUR"/>
    <s v="RJ-UDAIPUR"/>
    <d v="2021-02-25T00:00:00"/>
  </r>
  <r>
    <s v="814641205992"/>
    <x v="3050"/>
    <s v="DINESH KUMAR AND BROTHERS"/>
    <n v="205992"/>
    <s v="SISPURIA BUILDING MATERIAL"/>
    <n v="10"/>
    <n v="0"/>
    <n v="0"/>
    <n v="35"/>
    <n v="0"/>
    <n v="0"/>
    <n v="35"/>
    <n v="15"/>
    <n v="0"/>
    <n v="51.7"/>
    <n v="7.7"/>
    <n v="0"/>
    <n v="27.5"/>
    <n v="6.5"/>
    <n v="0"/>
    <n v="26.85"/>
    <n v="0"/>
    <n v="6.85"/>
    <n v="30"/>
    <n v="5"/>
    <n v="0"/>
    <n v="0"/>
    <n v="0"/>
    <n v="0"/>
    <n v="216.04999999999998"/>
    <n v="34.200000000000003"/>
    <n v="6.85"/>
    <s v="UDAIPUR"/>
    <s v="UDAIPUR"/>
    <s v="RJ-UDAIPUR"/>
    <d v="2021-02-26T00:00:00"/>
  </r>
  <r>
    <s v="814643140855"/>
    <x v="3051"/>
    <s v="SHIV STONE AND BUILDING MATERI"/>
    <n v="140855"/>
    <s v="MAHALAXMI CEMENT SUPPLIERS"/>
    <n v="50"/>
    <n v="2.25"/>
    <n v="0"/>
    <n v="87.25"/>
    <n v="0"/>
    <n v="0"/>
    <n v="100"/>
    <n v="0"/>
    <n v="0"/>
    <n v="85"/>
    <n v="0"/>
    <n v="0"/>
    <n v="10"/>
    <n v="0"/>
    <n v="0"/>
    <n v="62"/>
    <n v="0"/>
    <n v="0"/>
    <n v="20"/>
    <n v="0"/>
    <n v="0"/>
    <n v="56.5"/>
    <n v="4"/>
    <n v="2.5"/>
    <n v="470.75"/>
    <n v="2.25"/>
    <n v="0"/>
    <s v="UDAIPUR"/>
    <s v="UDAIPUR"/>
    <s v="RJ-UDAIPUR"/>
    <d v="2021-02-26T00:00:00"/>
  </r>
  <r>
    <s v="814702205989"/>
    <x v="3052"/>
    <s v="NARAYAN LAL TELI"/>
    <n v="205989"/>
    <s v="JAGDISH BUILDING MATERIAL SUPP"/>
    <n v="0"/>
    <n v="0"/>
    <n v="0"/>
    <n v="0"/>
    <n v="0"/>
    <n v="0"/>
    <n v="2.5"/>
    <n v="0"/>
    <n v="0"/>
    <n v="0"/>
    <n v="0"/>
    <n v="0"/>
    <n v="4"/>
    <n v="0"/>
    <n v="0"/>
    <n v="0"/>
    <n v="0"/>
    <n v="0"/>
    <n v="10"/>
    <n v="0"/>
    <n v="0"/>
    <n v="0"/>
    <n v="0"/>
    <n v="0"/>
    <n v="16.5"/>
    <n v="0"/>
    <n v="0"/>
    <s v="UDAIPUR"/>
    <s v="UDAIPUR"/>
    <s v="RJ-UDAIPUR"/>
    <d v="2021-03-05T00:00:00"/>
  </r>
  <r>
    <s v="814709146968"/>
    <x v="3053"/>
    <s v="LAVISH BUILDING MATERIAL"/>
    <n v="146968"/>
    <s v="BHARAT BUILDCON"/>
    <n v="0"/>
    <n v="0"/>
    <n v="0"/>
    <n v="0"/>
    <n v="0"/>
    <n v="0"/>
    <n v="0"/>
    <n v="0"/>
    <n v="0"/>
    <n v="0"/>
    <n v="0"/>
    <n v="0"/>
    <n v="15"/>
    <n v="0"/>
    <n v="0"/>
    <n v="42.5"/>
    <n v="10"/>
    <n v="0"/>
    <n v="77.75"/>
    <n v="2.75"/>
    <n v="0"/>
    <n v="22.5"/>
    <n v="0"/>
    <n v="0"/>
    <n v="157.75"/>
    <n v="12.75"/>
    <n v="0"/>
    <s v="UDAIPUR"/>
    <s v="UDAIPUR"/>
    <s v="RJ-UDAIPUR"/>
    <d v="2021-03-06T00:00:00"/>
  </r>
  <r>
    <s v="814766206073"/>
    <x v="3054"/>
    <s v="VIJAY SEN"/>
    <n v="206073"/>
    <s v="SHREE TIRUPATI BALAJI BUILDING"/>
    <n v="92"/>
    <n v="10"/>
    <n v="0"/>
    <n v="55"/>
    <n v="45"/>
    <n v="0"/>
    <n v="127"/>
    <n v="69.5"/>
    <n v="10"/>
    <n v="48"/>
    <n v="0"/>
    <n v="10"/>
    <n v="20.5"/>
    <n v="0"/>
    <n v="5.5"/>
    <n v="70"/>
    <n v="18"/>
    <n v="0"/>
    <n v="55"/>
    <n v="25"/>
    <n v="0"/>
    <n v="30"/>
    <n v="0"/>
    <n v="0"/>
    <n v="497.5"/>
    <n v="167.5"/>
    <n v="25.5"/>
    <s v="UDAIPUR"/>
    <s v="UDAIPUR"/>
    <s v="RJ-UDAIPUR"/>
    <d v="2021-03-16T00:00:00"/>
  </r>
  <r>
    <s v="814773178287"/>
    <x v="3055"/>
    <s v="HANUMAN BUILDING MATERIAL"/>
    <n v="178287"/>
    <s v="ADINATH BUILDCON"/>
    <n v="60"/>
    <n v="0"/>
    <n v="0"/>
    <n v="15"/>
    <n v="0"/>
    <n v="0"/>
    <n v="14"/>
    <n v="0"/>
    <n v="0"/>
    <n v="6"/>
    <n v="0"/>
    <n v="0"/>
    <n v="0"/>
    <n v="0"/>
    <n v="0"/>
    <n v="0"/>
    <n v="0"/>
    <n v="0"/>
    <n v="0"/>
    <n v="0"/>
    <n v="0"/>
    <n v="0"/>
    <n v="0"/>
    <n v="0"/>
    <n v="95"/>
    <n v="0"/>
    <n v="0"/>
    <s v="UDAIPUR"/>
    <s v="UDAIPUR"/>
    <s v="RJ-UDAIPUR"/>
    <d v="2021-03-16T00:00:00"/>
  </r>
  <r>
    <s v="814875140860"/>
    <x v="3056"/>
    <s v="SANWARIYA STONE AND CEMENT SUP"/>
    <n v="140860"/>
    <s v="VIPUL CEMENT SUPPLIERS"/>
    <n v="0"/>
    <n v="0"/>
    <n v="0"/>
    <n v="0"/>
    <n v="0"/>
    <n v="0"/>
    <n v="20"/>
    <n v="0"/>
    <n v="0"/>
    <n v="8"/>
    <n v="0"/>
    <n v="0"/>
    <n v="0"/>
    <n v="0"/>
    <n v="0"/>
    <n v="0"/>
    <n v="0"/>
    <n v="0"/>
    <n v="0"/>
    <n v="0"/>
    <n v="0"/>
    <n v="0"/>
    <n v="0"/>
    <n v="0"/>
    <n v="28"/>
    <n v="0"/>
    <n v="0"/>
    <s v="UDAIPUR"/>
    <s v="UDAIPUR"/>
    <s v="RJ-UDAIPUR"/>
    <d v="2021-03-31T00:00:00"/>
  </r>
  <r>
    <s v="814876140967"/>
    <x v="3057"/>
    <s v="MADHU LAL MEENA"/>
    <n v="140967"/>
    <s v="B.L.JAIN &amp; SONS"/>
    <n v="10"/>
    <n v="0"/>
    <n v="0"/>
    <n v="0"/>
    <n v="0"/>
    <n v="0"/>
    <n v="10"/>
    <n v="0"/>
    <n v="0"/>
    <n v="10"/>
    <n v="0"/>
    <n v="0"/>
    <n v="0"/>
    <n v="0"/>
    <n v="0"/>
    <n v="0"/>
    <n v="0"/>
    <n v="0"/>
    <n v="0"/>
    <n v="0"/>
    <n v="0"/>
    <n v="35"/>
    <n v="0"/>
    <n v="0"/>
    <n v="65"/>
    <n v="0"/>
    <n v="0"/>
    <s v="UDAIPUR"/>
    <s v="UDAIPUR"/>
    <s v="RJ-UDAIPUR"/>
    <d v="2021-03-31T00:00:00"/>
  </r>
  <r>
    <s v="814913205966"/>
    <x v="3058"/>
    <s v="THE TIGER CONSTRUCTION"/>
    <n v="205966"/>
    <s v="POKHARNA CEMENT SUPPLIERS"/>
    <n v="5"/>
    <n v="0"/>
    <n v="0"/>
    <n v="10"/>
    <n v="0"/>
    <n v="0"/>
    <n v="25"/>
    <n v="0"/>
    <n v="0"/>
    <n v="25"/>
    <n v="0"/>
    <n v="0"/>
    <n v="17.5"/>
    <n v="0"/>
    <n v="0"/>
    <n v="15"/>
    <n v="0"/>
    <n v="0"/>
    <n v="15"/>
    <n v="0"/>
    <n v="0"/>
    <n v="7.5"/>
    <n v="0"/>
    <n v="0"/>
    <n v="120"/>
    <n v="0"/>
    <n v="0"/>
    <s v="UDAIPUR"/>
    <s v="UDAIPUR"/>
    <s v="RJ-UDAIPUR"/>
    <d v="2021-04-07T00:00:00"/>
  </r>
  <r>
    <s v="814914179560"/>
    <x v="3059"/>
    <s v="PRAJAPATI BUILDING MATERIAL"/>
    <n v="179560"/>
    <s v="TIRUPATI TRADING COMPANY"/>
    <n v="15"/>
    <n v="0"/>
    <n v="0"/>
    <n v="70"/>
    <n v="0"/>
    <n v="0"/>
    <n v="70"/>
    <n v="0"/>
    <n v="0"/>
    <n v="42.5"/>
    <n v="0"/>
    <n v="0"/>
    <n v="52.9"/>
    <n v="0"/>
    <n v="0"/>
    <n v="57.5"/>
    <n v="0"/>
    <n v="0"/>
    <n v="60"/>
    <n v="0"/>
    <n v="0"/>
    <n v="98"/>
    <n v="0"/>
    <n v="0"/>
    <n v="465.9"/>
    <n v="0"/>
    <n v="0"/>
    <s v="UDAIPUR"/>
    <s v="UDAIPUR"/>
    <s v="RJ-UDAIPUR"/>
    <d v="2021-04-07T00:00:00"/>
  </r>
  <r>
    <s v="814914204034"/>
    <x v="3059"/>
    <s v="PRAJAPATI BUILDING MATERIAL"/>
    <n v="204034"/>
    <s v="PATEL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1-04-07T00:00:00"/>
  </r>
  <r>
    <s v="814916205992"/>
    <x v="3060"/>
    <s v="AMBIKA KIRANA STORE AND BUILDI"/>
    <n v="205992"/>
    <s v="SISPURIA BUILDING MATERIAL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UDAIPUR"/>
    <s v="UDAIPUR"/>
    <s v="RJ-UDAIPUR"/>
    <d v="2021-04-08T00:00:00"/>
  </r>
  <r>
    <s v="815278206073"/>
    <x v="3061"/>
    <s v="SHYAM STONE AND CEMENT SUPPLIE"/>
    <n v="206073"/>
    <s v="SHREE TIRUPATI BALAJI BUILDING"/>
    <n v="5"/>
    <n v="0"/>
    <n v="0"/>
    <n v="20"/>
    <n v="0"/>
    <n v="0"/>
    <n v="0"/>
    <n v="0"/>
    <n v="0"/>
    <n v="0"/>
    <n v="0"/>
    <n v="0"/>
    <n v="0"/>
    <n v="0"/>
    <n v="0"/>
    <n v="24"/>
    <n v="0"/>
    <n v="0"/>
    <n v="0"/>
    <n v="0"/>
    <n v="0"/>
    <n v="55"/>
    <n v="10"/>
    <n v="0"/>
    <n v="104"/>
    <n v="0"/>
    <n v="0"/>
    <s v="UDAIPUR"/>
    <s v="UDAIPUR"/>
    <s v="RJ-UDAIPUR"/>
    <d v="2021-06-26T00:00:00"/>
  </r>
  <r>
    <s v="815402173729"/>
    <x v="3062"/>
    <s v="V K TRADERS"/>
    <n v="173729"/>
    <s v="V. KAMLESH &amp; COMPANY"/>
    <n v="160"/>
    <n v="0"/>
    <n v="0"/>
    <n v="145"/>
    <n v="0"/>
    <n v="0"/>
    <n v="150"/>
    <n v="0"/>
    <n v="0"/>
    <n v="0"/>
    <n v="0"/>
    <n v="0"/>
    <n v="33.5"/>
    <n v="0"/>
    <n v="0"/>
    <n v="30"/>
    <n v="0"/>
    <n v="0"/>
    <n v="45"/>
    <n v="10"/>
    <n v="0"/>
    <n v="31.5"/>
    <n v="11.5"/>
    <n v="0"/>
    <n v="595"/>
    <n v="10"/>
    <n v="0"/>
    <s v="UDAIPUR"/>
    <s v="UDAIPUR"/>
    <s v="RJ-UDAIPUR"/>
    <d v="2021-07-05T00:00:00"/>
  </r>
  <r>
    <s v="815416140855"/>
    <x v="3063"/>
    <s v="JAI ZAWAR MATA BUILDING MATERI"/>
    <n v="140855"/>
    <s v="MAHALAXMI CEMENT SUPPLIERS"/>
    <n v="0"/>
    <n v="0"/>
    <n v="0"/>
    <n v="0"/>
    <n v="0"/>
    <n v="0"/>
    <n v="0"/>
    <n v="0"/>
    <n v="0"/>
    <n v="0"/>
    <n v="0"/>
    <n v="0"/>
    <n v="20"/>
    <n v="0"/>
    <n v="0"/>
    <n v="10"/>
    <n v="0"/>
    <n v="0"/>
    <n v="10"/>
    <n v="0"/>
    <n v="0"/>
    <n v="0"/>
    <n v="0"/>
    <n v="0"/>
    <n v="40"/>
    <n v="0"/>
    <n v="0"/>
    <s v="UDAIPUR"/>
    <s v="UDAIPUR"/>
    <s v="RJ-UDAIPUR"/>
    <d v="2021-07-06T00:00:00"/>
  </r>
  <r>
    <s v="815418140958"/>
    <x v="3064"/>
    <s v="SHRI SAI BUILDING MATERIAL"/>
    <n v="140958"/>
    <s v="HEMRAJ SUTHAR CONTRACTOR"/>
    <n v="50"/>
    <n v="3"/>
    <n v="0"/>
    <n v="73"/>
    <n v="10"/>
    <n v="0"/>
    <n v="40"/>
    <n v="3"/>
    <n v="0"/>
    <n v="40"/>
    <n v="0"/>
    <n v="0"/>
    <n v="0"/>
    <n v="0"/>
    <n v="0"/>
    <n v="0"/>
    <n v="0"/>
    <n v="0"/>
    <n v="60"/>
    <n v="0"/>
    <n v="0"/>
    <n v="30"/>
    <n v="0"/>
    <n v="0"/>
    <n v="293"/>
    <n v="16"/>
    <n v="0"/>
    <s v="UDAIPUR"/>
    <s v="UDAIPUR"/>
    <s v="RJ-UDAIPUR"/>
    <d v="2021-07-07T00:00:00"/>
  </r>
  <r>
    <s v="815431205969"/>
    <x v="3065"/>
    <s v="RASHIDA BAI QAYUM ALI"/>
    <n v="205969"/>
    <s v="AKBAR ALI KHAKHADWALA AND SONS"/>
    <n v="50"/>
    <n v="0"/>
    <n v="0"/>
    <n v="30"/>
    <n v="0"/>
    <n v="0"/>
    <n v="37.5"/>
    <n v="0"/>
    <n v="0"/>
    <n v="25"/>
    <n v="0"/>
    <n v="0"/>
    <n v="10"/>
    <n v="0"/>
    <n v="0"/>
    <n v="43"/>
    <n v="0"/>
    <n v="0"/>
    <n v="40"/>
    <n v="0"/>
    <n v="0"/>
    <n v="37"/>
    <n v="0"/>
    <n v="0"/>
    <n v="272.5"/>
    <n v="0"/>
    <n v="0"/>
    <s v="UDAIPUR"/>
    <s v="UDAIPUR"/>
    <s v="RJ-UDAIPUR"/>
    <d v="2021-07-07T00:00:00"/>
  </r>
  <r>
    <s v="815469208776"/>
    <x v="3066"/>
    <s v="MAHIMA CONSTRUCTION"/>
    <n v="208776"/>
    <s v="ABHIS BUILDTECH"/>
    <n v="0"/>
    <n v="0"/>
    <n v="0"/>
    <n v="0"/>
    <n v="0"/>
    <n v="0"/>
    <n v="0"/>
    <n v="0"/>
    <n v="0"/>
    <n v="35"/>
    <n v="7.5"/>
    <n v="0"/>
    <n v="7.5"/>
    <n v="0"/>
    <n v="0"/>
    <n v="0"/>
    <n v="0"/>
    <n v="0"/>
    <n v="40"/>
    <n v="0"/>
    <n v="0"/>
    <n v="22.5"/>
    <n v="0.5"/>
    <n v="2.5"/>
    <n v="105"/>
    <n v="7.5"/>
    <n v="0"/>
    <s v="UDAIPUR"/>
    <s v="UDAIPUR"/>
    <s v="RJ-UDAIPUR"/>
    <d v="2021-07-12T00:00:00"/>
  </r>
  <r>
    <s v="815470206073"/>
    <x v="3067"/>
    <s v="KULDEVI TRADERS"/>
    <n v="206073"/>
    <s v="SHREE TIRUPATI BALAJI BUILDING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10"/>
    <n v="0"/>
    <n v="0"/>
    <n v="0"/>
    <n v="0"/>
    <n v="0"/>
    <n v="20"/>
    <n v="0"/>
    <n v="0"/>
    <s v="UDAIPUR"/>
    <s v="UDAIPUR"/>
    <s v="RJ-UDAIPUR"/>
    <d v="2021-07-12T00:00:00"/>
  </r>
  <r>
    <s v="815471205992"/>
    <x v="3068"/>
    <s v="LAXMI CONSTRUCTION"/>
    <n v="205992"/>
    <s v="SISPURIA BUILDING MATERIAL"/>
    <n v="35"/>
    <n v="10"/>
    <n v="0"/>
    <n v="105"/>
    <n v="0"/>
    <n v="0"/>
    <n v="30"/>
    <n v="0"/>
    <n v="0"/>
    <n v="32"/>
    <n v="0"/>
    <n v="0"/>
    <n v="0"/>
    <n v="0"/>
    <n v="0"/>
    <n v="0"/>
    <n v="0"/>
    <n v="0"/>
    <n v="0"/>
    <n v="0"/>
    <n v="0"/>
    <n v="0"/>
    <n v="0"/>
    <n v="0"/>
    <n v="202"/>
    <n v="10"/>
    <n v="0"/>
    <s v="UDAIPUR"/>
    <s v="UDAIPUR"/>
    <s v="RJ-UDAIPUR"/>
    <d v="2021-07-12T00:00:00"/>
  </r>
  <r>
    <s v="815472179784"/>
    <x v="3069"/>
    <s v="SURAJMAL"/>
    <n v="179784"/>
    <s v="NEW KRISHNA STONE AND BUILDING"/>
    <n v="19"/>
    <n v="0"/>
    <n v="0"/>
    <n v="10"/>
    <n v="4"/>
    <n v="0"/>
    <n v="32"/>
    <n v="2"/>
    <n v="0"/>
    <n v="0"/>
    <n v="0"/>
    <n v="0"/>
    <n v="0"/>
    <n v="0"/>
    <n v="0"/>
    <n v="7.5"/>
    <n v="0"/>
    <n v="0"/>
    <n v="27"/>
    <n v="0"/>
    <n v="0"/>
    <n v="19"/>
    <n v="0"/>
    <n v="0"/>
    <n v="114.5"/>
    <n v="6"/>
    <n v="0"/>
    <s v="UDAIPUR"/>
    <s v="UDAIPUR"/>
    <s v="RJ-UDAIPUR"/>
    <d v="2021-07-12T00:00:00"/>
  </r>
  <r>
    <s v="815665140967"/>
    <x v="3070"/>
    <s v="MATESHWARI CEMENT SUPPLIERS"/>
    <n v="140967"/>
    <s v="B.L.JAIN &amp; SONS"/>
    <n v="10"/>
    <n v="0"/>
    <n v="0"/>
    <n v="0"/>
    <n v="0"/>
    <n v="0"/>
    <n v="0"/>
    <n v="0"/>
    <n v="0"/>
    <n v="45"/>
    <n v="0"/>
    <n v="0"/>
    <n v="47"/>
    <n v="0"/>
    <n v="0"/>
    <n v="23.5"/>
    <n v="0"/>
    <n v="0"/>
    <n v="0"/>
    <n v="0"/>
    <n v="0"/>
    <n v="0"/>
    <n v="0"/>
    <n v="0"/>
    <n v="125.5"/>
    <n v="0"/>
    <n v="0"/>
    <s v="UDAIPUR"/>
    <s v="UDAIPUR"/>
    <s v="RJ-UDAIPUR"/>
    <d v="2021-07-26T00:00:00"/>
  </r>
  <r>
    <s v="815666140858"/>
    <x v="3071"/>
    <s v="NEMINATH TRADING &amp; CEMENT SUPP"/>
    <n v="140858"/>
    <s v="RAMESH CHANDRA JAI CHAND"/>
    <n v="90"/>
    <n v="2"/>
    <n v="0"/>
    <n v="72"/>
    <n v="0"/>
    <n v="0"/>
    <n v="115"/>
    <n v="15"/>
    <n v="5"/>
    <n v="30"/>
    <n v="0"/>
    <n v="0"/>
    <n v="55.35"/>
    <n v="42.85"/>
    <n v="0"/>
    <n v="33.9"/>
    <n v="20"/>
    <n v="10"/>
    <n v="49"/>
    <n v="11.5"/>
    <n v="8.5"/>
    <n v="52.5"/>
    <n v="0"/>
    <n v="4"/>
    <n v="497.75"/>
    <n v="91.35"/>
    <n v="23.5"/>
    <s v="UDAIPUR"/>
    <s v="UDAIPUR"/>
    <s v="RJ-UDAIPUR"/>
    <d v="2021-07-26T00:00:00"/>
  </r>
  <r>
    <s v="815817208776"/>
    <x v="3072"/>
    <s v="BAYA CEMENT SUPPLIERS"/>
    <n v="208776"/>
    <s v="ABHIS BUILDTECH"/>
    <n v="27.5"/>
    <n v="0"/>
    <n v="0"/>
    <n v="0"/>
    <n v="6.5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57.5"/>
    <n v="6.5"/>
    <n v="0"/>
    <s v="UDAIPUR"/>
    <s v="UDAIPUR"/>
    <s v="RJ-UDAIPUR"/>
    <d v="2021-08-03T00:00:00"/>
  </r>
  <r>
    <s v="815818208776"/>
    <x v="3073"/>
    <s v="DRISHTI ENTERPRISES"/>
    <n v="208776"/>
    <s v="ABHIS BUILDTECH"/>
    <n v="67.5"/>
    <n v="0"/>
    <n v="0"/>
    <n v="65"/>
    <n v="0"/>
    <n v="0"/>
    <n v="45"/>
    <n v="0"/>
    <n v="0"/>
    <n v="70"/>
    <n v="0"/>
    <n v="0"/>
    <n v="70"/>
    <n v="15"/>
    <n v="0"/>
    <n v="30"/>
    <n v="0"/>
    <n v="0"/>
    <n v="42.5"/>
    <n v="0"/>
    <n v="0"/>
    <n v="100"/>
    <n v="0"/>
    <n v="0"/>
    <n v="490"/>
    <n v="15"/>
    <n v="0"/>
    <s v="UDAIPUR"/>
    <s v="UDAIPUR"/>
    <s v="RJ-UDAIPUR"/>
    <d v="2021-08-03T00:00:00"/>
  </r>
  <r>
    <s v="815826204034"/>
    <x v="3074"/>
    <s v="CHANDRA CEMENT AND SANITARY"/>
    <n v="204034"/>
    <s v="PATEL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1-08-03T00:00:00"/>
  </r>
  <r>
    <s v="815840208776"/>
    <x v="3075"/>
    <s v="GUJARAT IRON STORE"/>
    <n v="208776"/>
    <s v="ABHIS BUILDTECH"/>
    <n v="155.85"/>
    <n v="0"/>
    <n v="0"/>
    <n v="182"/>
    <n v="5.35"/>
    <n v="0"/>
    <n v="170"/>
    <n v="17.899999999999999"/>
    <n v="3.5"/>
    <n v="183.5"/>
    <n v="7.5"/>
    <n v="1"/>
    <n v="159.5"/>
    <n v="0"/>
    <n v="0"/>
    <n v="201.5"/>
    <n v="0"/>
    <n v="3.5"/>
    <n v="155"/>
    <n v="2.25"/>
    <n v="1.5"/>
    <n v="158"/>
    <n v="11"/>
    <n v="7"/>
    <n v="1365.35"/>
    <n v="33"/>
    <n v="9.5"/>
    <s v="UDAIPUR"/>
    <s v="UDAIPUR"/>
    <s v="RJ-UDAIPUR"/>
    <d v="2021-08-04T00:00:00"/>
  </r>
  <r>
    <s v="815841147364"/>
    <x v="3076"/>
    <s v="SHANTI STONE AND STEEL"/>
    <n v="147364"/>
    <s v="RAJASTHAN ROYAL BUILDHOME SOLU"/>
    <n v="15"/>
    <n v="0"/>
    <n v="0"/>
    <n v="5"/>
    <n v="0"/>
    <n v="0"/>
    <n v="27.5"/>
    <n v="0"/>
    <n v="0"/>
    <n v="27.5"/>
    <n v="0"/>
    <n v="0"/>
    <n v="10"/>
    <n v="0"/>
    <n v="0"/>
    <n v="10"/>
    <n v="0"/>
    <n v="0"/>
    <n v="20"/>
    <n v="0"/>
    <n v="0"/>
    <n v="20"/>
    <n v="0"/>
    <n v="0"/>
    <n v="135"/>
    <n v="0"/>
    <n v="0"/>
    <s v="UDAIPUR"/>
    <s v="UDAIPUR"/>
    <s v="RJ-UDAIPUR"/>
    <d v="2021-08-04T00:00:00"/>
  </r>
  <r>
    <s v="815907208776"/>
    <x v="3077"/>
    <s v="SAINATH TRADERS"/>
    <n v="208776"/>
    <s v="ABHIS BUILDTECH"/>
    <n v="60"/>
    <n v="1.5"/>
    <n v="0"/>
    <n v="70"/>
    <n v="0"/>
    <n v="0"/>
    <n v="65"/>
    <n v="0"/>
    <n v="1"/>
    <n v="70"/>
    <n v="0"/>
    <n v="15"/>
    <n v="75"/>
    <n v="7.5"/>
    <n v="5"/>
    <n v="80.5"/>
    <n v="0"/>
    <n v="2"/>
    <n v="60"/>
    <n v="0"/>
    <n v="7.5"/>
    <n v="70"/>
    <n v="0"/>
    <n v="0"/>
    <n v="550.5"/>
    <n v="9"/>
    <n v="30.5"/>
    <s v="UDAIPUR"/>
    <s v="UDAIPUR"/>
    <s v="RJ-UDAIPUR"/>
    <d v="2021-08-11T00:00:00"/>
  </r>
  <r>
    <s v="815958204034"/>
    <x v="3078"/>
    <s v="PARAS BUILDING MATERIAL"/>
    <n v="204034"/>
    <s v="PATEL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1-08-17T00:00:00"/>
  </r>
  <r>
    <s v="815958208776"/>
    <x v="3078"/>
    <s v="PARAS BUILDING MATERIAL"/>
    <n v="208776"/>
    <s v="ABHIS BUILDTECH"/>
    <n v="0"/>
    <n v="0"/>
    <n v="0"/>
    <n v="17.5"/>
    <n v="0"/>
    <n v="0"/>
    <n v="40"/>
    <n v="0"/>
    <n v="0"/>
    <n v="52.5"/>
    <n v="0"/>
    <n v="0"/>
    <n v="70.5"/>
    <n v="0"/>
    <n v="0"/>
    <n v="37.5"/>
    <n v="0"/>
    <n v="0"/>
    <n v="32.5"/>
    <n v="0"/>
    <n v="0"/>
    <n v="52.5"/>
    <n v="0"/>
    <n v="0"/>
    <n v="303"/>
    <n v="0"/>
    <n v="0"/>
    <s v="UDAIPUR"/>
    <s v="UDAIPUR"/>
    <s v="RJ-UDAIPUR"/>
    <d v="2021-08-17T00:00:00"/>
  </r>
  <r>
    <s v="815959170501"/>
    <x v="3079"/>
    <s v="VIKAS KRASHI SEWA KENDAR"/>
    <n v="170501"/>
    <s v="GURU OM KRIPA CEMENT SUPPLIERS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s v="UDAIPUR"/>
    <s v="UDAIPUR"/>
    <s v="RJ-UDAIPUR"/>
    <d v="2021-08-17T00:00:00"/>
  </r>
  <r>
    <s v="816139140860"/>
    <x v="3080"/>
    <s v="NANU RAM RAWAT"/>
    <n v="140860"/>
    <s v="VIPUL CEMENT SUPPLIERS"/>
    <n v="0"/>
    <n v="0"/>
    <n v="0"/>
    <n v="0"/>
    <n v="0"/>
    <n v="0"/>
    <n v="30"/>
    <n v="0"/>
    <n v="0"/>
    <n v="0"/>
    <n v="0"/>
    <n v="0"/>
    <n v="5"/>
    <n v="0"/>
    <n v="0"/>
    <n v="10"/>
    <n v="0"/>
    <n v="0"/>
    <n v="12.5"/>
    <n v="0"/>
    <n v="0"/>
    <n v="0"/>
    <n v="0"/>
    <n v="0"/>
    <n v="57.5"/>
    <n v="0"/>
    <n v="0"/>
    <s v="UDAIPUR"/>
    <s v="UDAIPUR"/>
    <s v="RJ-UDAIPUR"/>
    <d v="2021-08-26T00:00:00"/>
  </r>
  <r>
    <s v="816140140856"/>
    <x v="3081"/>
    <s v="SHREE KALYAN BUILDING MATERIAL"/>
    <n v="140856"/>
    <s v="TIRUPATI BUILDING MATERIAL SUP"/>
    <n v="65"/>
    <n v="3.5"/>
    <n v="0"/>
    <n v="123.5"/>
    <n v="0"/>
    <n v="0"/>
    <n v="212"/>
    <n v="10.5"/>
    <n v="0"/>
    <n v="87"/>
    <n v="0"/>
    <n v="5"/>
    <n v="70"/>
    <n v="0"/>
    <n v="0"/>
    <n v="75.5"/>
    <n v="0"/>
    <n v="0"/>
    <n v="70"/>
    <n v="0"/>
    <n v="0"/>
    <n v="55"/>
    <n v="0"/>
    <n v="0"/>
    <n v="758"/>
    <n v="14"/>
    <n v="5"/>
    <s v="UDAIPUR"/>
    <s v="UDAIPUR"/>
    <s v="RJ-UDAIPUR"/>
    <d v="2021-08-26T00:00:00"/>
  </r>
  <r>
    <s v="816247141115"/>
    <x v="3082"/>
    <s v="SHIV SHANKAR BUILDING MATERIAL"/>
    <n v="141115"/>
    <s v="KALPESH CEMENT AGENCY"/>
    <n v="0"/>
    <n v="0"/>
    <n v="0"/>
    <n v="0"/>
    <n v="0"/>
    <n v="0"/>
    <n v="25"/>
    <n v="0"/>
    <n v="0"/>
    <n v="36"/>
    <n v="0"/>
    <n v="0"/>
    <n v="0"/>
    <n v="0"/>
    <n v="0"/>
    <n v="0"/>
    <n v="0"/>
    <n v="0"/>
    <n v="0"/>
    <n v="0"/>
    <n v="0"/>
    <n v="0"/>
    <n v="0"/>
    <n v="0"/>
    <n v="61"/>
    <n v="0"/>
    <n v="0"/>
    <s v="UDAIPUR"/>
    <s v="UDAIPUR"/>
    <s v="RJ-UDAIPUR"/>
    <d v="2021-09-02T00:00:00"/>
  </r>
  <r>
    <s v="816248179560"/>
    <x v="3083"/>
    <s v="ADINDA PARSHWANATH TRADERS"/>
    <n v="179560"/>
    <s v="TIRUPATI TRADING COMPANY"/>
    <n v="50"/>
    <n v="11.25"/>
    <n v="0"/>
    <n v="46.25"/>
    <n v="0"/>
    <n v="0"/>
    <n v="120"/>
    <n v="5"/>
    <n v="0"/>
    <n v="115"/>
    <n v="0"/>
    <n v="0"/>
    <n v="100"/>
    <n v="0"/>
    <n v="0"/>
    <n v="106"/>
    <n v="0"/>
    <n v="0"/>
    <n v="85"/>
    <n v="5"/>
    <n v="0"/>
    <n v="122.5"/>
    <n v="0"/>
    <n v="0"/>
    <n v="744.75"/>
    <n v="21.25"/>
    <n v="0"/>
    <s v="UDAIPUR"/>
    <s v="UDAIPUR"/>
    <s v="RJ-UDAIPUR"/>
    <d v="2021-09-02T00:00:00"/>
  </r>
  <r>
    <s v="816250140967"/>
    <x v="3084"/>
    <s v="JAYANTI LAL JAVERCHAND JAIN"/>
    <n v="140967"/>
    <s v="B.L.JAIN &amp; SONS"/>
    <n v="0"/>
    <n v="0"/>
    <n v="0"/>
    <n v="0"/>
    <n v="0"/>
    <n v="0"/>
    <n v="0"/>
    <n v="0"/>
    <n v="0"/>
    <n v="35"/>
    <n v="0"/>
    <n v="0"/>
    <n v="82.5"/>
    <n v="2.5"/>
    <n v="0"/>
    <n v="0"/>
    <n v="0"/>
    <n v="0"/>
    <n v="45"/>
    <n v="0"/>
    <n v="0"/>
    <n v="25"/>
    <n v="0"/>
    <n v="0"/>
    <n v="187.5"/>
    <n v="2.5"/>
    <n v="0"/>
    <s v="UDAIPUR"/>
    <s v="UDAIPUR"/>
    <s v="RJ-UDAIPUR"/>
    <d v="2021-09-02T00:00:00"/>
  </r>
  <r>
    <s v="816251140859"/>
    <x v="3085"/>
    <s v="GOTAM LAL"/>
    <n v="140859"/>
    <s v="KESHRIYA JI HARDWARE &amp; METAL S"/>
    <n v="20"/>
    <n v="0"/>
    <n v="0"/>
    <n v="10"/>
    <n v="0"/>
    <n v="0"/>
    <n v="85"/>
    <n v="9"/>
    <n v="0"/>
    <n v="0"/>
    <n v="0"/>
    <n v="0"/>
    <n v="0"/>
    <n v="0"/>
    <n v="0"/>
    <n v="12"/>
    <n v="0"/>
    <n v="0"/>
    <n v="10"/>
    <n v="0"/>
    <n v="0"/>
    <n v="10"/>
    <n v="0"/>
    <n v="0"/>
    <n v="147"/>
    <n v="9"/>
    <n v="0"/>
    <s v="UDAIPUR"/>
    <s v="UDAIPUR"/>
    <s v="RJ-UDAIPUR"/>
    <d v="2021-09-02T00:00:00"/>
  </r>
  <r>
    <s v="816275178226"/>
    <x v="3086"/>
    <s v="RISHABH DEV TRADING CO"/>
    <n v="178226"/>
    <s v="PANKAJ TRADING COMPANY"/>
    <n v="26"/>
    <n v="0"/>
    <n v="0"/>
    <n v="35.5"/>
    <n v="0"/>
    <n v="0"/>
    <n v="52.5"/>
    <n v="0"/>
    <n v="0"/>
    <n v="35"/>
    <n v="0"/>
    <n v="0"/>
    <n v="15"/>
    <n v="0"/>
    <n v="0"/>
    <n v="35"/>
    <n v="0"/>
    <n v="0"/>
    <n v="45"/>
    <n v="0"/>
    <n v="0"/>
    <n v="20"/>
    <n v="0"/>
    <n v="0"/>
    <n v="264"/>
    <n v="0"/>
    <n v="0"/>
    <s v="UDAIPUR"/>
    <s v="UDAIPUR"/>
    <s v="RJ-UDAIPUR"/>
    <d v="2021-09-06T00:00:00"/>
  </r>
  <r>
    <s v="816276209166"/>
    <x v="3087"/>
    <s v="SHANTI LAL JAIN"/>
    <n v="209166"/>
    <s v="SHIV SHAKTI STONE SUPPLIERS"/>
    <n v="10"/>
    <n v="0"/>
    <n v="0"/>
    <n v="0"/>
    <n v="0"/>
    <n v="0"/>
    <n v="20"/>
    <n v="0"/>
    <n v="0"/>
    <n v="20"/>
    <n v="0"/>
    <n v="0"/>
    <n v="0"/>
    <n v="0"/>
    <n v="0"/>
    <n v="10"/>
    <n v="0"/>
    <n v="0"/>
    <n v="0"/>
    <n v="0"/>
    <n v="0"/>
    <n v="0"/>
    <n v="0"/>
    <n v="0"/>
    <n v="60"/>
    <n v="0"/>
    <n v="0"/>
    <s v="UDAIPUR"/>
    <s v="UDAIPUR"/>
    <s v="RJ-UDAIPUR"/>
    <d v="2021-09-06T00:00:00"/>
  </r>
  <r>
    <s v="816390140858"/>
    <x v="3088"/>
    <s v="SHREE GATOD SANITARY AND HARDW"/>
    <n v="140858"/>
    <s v="RAMESH CHANDRA JAI CHAND"/>
    <n v="0"/>
    <n v="0"/>
    <n v="0"/>
    <n v="0"/>
    <n v="0"/>
    <n v="0"/>
    <n v="10"/>
    <n v="0"/>
    <n v="0"/>
    <n v="25"/>
    <n v="0"/>
    <n v="0"/>
    <n v="0"/>
    <n v="0"/>
    <n v="0"/>
    <n v="0"/>
    <n v="0"/>
    <n v="0"/>
    <n v="10"/>
    <n v="0"/>
    <n v="0"/>
    <n v="10"/>
    <n v="0"/>
    <n v="0"/>
    <n v="55"/>
    <n v="0"/>
    <n v="0"/>
    <s v="UDAIPUR"/>
    <s v="UDAIPUR"/>
    <s v="RJ-UDAIPUR"/>
    <d v="2021-09-18T00:00:00"/>
  </r>
  <r>
    <s v="816407140859"/>
    <x v="3089"/>
    <s v="MAHIR CONSTRUCTION"/>
    <n v="140859"/>
    <s v="KESHRIYA JI HARDWARE &amp; METAL 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5"/>
    <n v="0"/>
    <n v="0"/>
    <n v="10"/>
    <n v="0"/>
    <n v="0"/>
    <n v="17.5"/>
    <n v="0"/>
    <n v="0"/>
    <s v="UDAIPUR"/>
    <s v="UDAIPUR"/>
    <s v="RJ-UDAIPUR"/>
    <d v="2021-09-20T00:00:00"/>
  </r>
  <r>
    <s v="816408206073"/>
    <x v="3090"/>
    <s v="SHREE JAGANNATH TRADERS"/>
    <n v="206073"/>
    <s v="SHREE TIRUPATI BALAJI BUILDING"/>
    <n v="0"/>
    <n v="0"/>
    <n v="0"/>
    <n v="5"/>
    <n v="0"/>
    <n v="0"/>
    <n v="15"/>
    <n v="0"/>
    <n v="0"/>
    <n v="50"/>
    <n v="1"/>
    <n v="0"/>
    <n v="41"/>
    <n v="1.5"/>
    <n v="0"/>
    <n v="91"/>
    <n v="0"/>
    <n v="0"/>
    <n v="15"/>
    <n v="0"/>
    <n v="5"/>
    <n v="24"/>
    <n v="0"/>
    <n v="0"/>
    <n v="241"/>
    <n v="2.5"/>
    <n v="5"/>
    <s v="UDAIPUR"/>
    <s v="UDAIPUR"/>
    <s v="RJ-UDAIPUR"/>
    <d v="2021-09-20T00:00:00"/>
  </r>
  <r>
    <s v="816733140967"/>
    <x v="3091"/>
    <s v="ADINATH TRADING"/>
    <n v="140967"/>
    <s v="B.L.JAIN &amp; SONS"/>
    <n v="2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s v="UDAIPUR"/>
    <s v="UDAIPUR"/>
    <s v="RJ-UDAIPUR"/>
    <d v="2021-10-14T00:00:00"/>
  </r>
  <r>
    <s v="816735140967"/>
    <x v="3092"/>
    <s v="SHREE GATOD CEMENT SUPPLIERS"/>
    <n v="140967"/>
    <s v="B.L.JAIN &amp; SONS"/>
    <n v="0"/>
    <n v="0"/>
    <n v="0"/>
    <n v="0"/>
    <n v="0"/>
    <n v="0"/>
    <n v="65"/>
    <n v="0"/>
    <n v="0"/>
    <n v="50"/>
    <n v="0"/>
    <n v="0"/>
    <n v="0"/>
    <n v="0"/>
    <n v="0"/>
    <n v="0"/>
    <n v="0"/>
    <n v="0"/>
    <n v="0"/>
    <n v="0"/>
    <n v="0"/>
    <n v="0"/>
    <n v="0"/>
    <n v="0"/>
    <n v="115"/>
    <n v="0"/>
    <n v="0"/>
    <s v="UDAIPUR"/>
    <s v="UDAIPUR"/>
    <s v="RJ-UDAIPUR"/>
    <d v="2021-10-14T00:00:00"/>
  </r>
  <r>
    <s v="816736209796"/>
    <x v="3093"/>
    <s v="PRAVITRA BUILDING MATERIAL SUP"/>
    <n v="209796"/>
    <s v="SHAKTAWAT BUILDING MATERIAL"/>
    <n v="75"/>
    <n v="10"/>
    <n v="0"/>
    <n v="90"/>
    <n v="20"/>
    <n v="0"/>
    <n v="75"/>
    <n v="0"/>
    <n v="10"/>
    <n v="41"/>
    <n v="0"/>
    <n v="6"/>
    <n v="26.5"/>
    <n v="6.5"/>
    <n v="0"/>
    <n v="38.5"/>
    <n v="0"/>
    <n v="8.5"/>
    <n v="16"/>
    <n v="0"/>
    <n v="6"/>
    <n v="35"/>
    <n v="0"/>
    <n v="15"/>
    <n v="397"/>
    <n v="36.5"/>
    <n v="30.5"/>
    <s v="UDAIPUR"/>
    <s v="UDAIPUR"/>
    <s v="RJ-UDAIPUR"/>
    <d v="2021-10-14T00:00:00"/>
  </r>
  <r>
    <s v="816738205992"/>
    <x v="3094"/>
    <s v="VIJAS BUILDING MATERIALS"/>
    <n v="205992"/>
    <s v="SISPURIA BUILDING MATERIAL"/>
    <n v="45"/>
    <n v="0"/>
    <n v="0"/>
    <n v="50"/>
    <n v="5"/>
    <n v="0"/>
    <n v="45"/>
    <n v="5"/>
    <n v="0"/>
    <n v="0"/>
    <n v="0"/>
    <n v="0"/>
    <n v="10"/>
    <n v="0"/>
    <n v="0"/>
    <n v="0"/>
    <n v="0"/>
    <n v="0"/>
    <n v="0"/>
    <n v="0"/>
    <n v="0"/>
    <n v="0"/>
    <n v="0"/>
    <n v="0"/>
    <n v="150"/>
    <n v="10"/>
    <n v="0"/>
    <s v="UDAIPUR"/>
    <s v="UDAIPUR"/>
    <s v="RJ-UDAIPUR"/>
    <d v="2021-10-15T00:00:00"/>
  </r>
  <r>
    <s v="816739205966"/>
    <x v="3095"/>
    <s v="LAXMI NARAYAN CONSTRUCTION"/>
    <n v="205966"/>
    <s v="POKHARNA CEMENT SUPPLIERS"/>
    <n v="20"/>
    <n v="0"/>
    <n v="0"/>
    <n v="30"/>
    <n v="0"/>
    <n v="0"/>
    <n v="15"/>
    <n v="0"/>
    <n v="0"/>
    <n v="0"/>
    <n v="0"/>
    <n v="0"/>
    <n v="5"/>
    <n v="0"/>
    <n v="0"/>
    <n v="0"/>
    <n v="0"/>
    <n v="0"/>
    <n v="0"/>
    <n v="0"/>
    <n v="0"/>
    <n v="0"/>
    <n v="0"/>
    <n v="0"/>
    <n v="70"/>
    <n v="0"/>
    <n v="0"/>
    <s v="UDAIPUR"/>
    <s v="UDAIPUR"/>
    <s v="RJ-UDAIPUR"/>
    <d v="2021-10-15T00:00:00"/>
  </r>
  <r>
    <s v="816740140848"/>
    <x v="3096"/>
    <s v="JAY MAA PIPALAAJ CONSTRUCTION"/>
    <n v="140848"/>
    <s v="PADAM CEMENT SUPPLIERS"/>
    <n v="20"/>
    <n v="0"/>
    <n v="0"/>
    <n v="100"/>
    <n v="0"/>
    <n v="0"/>
    <n v="92"/>
    <n v="0"/>
    <n v="0"/>
    <n v="48"/>
    <n v="0"/>
    <n v="0"/>
    <n v="10"/>
    <n v="0"/>
    <n v="0"/>
    <n v="29"/>
    <n v="0"/>
    <n v="0"/>
    <n v="15"/>
    <n v="0"/>
    <n v="0"/>
    <n v="45"/>
    <n v="0"/>
    <n v="0"/>
    <n v="359"/>
    <n v="0"/>
    <n v="0"/>
    <s v="UDAIPUR"/>
    <s v="UDAIPUR"/>
    <s v="RJ-UDAIPUR"/>
    <d v="2021-10-15T00:00:00"/>
  </r>
  <r>
    <s v="817211179560"/>
    <x v="3097"/>
    <s v="BALAJI CEMENT &amp; BUILDING MATER"/>
    <n v="179560"/>
    <s v="TIRUPATI TRADING COMPANY"/>
    <n v="15"/>
    <n v="0"/>
    <n v="0"/>
    <n v="30"/>
    <n v="0"/>
    <n v="0"/>
    <n v="57.5"/>
    <n v="0"/>
    <n v="0"/>
    <n v="52.5"/>
    <n v="0"/>
    <n v="0"/>
    <n v="40"/>
    <n v="0"/>
    <n v="0"/>
    <n v="37.5"/>
    <n v="0"/>
    <n v="0"/>
    <n v="12.5"/>
    <n v="0"/>
    <n v="0"/>
    <n v="37.5"/>
    <n v="0"/>
    <n v="0"/>
    <n v="282.5"/>
    <n v="0"/>
    <n v="0"/>
    <s v="UDAIPUR"/>
    <s v="UDAIPUR"/>
    <s v="RJ-UDAIPUR"/>
    <d v="2021-12-06T00:00:00"/>
  </r>
  <r>
    <s v="817211204034"/>
    <x v="3097"/>
    <s v="BALAJI CEMENT &amp; BUILDING MATER"/>
    <n v="204034"/>
    <s v="PATEL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1-12-06T00:00:00"/>
  </r>
  <r>
    <s v="817213119026"/>
    <x v="3098"/>
    <s v="MAHENDRA KUMAR"/>
    <n v="119026"/>
    <s v="FRIENDS SUPPLIERS CO.(L"/>
    <n v="77.5"/>
    <n v="0"/>
    <n v="0"/>
    <n v="20"/>
    <n v="5"/>
    <n v="0"/>
    <n v="60"/>
    <n v="0"/>
    <n v="10"/>
    <n v="95"/>
    <n v="0"/>
    <n v="0"/>
    <n v="80"/>
    <n v="0"/>
    <n v="0"/>
    <n v="75"/>
    <n v="0"/>
    <n v="0"/>
    <n v="39.450000000000003"/>
    <n v="5.45"/>
    <n v="0"/>
    <n v="34"/>
    <n v="0"/>
    <n v="0"/>
    <n v="480.95"/>
    <n v="10.45"/>
    <n v="10"/>
    <s v="UDAIPUR"/>
    <s v="UDAIPUR"/>
    <s v="RJ-UDAIPUR"/>
    <d v="2021-12-06T00:00:00"/>
  </r>
  <r>
    <s v="817214140967"/>
    <x v="3099"/>
    <s v="PRAKASH SANITARY AND HARDWARE"/>
    <n v="140967"/>
    <s v="B.L.JAIN &amp; SONS"/>
    <n v="10"/>
    <n v="0"/>
    <n v="0"/>
    <n v="0"/>
    <n v="0"/>
    <n v="0"/>
    <n v="10"/>
    <n v="0"/>
    <n v="0"/>
    <n v="40"/>
    <n v="0"/>
    <n v="0"/>
    <n v="10"/>
    <n v="0"/>
    <n v="0"/>
    <n v="26"/>
    <n v="0"/>
    <n v="0"/>
    <n v="0"/>
    <n v="0"/>
    <n v="0"/>
    <n v="0"/>
    <n v="0"/>
    <n v="0"/>
    <n v="96"/>
    <n v="0"/>
    <n v="0"/>
    <s v="UDAIPUR"/>
    <s v="UDAIPUR"/>
    <s v="RJ-UDAIPUR"/>
    <d v="2021-12-06T00:00:00"/>
  </r>
  <r>
    <s v="817233179560"/>
    <x v="3100"/>
    <s v="JAIN SANITARY &amp; CEMENT"/>
    <n v="179560"/>
    <s v="TIRUPATI TRADING COMPANY"/>
    <n v="27.5"/>
    <n v="0"/>
    <n v="0"/>
    <n v="10"/>
    <n v="0"/>
    <n v="0"/>
    <n v="35"/>
    <n v="10"/>
    <n v="0"/>
    <n v="35.5"/>
    <n v="7.5"/>
    <n v="0"/>
    <n v="25"/>
    <n v="0"/>
    <n v="0"/>
    <n v="22.5"/>
    <n v="5"/>
    <n v="0"/>
    <n v="16.25"/>
    <n v="0"/>
    <n v="1.25"/>
    <n v="22.35"/>
    <n v="0"/>
    <n v="0"/>
    <n v="194.1"/>
    <n v="22.5"/>
    <n v="1.25"/>
    <s v="UDAIPUR"/>
    <s v="UDAIPUR"/>
    <s v="RJ-UDAIPUR"/>
    <d v="2021-12-08T00:00:00"/>
  </r>
  <r>
    <s v="817273204034"/>
    <x v="3101"/>
    <s v="NAGDA BUILDING MATERIAL SUPPLI"/>
    <n v="204034"/>
    <s v="PATEL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1-12-11T00:00:00"/>
  </r>
  <r>
    <s v="817273208776"/>
    <x v="3101"/>
    <s v="NAGDA BUILDING MATERIAL SUPPLI"/>
    <n v="208776"/>
    <s v="ABHIS BUILDTECH"/>
    <n v="0"/>
    <n v="0"/>
    <n v="0"/>
    <n v="0"/>
    <n v="0"/>
    <n v="0"/>
    <n v="10"/>
    <n v="0"/>
    <n v="0"/>
    <n v="0"/>
    <n v="0"/>
    <n v="0"/>
    <n v="7.5"/>
    <n v="7.5"/>
    <n v="0"/>
    <n v="37.5"/>
    <n v="0"/>
    <n v="0"/>
    <n v="7.5"/>
    <n v="0"/>
    <n v="0"/>
    <n v="32.5"/>
    <n v="0"/>
    <n v="0"/>
    <n v="95"/>
    <n v="7.5"/>
    <n v="0"/>
    <s v="UDAIPUR"/>
    <s v="UDAIPUR"/>
    <s v="RJ-UDAIPUR"/>
    <d v="2021-12-11T00:00:00"/>
  </r>
  <r>
    <s v="817459143607"/>
    <x v="3102"/>
    <s v="BALAJI STONE SUPPLIERS"/>
    <n v="143607"/>
    <s v="KRISHNA AGENCIES"/>
    <n v="0"/>
    <n v="0"/>
    <n v="0"/>
    <n v="30"/>
    <n v="0"/>
    <n v="0"/>
    <n v="53.75"/>
    <n v="0"/>
    <n v="1"/>
    <n v="35"/>
    <n v="0"/>
    <n v="0"/>
    <n v="32"/>
    <n v="3"/>
    <n v="0"/>
    <n v="48.5"/>
    <n v="0"/>
    <n v="0"/>
    <n v="35"/>
    <n v="0"/>
    <n v="0"/>
    <n v="12.5"/>
    <n v="0"/>
    <n v="0"/>
    <n v="246.75"/>
    <n v="3"/>
    <n v="1"/>
    <s v="UDAIPUR"/>
    <s v="UDAIPUR"/>
    <s v="RJ-UDAIPUR"/>
    <d v="2021-12-24T00:00:00"/>
  </r>
  <r>
    <s v="817606209049"/>
    <x v="3103"/>
    <s v="SUMIT CHAUBISA"/>
    <n v="209049"/>
    <s v="MINAXI STONE SUPPLIERS"/>
    <n v="0"/>
    <n v="0"/>
    <n v="0"/>
    <n v="0"/>
    <n v="0"/>
    <n v="0"/>
    <n v="60"/>
    <n v="0"/>
    <n v="0"/>
    <n v="49.7"/>
    <n v="9.6999999999999993"/>
    <n v="0"/>
    <n v="36"/>
    <n v="5"/>
    <n v="0"/>
    <n v="80"/>
    <n v="10"/>
    <n v="0"/>
    <n v="75"/>
    <n v="0"/>
    <n v="0"/>
    <n v="47.5"/>
    <n v="27.5"/>
    <n v="0"/>
    <n v="348.2"/>
    <n v="24.7"/>
    <n v="0"/>
    <s v="UDAIPUR"/>
    <s v="UDAIPUR"/>
    <s v="RJ-UDAIPUR"/>
    <d v="2022-01-06T00:00:00"/>
  </r>
  <r>
    <s v="817684209796"/>
    <x v="3104"/>
    <s v="SHREE KRISHNA PASHU AAHAR AND"/>
    <n v="209796"/>
    <s v="SHAKTAWAT BUILDING MATERIAL"/>
    <n v="0"/>
    <n v="0"/>
    <n v="0"/>
    <n v="0"/>
    <n v="0"/>
    <n v="0"/>
    <n v="0"/>
    <n v="0"/>
    <n v="0"/>
    <n v="40"/>
    <n v="0"/>
    <n v="0"/>
    <n v="10"/>
    <n v="0"/>
    <n v="0"/>
    <n v="10"/>
    <n v="0"/>
    <n v="0"/>
    <n v="0"/>
    <n v="0"/>
    <n v="0"/>
    <n v="10"/>
    <n v="0"/>
    <n v="0"/>
    <n v="70"/>
    <n v="0"/>
    <n v="0"/>
    <s v="UDAIPUR"/>
    <s v="UDAIPUR"/>
    <s v="RJ-UDAIPUR"/>
    <d v="2022-01-13T00:00:00"/>
  </r>
  <r>
    <s v="817705140858"/>
    <x v="3105"/>
    <s v="GOTAM LAL"/>
    <n v="140858"/>
    <s v="RAMESH CHANDRA JAI CHAND"/>
    <n v="0"/>
    <n v="0"/>
    <n v="0"/>
    <n v="20"/>
    <n v="0"/>
    <n v="0"/>
    <n v="85"/>
    <n v="0"/>
    <n v="0"/>
    <n v="67"/>
    <n v="0"/>
    <n v="0"/>
    <n v="29"/>
    <n v="9"/>
    <n v="0"/>
    <n v="68"/>
    <n v="0"/>
    <n v="0"/>
    <n v="24.75"/>
    <n v="0"/>
    <n v="2.75"/>
    <n v="17.5"/>
    <n v="0"/>
    <n v="0"/>
    <n v="311.25"/>
    <n v="9"/>
    <n v="2.75"/>
    <s v="UDAIPUR"/>
    <s v="UDAIPUR"/>
    <s v="RJ-UDAIPUR"/>
    <d v="2022-01-17T00:00:00"/>
  </r>
  <r>
    <s v="817737205992"/>
    <x v="3106"/>
    <s v="TANISHA BUSINESSES"/>
    <n v="205992"/>
    <s v="SISPURIA BUILDING MATERIAL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s v="UDAIPUR"/>
    <s v="UDAIPUR"/>
    <s v="RJ-UDAIPUR"/>
    <d v="2022-01-19T00:00:00"/>
  </r>
  <r>
    <s v="817739209796"/>
    <x v="3107"/>
    <s v="SHAKTAWAT TELICOM"/>
    <n v="209796"/>
    <s v="SHAKTAWAT BUILDING MATERIAL"/>
    <n v="135"/>
    <n v="0"/>
    <n v="0"/>
    <n v="104"/>
    <n v="20"/>
    <n v="0"/>
    <n v="150.75"/>
    <n v="25.75"/>
    <n v="6.5"/>
    <n v="125.5"/>
    <n v="7.5"/>
    <n v="10.5"/>
    <n v="79"/>
    <n v="16.5"/>
    <n v="12.5"/>
    <n v="141.75"/>
    <n v="17.75"/>
    <n v="24"/>
    <n v="23.75"/>
    <n v="0"/>
    <n v="0"/>
    <n v="95.5"/>
    <n v="0"/>
    <n v="15"/>
    <n v="855.25"/>
    <n v="87.5"/>
    <n v="53.5"/>
    <s v="UDAIPUR"/>
    <s v="UDAIPUR"/>
    <s v="RJ-UDAIPUR"/>
    <d v="2022-01-19T00:00:00"/>
  </r>
  <r>
    <s v="817740204034"/>
    <x v="3108"/>
    <s v="BAHUBALI BUILDING MATERIAL"/>
    <n v="204034"/>
    <s v="PATEL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2-01-19T00:00:00"/>
  </r>
  <r>
    <s v="817740208776"/>
    <x v="3108"/>
    <s v="BAHUBALI BUILDING MATERIAL"/>
    <n v="208776"/>
    <s v="ABHIS BUILDTECH"/>
    <n v="0"/>
    <n v="0"/>
    <n v="0"/>
    <n v="0"/>
    <n v="0"/>
    <n v="0"/>
    <n v="17.5"/>
    <n v="0"/>
    <n v="0"/>
    <n v="0"/>
    <n v="0"/>
    <n v="0"/>
    <n v="0"/>
    <n v="0"/>
    <n v="0"/>
    <n v="0"/>
    <n v="0"/>
    <n v="0"/>
    <n v="0"/>
    <n v="0"/>
    <n v="0"/>
    <n v="0"/>
    <n v="0"/>
    <n v="0"/>
    <n v="17.5"/>
    <n v="0"/>
    <n v="0"/>
    <s v="UDAIPUR"/>
    <s v="UDAIPUR"/>
    <s v="RJ-UDAIPUR"/>
    <d v="2022-01-19T00:00:00"/>
  </r>
  <r>
    <s v="817788205969"/>
    <x v="3109"/>
    <s v="RIDDHI SIDDHI TRADING COMPANY"/>
    <n v="205969"/>
    <s v="AKBAR ALI KHAKHADWALA AND SON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2-01-22T00:00:00"/>
  </r>
  <r>
    <s v="817809141115"/>
    <x v="3110"/>
    <s v="AYUSH WATER SUPLLY"/>
    <n v="141115"/>
    <s v="KALPESH CEMENT AGENCY"/>
    <n v="172"/>
    <n v="6.75"/>
    <n v="0"/>
    <n v="93.25"/>
    <n v="0"/>
    <n v="0"/>
    <n v="106"/>
    <n v="0"/>
    <n v="10"/>
    <n v="125.5"/>
    <n v="0"/>
    <n v="0"/>
    <n v="81.5"/>
    <n v="1.75"/>
    <n v="0"/>
    <n v="110.25"/>
    <n v="6"/>
    <n v="1.25"/>
    <n v="111.25"/>
    <n v="10"/>
    <n v="6.25"/>
    <n v="130"/>
    <n v="0"/>
    <n v="0"/>
    <n v="929.75"/>
    <n v="24.5"/>
    <n v="17.5"/>
    <s v="UDAIPUR"/>
    <s v="UDAIPUR"/>
    <s v="RJ-UDAIPUR"/>
    <d v="2022-01-24T00:00:00"/>
  </r>
  <r>
    <s v="817814140860"/>
    <x v="3111"/>
    <s v="KEVA DANGI"/>
    <n v="140860"/>
    <s v="VIPUL CEMENT SUPPLIERS"/>
    <n v="10"/>
    <n v="0"/>
    <n v="0"/>
    <n v="10"/>
    <n v="0"/>
    <n v="0"/>
    <n v="20"/>
    <n v="0"/>
    <n v="0"/>
    <n v="0"/>
    <n v="0"/>
    <n v="0"/>
    <n v="5"/>
    <n v="0"/>
    <n v="0"/>
    <n v="7.5"/>
    <n v="0"/>
    <n v="0"/>
    <n v="0"/>
    <n v="0"/>
    <n v="0"/>
    <n v="12.5"/>
    <n v="0"/>
    <n v="2.5"/>
    <n v="65"/>
    <n v="0"/>
    <n v="0"/>
    <s v="UDAIPUR"/>
    <s v="UDAIPUR"/>
    <s v="RJ-UDAIPUR"/>
    <d v="2022-01-25T00:00:00"/>
  </r>
  <r>
    <s v="817831208776"/>
    <x v="3112"/>
    <s v="GARIB NAWAZ RETI &amp; BUILDING MA"/>
    <n v="208776"/>
    <s v="ABHIS BUILDTECH"/>
    <n v="25"/>
    <n v="0"/>
    <n v="0"/>
    <n v="35"/>
    <n v="0"/>
    <n v="0"/>
    <n v="55"/>
    <n v="0"/>
    <n v="0"/>
    <n v="40"/>
    <n v="0"/>
    <n v="0"/>
    <n v="22.5"/>
    <n v="0"/>
    <n v="0"/>
    <n v="45"/>
    <n v="0"/>
    <n v="0"/>
    <n v="22.5"/>
    <n v="0"/>
    <n v="0"/>
    <n v="45"/>
    <n v="0"/>
    <n v="0"/>
    <n v="290"/>
    <n v="0"/>
    <n v="0"/>
    <s v="UDAIPUR"/>
    <s v="UDAIPUR"/>
    <s v="RJ-UDAIPUR"/>
    <d v="2022-01-25T00:00:00"/>
  </r>
  <r>
    <s v="817947119026"/>
    <x v="3113"/>
    <s v="WELCOME ELECTRIC HARDWARE  AND"/>
    <n v="119026"/>
    <s v="FRIENDS SUPPLIERS CO.(L"/>
    <n v="20"/>
    <n v="0"/>
    <n v="0"/>
    <n v="37.5"/>
    <n v="0"/>
    <n v="0"/>
    <n v="65"/>
    <n v="0"/>
    <n v="0"/>
    <n v="32.549999999999997"/>
    <n v="0"/>
    <n v="0"/>
    <n v="15"/>
    <n v="0"/>
    <n v="0"/>
    <n v="50.25"/>
    <n v="0"/>
    <n v="0"/>
    <n v="58.05"/>
    <n v="0"/>
    <n v="5"/>
    <n v="15"/>
    <n v="0"/>
    <n v="0"/>
    <n v="293.35000000000002"/>
    <n v="0"/>
    <n v="5"/>
    <s v="UDAIPUR"/>
    <s v="UDAIPUR"/>
    <s v="RJ-UDAIPUR"/>
    <d v="2022-02-02T00:00:00"/>
  </r>
  <r>
    <s v="818017141115"/>
    <x v="3114"/>
    <s v="SANJAY CHOUHAN"/>
    <n v="141115"/>
    <s v="KALPESH CEMENT AGENCY"/>
    <n v="79.5"/>
    <n v="0"/>
    <n v="0"/>
    <n v="0"/>
    <n v="0"/>
    <n v="0"/>
    <n v="43.95"/>
    <n v="0"/>
    <n v="0"/>
    <n v="36.75"/>
    <n v="0"/>
    <n v="0"/>
    <n v="0"/>
    <n v="0"/>
    <n v="0"/>
    <n v="0"/>
    <n v="0"/>
    <n v="0"/>
    <n v="36"/>
    <n v="0"/>
    <n v="0"/>
    <n v="0"/>
    <n v="0"/>
    <n v="0"/>
    <n v="196.2"/>
    <n v="0"/>
    <n v="0"/>
    <s v="UDAIPUR"/>
    <s v="UDAIPUR"/>
    <s v="RJ-UDAIPUR"/>
    <d v="2022-02-12T00:00:00"/>
  </r>
  <r>
    <s v="818098179560"/>
    <x v="3115"/>
    <s v="CG SHREENATH BULIDING MATERIAL"/>
    <n v="179560"/>
    <s v="TIRUPATI TRADING COMPANY"/>
    <n v="5"/>
    <n v="0"/>
    <n v="0"/>
    <n v="12.5"/>
    <n v="0"/>
    <n v="0"/>
    <n v="0"/>
    <n v="0"/>
    <n v="0"/>
    <n v="5"/>
    <n v="0"/>
    <n v="0"/>
    <n v="5"/>
    <n v="0"/>
    <n v="0"/>
    <n v="0"/>
    <n v="0"/>
    <n v="0"/>
    <n v="0"/>
    <n v="0"/>
    <n v="0"/>
    <n v="0"/>
    <n v="0"/>
    <n v="0"/>
    <n v="27.5"/>
    <n v="0"/>
    <n v="0"/>
    <s v="UDAIPUR"/>
    <s v="UDAIPUR"/>
    <s v="RJ-UDAIPUR"/>
    <d v="2022-02-21T00:00:00"/>
  </r>
  <r>
    <s v="818098204034"/>
    <x v="3115"/>
    <s v="CG SHREENATH BULIDING MATERIAL"/>
    <n v="204034"/>
    <s v="PATEL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UDAIPUR"/>
    <s v="UDAIPUR"/>
    <s v="RJ-UDAIPUR"/>
    <d v="2022-02-21T00:00:00"/>
  </r>
  <r>
    <s v="818101141115"/>
    <x v="3116"/>
    <s v="BHUPESH DANGI"/>
    <n v="141115"/>
    <s v="KALPESH CEMENT AGENCY"/>
    <n v="118.5"/>
    <n v="17.5"/>
    <n v="0"/>
    <n v="152.5"/>
    <n v="0"/>
    <n v="0"/>
    <n v="137"/>
    <n v="0"/>
    <n v="0"/>
    <n v="142.25"/>
    <n v="10.5"/>
    <n v="1.75"/>
    <n v="122"/>
    <n v="12"/>
    <n v="0"/>
    <n v="115"/>
    <n v="0"/>
    <n v="0"/>
    <n v="112.5"/>
    <n v="0"/>
    <n v="0"/>
    <n v="165"/>
    <n v="15"/>
    <n v="0"/>
    <n v="1064.75"/>
    <n v="40"/>
    <n v="1.75"/>
    <s v="UDAIPUR"/>
    <s v="UDAIPUR"/>
    <s v="RJ-UDAIPUR"/>
    <d v="2022-02-22T00:00:00"/>
  </r>
  <r>
    <s v="818155141115"/>
    <x v="3117"/>
    <s v="SHRI MATESHWARI CEMENT AND HAR"/>
    <n v="141115"/>
    <s v="KALPESH CEMENT AGENCY"/>
    <n v="113.9"/>
    <n v="0"/>
    <n v="0"/>
    <n v="131.5"/>
    <n v="0"/>
    <n v="0"/>
    <n v="101"/>
    <n v="2.5"/>
    <n v="0"/>
    <n v="78.5"/>
    <n v="0"/>
    <n v="0"/>
    <n v="65"/>
    <n v="0"/>
    <n v="0"/>
    <n v="105"/>
    <n v="0"/>
    <n v="0"/>
    <n v="110"/>
    <n v="0"/>
    <n v="0"/>
    <n v="140"/>
    <n v="0"/>
    <n v="0"/>
    <n v="844.9"/>
    <n v="2.5"/>
    <n v="0"/>
    <s v="UDAIPUR"/>
    <s v="UDAIPUR"/>
    <s v="RJ-UDAIPUR"/>
    <d v="2022-02-25T00:00:00"/>
  </r>
  <r>
    <s v="818286209594"/>
    <x v="3118"/>
    <s v="SANWALIYA CONSTRUCTION AND STO"/>
    <n v="209594"/>
    <s v="RAJ MATERIALS SUPPLIRES"/>
    <n v="0"/>
    <n v="1.25"/>
    <n v="0"/>
    <n v="50"/>
    <n v="0"/>
    <n v="0"/>
    <n v="60"/>
    <n v="0"/>
    <n v="0"/>
    <n v="40"/>
    <n v="0"/>
    <n v="0"/>
    <n v="10"/>
    <n v="0"/>
    <n v="0"/>
    <n v="20"/>
    <n v="0"/>
    <n v="0"/>
    <n v="0"/>
    <n v="0"/>
    <n v="0"/>
    <n v="0"/>
    <n v="0"/>
    <n v="0"/>
    <n v="180"/>
    <n v="1.25"/>
    <n v="0"/>
    <s v="UDAIPUR"/>
    <s v="UDAIPUR"/>
    <s v="RJ-UDAIPUR"/>
    <d v="2022-03-07T00:00:00"/>
  </r>
  <r>
    <s v="818326140958"/>
    <x v="3119"/>
    <s v="SHIV CHAYA CONTRACTION"/>
    <n v="140958"/>
    <s v="HEMRAJ SUTHAR CONTRACTOR"/>
    <n v="0"/>
    <n v="6.25"/>
    <n v="0"/>
    <n v="20"/>
    <n v="0"/>
    <n v="0"/>
    <n v="25"/>
    <n v="0"/>
    <n v="0"/>
    <n v="10"/>
    <n v="0"/>
    <n v="0"/>
    <n v="0"/>
    <n v="0"/>
    <n v="0"/>
    <n v="0"/>
    <n v="0"/>
    <n v="0"/>
    <n v="20"/>
    <n v="0"/>
    <n v="0"/>
    <n v="0"/>
    <n v="0"/>
    <n v="0"/>
    <n v="75"/>
    <n v="6.25"/>
    <n v="0"/>
    <s v="UDAIPUR"/>
    <s v="UDAIPUR"/>
    <s v="RJ-UDAIPUR"/>
    <d v="2022-03-09T00:00:00"/>
  </r>
  <r>
    <s v="818344209594"/>
    <x v="3120"/>
    <s v="LILA RAM SUTHAR"/>
    <n v="209594"/>
    <s v="RAJ MATERIALS SUPPLIRES"/>
    <n v="0"/>
    <n v="0"/>
    <n v="0"/>
    <n v="0"/>
    <n v="0"/>
    <n v="0"/>
    <n v="30"/>
    <n v="0"/>
    <n v="0"/>
    <n v="33.5"/>
    <n v="0"/>
    <n v="0"/>
    <n v="0"/>
    <n v="0"/>
    <n v="0"/>
    <n v="10"/>
    <n v="0"/>
    <n v="0"/>
    <n v="52"/>
    <n v="12"/>
    <n v="0"/>
    <n v="10"/>
    <n v="0"/>
    <n v="5"/>
    <n v="135.5"/>
    <n v="12"/>
    <n v="0"/>
    <s v="UDAIPUR"/>
    <s v="UDAIPUR"/>
    <s v="RJ-UDAIPUR"/>
    <d v="2022-03-12T00:00:00"/>
  </r>
  <r>
    <s v="818345140958"/>
    <x v="3121"/>
    <s v="SHREE SANWARIYA MARBLE AND SAN"/>
    <n v="140958"/>
    <s v="HEMRAJ SUTHAR CONTRACTOR"/>
    <n v="0"/>
    <n v="0"/>
    <n v="0"/>
    <n v="40"/>
    <n v="0"/>
    <n v="0"/>
    <n v="80"/>
    <n v="0"/>
    <n v="0"/>
    <n v="30"/>
    <n v="0"/>
    <n v="0"/>
    <n v="0"/>
    <n v="0"/>
    <n v="0"/>
    <n v="0"/>
    <n v="0"/>
    <n v="0"/>
    <n v="0"/>
    <n v="0"/>
    <n v="0"/>
    <n v="10"/>
    <n v="0"/>
    <n v="0"/>
    <n v="160"/>
    <n v="0"/>
    <n v="0"/>
    <s v="UDAIPUR"/>
    <s v="UDAIPUR"/>
    <s v="RJ-UDAIPUR"/>
    <d v="2022-03-12T00:00:00"/>
  </r>
  <r>
    <s v="818407209796"/>
    <x v="3122"/>
    <s v="HARI OM CEMENT SUPPLIERS"/>
    <n v="209796"/>
    <s v="SHAKTAWAT BUILDING MATERIAL"/>
    <n v="10"/>
    <n v="0"/>
    <n v="0"/>
    <n v="11"/>
    <n v="0"/>
    <n v="0"/>
    <n v="20"/>
    <n v="0"/>
    <n v="0"/>
    <n v="102"/>
    <n v="0"/>
    <n v="0"/>
    <n v="32"/>
    <n v="0"/>
    <n v="0"/>
    <n v="36"/>
    <n v="0"/>
    <n v="6"/>
    <n v="9.25"/>
    <n v="7.25"/>
    <n v="0"/>
    <n v="20"/>
    <n v="0"/>
    <n v="0"/>
    <n v="240.25"/>
    <n v="7.25"/>
    <n v="6"/>
    <s v="UDAIPUR"/>
    <s v="UDAIPUR"/>
    <s v="RJ-UDAIPUR"/>
    <d v="2022-03-19T00:00:00"/>
  </r>
  <r>
    <s v="818437206073"/>
    <x v="3123"/>
    <s v="RAKESH KUMHAR"/>
    <n v="206073"/>
    <s v="SHREE TIRUPATI BALAJI BUILDING"/>
    <n v="30"/>
    <n v="0"/>
    <n v="0"/>
    <n v="0"/>
    <n v="0"/>
    <n v="0"/>
    <n v="59.5"/>
    <n v="0"/>
    <n v="0"/>
    <n v="65"/>
    <n v="15"/>
    <n v="0"/>
    <n v="38.5"/>
    <n v="0"/>
    <n v="0"/>
    <n v="0"/>
    <n v="0"/>
    <n v="0"/>
    <n v="45.5"/>
    <n v="2.5"/>
    <n v="8"/>
    <n v="51"/>
    <n v="6"/>
    <n v="0"/>
    <n v="289.5"/>
    <n v="17.5"/>
    <n v="8"/>
    <s v="UDAIPUR"/>
    <s v="UDAIPUR"/>
    <s v="RJ-UDAIPUR"/>
    <d v="2022-03-22T00:00:00"/>
  </r>
  <r>
    <s v="818554206073"/>
    <x v="3124"/>
    <s v="DS CONSTRUCTION"/>
    <n v="206073"/>
    <s v="SHREE TIRUPATI BALAJI BUILDING"/>
    <n v="50"/>
    <n v="0"/>
    <n v="0"/>
    <n v="0"/>
    <n v="0"/>
    <n v="0"/>
    <n v="15"/>
    <n v="0"/>
    <n v="15"/>
    <n v="0"/>
    <n v="0"/>
    <n v="0"/>
    <n v="0"/>
    <n v="0"/>
    <n v="0"/>
    <n v="0"/>
    <n v="0"/>
    <n v="0"/>
    <n v="0"/>
    <n v="0"/>
    <n v="0"/>
    <n v="0"/>
    <n v="0"/>
    <n v="0"/>
    <n v="65"/>
    <n v="0"/>
    <n v="15"/>
    <s v="UDAIPUR"/>
    <s v="UDAIPUR"/>
    <s v="RJ-UDAIPUR"/>
    <d v="2022-03-31T00:00:00"/>
  </r>
  <r>
    <s v="818622141115"/>
    <x v="3125"/>
    <s v="AGARWAL IRON &amp; BUILDERS"/>
    <n v="141115"/>
    <s v="KALPESH CEMENT AGENCY"/>
    <n v="0"/>
    <n v="0"/>
    <n v="0"/>
    <n v="76.5"/>
    <n v="0"/>
    <n v="0"/>
    <n v="83.5"/>
    <n v="0"/>
    <n v="0"/>
    <n v="94"/>
    <n v="0"/>
    <n v="0"/>
    <n v="110.75"/>
    <n v="0"/>
    <n v="0"/>
    <n v="100"/>
    <n v="0"/>
    <n v="0"/>
    <n v="109.75"/>
    <n v="0"/>
    <n v="0"/>
    <n v="110"/>
    <n v="0"/>
    <n v="0"/>
    <n v="684.5"/>
    <n v="0"/>
    <n v="0"/>
    <s v="UDAIPUR"/>
    <s v="UDAIPUR"/>
    <s v="RJ-UDAIPUR"/>
    <d v="2022-04-12T00:00:00"/>
  </r>
  <r>
    <s v="818718209796"/>
    <x v="3126"/>
    <s v="MAHADEV CEMENT VIKRETA"/>
    <n v="209796"/>
    <s v="SHAKTAWAT BUILDING MATERIAL"/>
    <n v="30"/>
    <n v="0"/>
    <n v="0"/>
    <n v="50"/>
    <n v="10"/>
    <n v="0"/>
    <n v="60"/>
    <n v="0"/>
    <n v="0"/>
    <n v="55.5"/>
    <n v="7.5"/>
    <n v="0"/>
    <n v="37"/>
    <n v="7"/>
    <n v="0"/>
    <n v="30"/>
    <n v="0"/>
    <n v="0"/>
    <n v="10"/>
    <n v="0"/>
    <n v="10"/>
    <n v="45"/>
    <n v="0"/>
    <n v="40"/>
    <n v="317.5"/>
    <n v="24.5"/>
    <n v="10"/>
    <s v="UDAIPUR"/>
    <s v="UDAIPUR"/>
    <s v="RJ-UDAIPUR"/>
    <d v="2022-04-22T00:00:00"/>
  </r>
  <r>
    <s v="818839119026"/>
    <x v="3127"/>
    <s v="MANAK AGENCIES"/>
    <n v="119026"/>
    <s v="FRIENDS SUPPLIERS CO.(L"/>
    <n v="0"/>
    <n v="0"/>
    <n v="0"/>
    <n v="50"/>
    <n v="0"/>
    <n v="0"/>
    <n v="10"/>
    <n v="0"/>
    <n v="0"/>
    <n v="17.5"/>
    <n v="0"/>
    <n v="0"/>
    <n v="15"/>
    <n v="0"/>
    <n v="0"/>
    <n v="17.5"/>
    <n v="0"/>
    <n v="0"/>
    <n v="25"/>
    <n v="0"/>
    <n v="0"/>
    <n v="0"/>
    <n v="0"/>
    <n v="0"/>
    <n v="135"/>
    <n v="0"/>
    <n v="0"/>
    <s v="UDAIPUR"/>
    <s v="UDAIPUR"/>
    <s v="RJ-UDAIPUR"/>
    <d v="2022-05-02T00:00:00"/>
  </r>
  <r>
    <s v="819331179560"/>
    <x v="3128"/>
    <s v="JEEVAN LAL PRAJAPAT"/>
    <n v="179560"/>
    <s v="TIRUPATI TRADING COMPANY"/>
    <n v="0"/>
    <n v="0"/>
    <n v="0"/>
    <n v="0"/>
    <n v="0"/>
    <n v="0"/>
    <n v="45"/>
    <n v="0"/>
    <n v="0"/>
    <n v="50"/>
    <n v="0"/>
    <n v="7.5"/>
    <n v="30.05"/>
    <n v="0"/>
    <n v="10.050000000000001"/>
    <n v="30"/>
    <n v="0"/>
    <n v="0"/>
    <n v="40"/>
    <n v="0"/>
    <n v="0"/>
    <n v="40.65"/>
    <n v="3.75"/>
    <n v="1.9"/>
    <n v="235.70000000000002"/>
    <n v="0"/>
    <n v="17.55"/>
    <s v="UDAIPUR"/>
    <s v="UDAIPUR"/>
    <s v="RJ-UDAIPUR"/>
    <d v="2022-06-13T00:00:00"/>
  </r>
  <r>
    <s v="819544179560"/>
    <x v="3129"/>
    <s v="MEETANSHI BUILDING MATERIAL"/>
    <n v="179560"/>
    <s v="TIRUPATI TRADING COMPANY"/>
    <n v="0"/>
    <n v="0"/>
    <n v="0"/>
    <n v="0"/>
    <n v="0"/>
    <n v="0"/>
    <n v="25"/>
    <n v="0"/>
    <n v="0"/>
    <n v="21.25"/>
    <n v="0"/>
    <n v="0"/>
    <n v="15"/>
    <n v="0"/>
    <n v="0"/>
    <n v="0"/>
    <n v="0"/>
    <n v="0"/>
    <n v="0"/>
    <n v="0"/>
    <n v="0"/>
    <n v="21.5"/>
    <n v="0"/>
    <n v="0"/>
    <n v="82.75"/>
    <n v="0"/>
    <n v="0"/>
    <s v="UDAIPUR"/>
    <s v="UDAIPUR"/>
    <s v="RJ-UDAIPUR"/>
    <d v="2022-06-28T00:00:00"/>
  </r>
  <r>
    <s v="819676205992"/>
    <x v="3130"/>
    <s v="DHARMIK AGROCULTURE"/>
    <n v="205992"/>
    <s v="SISPURIA BUILDING MATERIAL"/>
    <n v="0"/>
    <n v="0"/>
    <n v="0"/>
    <n v="0"/>
    <n v="0"/>
    <n v="0"/>
    <n v="0"/>
    <n v="0"/>
    <n v="0"/>
    <n v="25"/>
    <n v="0"/>
    <n v="0"/>
    <n v="10"/>
    <n v="0"/>
    <n v="0"/>
    <n v="31"/>
    <n v="11"/>
    <n v="0"/>
    <n v="22"/>
    <n v="4"/>
    <n v="6"/>
    <n v="25"/>
    <n v="0"/>
    <n v="3.25"/>
    <n v="113"/>
    <n v="15"/>
    <n v="6"/>
    <s v="UDAIPUR"/>
    <s v="UDAIPUR"/>
    <s v="RJ-UDAIPUR"/>
    <d v="2022-07-08T00:00:00"/>
  </r>
  <r>
    <s v="819685119026"/>
    <x v="3131"/>
    <s v="SIDDI VINAYAK ENTERPRISES"/>
    <n v="119026"/>
    <s v="FRIENDS SUPPLIERS CO.(L"/>
    <n v="0"/>
    <n v="0"/>
    <n v="0"/>
    <n v="0"/>
    <n v="0"/>
    <n v="0"/>
    <n v="0"/>
    <n v="0"/>
    <n v="0"/>
    <n v="50"/>
    <n v="0"/>
    <n v="0"/>
    <n v="15"/>
    <n v="0"/>
    <n v="0"/>
    <n v="7.5"/>
    <n v="0"/>
    <n v="0"/>
    <n v="7.5"/>
    <n v="0"/>
    <n v="0"/>
    <n v="17.5"/>
    <n v="0"/>
    <n v="0"/>
    <n v="97.5"/>
    <n v="0"/>
    <n v="0"/>
    <s v="UDAIPUR"/>
    <s v="UDAIPUR"/>
    <s v="RJ-UDAIPUR"/>
    <d v="2022-07-09T00:00:00"/>
  </r>
  <r>
    <s v="819820119026"/>
    <x v="3132"/>
    <s v="SHREE RADHE BUILDING MATERIAL"/>
    <n v="119026"/>
    <s v="FRIENDS SUPPLIERS CO.(L"/>
    <n v="0"/>
    <n v="0"/>
    <n v="0"/>
    <n v="0"/>
    <n v="0"/>
    <n v="0"/>
    <n v="0"/>
    <n v="0"/>
    <n v="0"/>
    <n v="63"/>
    <n v="0"/>
    <n v="0"/>
    <n v="70"/>
    <n v="0"/>
    <n v="0"/>
    <n v="35"/>
    <n v="0"/>
    <n v="0"/>
    <n v="80"/>
    <n v="0"/>
    <n v="12.5"/>
    <n v="135"/>
    <n v="0"/>
    <n v="0"/>
    <n v="383"/>
    <n v="0"/>
    <n v="12.5"/>
    <s v="UDAIPUR"/>
    <s v="UDAIPUR"/>
    <s v="RJ-UDAIPUR"/>
    <d v="2022-07-18T00:00:00"/>
  </r>
  <r>
    <s v="819852208776"/>
    <x v="3133"/>
    <s v="MUKUL ENTERPRISES"/>
    <n v="208776"/>
    <s v="ABHIS BUILDTECH"/>
    <n v="0"/>
    <n v="0"/>
    <n v="0"/>
    <n v="0"/>
    <n v="0"/>
    <n v="0"/>
    <n v="0"/>
    <n v="0"/>
    <n v="0"/>
    <n v="0"/>
    <n v="0"/>
    <n v="0"/>
    <n v="7.5"/>
    <n v="0"/>
    <n v="0"/>
    <n v="45"/>
    <n v="0"/>
    <n v="5"/>
    <n v="30"/>
    <n v="0"/>
    <n v="0"/>
    <n v="50"/>
    <n v="0"/>
    <n v="0"/>
    <n v="132.5"/>
    <n v="0"/>
    <n v="5"/>
    <s v="UDAIPUR"/>
    <s v="UDAIPUR"/>
    <s v="RJ-UDAIPUR"/>
    <d v="2022-07-20T00:00:00"/>
  </r>
  <r>
    <s v="820028119026"/>
    <x v="3134"/>
    <s v="JAGDAMBA ENTERPRISES"/>
    <n v="119026"/>
    <s v="FRIENDS SUPPLIERS CO.(L"/>
    <n v="0"/>
    <n v="0"/>
    <n v="0"/>
    <n v="0"/>
    <n v="0"/>
    <n v="0"/>
    <n v="0"/>
    <n v="0"/>
    <n v="0"/>
    <n v="0"/>
    <n v="0"/>
    <n v="0"/>
    <n v="25"/>
    <n v="0"/>
    <n v="0"/>
    <n v="59"/>
    <n v="0"/>
    <n v="0"/>
    <n v="29.5"/>
    <n v="0"/>
    <n v="0"/>
    <n v="66.75"/>
    <n v="0"/>
    <n v="0"/>
    <n v="180.25"/>
    <n v="0"/>
    <n v="0"/>
    <s v="UDAIPUR"/>
    <s v="UDAIPUR"/>
    <s v="RJ-UDAIPUR"/>
    <d v="2022-08-03T00:00:00"/>
  </r>
  <r>
    <s v="806096119026"/>
    <x v="3135"/>
    <s v="TAHERI BUILDING MATERIALS"/>
    <n v="119026"/>
    <s v="FRIENDS SUPPLIERS CO.(L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27.5"/>
    <n v="0"/>
    <n v="0"/>
    <n v="112.75"/>
    <n v="2.75"/>
    <n v="5"/>
    <n v="165.25"/>
    <n v="0"/>
    <n v="0"/>
    <s v="UDAIPUR"/>
    <s v="UDAIPUR"/>
    <s v="RJ-UDAIPUR"/>
    <d v="2017-02-23T00:00:00"/>
  </r>
  <r>
    <s v="820399209796"/>
    <x v="3136"/>
    <s v="MATESHWARI BUILDING MATERIAL"/>
    <n v="209796"/>
    <s v="SHAKTAWAT BUILDING MATERIAL"/>
    <n v="0"/>
    <n v="0"/>
    <n v="0"/>
    <n v="0"/>
    <n v="0"/>
    <n v="0"/>
    <n v="0"/>
    <n v="0"/>
    <n v="0"/>
    <n v="0"/>
    <n v="0"/>
    <n v="0"/>
    <n v="0"/>
    <n v="0"/>
    <n v="0"/>
    <n v="43.5"/>
    <n v="13.5"/>
    <n v="0"/>
    <n v="10"/>
    <n v="0"/>
    <n v="0"/>
    <n v="25.5"/>
    <n v="15.5"/>
    <n v="0"/>
    <n v="79"/>
    <n v="13.5"/>
    <n v="0"/>
    <s v="UDAIPUR"/>
    <s v="UDAIPUR"/>
    <s v="RJ-UDAIPUR"/>
    <d v="2022-09-05T00:00:00"/>
  </r>
  <r>
    <s v="820428205966"/>
    <x v="3137"/>
    <s v="KRISHNA GOPAL VYAS"/>
    <n v="205966"/>
    <s v="POKHARNA CEMENT SUPPLIERS"/>
    <n v="0"/>
    <n v="0"/>
    <n v="0"/>
    <n v="0"/>
    <n v="0"/>
    <n v="0"/>
    <n v="0"/>
    <n v="0"/>
    <n v="0"/>
    <n v="0"/>
    <n v="0"/>
    <n v="0"/>
    <n v="0"/>
    <n v="0"/>
    <n v="0"/>
    <n v="55"/>
    <n v="0"/>
    <n v="0"/>
    <n v="55"/>
    <n v="0"/>
    <n v="0"/>
    <n v="23"/>
    <n v="0"/>
    <n v="0"/>
    <n v="133"/>
    <n v="0"/>
    <n v="0"/>
    <s v="UDAIPUR"/>
    <s v="UDAIPUR"/>
    <s v="RJ-UDAIPUR"/>
    <d v="2022-09-07T00:00:00"/>
  </r>
  <r>
    <s v="820439140848"/>
    <x v="3138"/>
    <s v="PANKAJ SUTHAR"/>
    <n v="140848"/>
    <s v="PADAM CEMENT SUPPLIERS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10"/>
    <n v="0"/>
    <n v="0"/>
    <n v="17.5"/>
    <n v="0"/>
    <n v="0"/>
    <n v="57.5"/>
    <n v="0"/>
    <n v="0"/>
    <s v="UDAIPUR"/>
    <s v="UDAIPUR"/>
    <s v="RJ-UDAIPUR"/>
    <d v="2022-09-08T00:00:00"/>
  </r>
  <r>
    <s v="804006208776"/>
    <x v="2908"/>
    <s v="SINGHVI HARDWARE"/>
    <n v="208776"/>
    <s v="ABHIS BUILDTECH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22.5"/>
    <n v="0"/>
    <n v="0"/>
    <n v="37.5"/>
    <n v="0"/>
    <n v="0"/>
    <s v="UDAIPUR"/>
    <s v="UDAIPUR"/>
    <s v="RJ-UDAIPUR"/>
    <d v="2015-05-26T00:00:00"/>
  </r>
  <r>
    <s v="817788119026"/>
    <x v="3109"/>
    <s v="RIDDHI SIDDHI TRADING COMPANY"/>
    <n v="119026"/>
    <s v="FRIENDS SUPPLIERS CO.(L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20"/>
    <n v="0"/>
    <n v="0"/>
    <n v="17.5"/>
    <n v="0"/>
    <n v="0"/>
    <n v="47.5"/>
    <n v="0"/>
    <n v="0"/>
    <s v="UDAIPUR"/>
    <s v="UDAIPUR"/>
    <s v="RJ-UDAIPUR"/>
    <d v="2022-01-22T00:00:00"/>
  </r>
  <r>
    <s v="819698209796"/>
    <x v="3139"/>
    <s v="MAA JAGDAMBE ENTERPRISES"/>
    <n v="209796"/>
    <s v="SHAKTAWAT BUILDING MATERIAL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UDAIPUR"/>
    <s v="UDAIPUR"/>
    <s v="RJ-UDAIPUR"/>
    <d v="2022-07-09T00:00:00"/>
  </r>
  <r>
    <s v="803258140851"/>
    <x v="2897"/>
    <s v="M.K. CEMENT AGENCY"/>
    <n v="140851"/>
    <s v="PASHAWNATH CEMENT SUPPLIE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10"/>
    <n v="0"/>
    <n v="0"/>
    <s v="UDAIPUR"/>
    <s v="UDAIPUR"/>
    <s v="RJ-UDAIPUR"/>
    <d v="2014-03-29T00:00:00"/>
  </r>
  <r>
    <s v="820583179560"/>
    <x v="3140"/>
    <s v="DEEP TRADERS"/>
    <n v="179560"/>
    <s v="TIRUPATI TRADING COMPANY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33.5"/>
    <n v="0"/>
    <n v="0"/>
    <n v="15"/>
    <n v="0"/>
    <n v="0"/>
    <n v="73.5"/>
    <n v="0"/>
    <n v="0"/>
    <s v="UDAIPUR"/>
    <s v="UDAIPUR"/>
    <s v="RJ-UDAIPUR"/>
    <d v="2022-09-17T00:00:00"/>
  </r>
  <r>
    <s v="820589209796"/>
    <x v="3141"/>
    <s v="SANWARIYA ENTERPRISES"/>
    <n v="209796"/>
    <s v="SHAKTAWAT BUILDING MATERIAL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15"/>
    <n v="0"/>
    <n v="5"/>
    <n v="30"/>
    <n v="0"/>
    <n v="0"/>
    <n v="75"/>
    <n v="0"/>
    <n v="5"/>
    <s v="UDAIPUR"/>
    <s v="UDAIPUR"/>
    <s v="RJ-UDAIPUR"/>
    <d v="2022-09-19T00:00:00"/>
  </r>
  <r>
    <s v="820663140848"/>
    <x v="3142"/>
    <s v="MATESHWARI BUILDING MATERIAL"/>
    <n v="140848"/>
    <s v="PADAM CEMENT SUPPLIERS"/>
    <n v="0"/>
    <n v="0"/>
    <n v="0"/>
    <n v="0"/>
    <n v="0"/>
    <n v="0"/>
    <n v="0"/>
    <n v="0"/>
    <n v="0"/>
    <n v="0"/>
    <n v="0"/>
    <n v="0"/>
    <n v="0"/>
    <n v="0"/>
    <n v="0"/>
    <n v="50"/>
    <n v="0"/>
    <n v="0"/>
    <n v="63"/>
    <n v="23"/>
    <n v="0"/>
    <n v="40"/>
    <n v="0"/>
    <n v="0"/>
    <n v="153"/>
    <n v="23"/>
    <n v="0"/>
    <s v="UDAIPUR"/>
    <s v="UDAIPUR"/>
    <s v="RJ-UDAIPUR"/>
    <d v="2022-09-21T00:00:00"/>
  </r>
  <r>
    <s v="820668202053"/>
    <x v="3143"/>
    <s v="BHERU LAL"/>
    <n v="202053"/>
    <s v="JAIN STONE SUPPLIERS"/>
    <n v="0"/>
    <n v="0"/>
    <n v="0"/>
    <n v="0"/>
    <n v="0"/>
    <n v="0"/>
    <n v="0"/>
    <n v="0"/>
    <n v="0"/>
    <n v="0"/>
    <n v="0"/>
    <n v="0"/>
    <n v="0"/>
    <n v="0"/>
    <n v="0"/>
    <n v="70"/>
    <n v="8"/>
    <n v="0"/>
    <n v="104"/>
    <n v="0"/>
    <n v="0"/>
    <n v="115"/>
    <n v="0"/>
    <n v="0"/>
    <n v="289"/>
    <n v="8"/>
    <n v="0"/>
    <s v="UDAIPUR"/>
    <s v="UDAIPUR"/>
    <s v="RJ-UDAIPUR"/>
    <d v="2022-09-21T00:00:00"/>
  </r>
  <r>
    <s v="820593179560"/>
    <x v="3144"/>
    <s v="ARIHANT CEMENT"/>
    <n v="179560"/>
    <s v="TIRUPATI TRADING COMPANY"/>
    <n v="0"/>
    <n v="0"/>
    <n v="0"/>
    <n v="0"/>
    <n v="0"/>
    <n v="0"/>
    <n v="0"/>
    <n v="0"/>
    <n v="0"/>
    <n v="0"/>
    <n v="0"/>
    <n v="0"/>
    <n v="0"/>
    <n v="0"/>
    <n v="0"/>
    <n v="34"/>
    <n v="0"/>
    <n v="0"/>
    <n v="25"/>
    <n v="0"/>
    <n v="0"/>
    <n v="22.5"/>
    <n v="0"/>
    <n v="0"/>
    <n v="81.5"/>
    <n v="0"/>
    <n v="0"/>
    <s v="UDAIPUR"/>
    <s v="UDAIPUR"/>
    <s v="RJ-UDAIPUR"/>
    <d v="2022-09-19T00:00:00"/>
  </r>
  <r>
    <s v="820600209796"/>
    <x v="3145"/>
    <s v="SANWARIYA CEMENT SUPPLIERS"/>
    <n v="209796"/>
    <s v="SHAKTAWAT BUILDING MATERIAL"/>
    <n v="0"/>
    <n v="0"/>
    <n v="0"/>
    <n v="0"/>
    <n v="0"/>
    <n v="0"/>
    <n v="0"/>
    <n v="0"/>
    <n v="0"/>
    <n v="0"/>
    <n v="0"/>
    <n v="0"/>
    <n v="0"/>
    <n v="0"/>
    <n v="0"/>
    <n v="30"/>
    <n v="0"/>
    <n v="0"/>
    <n v="25"/>
    <n v="0"/>
    <n v="0"/>
    <n v="20"/>
    <n v="0"/>
    <n v="0"/>
    <n v="75"/>
    <n v="0"/>
    <n v="0"/>
    <s v="UDAIPUR"/>
    <s v="UDAIPUR"/>
    <s v="RJ-UDAIPUR"/>
    <d v="2022-09-19T00:00:00"/>
  </r>
  <r>
    <s v="820606179560"/>
    <x v="3146"/>
    <s v="PUSHPRAJ JAIN"/>
    <n v="179560"/>
    <s v="TIRUPATI TRADING COMPANY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  <n v="0"/>
    <n v="0"/>
    <n v="0"/>
    <n v="0"/>
    <n v="0"/>
    <n v="40"/>
    <n v="0"/>
    <n v="0"/>
    <s v="UDAIPUR"/>
    <s v="UDAIPUR"/>
    <s v="RJ-UDAIPUR"/>
    <d v="2022-09-19T00:00:00"/>
  </r>
  <r>
    <s v="820631209796"/>
    <x v="3147"/>
    <s v="ARWA BUILDING MATERIALS"/>
    <n v="209796"/>
    <s v="SHAKTAWAT BUILDING MATERIAL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0"/>
    <n v="0"/>
    <n v="0"/>
    <n v="17.5"/>
    <n v="0"/>
    <n v="0"/>
    <n v="42.5"/>
    <n v="0"/>
    <n v="0"/>
    <s v="UDAIPUR"/>
    <s v="UDAIPUR"/>
    <s v="RJ-UDAIPUR"/>
    <d v="2022-09-20T00:00:00"/>
  </r>
  <r>
    <s v="820667179560"/>
    <x v="3148"/>
    <s v="GULAB SINGH SARANGDEVOT"/>
    <n v="179560"/>
    <s v="TIRUPATI TRADING COMPANY"/>
    <n v="0"/>
    <n v="0"/>
    <n v="0"/>
    <n v="0"/>
    <n v="0"/>
    <n v="0"/>
    <n v="0"/>
    <n v="0"/>
    <n v="0"/>
    <n v="0"/>
    <n v="0"/>
    <n v="0"/>
    <n v="0"/>
    <n v="0"/>
    <n v="0"/>
    <n v="25"/>
    <n v="0"/>
    <n v="0"/>
    <n v="20"/>
    <n v="0"/>
    <n v="0"/>
    <n v="15"/>
    <n v="0"/>
    <n v="0"/>
    <n v="60"/>
    <n v="0"/>
    <n v="0"/>
    <s v="UDAIPUR"/>
    <s v="UDAIPUR"/>
    <s v="RJ-UDAIPUR"/>
    <d v="2022-09-21T00:00:00"/>
  </r>
  <r>
    <s v="820695202053"/>
    <x v="3149"/>
    <s v="HOME DECOR"/>
    <n v="202053"/>
    <s v="JAIN STONE SUPPLIERS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90"/>
    <n v="0"/>
    <n v="0"/>
    <n v="55"/>
    <n v="0"/>
    <n v="0"/>
    <n v="155"/>
    <n v="0"/>
    <n v="0"/>
    <s v="UDAIPUR"/>
    <s v="UDAIPUR"/>
    <s v="RJ-UDAIPUR"/>
    <d v="2022-09-23T00:00:00"/>
  </r>
  <r>
    <s v="820740179560"/>
    <x v="3150"/>
    <s v="NITIN BHERVIYA"/>
    <n v="179560"/>
    <s v="TIRUPATI TRADING COMPANY"/>
    <n v="0"/>
    <n v="0"/>
    <n v="0"/>
    <n v="0"/>
    <n v="0"/>
    <n v="0"/>
    <n v="0"/>
    <n v="0"/>
    <n v="0"/>
    <n v="0"/>
    <n v="0"/>
    <n v="0"/>
    <n v="0"/>
    <n v="0"/>
    <n v="0"/>
    <n v="65.25"/>
    <n v="4.5"/>
    <n v="2.75"/>
    <n v="81.75"/>
    <n v="26.25"/>
    <n v="5.5"/>
    <n v="139"/>
    <n v="0.75"/>
    <n v="10.85"/>
    <n v="286"/>
    <n v="30.75"/>
    <n v="8.25"/>
    <s v="UDAIPUR"/>
    <s v="UDAIPUR"/>
    <s v="RJ-UDAIPUR"/>
    <d v="2022-09-27T00:00:00"/>
  </r>
  <r>
    <s v="804969140849"/>
    <x v="2918"/>
    <s v="MAA ASHAPURA CEMENT &amp; SANATRY"/>
    <n v="140849"/>
    <s v="SAWALIYA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s v="UDAIPUR"/>
    <s v="UDAIPUR"/>
    <s v="RJ-UDAIPUR"/>
    <d v="2016-04-21T00:00:00"/>
  </r>
  <r>
    <s v="820805141115"/>
    <x v="3151"/>
    <s v="SHANKAR LAL CHOUDHARY"/>
    <n v="141115"/>
    <s v="KALPE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32.5"/>
    <n v="7.5"/>
    <n v="0"/>
    <n v="67.5"/>
    <n v="0"/>
    <n v="0"/>
    <s v="UDAIPUR"/>
    <s v="UDAIPUR"/>
    <s v="RJ-UDAIPUR"/>
    <d v="2022-09-29T00:00:00"/>
  </r>
  <r>
    <s v="820882146968"/>
    <x v="3152"/>
    <s v="MUKESH BUILDING MATERIAL"/>
    <n v="146968"/>
    <s v="BHARAT BUILDC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43"/>
    <n v="8"/>
    <n v="0"/>
    <n v="83"/>
    <n v="0"/>
    <n v="0"/>
    <s v="UDAIPUR"/>
    <s v="UDAIPUR"/>
    <s v="RJ-UDAIPUR"/>
    <d v="2022-10-07T00:00:00"/>
  </r>
  <r>
    <s v="815278171226"/>
    <x v="3061"/>
    <s v="SHYAM STONE AND CEMENT SUPPLIE"/>
    <n v="171226"/>
    <s v="SATYA TRAD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0"/>
    <n v="20"/>
    <n v="0"/>
    <n v="0"/>
    <s v="UDAIPUR"/>
    <s v="UDAIPUR"/>
    <s v="RJ-UDAIPUR"/>
    <d v="2021-06-26T00:00:00"/>
  </r>
  <r>
    <s v="820901141115"/>
    <x v="3153"/>
    <s v="GOPAL LAL AUDICHYA"/>
    <n v="141115"/>
    <s v="KALPE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0"/>
    <n v="0"/>
    <n v="50"/>
    <n v="20"/>
    <n v="0"/>
    <n v="105"/>
    <n v="0"/>
    <n v="0"/>
    <s v="UDAIPUR"/>
    <s v="UDAIPUR"/>
    <s v="RJ-UDAIPUR"/>
    <d v="2022-10-11T00:00:00"/>
  </r>
  <r>
    <s v="820928141115"/>
    <x v="3154"/>
    <s v="KAVISH BHADVIYA"/>
    <n v="141115"/>
    <s v="KALPE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50"/>
    <n v="0"/>
    <n v="0"/>
    <n v="85"/>
    <n v="0"/>
    <n v="0"/>
    <s v="UDAIPUR"/>
    <s v="UDAIPUR"/>
    <s v="RJ-UDAIPUR"/>
    <d v="2022-10-13T00:00:00"/>
  </r>
  <r>
    <s v="808498140849"/>
    <x v="2953"/>
    <s v="JAY GURUDEV BUILDING MATERIAL"/>
    <n v="140849"/>
    <s v="SAWALIYA CEMENT SUPPLIER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10"/>
    <n v="0"/>
    <n v="0"/>
    <s v="UDAIPUR"/>
    <s v="UDAIPUR"/>
    <s v="RJ-UDAIPUR"/>
    <d v="2018-06-02T00:00:00"/>
  </r>
  <r>
    <s v="820926209796"/>
    <x v="3155"/>
    <s v="SANWARIYA KHAD AND BEEJ BHANDA"/>
    <n v="209796"/>
    <s v="SHAKTAWAT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7.5"/>
    <n v="8"/>
    <n v="0"/>
    <n v="32.5"/>
    <n v="0"/>
    <n v="0"/>
    <s v="UDAIPUR"/>
    <s v="UDAIPUR"/>
    <s v="RJ-UDAIPUR"/>
    <d v="2022-10-12T00:00:00"/>
  </r>
  <r>
    <s v="821057209796"/>
    <x v="3156"/>
    <s v="MAA ASHAPURA SANITARY AND BUIL"/>
    <n v="209796"/>
    <s v="SHAKTAWAT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5"/>
    <n v="0"/>
    <n v="0"/>
    <n v="40"/>
    <n v="0"/>
    <n v="0"/>
    <s v="UDAIPUR"/>
    <s v="UDAIPUR"/>
    <s v="RJ-UDAIPUR"/>
    <d v="2022-10-22T00:00:00"/>
  </r>
  <r>
    <s v="820994206073"/>
    <x v="3157"/>
    <s v="DHANLAXMI MOBILE SHOP"/>
    <n v="206073"/>
    <s v="SHREE TIRUPATI BALAJI BUILDING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49.5"/>
    <n v="10"/>
    <n v="19"/>
    <n v="64.5"/>
    <n v="0"/>
    <n v="0"/>
    <s v="UDAIPUR"/>
    <s v="UDAIPUR"/>
    <s v="RJ-UDAIPUR"/>
    <d v="2022-10-18T00:00:00"/>
  </r>
  <r>
    <s v="821067209796"/>
    <x v="3158"/>
    <s v="MANSAPURN MAHADEV BUILDING MAT"/>
    <n v="209796"/>
    <s v="SHAKTAWAT BUILDING MATE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35"/>
    <n v="0"/>
    <n v="0"/>
    <n v="50"/>
    <n v="0"/>
    <n v="0"/>
    <s v="UDAIPUR"/>
    <s v="UDAIPUR"/>
    <s v="RJ-UDAIPUR"/>
    <d v="2022-10-26T00:00:00"/>
  </r>
  <r>
    <s v="821295179560"/>
    <x v="3159"/>
    <s v="BAHUBALI BUILDCOM"/>
    <n v="179560"/>
    <s v="TIRUPATI TRADING COMPAN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25"/>
    <n v="0"/>
    <n v="0"/>
    <n v="40"/>
    <n v="0"/>
    <n v="0"/>
    <s v="UDAIPUR"/>
    <s v="UDAIPUR"/>
    <s v="RJ-UDAIPUR"/>
    <d v="2022-11-19T00:00:00"/>
  </r>
  <r>
    <s v="821343141115"/>
    <x v="3160"/>
    <s v="KHUSHBOO DADHICH"/>
    <n v="141115"/>
    <s v="KALPESH CEMENT AGENCY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15"/>
    <n v="0"/>
    <n v="0"/>
    <n v="30"/>
    <n v="0"/>
    <n v="0"/>
    <s v="UDAIPUR"/>
    <s v="UDAIPUR"/>
    <s v="RJ-UDAIPUR"/>
    <d v="2022-11-2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164FB-DC1C-4C35-A7EC-42D47E061AB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165" firstHeaderRow="1" firstDataRow="1" firstDataCol="1"/>
  <pivotFields count="36">
    <pivotField showAll="0"/>
    <pivotField axis="axisRow" showAll="0">
      <items count="3162">
        <item x="2809"/>
        <item x="1615"/>
        <item x="708"/>
        <item x="709"/>
        <item x="710"/>
        <item x="711"/>
        <item x="940"/>
        <item x="1531"/>
        <item x="941"/>
        <item x="2874"/>
        <item x="0"/>
        <item x="2810"/>
        <item x="2581"/>
        <item x="2875"/>
        <item x="1616"/>
        <item x="1617"/>
        <item x="1"/>
        <item x="2"/>
        <item x="3"/>
        <item x="4"/>
        <item x="942"/>
        <item x="1583"/>
        <item x="2811"/>
        <item x="1584"/>
        <item x="1618"/>
        <item x="2678"/>
        <item x="2582"/>
        <item x="2812"/>
        <item x="943"/>
        <item x="944"/>
        <item x="945"/>
        <item x="1585"/>
        <item x="2813"/>
        <item x="1586"/>
        <item x="2127"/>
        <item x="946"/>
        <item x="2248"/>
        <item x="1587"/>
        <item x="2249"/>
        <item x="2250"/>
        <item x="2251"/>
        <item x="121"/>
        <item x="1588"/>
        <item x="2876"/>
        <item x="2877"/>
        <item x="2679"/>
        <item x="2680"/>
        <item x="469"/>
        <item x="2252"/>
        <item x="5"/>
        <item x="712"/>
        <item x="2253"/>
        <item x="2681"/>
        <item x="2814"/>
        <item x="2878"/>
        <item x="2815"/>
        <item x="2879"/>
        <item x="2880"/>
        <item x="2682"/>
        <item x="2128"/>
        <item x="1192"/>
        <item x="2683"/>
        <item x="2881"/>
        <item x="122"/>
        <item x="1193"/>
        <item x="2882"/>
        <item x="2883"/>
        <item x="2884"/>
        <item x="2885"/>
        <item x="1589"/>
        <item x="713"/>
        <item x="2886"/>
        <item x="2887"/>
        <item x="2888"/>
        <item x="947"/>
        <item x="1194"/>
        <item x="1195"/>
        <item x="2684"/>
        <item x="2685"/>
        <item x="470"/>
        <item x="2254"/>
        <item x="471"/>
        <item x="831"/>
        <item x="2889"/>
        <item x="2890"/>
        <item x="2891"/>
        <item x="2892"/>
        <item x="2893"/>
        <item x="1196"/>
        <item x="2894"/>
        <item x="2895"/>
        <item x="2535"/>
        <item x="2686"/>
        <item x="472"/>
        <item x="2896"/>
        <item x="2383"/>
        <item x="473"/>
        <item x="2129"/>
        <item x="474"/>
        <item x="475"/>
        <item x="2897"/>
        <item x="2898"/>
        <item x="2816"/>
        <item x="2384"/>
        <item x="1590"/>
        <item x="1197"/>
        <item x="476"/>
        <item x="1198"/>
        <item x="2130"/>
        <item x="2899"/>
        <item x="1199"/>
        <item x="1200"/>
        <item x="6"/>
        <item x="2817"/>
        <item x="2818"/>
        <item x="832"/>
        <item x="1426"/>
        <item x="7"/>
        <item x="2131"/>
        <item x="2132"/>
        <item x="1178"/>
        <item x="2900"/>
        <item x="2687"/>
        <item x="2901"/>
        <item x="2902"/>
        <item x="714"/>
        <item x="2583"/>
        <item x="2688"/>
        <item x="1201"/>
        <item x="948"/>
        <item x="2133"/>
        <item x="2584"/>
        <item x="2903"/>
        <item x="1619"/>
        <item x="2689"/>
        <item x="2385"/>
        <item x="123"/>
        <item x="2904"/>
        <item x="2905"/>
        <item x="2906"/>
        <item x="2907"/>
        <item x="2908"/>
        <item x="1202"/>
        <item x="1203"/>
        <item x="2690"/>
        <item x="2909"/>
        <item x="2910"/>
        <item x="2691"/>
        <item x="2134"/>
        <item x="2911"/>
        <item x="2135"/>
        <item x="2525"/>
        <item x="1620"/>
        <item x="1204"/>
        <item x="2912"/>
        <item x="2913"/>
        <item x="1621"/>
        <item x="1205"/>
        <item x="2819"/>
        <item x="124"/>
        <item x="587"/>
        <item x="1206"/>
        <item x="1207"/>
        <item x="2585"/>
        <item x="125"/>
        <item x="588"/>
        <item x="2820"/>
        <item x="2586"/>
        <item x="1208"/>
        <item x="193"/>
        <item x="1532"/>
        <item x="2587"/>
        <item x="8"/>
        <item x="2914"/>
        <item x="2821"/>
        <item x="1209"/>
        <item x="2915"/>
        <item x="1481"/>
        <item x="194"/>
        <item x="9"/>
        <item x="10"/>
        <item x="833"/>
        <item x="11"/>
        <item x="2136"/>
        <item x="1210"/>
        <item x="1482"/>
        <item x="2137"/>
        <item x="195"/>
        <item x="2916"/>
        <item x="2692"/>
        <item x="1211"/>
        <item x="1212"/>
        <item x="1622"/>
        <item x="949"/>
        <item x="1213"/>
        <item x="1427"/>
        <item x="2917"/>
        <item x="2918"/>
        <item x="2822"/>
        <item x="834"/>
        <item x="589"/>
        <item x="196"/>
        <item x="835"/>
        <item x="950"/>
        <item x="12"/>
        <item x="715"/>
        <item x="716"/>
        <item x="2588"/>
        <item x="951"/>
        <item x="2386"/>
        <item x="2823"/>
        <item x="2824"/>
        <item x="2589"/>
        <item x="2825"/>
        <item x="952"/>
        <item x="953"/>
        <item x="836"/>
        <item x="1887"/>
        <item x="1623"/>
        <item x="1591"/>
        <item x="1214"/>
        <item x="954"/>
        <item x="955"/>
        <item x="2693"/>
        <item x="1215"/>
        <item x="1216"/>
        <item x="956"/>
        <item x="1217"/>
        <item x="413"/>
        <item x="1218"/>
        <item x="2138"/>
        <item x="2139"/>
        <item x="477"/>
        <item x="1888"/>
        <item x="1219"/>
        <item x="2826"/>
        <item x="2919"/>
        <item x="2920"/>
        <item x="1220"/>
        <item x="1221"/>
        <item x="2255"/>
        <item x="2028"/>
        <item x="957"/>
        <item x="197"/>
        <item x="717"/>
        <item x="1222"/>
        <item x="2694"/>
        <item x="1889"/>
        <item x="198"/>
        <item x="837"/>
        <item x="1483"/>
        <item x="1592"/>
        <item x="126"/>
        <item x="1223"/>
        <item x="2827"/>
        <item x="1413"/>
        <item x="1428"/>
        <item x="2256"/>
        <item x="414"/>
        <item x="415"/>
        <item x="1624"/>
        <item x="1625"/>
        <item x="478"/>
        <item x="479"/>
        <item x="2921"/>
        <item x="2922"/>
        <item x="3135"/>
        <item x="1224"/>
        <item x="480"/>
        <item x="2387"/>
        <item x="2388"/>
        <item x="1225"/>
        <item x="13"/>
        <item x="14"/>
        <item x="1226"/>
        <item x="1227"/>
        <item x="1228"/>
        <item x="1229"/>
        <item x="1230"/>
        <item x="1231"/>
        <item x="2923"/>
        <item x="2257"/>
        <item x="1232"/>
        <item x="2590"/>
        <item x="1084"/>
        <item x="1429"/>
        <item x="1085"/>
        <item x="718"/>
        <item x="15"/>
        <item x="1233"/>
        <item x="1234"/>
        <item x="958"/>
        <item x="838"/>
        <item x="1626"/>
        <item x="481"/>
        <item x="482"/>
        <item x="483"/>
        <item x="484"/>
        <item x="2389"/>
        <item x="2390"/>
        <item x="485"/>
        <item x="249"/>
        <item x="250"/>
        <item x="2828"/>
        <item x="1890"/>
        <item x="127"/>
        <item x="1891"/>
        <item x="1235"/>
        <item x="1236"/>
        <item x="590"/>
        <item x="591"/>
        <item x="959"/>
        <item x="719"/>
        <item x="720"/>
        <item x="721"/>
        <item x="2391"/>
        <item x="1237"/>
        <item x="1238"/>
        <item x="2392"/>
        <item x="2393"/>
        <item x="1239"/>
        <item x="592"/>
        <item x="593"/>
        <item x="960"/>
        <item x="839"/>
        <item x="16"/>
        <item x="1892"/>
        <item x="17"/>
        <item x="1240"/>
        <item x="1627"/>
        <item x="594"/>
        <item x="840"/>
        <item x="2140"/>
        <item x="2591"/>
        <item x="2029"/>
        <item x="2536"/>
        <item x="2537"/>
        <item x="1893"/>
        <item x="595"/>
        <item x="961"/>
        <item x="596"/>
        <item x="597"/>
        <item x="962"/>
        <item x="963"/>
        <item x="486"/>
        <item x="1484"/>
        <item x="18"/>
        <item x="2592"/>
        <item x="2030"/>
        <item x="2031"/>
        <item x="2924"/>
        <item x="2593"/>
        <item x="2032"/>
        <item x="1241"/>
        <item x="487"/>
        <item x="2033"/>
        <item x="2034"/>
        <item x="1242"/>
        <item x="1179"/>
        <item x="598"/>
        <item x="2925"/>
        <item x="722"/>
        <item x="2926"/>
        <item x="1485"/>
        <item x="841"/>
        <item x="842"/>
        <item x="2829"/>
        <item x="1787"/>
        <item x="1788"/>
        <item x="723"/>
        <item x="2141"/>
        <item x="2830"/>
        <item x="488"/>
        <item x="128"/>
        <item x="2927"/>
        <item x="2928"/>
        <item x="2929"/>
        <item x="2930"/>
        <item x="2931"/>
        <item x="302"/>
        <item x="724"/>
        <item x="2932"/>
        <item x="489"/>
        <item x="2933"/>
        <item x="2258"/>
        <item x="1894"/>
        <item x="1895"/>
        <item x="1896"/>
        <item x="1897"/>
        <item x="843"/>
        <item x="2831"/>
        <item x="1421"/>
        <item x="1628"/>
        <item x="1629"/>
        <item x="1243"/>
        <item x="1244"/>
        <item x="1245"/>
        <item x="964"/>
        <item x="844"/>
        <item x="845"/>
        <item x="1430"/>
        <item x="846"/>
        <item x="965"/>
        <item x="725"/>
        <item x="2259"/>
        <item x="1630"/>
        <item x="416"/>
        <item x="1631"/>
        <item x="2934"/>
        <item x="766"/>
        <item x="599"/>
        <item x="966"/>
        <item x="967"/>
        <item x="19"/>
        <item x="968"/>
        <item x="1632"/>
        <item x="1533"/>
        <item x="1534"/>
        <item x="2935"/>
        <item x="2594"/>
        <item x="20"/>
        <item x="159"/>
        <item x="2936"/>
        <item x="847"/>
        <item x="1898"/>
        <item x="1899"/>
        <item x="848"/>
        <item x="1431"/>
        <item x="2142"/>
        <item x="2143"/>
        <item x="1633"/>
        <item x="2937"/>
        <item x="2938"/>
        <item x="969"/>
        <item x="2595"/>
        <item x="303"/>
        <item x="251"/>
        <item x="199"/>
        <item x="2939"/>
        <item x="304"/>
        <item x="970"/>
        <item x="1246"/>
        <item x="1634"/>
        <item x="2394"/>
        <item x="1247"/>
        <item x="2832"/>
        <item x="1900"/>
        <item x="1248"/>
        <item x="2260"/>
        <item x="2695"/>
        <item x="1249"/>
        <item x="1250"/>
        <item x="1251"/>
        <item x="1252"/>
        <item x="1253"/>
        <item x="2833"/>
        <item x="2144"/>
        <item x="1486"/>
        <item x="2145"/>
        <item x="849"/>
        <item x="1254"/>
        <item x="2834"/>
        <item x="1535"/>
        <item x="200"/>
        <item x="201"/>
        <item x="2146"/>
        <item x="2940"/>
        <item x="2941"/>
        <item x="1635"/>
        <item x="1636"/>
        <item x="1637"/>
        <item x="2538"/>
        <item x="1789"/>
        <item x="1790"/>
        <item x="1638"/>
        <item x="21"/>
        <item x="22"/>
        <item x="23"/>
        <item x="726"/>
        <item x="971"/>
        <item x="972"/>
        <item x="305"/>
        <item x="202"/>
        <item x="1255"/>
        <item x="1256"/>
        <item x="1257"/>
        <item x="1536"/>
        <item x="1258"/>
        <item x="1259"/>
        <item x="1260"/>
        <item x="1261"/>
        <item x="1262"/>
        <item x="2147"/>
        <item x="1263"/>
        <item x="1264"/>
        <item x="1265"/>
        <item x="2148"/>
        <item x="973"/>
        <item x="1266"/>
        <item x="2942"/>
        <item x="2261"/>
        <item x="2035"/>
        <item x="24"/>
        <item x="600"/>
        <item x="1267"/>
        <item x="1268"/>
        <item x="2696"/>
        <item x="1593"/>
        <item x="1269"/>
        <item x="1270"/>
        <item x="306"/>
        <item x="2149"/>
        <item x="307"/>
        <item x="308"/>
        <item x="490"/>
        <item x="2596"/>
        <item x="1271"/>
        <item x="2697"/>
        <item x="2943"/>
        <item x="2944"/>
        <item x="2945"/>
        <item x="491"/>
        <item x="25"/>
        <item x="2395"/>
        <item x="2396"/>
        <item x="26"/>
        <item x="2397"/>
        <item x="2150"/>
        <item x="1272"/>
        <item x="2946"/>
        <item x="2036"/>
        <item x="27"/>
        <item x="2398"/>
        <item x="2947"/>
        <item x="2151"/>
        <item x="2835"/>
        <item x="2399"/>
        <item x="1173"/>
        <item x="2948"/>
        <item x="2539"/>
        <item x="2698"/>
        <item x="2699"/>
        <item x="1273"/>
        <item x="1901"/>
        <item x="2540"/>
        <item x="2949"/>
        <item x="2152"/>
        <item x="492"/>
        <item x="493"/>
        <item x="2950"/>
        <item x="2951"/>
        <item x="601"/>
        <item x="2541"/>
        <item x="1639"/>
        <item x="1640"/>
        <item x="28"/>
        <item x="1432"/>
        <item x="2153"/>
        <item x="2700"/>
        <item x="2701"/>
        <item x="2597"/>
        <item x="1641"/>
        <item x="2262"/>
        <item x="2598"/>
        <item x="2599"/>
        <item x="2702"/>
        <item x="2600"/>
        <item x="1433"/>
        <item x="29"/>
        <item x="30"/>
        <item x="129"/>
        <item x="1274"/>
        <item x="2263"/>
        <item x="1434"/>
        <item x="31"/>
        <item x="1537"/>
        <item x="850"/>
        <item x="1275"/>
        <item x="2037"/>
        <item x="2038"/>
        <item x="1422"/>
        <item x="2264"/>
        <item x="309"/>
        <item x="32"/>
        <item x="2154"/>
        <item x="2952"/>
        <item x="1642"/>
        <item x="2155"/>
        <item x="2039"/>
        <item x="1643"/>
        <item x="1644"/>
        <item x="33"/>
        <item x="2156"/>
        <item x="1645"/>
        <item x="2601"/>
        <item x="2040"/>
        <item x="2157"/>
        <item x="2158"/>
        <item x="2159"/>
        <item x="2953"/>
        <item x="602"/>
        <item x="2703"/>
        <item x="2542"/>
        <item x="2704"/>
        <item x="2836"/>
        <item x="2954"/>
        <item x="2705"/>
        <item x="2706"/>
        <item x="2041"/>
        <item x="2543"/>
        <item x="1594"/>
        <item x="1487"/>
        <item x="1538"/>
        <item x="1646"/>
        <item x="1647"/>
        <item x="1648"/>
        <item x="1649"/>
        <item x="2160"/>
        <item x="2161"/>
        <item x="2544"/>
        <item x="2707"/>
        <item x="2708"/>
        <item x="1276"/>
        <item x="2709"/>
        <item x="2710"/>
        <item x="1435"/>
        <item x="727"/>
        <item x="1650"/>
        <item x="2602"/>
        <item x="2603"/>
        <item x="2837"/>
        <item x="1595"/>
        <item x="1488"/>
        <item x="417"/>
        <item x="974"/>
        <item x="851"/>
        <item x="203"/>
        <item x="1902"/>
        <item x="1277"/>
        <item x="1278"/>
        <item x="1279"/>
        <item x="1651"/>
        <item x="2400"/>
        <item x="1903"/>
        <item x="1904"/>
        <item x="494"/>
        <item x="495"/>
        <item x="2711"/>
        <item x="34"/>
        <item x="2838"/>
        <item x="2839"/>
        <item x="1652"/>
        <item x="1653"/>
        <item x="1280"/>
        <item x="2712"/>
        <item x="2713"/>
        <item x="2714"/>
        <item x="2715"/>
        <item x="2265"/>
        <item x="2266"/>
        <item x="35"/>
        <item x="36"/>
        <item x="2955"/>
        <item x="1281"/>
        <item x="2545"/>
        <item x="2956"/>
        <item x="2267"/>
        <item x="2716"/>
        <item x="2717"/>
        <item x="1282"/>
        <item x="1283"/>
        <item x="1654"/>
        <item x="2957"/>
        <item x="2958"/>
        <item x="2959"/>
        <item x="1436"/>
        <item x="728"/>
        <item x="729"/>
        <item x="2718"/>
        <item x="1655"/>
        <item x="2401"/>
        <item x="2268"/>
        <item x="2162"/>
        <item x="975"/>
        <item x="2604"/>
        <item x="1656"/>
        <item x="1657"/>
        <item x="2605"/>
        <item x="1658"/>
        <item x="1659"/>
        <item x="2546"/>
        <item x="2960"/>
        <item x="418"/>
        <item x="786"/>
        <item x="252"/>
        <item x="2961"/>
        <item x="310"/>
        <item x="2962"/>
        <item x="1660"/>
        <item x="37"/>
        <item x="2042"/>
        <item x="2043"/>
        <item x="2963"/>
        <item x="2964"/>
        <item x="2269"/>
        <item x="419"/>
        <item x="130"/>
        <item x="1905"/>
        <item x="2606"/>
        <item x="1661"/>
        <item x="1284"/>
        <item x="1285"/>
        <item x="1286"/>
        <item x="311"/>
        <item x="2163"/>
        <item x="2270"/>
        <item x="2271"/>
        <item x="38"/>
        <item x="39"/>
        <item x="496"/>
        <item x="2164"/>
        <item x="1539"/>
        <item x="2719"/>
        <item x="1086"/>
        <item x="2607"/>
        <item x="2965"/>
        <item x="1906"/>
        <item x="2966"/>
        <item x="2967"/>
        <item x="2165"/>
        <item x="117"/>
        <item x="1540"/>
        <item x="1287"/>
        <item x="2968"/>
        <item x="1288"/>
        <item x="1289"/>
        <item x="2969"/>
        <item x="2970"/>
        <item x="312"/>
        <item x="2971"/>
        <item x="2402"/>
        <item x="2403"/>
        <item x="2404"/>
        <item x="2405"/>
        <item x="976"/>
        <item x="2406"/>
        <item x="2407"/>
        <item x="2408"/>
        <item x="1087"/>
        <item x="2972"/>
        <item x="1290"/>
        <item x="1662"/>
        <item x="1791"/>
        <item x="2720"/>
        <item x="1291"/>
        <item x="1907"/>
        <item x="40"/>
        <item x="2721"/>
        <item x="2722"/>
        <item x="1541"/>
        <item x="2272"/>
        <item x="2608"/>
        <item x="2273"/>
        <item x="2044"/>
        <item x="1792"/>
        <item x="420"/>
        <item x="2973"/>
        <item x="2609"/>
        <item x="1088"/>
        <item x="603"/>
        <item x="604"/>
        <item x="41"/>
        <item x="42"/>
        <item x="852"/>
        <item x="1908"/>
        <item x="605"/>
        <item x="1663"/>
        <item x="2045"/>
        <item x="1909"/>
        <item x="977"/>
        <item x="2547"/>
        <item x="2974"/>
        <item x="1542"/>
        <item x="606"/>
        <item x="1793"/>
        <item x="1794"/>
        <item x="978"/>
        <item x="497"/>
        <item x="43"/>
        <item x="979"/>
        <item x="2166"/>
        <item x="2167"/>
        <item x="1292"/>
        <item x="1293"/>
        <item x="2168"/>
        <item x="313"/>
        <item x="44"/>
        <item x="421"/>
        <item x="1294"/>
        <item x="2169"/>
        <item x="2170"/>
        <item x="607"/>
        <item x="2171"/>
        <item x="1664"/>
        <item x="45"/>
        <item x="46"/>
        <item x="2975"/>
        <item x="2976"/>
        <item x="2046"/>
        <item x="2047"/>
        <item x="47"/>
        <item x="980"/>
        <item x="981"/>
        <item x="1295"/>
        <item x="1296"/>
        <item x="2840"/>
        <item x="2841"/>
        <item x="2723"/>
        <item x="2610"/>
        <item x="608"/>
        <item x="204"/>
        <item x="48"/>
        <item x="1489"/>
        <item x="2172"/>
        <item x="609"/>
        <item x="422"/>
        <item x="982"/>
        <item x="2409"/>
        <item x="2410"/>
        <item x="2411"/>
        <item x="2412"/>
        <item x="2413"/>
        <item x="2173"/>
        <item x="2977"/>
        <item x="2611"/>
        <item x="2724"/>
        <item x="49"/>
        <item x="2978"/>
        <item x="2174"/>
        <item x="2175"/>
        <item x="2842"/>
        <item x="1089"/>
        <item x="983"/>
        <item x="2725"/>
        <item x="2048"/>
        <item x="2979"/>
        <item x="1543"/>
        <item x="2980"/>
        <item x="610"/>
        <item x="1437"/>
        <item x="1665"/>
        <item x="1297"/>
        <item x="2049"/>
        <item x="2176"/>
        <item x="314"/>
        <item x="611"/>
        <item x="2981"/>
        <item x="2982"/>
        <item x="1666"/>
        <item x="1667"/>
        <item x="1668"/>
        <item x="2843"/>
        <item x="1090"/>
        <item x="1438"/>
        <item x="1479"/>
        <item x="2983"/>
        <item x="1669"/>
        <item x="2726"/>
        <item x="2984"/>
        <item x="2050"/>
        <item x="612"/>
        <item x="1795"/>
        <item x="1796"/>
        <item x="1910"/>
        <item x="613"/>
        <item x="2177"/>
        <item x="614"/>
        <item x="984"/>
        <item x="50"/>
        <item x="615"/>
        <item x="1670"/>
        <item x="985"/>
        <item x="2844"/>
        <item x="1439"/>
        <item x="423"/>
        <item x="1671"/>
        <item x="2178"/>
        <item x="2179"/>
        <item x="853"/>
        <item x="986"/>
        <item x="2612"/>
        <item x="2985"/>
        <item x="2727"/>
        <item x="1596"/>
        <item x="987"/>
        <item x="2986"/>
        <item x="1544"/>
        <item x="1672"/>
        <item x="1673"/>
        <item x="1674"/>
        <item x="1091"/>
        <item x="1092"/>
        <item x="1093"/>
        <item x="2728"/>
        <item x="2613"/>
        <item x="2548"/>
        <item x="51"/>
        <item x="52"/>
        <item x="2274"/>
        <item x="1094"/>
        <item x="616"/>
        <item x="1095"/>
        <item x="1675"/>
        <item x="1676"/>
        <item x="1677"/>
        <item x="1678"/>
        <item x="1440"/>
        <item x="2414"/>
        <item x="498"/>
        <item x="1441"/>
        <item x="2415"/>
        <item x="2416"/>
        <item x="1679"/>
        <item x="1680"/>
        <item x="2845"/>
        <item x="2729"/>
        <item x="1096"/>
        <item x="1490"/>
        <item x="1491"/>
        <item x="2275"/>
        <item x="1298"/>
        <item x="2987"/>
        <item x="1545"/>
        <item x="1299"/>
        <item x="1300"/>
        <item x="205"/>
        <item x="1442"/>
        <item x="617"/>
        <item x="618"/>
        <item x="160"/>
        <item x="1301"/>
        <item x="1681"/>
        <item x="787"/>
        <item x="499"/>
        <item x="315"/>
        <item x="1797"/>
        <item x="2988"/>
        <item x="206"/>
        <item x="619"/>
        <item x="316"/>
        <item x="988"/>
        <item x="2549"/>
        <item x="2276"/>
        <item x="161"/>
        <item x="2417"/>
        <item x="2418"/>
        <item x="1443"/>
        <item x="317"/>
        <item x="989"/>
        <item x="131"/>
        <item x="132"/>
        <item x="2989"/>
        <item x="2990"/>
        <item x="1097"/>
        <item x="207"/>
        <item x="318"/>
        <item x="1546"/>
        <item x="1911"/>
        <item x="1912"/>
        <item x="500"/>
        <item x="854"/>
        <item x="855"/>
        <item x="53"/>
        <item x="990"/>
        <item x="2614"/>
        <item x="2730"/>
        <item x="1597"/>
        <item x="1098"/>
        <item x="2991"/>
        <item x="2992"/>
        <item x="2993"/>
        <item x="2994"/>
        <item x="1302"/>
        <item x="2180"/>
        <item x="1303"/>
        <item x="501"/>
        <item x="1099"/>
        <item x="1100"/>
        <item x="1101"/>
        <item x="1304"/>
        <item x="1305"/>
        <item x="502"/>
        <item x="503"/>
        <item x="133"/>
        <item x="2615"/>
        <item x="2616"/>
        <item x="2995"/>
        <item x="991"/>
        <item x="1798"/>
        <item x="208"/>
        <item x="54"/>
        <item x="1682"/>
        <item x="1102"/>
        <item x="1103"/>
        <item x="620"/>
        <item x="319"/>
        <item x="1180"/>
        <item x="1306"/>
        <item x="1913"/>
        <item x="992"/>
        <item x="730"/>
        <item x="2051"/>
        <item x="993"/>
        <item x="209"/>
        <item x="1104"/>
        <item x="2181"/>
        <item x="1683"/>
        <item x="2996"/>
        <item x="1492"/>
        <item x="2617"/>
        <item x="621"/>
        <item x="134"/>
        <item x="135"/>
        <item x="994"/>
        <item x="2618"/>
        <item x="1684"/>
        <item x="1493"/>
        <item x="253"/>
        <item x="254"/>
        <item x="255"/>
        <item x="55"/>
        <item x="136"/>
        <item x="137"/>
        <item x="138"/>
        <item x="210"/>
        <item x="2731"/>
        <item x="1307"/>
        <item x="1308"/>
        <item x="2997"/>
        <item x="2998"/>
        <item x="1598"/>
        <item x="139"/>
        <item x="140"/>
        <item x="622"/>
        <item x="1914"/>
        <item x="1915"/>
        <item x="995"/>
        <item x="2052"/>
        <item x="2419"/>
        <item x="2420"/>
        <item x="2421"/>
        <item x="2999"/>
        <item x="3000"/>
        <item x="1916"/>
        <item x="1799"/>
        <item x="162"/>
        <item x="2422"/>
        <item x="1309"/>
        <item x="1547"/>
        <item x="2053"/>
        <item x="2054"/>
        <item x="56"/>
        <item x="424"/>
        <item x="3001"/>
        <item x="1548"/>
        <item x="141"/>
        <item x="1685"/>
        <item x="1686"/>
        <item x="2846"/>
        <item x="2619"/>
        <item x="1105"/>
        <item x="1106"/>
        <item x="1310"/>
        <item x="2277"/>
        <item x="2278"/>
        <item x="2423"/>
        <item x="57"/>
        <item x="58"/>
        <item x="2732"/>
        <item x="767"/>
        <item x="2279"/>
        <item x="996"/>
        <item x="2424"/>
        <item x="2425"/>
        <item x="1494"/>
        <item x="2280"/>
        <item x="2182"/>
        <item x="2183"/>
        <item x="3002"/>
        <item x="211"/>
        <item x="256"/>
        <item x="320"/>
        <item x="163"/>
        <item x="1444"/>
        <item x="2281"/>
        <item x="2055"/>
        <item x="1800"/>
        <item x="1801"/>
        <item x="504"/>
        <item x="768"/>
        <item x="2550"/>
        <item x="2847"/>
        <item x="2848"/>
        <item x="2849"/>
        <item x="212"/>
        <item x="1917"/>
        <item x="2850"/>
        <item x="2426"/>
        <item x="1687"/>
        <item x="623"/>
        <item x="213"/>
        <item x="257"/>
        <item x="1918"/>
        <item x="258"/>
        <item x="505"/>
        <item x="3003"/>
        <item x="1688"/>
        <item x="2056"/>
        <item x="2057"/>
        <item x="997"/>
        <item x="998"/>
        <item x="788"/>
        <item x="856"/>
        <item x="1311"/>
        <item x="1312"/>
        <item x="1919"/>
        <item x="789"/>
        <item x="857"/>
        <item x="2058"/>
        <item x="1313"/>
        <item x="506"/>
        <item x="120"/>
        <item x="2122"/>
        <item x="999"/>
        <item x="858"/>
        <item x="1000"/>
        <item x="3004"/>
        <item x="3005"/>
        <item x="3006"/>
        <item x="1549"/>
        <item x="321"/>
        <item x="1001"/>
        <item x="3007"/>
        <item x="1851"/>
        <item x="859"/>
        <item x="3008"/>
        <item x="3009"/>
        <item x="2733"/>
        <item x="322"/>
        <item x="3010"/>
        <item x="624"/>
        <item x="731"/>
        <item x="625"/>
        <item x="59"/>
        <item x="2734"/>
        <item x="2735"/>
        <item x="60"/>
        <item x="425"/>
        <item x="2427"/>
        <item x="1445"/>
        <item x="426"/>
        <item x="1314"/>
        <item x="1315"/>
        <item x="769"/>
        <item x="1920"/>
        <item x="626"/>
        <item x="790"/>
        <item x="1689"/>
        <item x="627"/>
        <item x="791"/>
        <item x="1802"/>
        <item x="323"/>
        <item x="1177"/>
        <item x="770"/>
        <item x="792"/>
        <item x="259"/>
        <item x="1002"/>
        <item x="427"/>
        <item x="1003"/>
        <item x="1803"/>
        <item x="3011"/>
        <item x="3012"/>
        <item x="628"/>
        <item x="629"/>
        <item x="142"/>
        <item x="793"/>
        <item x="324"/>
        <item x="1107"/>
        <item x="2736"/>
        <item x="1921"/>
        <item x="1922"/>
        <item x="1923"/>
        <item x="2428"/>
        <item x="860"/>
        <item x="1316"/>
        <item x="2184"/>
        <item x="1317"/>
        <item x="1446"/>
        <item x="794"/>
        <item x="2185"/>
        <item x="2186"/>
        <item x="2429"/>
        <item x="61"/>
        <item x="325"/>
        <item x="260"/>
        <item x="214"/>
        <item x="261"/>
        <item x="215"/>
        <item x="164"/>
        <item x="118"/>
        <item x="1108"/>
        <item x="1690"/>
        <item x="1109"/>
        <item x="326"/>
        <item x="2430"/>
        <item x="1691"/>
        <item x="1447"/>
        <item x="1004"/>
        <item x="2059"/>
        <item x="1550"/>
        <item x="2060"/>
        <item x="1551"/>
        <item x="1552"/>
        <item x="1553"/>
        <item x="507"/>
        <item x="508"/>
        <item x="62"/>
        <item x="1110"/>
        <item x="2061"/>
        <item x="2282"/>
        <item x="2620"/>
        <item x="2283"/>
        <item x="2062"/>
        <item x="165"/>
        <item x="2063"/>
        <item x="2621"/>
        <item x="63"/>
        <item x="509"/>
        <item x="732"/>
        <item x="1111"/>
        <item x="246"/>
        <item x="2431"/>
        <item x="795"/>
        <item x="3013"/>
        <item x="510"/>
        <item x="2737"/>
        <item x="2622"/>
        <item x="2432"/>
        <item x="1599"/>
        <item x="3014"/>
        <item x="262"/>
        <item x="263"/>
        <item x="1554"/>
        <item x="861"/>
        <item x="862"/>
        <item x="2187"/>
        <item x="1318"/>
        <item x="796"/>
        <item x="797"/>
        <item x="143"/>
        <item x="2188"/>
        <item x="2189"/>
        <item x="2190"/>
        <item x="1692"/>
        <item x="1693"/>
        <item x="1852"/>
        <item x="64"/>
        <item x="2064"/>
        <item x="428"/>
        <item x="1694"/>
        <item x="144"/>
        <item x="1112"/>
        <item x="1113"/>
        <item x="2065"/>
        <item x="145"/>
        <item x="2066"/>
        <item x="327"/>
        <item x="863"/>
        <item x="328"/>
        <item x="1924"/>
        <item x="2284"/>
        <item x="2067"/>
        <item x="2068"/>
        <item x="65"/>
        <item x="2285"/>
        <item x="2069"/>
        <item x="2286"/>
        <item x="1600"/>
        <item x="1925"/>
        <item x="733"/>
        <item x="3015"/>
        <item x="2070"/>
        <item x="511"/>
        <item x="734"/>
        <item x="630"/>
        <item x="146"/>
        <item x="2851"/>
        <item x="2852"/>
        <item x="1926"/>
        <item x="1319"/>
        <item x="1320"/>
        <item x="1321"/>
        <item x="1322"/>
        <item x="1323"/>
        <item x="1324"/>
        <item x="1555"/>
        <item x="1325"/>
        <item x="1556"/>
        <item x="1557"/>
        <item x="1804"/>
        <item x="1853"/>
        <item x="1326"/>
        <item x="1927"/>
        <item x="2071"/>
        <item x="329"/>
        <item x="2072"/>
        <item x="3016"/>
        <item x="1805"/>
        <item x="3017"/>
        <item x="216"/>
        <item x="217"/>
        <item x="1327"/>
        <item x="1328"/>
        <item x="1928"/>
        <item x="2287"/>
        <item x="264"/>
        <item x="1806"/>
        <item x="265"/>
        <item x="512"/>
        <item x="1807"/>
        <item x="330"/>
        <item x="2738"/>
        <item x="1005"/>
        <item x="429"/>
        <item x="66"/>
        <item x="166"/>
        <item x="167"/>
        <item x="2739"/>
        <item x="2740"/>
        <item x="168"/>
        <item x="67"/>
        <item x="430"/>
        <item x="2433"/>
        <item x="1495"/>
        <item x="1006"/>
        <item x="2551"/>
        <item x="864"/>
        <item x="266"/>
        <item x="771"/>
        <item x="3018"/>
        <item x="735"/>
        <item x="1808"/>
        <item x="68"/>
        <item x="69"/>
        <item x="2434"/>
        <item x="3019"/>
        <item x="1695"/>
        <item x="331"/>
        <item x="3020"/>
        <item x="3021"/>
        <item x="631"/>
        <item x="1809"/>
        <item x="1810"/>
        <item x="2361"/>
        <item x="2288"/>
        <item x="2289"/>
        <item x="3022"/>
        <item x="2290"/>
        <item x="3023"/>
        <item x="1558"/>
        <item x="3024"/>
        <item x="865"/>
        <item x="2623"/>
        <item x="2435"/>
        <item x="513"/>
        <item x="332"/>
        <item x="514"/>
        <item x="2436"/>
        <item x="3025"/>
        <item x="3026"/>
        <item x="1696"/>
        <item x="2624"/>
        <item x="2625"/>
        <item x="2626"/>
        <item x="1697"/>
        <item x="1698"/>
        <item x="1699"/>
        <item x="2741"/>
        <item x="866"/>
        <item x="2742"/>
        <item x="2743"/>
        <item x="1929"/>
        <item x="1930"/>
        <item x="147"/>
        <item x="2437"/>
        <item x="2627"/>
        <item x="772"/>
        <item x="2552"/>
        <item x="2744"/>
        <item x="2745"/>
        <item x="2438"/>
        <item x="1114"/>
        <item x="2439"/>
        <item x="1007"/>
        <item x="70"/>
        <item x="2440"/>
        <item x="2073"/>
        <item x="2441"/>
        <item x="2291"/>
        <item x="2292"/>
        <item x="218"/>
        <item x="267"/>
        <item x="798"/>
        <item x="736"/>
        <item x="2074"/>
        <item x="515"/>
        <item x="333"/>
        <item x="2442"/>
        <item x="3027"/>
        <item x="219"/>
        <item x="2075"/>
        <item x="2443"/>
        <item x="3028"/>
        <item x="2444"/>
        <item x="632"/>
        <item x="2445"/>
        <item x="516"/>
        <item x="517"/>
        <item x="2446"/>
        <item x="2553"/>
        <item x="1115"/>
        <item x="3029"/>
        <item x="1008"/>
        <item x="1854"/>
        <item x="2076"/>
        <item x="1496"/>
        <item x="268"/>
        <item x="269"/>
        <item x="270"/>
        <item x="633"/>
        <item x="271"/>
        <item x="1811"/>
        <item x="2746"/>
        <item x="2747"/>
        <item x="1448"/>
        <item x="634"/>
        <item x="2748"/>
        <item x="71"/>
        <item x="2749"/>
        <item x="2293"/>
        <item x="1931"/>
        <item x="635"/>
        <item x="1116"/>
        <item x="2447"/>
        <item x="636"/>
        <item x="637"/>
        <item x="3030"/>
        <item x="334"/>
        <item x="737"/>
        <item x="518"/>
        <item x="519"/>
        <item x="3031"/>
        <item x="3032"/>
        <item x="1181"/>
        <item x="1329"/>
        <item x="72"/>
        <item x="1117"/>
        <item x="1009"/>
        <item x="335"/>
        <item x="1449"/>
        <item x="73"/>
        <item x="1812"/>
        <item x="1010"/>
        <item x="799"/>
        <item x="2628"/>
        <item x="2629"/>
        <item x="1330"/>
        <item x="2750"/>
        <item x="800"/>
        <item x="520"/>
        <item x="2853"/>
        <item x="2294"/>
        <item x="738"/>
        <item x="739"/>
        <item x="740"/>
        <item x="741"/>
        <item x="638"/>
        <item x="1011"/>
        <item x="639"/>
        <item x="1813"/>
        <item x="1331"/>
        <item x="2295"/>
        <item x="2630"/>
        <item x="2296"/>
        <item x="3033"/>
        <item x="2554"/>
        <item x="867"/>
        <item x="1932"/>
        <item x="1814"/>
        <item x="1933"/>
        <item x="2631"/>
        <item x="1601"/>
        <item x="1559"/>
        <item x="1602"/>
        <item x="1815"/>
        <item x="1816"/>
        <item x="1817"/>
        <item x="2297"/>
        <item x="3034"/>
        <item x="2751"/>
        <item x="2752"/>
        <item x="1934"/>
        <item x="220"/>
        <item x="2298"/>
        <item x="2555"/>
        <item x="74"/>
        <item x="1332"/>
        <item x="2753"/>
        <item x="1012"/>
        <item x="75"/>
        <item x="1333"/>
        <item x="1450"/>
        <item x="1451"/>
        <item x="1452"/>
        <item x="1118"/>
        <item x="2632"/>
        <item x="3035"/>
        <item x="3036"/>
        <item x="3037"/>
        <item x="2299"/>
        <item x="2448"/>
        <item x="521"/>
        <item x="522"/>
        <item x="742"/>
        <item x="868"/>
        <item x="3038"/>
        <item x="3039"/>
        <item x="2854"/>
        <item x="801"/>
        <item x="1334"/>
        <item x="1700"/>
        <item x="1335"/>
        <item x="1336"/>
        <item x="1119"/>
        <item x="802"/>
        <item x="336"/>
        <item x="1603"/>
        <item x="1560"/>
        <item x="221"/>
        <item x="523"/>
        <item x="2754"/>
        <item x="2755"/>
        <item x="337"/>
        <item x="2300"/>
        <item x="1935"/>
        <item x="1936"/>
        <item x="640"/>
        <item x="641"/>
        <item x="2449"/>
        <item x="2556"/>
        <item x="2301"/>
        <item x="2450"/>
        <item x="1937"/>
        <item x="3040"/>
        <item x="3041"/>
        <item x="3042"/>
        <item x="3043"/>
        <item x="3044"/>
        <item x="3045"/>
        <item x="2302"/>
        <item x="642"/>
        <item x="338"/>
        <item x="869"/>
        <item x="2303"/>
        <item x="643"/>
        <item x="1701"/>
        <item x="1702"/>
        <item x="2191"/>
        <item x="76"/>
        <item x="1337"/>
        <item x="1338"/>
        <item x="1938"/>
        <item x="870"/>
        <item x="1703"/>
        <item x="1013"/>
        <item x="2304"/>
        <item x="222"/>
        <item x="272"/>
        <item x="3046"/>
        <item x="2305"/>
        <item x="1453"/>
        <item x="1454"/>
        <item x="2633"/>
        <item x="2451"/>
        <item x="803"/>
        <item x="1818"/>
        <item x="1704"/>
        <item x="1705"/>
        <item x="2306"/>
        <item x="273"/>
        <item x="1455"/>
        <item x="2634"/>
        <item x="524"/>
        <item x="525"/>
        <item x="1604"/>
        <item x="1706"/>
        <item x="1707"/>
        <item x="2307"/>
        <item x="2308"/>
        <item x="743"/>
        <item x="339"/>
        <item x="526"/>
        <item x="2077"/>
        <item x="2078"/>
        <item x="223"/>
        <item x="527"/>
        <item x="2079"/>
        <item x="1708"/>
        <item x="3047"/>
        <item x="644"/>
        <item x="2557"/>
        <item x="2558"/>
        <item x="2452"/>
        <item x="2192"/>
        <item x="274"/>
        <item x="275"/>
        <item x="528"/>
        <item x="224"/>
        <item x="276"/>
        <item x="529"/>
        <item x="530"/>
        <item x="531"/>
        <item x="340"/>
        <item x="744"/>
        <item x="1014"/>
        <item x="277"/>
        <item x="3048"/>
        <item x="2309"/>
        <item x="169"/>
        <item x="1120"/>
        <item x="1015"/>
        <item x="225"/>
        <item x="532"/>
        <item x="871"/>
        <item x="2855"/>
        <item x="170"/>
        <item x="645"/>
        <item x="872"/>
        <item x="646"/>
        <item x="2635"/>
        <item x="431"/>
        <item x="341"/>
        <item x="342"/>
        <item x="2756"/>
        <item x="1016"/>
        <item x="2757"/>
        <item x="3049"/>
        <item x="226"/>
        <item x="2310"/>
        <item x="1709"/>
        <item x="77"/>
        <item x="3050"/>
        <item x="3051"/>
        <item x="1017"/>
        <item x="1456"/>
        <item x="1339"/>
        <item x="1340"/>
        <item x="1341"/>
        <item x="78"/>
        <item x="533"/>
        <item x="745"/>
        <item x="2193"/>
        <item x="2311"/>
        <item x="2453"/>
        <item x="1939"/>
        <item x="2312"/>
        <item x="1342"/>
        <item x="1121"/>
        <item x="1122"/>
        <item x="171"/>
        <item x="2636"/>
        <item x="3052"/>
        <item x="79"/>
        <item x="343"/>
        <item x="3053"/>
        <item x="2313"/>
        <item x="873"/>
        <item x="534"/>
        <item x="746"/>
        <item x="747"/>
        <item x="1940"/>
        <item x="2454"/>
        <item x="2314"/>
        <item x="2315"/>
        <item x="2856"/>
        <item x="3054"/>
        <item x="344"/>
        <item x="345"/>
        <item x="1123"/>
        <item x="3055"/>
        <item x="748"/>
        <item x="647"/>
        <item x="1710"/>
        <item x="2080"/>
        <item x="2194"/>
        <item x="2195"/>
        <item x="2196"/>
        <item x="1819"/>
        <item x="1820"/>
        <item x="1497"/>
        <item x="1711"/>
        <item x="2316"/>
        <item x="2637"/>
        <item x="432"/>
        <item x="1498"/>
        <item x="1343"/>
        <item x="2455"/>
        <item x="1941"/>
        <item x="1942"/>
        <item x="2456"/>
        <item x="1855"/>
        <item x="1821"/>
        <item x="2081"/>
        <item x="1712"/>
        <item x="80"/>
        <item x="1713"/>
        <item x="1344"/>
        <item x="3056"/>
        <item x="3057"/>
        <item x="2457"/>
        <item x="1714"/>
        <item x="2082"/>
        <item x="1345"/>
        <item x="1561"/>
        <item x="1499"/>
        <item x="1346"/>
        <item x="1347"/>
        <item x="1562"/>
        <item x="648"/>
        <item x="346"/>
        <item x="1500"/>
        <item x="3058"/>
        <item x="3059"/>
        <item x="3060"/>
        <item x="2083"/>
        <item x="2758"/>
        <item x="649"/>
        <item x="1018"/>
        <item x="1822"/>
        <item x="650"/>
        <item x="2638"/>
        <item x="1019"/>
        <item x="1943"/>
        <item x="1348"/>
        <item x="2317"/>
        <item x="2458"/>
        <item x="172"/>
        <item x="2318"/>
        <item x="2319"/>
        <item x="173"/>
        <item x="1349"/>
        <item x="2320"/>
        <item x="2759"/>
        <item x="2459"/>
        <item x="81"/>
        <item x="174"/>
        <item x="1124"/>
        <item x="1350"/>
        <item x="2321"/>
        <item x="2322"/>
        <item x="82"/>
        <item x="83"/>
        <item x="874"/>
        <item x="84"/>
        <item x="85"/>
        <item x="86"/>
        <item x="87"/>
        <item x="347"/>
        <item x="88"/>
        <item x="1944"/>
        <item x="1945"/>
        <item x="535"/>
        <item x="1946"/>
        <item x="1947"/>
        <item x="2639"/>
        <item x="773"/>
        <item x="1457"/>
        <item x="651"/>
        <item x="652"/>
        <item x="348"/>
        <item x="536"/>
        <item x="2323"/>
        <item x="1458"/>
        <item x="2084"/>
        <item x="1351"/>
        <item x="1948"/>
        <item x="89"/>
        <item x="1352"/>
        <item x="1125"/>
        <item x="2197"/>
        <item x="2198"/>
        <item x="653"/>
        <item x="654"/>
        <item x="1715"/>
        <item x="1949"/>
        <item x="2460"/>
        <item x="1716"/>
        <item x="1717"/>
        <item x="1459"/>
        <item x="537"/>
        <item x="538"/>
        <item x="539"/>
        <item x="875"/>
        <item x="2760"/>
        <item x="2640"/>
        <item x="655"/>
        <item x="2324"/>
        <item x="1823"/>
        <item x="540"/>
        <item x="1563"/>
        <item x="278"/>
        <item x="227"/>
        <item x="228"/>
        <item x="1353"/>
        <item x="3061"/>
        <item x="229"/>
        <item x="349"/>
        <item x="175"/>
        <item x="350"/>
        <item x="1718"/>
        <item x="1719"/>
        <item x="351"/>
        <item x="1020"/>
        <item x="2641"/>
        <item x="2642"/>
        <item x="2559"/>
        <item x="1021"/>
        <item x="3062"/>
        <item x="876"/>
        <item x="3063"/>
        <item x="877"/>
        <item x="3064"/>
        <item x="541"/>
        <item x="656"/>
        <item x="1950"/>
        <item x="1951"/>
        <item x="542"/>
        <item x="1952"/>
        <item x="878"/>
        <item x="1953"/>
        <item x="543"/>
        <item x="544"/>
        <item x="545"/>
        <item x="3065"/>
        <item x="176"/>
        <item x="2461"/>
        <item x="749"/>
        <item x="2462"/>
        <item x="2463"/>
        <item x="230"/>
        <item x="804"/>
        <item x="805"/>
        <item x="3066"/>
        <item x="3067"/>
        <item x="3068"/>
        <item x="3069"/>
        <item x="2325"/>
        <item x="546"/>
        <item x="806"/>
        <item x="2464"/>
        <item x="657"/>
        <item x="2465"/>
        <item x="1354"/>
        <item x="1355"/>
        <item x="1356"/>
        <item x="1357"/>
        <item x="352"/>
        <item x="547"/>
        <item x="1022"/>
        <item x="177"/>
        <item x="1824"/>
        <item x="1501"/>
        <item x="1502"/>
        <item x="1503"/>
        <item x="1358"/>
        <item x="2199"/>
        <item x="879"/>
        <item x="2466"/>
        <item x="1359"/>
        <item x="1360"/>
        <item x="1954"/>
        <item x="1825"/>
        <item x="1826"/>
        <item x="353"/>
        <item x="750"/>
        <item x="1955"/>
        <item x="880"/>
        <item x="1023"/>
        <item x="1024"/>
        <item x="148"/>
        <item x="2085"/>
        <item x="90"/>
        <item x="2086"/>
        <item x="231"/>
        <item x="91"/>
        <item x="354"/>
        <item x="2467"/>
        <item x="1956"/>
        <item x="178"/>
        <item x="279"/>
        <item x="658"/>
        <item x="659"/>
        <item x="660"/>
        <item x="1025"/>
        <item x="1026"/>
        <item x="1720"/>
        <item x="2857"/>
        <item x="881"/>
        <item x="1027"/>
        <item x="882"/>
        <item x="883"/>
        <item x="3070"/>
        <item x="3071"/>
        <item x="149"/>
        <item x="92"/>
        <item x="1028"/>
        <item x="751"/>
        <item x="355"/>
        <item x="884"/>
        <item x="885"/>
        <item x="2858"/>
        <item x="2859"/>
        <item x="2860"/>
        <item x="356"/>
        <item x="661"/>
        <item x="357"/>
        <item x="1361"/>
        <item x="1362"/>
        <item x="1182"/>
        <item x="2087"/>
        <item x="2088"/>
        <item x="3072"/>
        <item x="3073"/>
        <item x="179"/>
        <item x="2468"/>
        <item x="2469"/>
        <item x="180"/>
        <item x="2326"/>
        <item x="2327"/>
        <item x="3074"/>
        <item x="280"/>
        <item x="281"/>
        <item x="2560"/>
        <item x="232"/>
        <item x="2861"/>
        <item x="2761"/>
        <item x="2762"/>
        <item x="1460"/>
        <item x="1461"/>
        <item x="3075"/>
        <item x="3076"/>
        <item x="1856"/>
        <item x="1363"/>
        <item x="2328"/>
        <item x="358"/>
        <item x="2561"/>
        <item x="662"/>
        <item x="1364"/>
        <item x="2089"/>
        <item x="2090"/>
        <item x="2091"/>
        <item x="1564"/>
        <item x="2092"/>
        <item x="2200"/>
        <item x="1721"/>
        <item x="1722"/>
        <item x="2093"/>
        <item x="93"/>
        <item x="94"/>
        <item x="2094"/>
        <item x="181"/>
        <item x="2763"/>
        <item x="3077"/>
        <item x="1957"/>
        <item x="807"/>
        <item x="886"/>
        <item x="548"/>
        <item x="2095"/>
        <item x="1462"/>
        <item x="95"/>
        <item x="1723"/>
        <item x="1565"/>
        <item x="2201"/>
        <item x="3078"/>
        <item x="3079"/>
        <item x="282"/>
        <item x="1958"/>
        <item x="1959"/>
        <item x="433"/>
        <item x="2643"/>
        <item x="2644"/>
        <item x="549"/>
        <item x="550"/>
        <item x="2470"/>
        <item x="1857"/>
        <item x="1605"/>
        <item x="283"/>
        <item x="2329"/>
        <item x="2330"/>
        <item x="96"/>
        <item x="97"/>
        <item x="774"/>
        <item x="551"/>
        <item x="359"/>
        <item x="1724"/>
        <item x="1365"/>
        <item x="2645"/>
        <item x="1366"/>
        <item x="2202"/>
        <item x="2203"/>
        <item x="98"/>
        <item x="99"/>
        <item x="100"/>
        <item x="2096"/>
        <item x="1827"/>
        <item x="284"/>
        <item x="1029"/>
        <item x="663"/>
        <item x="1828"/>
        <item x="3080"/>
        <item x="3081"/>
        <item x="2097"/>
        <item x="2204"/>
        <item x="360"/>
        <item x="361"/>
        <item x="362"/>
        <item x="1725"/>
        <item x="2764"/>
        <item x="363"/>
        <item x="233"/>
        <item x="434"/>
        <item x="435"/>
        <item x="3082"/>
        <item x="3083"/>
        <item x="664"/>
        <item x="3084"/>
        <item x="3085"/>
        <item x="1606"/>
        <item x="1030"/>
        <item x="1726"/>
        <item x="1727"/>
        <item x="887"/>
        <item x="888"/>
        <item x="2862"/>
        <item x="665"/>
        <item x="889"/>
        <item x="3086"/>
        <item x="3087"/>
        <item x="2562"/>
        <item x="2205"/>
        <item x="2863"/>
        <item x="2331"/>
        <item x="101"/>
        <item x="1607"/>
        <item x="1031"/>
        <item x="436"/>
        <item x="2765"/>
        <item x="2471"/>
        <item x="2646"/>
        <item x="2647"/>
        <item x="890"/>
        <item x="1032"/>
        <item x="752"/>
        <item x="364"/>
        <item x="1463"/>
        <item x="1367"/>
        <item x="1829"/>
        <item x="1960"/>
        <item x="2648"/>
        <item x="2472"/>
        <item x="2473"/>
        <item x="3088"/>
        <item x="2332"/>
        <item x="3089"/>
        <item x="3090"/>
        <item x="666"/>
        <item x="437"/>
        <item x="438"/>
        <item x="1961"/>
        <item x="1504"/>
        <item x="1962"/>
        <item x="1963"/>
        <item x="365"/>
        <item x="753"/>
        <item x="2649"/>
        <item x="102"/>
        <item x="103"/>
        <item x="2206"/>
        <item x="150"/>
        <item x="2864"/>
        <item x="439"/>
        <item x="1728"/>
        <item x="1729"/>
        <item x="2333"/>
        <item x="1830"/>
        <item x="2766"/>
        <item x="1730"/>
        <item x="1731"/>
        <item x="1033"/>
        <item x="754"/>
        <item x="1732"/>
        <item x="1126"/>
        <item x="1127"/>
        <item x="285"/>
        <item x="667"/>
        <item x="755"/>
        <item x="1733"/>
        <item x="1128"/>
        <item x="1734"/>
        <item x="552"/>
        <item x="553"/>
        <item x="234"/>
        <item x="2334"/>
        <item x="1129"/>
        <item x="1368"/>
        <item x="366"/>
        <item x="367"/>
        <item x="368"/>
        <item x="440"/>
        <item x="2335"/>
        <item x="151"/>
        <item x="2563"/>
        <item x="2650"/>
        <item x="891"/>
        <item x="1369"/>
        <item x="286"/>
        <item x="369"/>
        <item x="1034"/>
        <item x="1831"/>
        <item x="1735"/>
        <item x="1736"/>
        <item x="1737"/>
        <item x="1738"/>
        <item x="1964"/>
        <item x="1965"/>
        <item x="1966"/>
        <item x="2098"/>
        <item x="3091"/>
        <item x="3092"/>
        <item x="3093"/>
        <item x="3094"/>
        <item x="3095"/>
        <item x="3096"/>
        <item x="756"/>
        <item x="1370"/>
        <item x="1505"/>
        <item x="1506"/>
        <item x="104"/>
        <item x="1371"/>
        <item x="1464"/>
        <item x="1465"/>
        <item x="1466"/>
        <item x="1967"/>
        <item x="1566"/>
        <item x="1858"/>
        <item x="1507"/>
        <item x="1608"/>
        <item x="2767"/>
        <item x="2768"/>
        <item x="2769"/>
        <item x="2770"/>
        <item x="1035"/>
        <item x="892"/>
        <item x="287"/>
        <item x="2474"/>
        <item x="182"/>
        <item x="2771"/>
        <item x="2772"/>
        <item x="2773"/>
        <item x="1968"/>
        <item x="441"/>
        <item x="893"/>
        <item x="105"/>
        <item x="1567"/>
        <item x="370"/>
        <item x="2564"/>
        <item x="371"/>
        <item x="372"/>
        <item x="2651"/>
        <item x="2774"/>
        <item x="2775"/>
        <item x="442"/>
        <item x="554"/>
        <item x="555"/>
        <item x="1969"/>
        <item x="183"/>
        <item x="1970"/>
        <item x="556"/>
        <item x="557"/>
        <item x="1036"/>
        <item x="894"/>
        <item x="1037"/>
        <item x="1038"/>
        <item x="2207"/>
        <item x="1183"/>
        <item x="2208"/>
        <item x="1971"/>
        <item x="2475"/>
        <item x="1039"/>
        <item x="1040"/>
        <item x="668"/>
        <item x="1508"/>
        <item x="1509"/>
        <item x="1510"/>
        <item x="2336"/>
        <item x="558"/>
        <item x="443"/>
        <item x="2337"/>
        <item x="2776"/>
        <item x="2777"/>
        <item x="2338"/>
        <item x="1972"/>
        <item x="2778"/>
        <item x="444"/>
        <item x="373"/>
        <item x="2476"/>
        <item x="895"/>
        <item x="2477"/>
        <item x="1372"/>
        <item x="1373"/>
        <item x="2779"/>
        <item x="1973"/>
        <item x="2652"/>
        <item x="2653"/>
        <item x="1041"/>
        <item x="1042"/>
        <item x="1739"/>
        <item x="1740"/>
        <item x="1974"/>
        <item x="1043"/>
        <item x="1044"/>
        <item x="1374"/>
        <item x="1975"/>
        <item x="2865"/>
        <item x="2866"/>
        <item x="757"/>
        <item x="2780"/>
        <item x="1741"/>
        <item x="2802"/>
        <item x="1511"/>
        <item x="1045"/>
        <item x="1832"/>
        <item x="235"/>
        <item x="2099"/>
        <item x="1976"/>
        <item x="2478"/>
        <item x="2100"/>
        <item x="3097"/>
        <item x="1977"/>
        <item x="3098"/>
        <item x="3099"/>
        <item x="1130"/>
        <item x="1131"/>
        <item x="1132"/>
        <item x="1133"/>
        <item x="2479"/>
        <item x="1833"/>
        <item x="2565"/>
        <item x="3100"/>
        <item x="288"/>
        <item x="374"/>
        <item x="375"/>
        <item x="1742"/>
        <item x="1743"/>
        <item x="1978"/>
        <item x="559"/>
        <item x="560"/>
        <item x="1568"/>
        <item x="1512"/>
        <item x="561"/>
        <item x="896"/>
        <item x="3101"/>
        <item x="2480"/>
        <item x="1979"/>
        <item x="2781"/>
        <item x="1744"/>
        <item x="236"/>
        <item x="2782"/>
        <item x="669"/>
        <item x="1980"/>
        <item x="1046"/>
        <item x="1981"/>
        <item x="1982"/>
        <item x="1375"/>
        <item x="1467"/>
        <item x="897"/>
        <item x="898"/>
        <item x="1376"/>
        <item x="1745"/>
        <item x="758"/>
        <item x="1569"/>
        <item x="1570"/>
        <item x="808"/>
        <item x="2101"/>
        <item x="1377"/>
        <item x="1047"/>
        <item x="1048"/>
        <item x="376"/>
        <item x="1049"/>
        <item x="1834"/>
        <item x="809"/>
        <item x="1134"/>
        <item x="1135"/>
        <item x="1136"/>
        <item x="1050"/>
        <item x="1983"/>
        <item x="1835"/>
        <item x="1571"/>
        <item x="3102"/>
        <item x="1836"/>
        <item x="1378"/>
        <item x="106"/>
        <item x="1379"/>
        <item x="1837"/>
        <item x="1051"/>
        <item x="2339"/>
        <item x="377"/>
        <item x="1052"/>
        <item x="899"/>
        <item x="1859"/>
        <item x="237"/>
        <item x="2654"/>
        <item x="445"/>
        <item x="1380"/>
        <item x="1381"/>
        <item x="1053"/>
        <item x="2655"/>
        <item x="2102"/>
        <item x="3103"/>
        <item x="2481"/>
        <item x="670"/>
        <item x="900"/>
        <item x="1860"/>
        <item x="901"/>
        <item x="2672"/>
        <item x="2209"/>
        <item x="378"/>
        <item x="562"/>
        <item x="2103"/>
        <item x="2656"/>
        <item x="446"/>
        <item x="447"/>
        <item x="289"/>
        <item x="379"/>
        <item x="2210"/>
        <item x="1984"/>
        <item x="3104"/>
        <item x="3105"/>
        <item x="2482"/>
        <item x="2657"/>
        <item x="1468"/>
        <item x="1469"/>
        <item x="1382"/>
        <item x="3106"/>
        <item x="3107"/>
        <item x="3108"/>
        <item x="1054"/>
        <item x="2783"/>
        <item x="2784"/>
        <item x="380"/>
        <item x="1985"/>
        <item x="1470"/>
        <item x="563"/>
        <item x="1861"/>
        <item x="1838"/>
        <item x="3109"/>
        <item x="775"/>
        <item x="448"/>
        <item x="671"/>
        <item x="1137"/>
        <item x="1138"/>
        <item x="1139"/>
        <item x="1140"/>
        <item x="1141"/>
        <item x="3110"/>
        <item x="1746"/>
        <item x="1142"/>
        <item x="1184"/>
        <item x="3111"/>
        <item x="1747"/>
        <item x="1748"/>
        <item x="3112"/>
        <item x="381"/>
        <item x="1986"/>
        <item x="759"/>
        <item x="1987"/>
        <item x="1749"/>
        <item x="2104"/>
        <item x="2105"/>
        <item x="1988"/>
        <item x="1750"/>
        <item x="1383"/>
        <item x="2106"/>
        <item x="290"/>
        <item x="776"/>
        <item x="2566"/>
        <item x="1143"/>
        <item x="1144"/>
        <item x="1751"/>
        <item x="1145"/>
        <item x="564"/>
        <item x="291"/>
        <item x="1146"/>
        <item x="565"/>
        <item x="107"/>
        <item x="1384"/>
        <item x="1385"/>
        <item x="566"/>
        <item x="810"/>
        <item x="811"/>
        <item x="1055"/>
        <item x="812"/>
        <item x="902"/>
        <item x="903"/>
        <item x="813"/>
        <item x="567"/>
        <item x="2340"/>
        <item x="672"/>
        <item x="2567"/>
        <item x="3113"/>
        <item x="382"/>
        <item x="2341"/>
        <item x="1572"/>
        <item x="449"/>
        <item x="2342"/>
        <item x="2343"/>
        <item x="1147"/>
        <item x="1573"/>
        <item x="383"/>
        <item x="2211"/>
        <item x="3114"/>
        <item x="2483"/>
        <item x="2785"/>
        <item x="2484"/>
        <item x="2344"/>
        <item x="2485"/>
        <item x="1056"/>
        <item x="814"/>
        <item x="777"/>
        <item x="1752"/>
        <item x="3115"/>
        <item x="2345"/>
        <item x="778"/>
        <item x="3116"/>
        <item x="2486"/>
        <item x="2487"/>
        <item x="1513"/>
        <item x="1514"/>
        <item x="1515"/>
        <item x="2107"/>
        <item x="568"/>
        <item x="292"/>
        <item x="1989"/>
        <item x="293"/>
        <item x="2658"/>
        <item x="1185"/>
        <item x="2346"/>
        <item x="3117"/>
        <item x="1990"/>
        <item x="2212"/>
        <item x="2213"/>
        <item x="904"/>
        <item x="1516"/>
        <item x="1386"/>
        <item x="1387"/>
        <item x="2659"/>
        <item x="384"/>
        <item x="905"/>
        <item x="152"/>
        <item x="153"/>
        <item x="1388"/>
        <item x="1517"/>
        <item x="1991"/>
        <item x="154"/>
        <item x="184"/>
        <item x="760"/>
        <item x="155"/>
        <item x="108"/>
        <item x="906"/>
        <item x="907"/>
        <item x="908"/>
        <item x="569"/>
        <item x="815"/>
        <item x="570"/>
        <item x="1518"/>
        <item x="1148"/>
        <item x="1149"/>
        <item x="1150"/>
        <item x="238"/>
        <item x="673"/>
        <item x="1992"/>
        <item x="239"/>
        <item x="240"/>
        <item x="109"/>
        <item x="1993"/>
        <item x="1151"/>
        <item x="1389"/>
        <item x="3118"/>
        <item x="1152"/>
        <item x="1574"/>
        <item x="1390"/>
        <item x="2214"/>
        <item x="1391"/>
        <item x="185"/>
        <item x="2786"/>
        <item x="450"/>
        <item x="2488"/>
        <item x="1153"/>
        <item x="2347"/>
        <item x="674"/>
        <item x="3119"/>
        <item x="186"/>
        <item x="187"/>
        <item x="675"/>
        <item x="676"/>
        <item x="1392"/>
        <item x="1753"/>
        <item x="3120"/>
        <item x="3121"/>
        <item x="677"/>
        <item x="678"/>
        <item x="909"/>
        <item x="2787"/>
        <item x="294"/>
        <item x="295"/>
        <item x="571"/>
        <item x="572"/>
        <item x="1994"/>
        <item x="1995"/>
        <item x="1996"/>
        <item x="2348"/>
        <item x="2788"/>
        <item x="761"/>
        <item x="3122"/>
        <item x="1519"/>
        <item x="1393"/>
        <item x="385"/>
        <item x="386"/>
        <item x="241"/>
        <item x="2489"/>
        <item x="242"/>
        <item x="243"/>
        <item x="2490"/>
        <item x="1754"/>
        <item x="1609"/>
        <item x="2349"/>
        <item x="3123"/>
        <item x="679"/>
        <item x="680"/>
        <item x="2215"/>
        <item x="2491"/>
        <item x="2492"/>
        <item x="387"/>
        <item x="910"/>
        <item x="1394"/>
        <item x="2108"/>
        <item x="2660"/>
        <item x="681"/>
        <item x="779"/>
        <item x="451"/>
        <item x="388"/>
        <item x="452"/>
        <item x="1997"/>
        <item x="1998"/>
        <item x="1999"/>
        <item x="2000"/>
        <item x="911"/>
        <item x="912"/>
        <item x="2568"/>
        <item x="453"/>
        <item x="682"/>
        <item x="913"/>
        <item x="1057"/>
        <item x="1154"/>
        <item x="914"/>
        <item x="1839"/>
        <item x="3124"/>
        <item x="454"/>
        <item x="573"/>
        <item x="2001"/>
        <item x="2661"/>
        <item x="1755"/>
        <item x="2216"/>
        <item x="1756"/>
        <item x="762"/>
        <item x="2350"/>
        <item x="389"/>
        <item x="1757"/>
        <item x="1774"/>
        <item x="574"/>
        <item x="244"/>
        <item x="2217"/>
        <item x="1758"/>
        <item x="1520"/>
        <item x="1840"/>
        <item x="2662"/>
        <item x="915"/>
        <item x="2789"/>
        <item x="3125"/>
        <item x="2351"/>
        <item x="1155"/>
        <item x="1395"/>
        <item x="1841"/>
        <item x="2493"/>
        <item x="1396"/>
        <item x="1842"/>
        <item x="2569"/>
        <item x="1058"/>
        <item x="1471"/>
        <item x="1843"/>
        <item x="2494"/>
        <item x="2495"/>
        <item x="2570"/>
        <item x="2496"/>
        <item x="683"/>
        <item x="2497"/>
        <item x="455"/>
        <item x="3126"/>
        <item x="2498"/>
        <item x="188"/>
        <item x="1059"/>
        <item x="1397"/>
        <item x="916"/>
        <item x="1472"/>
        <item x="456"/>
        <item x="1473"/>
        <item x="684"/>
        <item x="1398"/>
        <item x="685"/>
        <item x="917"/>
        <item x="918"/>
        <item x="1156"/>
        <item x="110"/>
        <item x="2352"/>
        <item x="2002"/>
        <item x="2109"/>
        <item x="2218"/>
        <item x="189"/>
        <item x="2499"/>
        <item x="1157"/>
        <item x="2500"/>
        <item x="3127"/>
        <item x="2571"/>
        <item x="296"/>
        <item x="390"/>
        <item x="2501"/>
        <item x="391"/>
        <item x="2502"/>
        <item x="1521"/>
        <item x="2219"/>
        <item x="190"/>
        <item x="816"/>
        <item x="1522"/>
        <item x="2790"/>
        <item x="686"/>
        <item x="687"/>
        <item x="2791"/>
        <item x="1523"/>
        <item x="1524"/>
        <item x="1399"/>
        <item x="1862"/>
        <item x="1060"/>
        <item x="1863"/>
        <item x="2792"/>
        <item x="919"/>
        <item x="1610"/>
        <item x="2220"/>
        <item x="2221"/>
        <item x="2110"/>
        <item x="2222"/>
        <item x="111"/>
        <item x="920"/>
        <item x="2003"/>
        <item x="1400"/>
        <item x="2004"/>
        <item x="2005"/>
        <item x="921"/>
        <item x="457"/>
        <item x="2006"/>
        <item x="1575"/>
        <item x="1158"/>
        <item x="1159"/>
        <item x="1061"/>
        <item x="1576"/>
        <item x="2503"/>
        <item x="2504"/>
        <item x="392"/>
        <item x="2793"/>
        <item x="922"/>
        <item x="1759"/>
        <item x="1760"/>
        <item x="2505"/>
        <item x="2353"/>
        <item x="156"/>
        <item x="2007"/>
        <item x="2008"/>
        <item x="2223"/>
        <item x="575"/>
        <item x="1480"/>
        <item x="2506"/>
        <item x="2224"/>
        <item x="576"/>
        <item x="157"/>
        <item x="2225"/>
        <item x="2226"/>
        <item x="458"/>
        <item x="2572"/>
        <item x="1160"/>
        <item x="2507"/>
        <item x="2111"/>
        <item x="2573"/>
        <item x="459"/>
        <item x="2794"/>
        <item x="817"/>
        <item x="2227"/>
        <item x="818"/>
        <item x="819"/>
        <item x="2009"/>
        <item x="2228"/>
        <item x="2237"/>
        <item x="2867"/>
        <item x="688"/>
        <item x="689"/>
        <item x="923"/>
        <item x="2868"/>
        <item x="3128"/>
        <item x="763"/>
        <item x="690"/>
        <item x="691"/>
        <item x="1474"/>
        <item x="2795"/>
        <item x="924"/>
        <item x="1161"/>
        <item x="1162"/>
        <item x="1761"/>
        <item x="1525"/>
        <item x="112"/>
        <item x="1401"/>
        <item x="2663"/>
        <item x="1163"/>
        <item x="1762"/>
        <item x="1763"/>
        <item x="1764"/>
        <item x="2354"/>
        <item x="692"/>
        <item x="1765"/>
        <item x="1766"/>
        <item x="2508"/>
        <item x="1767"/>
        <item x="2020"/>
        <item x="113"/>
        <item x="2112"/>
        <item x="1577"/>
        <item x="119"/>
        <item x="1526"/>
        <item x="1527"/>
        <item x="393"/>
        <item x="191"/>
        <item x="2515"/>
        <item x="1062"/>
        <item x="1768"/>
        <item x="1528"/>
        <item x="1769"/>
        <item x="1063"/>
        <item x="1064"/>
        <item x="577"/>
        <item x="925"/>
        <item x="1475"/>
        <item x="1770"/>
        <item x="1402"/>
        <item x="2355"/>
        <item x="394"/>
        <item x="2509"/>
        <item x="1186"/>
        <item x="764"/>
        <item x="3129"/>
        <item x="1476"/>
        <item x="2510"/>
        <item x="1403"/>
        <item x="926"/>
        <item x="114"/>
        <item x="115"/>
        <item x="927"/>
        <item x="939"/>
        <item x="1404"/>
        <item x="578"/>
        <item x="297"/>
        <item x="466"/>
        <item x="2010"/>
        <item x="298"/>
        <item x="3130"/>
        <item x="2574"/>
        <item x="2796"/>
        <item x="2797"/>
        <item x="3131"/>
        <item x="1477"/>
        <item x="3139"/>
        <item x="1191"/>
        <item x="1164"/>
        <item x="1187"/>
        <item x="2666"/>
        <item x="1165"/>
        <item x="1405"/>
        <item x="579"/>
        <item x="1529"/>
        <item x="1771"/>
        <item x="2027"/>
        <item x="1772"/>
        <item x="2011"/>
        <item x="2362"/>
        <item x="928"/>
        <item x="820"/>
        <item x="2580"/>
        <item x="2664"/>
        <item x="2511"/>
        <item x="780"/>
        <item x="3132"/>
        <item x="1065"/>
        <item x="929"/>
        <item x="3133"/>
        <item x="1066"/>
        <item x="580"/>
        <item x="2229"/>
        <item x="693"/>
        <item x="1864"/>
        <item x="1865"/>
        <item x="1067"/>
        <item x="1866"/>
        <item x="1867"/>
        <item x="1868"/>
        <item x="582"/>
        <item x="2512"/>
        <item x="2513"/>
        <item x="2514"/>
        <item x="2665"/>
        <item x="2356"/>
        <item x="1773"/>
        <item x="2012"/>
        <item x="1188"/>
        <item x="781"/>
        <item x="1869"/>
        <item x="3134"/>
        <item x="1068"/>
        <item x="1069"/>
        <item x="1070"/>
        <item x="1870"/>
        <item x="2357"/>
        <item x="1775"/>
        <item x="1776"/>
        <item x="301"/>
        <item x="1174"/>
        <item x="2113"/>
        <item x="395"/>
        <item x="2013"/>
        <item x="2230"/>
        <item x="705"/>
        <item x="2236"/>
        <item x="2231"/>
        <item x="1871"/>
        <item x="2232"/>
        <item x="2233"/>
        <item x="1872"/>
        <item x="694"/>
        <item x="697"/>
        <item x="2114"/>
        <item x="396"/>
        <item x="397"/>
        <item x="2366"/>
        <item x="2798"/>
        <item x="2799"/>
        <item x="695"/>
        <item x="930"/>
        <item x="2523"/>
        <item x="2516"/>
        <item x="1406"/>
        <item x="2115"/>
        <item x="2358"/>
        <item x="192"/>
        <item x="400"/>
        <item x="2234"/>
        <item x="1873"/>
        <item x="1874"/>
        <item x="1407"/>
        <item x="2359"/>
        <item x="2667"/>
        <item x="1782"/>
        <item x="398"/>
        <item x="1881"/>
        <item x="1408"/>
        <item x="2517"/>
        <item x="2014"/>
        <item x="2235"/>
        <item x="581"/>
        <item x="1409"/>
        <item x="1410"/>
        <item x="2015"/>
        <item x="1411"/>
        <item x="1072"/>
        <item x="1071"/>
        <item x="698"/>
        <item x="2116"/>
        <item x="1578"/>
        <item x="932"/>
        <item x="1844"/>
        <item x="2016"/>
        <item x="1876"/>
        <item x="1478"/>
        <item x="1073"/>
        <item x="1875"/>
        <item x="2801"/>
        <item x="1412"/>
        <item x="3136"/>
        <item x="460"/>
        <item x="399"/>
        <item x="2668"/>
        <item x="2669"/>
        <item x="2670"/>
        <item x="1166"/>
        <item x="116"/>
        <item x="1877"/>
        <item x="2800"/>
        <item x="1423"/>
        <item x="3137"/>
        <item x="782"/>
        <item x="2360"/>
        <item x="3138"/>
        <item x="461"/>
        <item x="2238"/>
        <item x="1845"/>
        <item x="696"/>
        <item x="1883"/>
        <item x="1777"/>
        <item x="700"/>
        <item x="783"/>
        <item x="699"/>
        <item x="825"/>
        <item x="2673"/>
        <item x="2671"/>
        <item x="2363"/>
        <item x="2372"/>
        <item x="2373"/>
        <item x="826"/>
        <item x="1778"/>
        <item x="1779"/>
        <item x="827"/>
        <item x="2239"/>
        <item x="931"/>
        <item x="1780"/>
        <item x="828"/>
        <item x="1878"/>
        <item x="1612"/>
        <item x="2117"/>
        <item x="2240"/>
        <item x="2017"/>
        <item x="2241"/>
        <item x="1611"/>
        <item x="2577"/>
        <item x="701"/>
        <item x="829"/>
        <item x="2364"/>
        <item x="1781"/>
        <item x="583"/>
        <item x="401"/>
        <item x="2805"/>
        <item x="2365"/>
        <item x="2380"/>
        <item x="3140"/>
        <item x="462"/>
        <item x="2803"/>
        <item x="2242"/>
        <item x="3141"/>
        <item x="2367"/>
        <item x="3144"/>
        <item x="158"/>
        <item x="3145"/>
        <item x="2575"/>
        <item x="2018"/>
        <item x="2518"/>
        <item x="2519"/>
        <item x="2019"/>
        <item x="3146"/>
        <item x="2368"/>
        <item x="2369"/>
        <item x="2118"/>
        <item x="2120"/>
        <item x="2119"/>
        <item x="1850"/>
        <item x="1879"/>
        <item x="1074"/>
        <item x="2370"/>
        <item x="702"/>
        <item x="2520"/>
        <item x="2243"/>
        <item x="2371"/>
        <item x="830"/>
        <item x="3147"/>
        <item x="703"/>
        <item x="1075"/>
        <item x="463"/>
        <item x="402"/>
        <item x="409"/>
        <item x="2576"/>
        <item x="2521"/>
        <item x="2522"/>
        <item x="3142"/>
        <item x="2676"/>
        <item x="3148"/>
        <item x="3143"/>
        <item x="2804"/>
        <item x="2806"/>
        <item x="2524"/>
        <item x="3149"/>
        <item x="1886"/>
        <item x="704"/>
        <item x="784"/>
        <item x="1880"/>
        <item x="1167"/>
        <item x="2578"/>
        <item x="2674"/>
        <item x="1414"/>
        <item x="933"/>
        <item x="403"/>
        <item x="3150"/>
        <item x="1882"/>
        <item x="821"/>
        <item x="1884"/>
        <item x="822"/>
        <item x="823"/>
        <item x="1613"/>
        <item x="405"/>
        <item x="404"/>
        <item x="245"/>
        <item x="299"/>
        <item x="407"/>
        <item x="464"/>
        <item x="3151"/>
        <item x="1415"/>
        <item x="1416"/>
        <item x="584"/>
        <item x="2374"/>
        <item x="1530"/>
        <item x="406"/>
        <item x="2121"/>
        <item x="1846"/>
        <item x="2526"/>
        <item x="2675"/>
        <item x="300"/>
        <item x="785"/>
        <item x="1848"/>
        <item x="938"/>
        <item x="934"/>
        <item x="3152"/>
        <item x="2244"/>
        <item x="2245"/>
        <item x="3153"/>
        <item x="467"/>
        <item x="2021"/>
        <item x="2375"/>
        <item x="1420"/>
        <item x="1847"/>
        <item x="1418"/>
        <item x="1419"/>
        <item x="765"/>
        <item x="1417"/>
        <item x="2527"/>
        <item x="3155"/>
        <item x="2531"/>
        <item x="3154"/>
        <item x="1579"/>
        <item x="1580"/>
        <item x="1581"/>
        <item x="1582"/>
        <item x="2528"/>
        <item x="2534"/>
        <item x="3157"/>
        <item x="2023"/>
        <item x="408"/>
        <item x="1076"/>
        <item x="1077"/>
        <item x="824"/>
        <item x="2532"/>
        <item x="937"/>
        <item x="2022"/>
        <item x="1885"/>
        <item x="1078"/>
        <item x="2807"/>
        <item x="2677"/>
        <item x="2529"/>
        <item x="2579"/>
        <item x="3156"/>
        <item x="465"/>
        <item x="585"/>
        <item x="586"/>
        <item x="2376"/>
        <item x="2377"/>
        <item x="3158"/>
        <item x="2247"/>
        <item x="936"/>
        <item x="247"/>
        <item x="706"/>
        <item x="2025"/>
        <item x="2530"/>
        <item x="2869"/>
        <item x="2870"/>
        <item x="2871"/>
        <item x="248"/>
        <item x="2246"/>
        <item x="1849"/>
        <item x="2123"/>
        <item x="2381"/>
        <item x="2378"/>
        <item x="2379"/>
        <item x="410"/>
        <item x="468"/>
        <item x="1079"/>
        <item x="935"/>
        <item x="411"/>
        <item x="2124"/>
        <item x="1786"/>
        <item x="1175"/>
        <item x="1783"/>
        <item x="707"/>
        <item x="1784"/>
        <item x="2382"/>
        <item x="1785"/>
        <item x="2533"/>
        <item x="1189"/>
        <item x="1190"/>
        <item x="1425"/>
        <item x="2026"/>
        <item x="1080"/>
        <item x="1170"/>
        <item x="1424"/>
        <item x="1081"/>
        <item x="1168"/>
        <item x="2024"/>
        <item x="1169"/>
        <item x="412"/>
        <item x="3159"/>
        <item x="1176"/>
        <item x="1614"/>
        <item x="2808"/>
        <item x="3160"/>
        <item x="1082"/>
        <item x="1083"/>
        <item x="2125"/>
        <item x="2126"/>
        <item x="2872"/>
        <item x="1171"/>
        <item x="2873"/>
        <item x="117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showAll="0"/>
    <pivotField showAll="0"/>
    <pivotField showAll="0"/>
    <pivotField numFmtId="14" showAll="0"/>
  </pivotFields>
  <rowFields count="1">
    <field x="1"/>
  </rowFields>
  <rowItems count="31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 t="grand">
      <x/>
    </i>
  </rowItems>
  <colItems count="1">
    <i/>
  </colItems>
  <dataFields count="1">
    <dataField name="Sum of Total9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ED7E-B08A-4EDF-BC7C-FF818FAC9F53}">
  <dimension ref="A3:B3165"/>
  <sheetViews>
    <sheetView topLeftCell="A2584" workbookViewId="0">
      <selection activeCell="B2595" sqref="B2595"/>
    </sheetView>
  </sheetViews>
  <sheetFormatPr defaultRowHeight="12.75" x14ac:dyDescent="0.2"/>
  <cols>
    <col min="1" max="1" width="13.85546875" bestFit="1" customWidth="1"/>
    <col min="2" max="2" width="13.7109375" bestFit="1" customWidth="1"/>
  </cols>
  <sheetData>
    <row r="3" spans="1:2" x14ac:dyDescent="0.2">
      <c r="A3" s="20" t="s">
        <v>632</v>
      </c>
      <c r="B3" t="s">
        <v>634</v>
      </c>
    </row>
    <row r="4" spans="1:2" x14ac:dyDescent="0.2">
      <c r="A4" s="21">
        <v>801582</v>
      </c>
      <c r="B4" s="22">
        <v>768</v>
      </c>
    </row>
    <row r="5" spans="1:2" x14ac:dyDescent="0.2">
      <c r="A5" s="21">
        <v>801583</v>
      </c>
      <c r="B5" s="22">
        <v>379</v>
      </c>
    </row>
    <row r="6" spans="1:2" x14ac:dyDescent="0.2">
      <c r="A6" s="21">
        <v>801588</v>
      </c>
      <c r="B6" s="22">
        <v>845.2</v>
      </c>
    </row>
    <row r="7" spans="1:2" x14ac:dyDescent="0.2">
      <c r="A7" s="21">
        <v>801589</v>
      </c>
      <c r="B7" s="22">
        <v>128</v>
      </c>
    </row>
    <row r="8" spans="1:2" x14ac:dyDescent="0.2">
      <c r="A8" s="21">
        <v>801590</v>
      </c>
      <c r="B8" s="22">
        <v>262</v>
      </c>
    </row>
    <row r="9" spans="1:2" x14ac:dyDescent="0.2">
      <c r="A9" s="21">
        <v>801627</v>
      </c>
      <c r="B9" s="22">
        <v>434</v>
      </c>
    </row>
    <row r="10" spans="1:2" x14ac:dyDescent="0.2">
      <c r="A10" s="21">
        <v>801716</v>
      </c>
      <c r="B10" s="22">
        <v>630.75</v>
      </c>
    </row>
    <row r="11" spans="1:2" x14ac:dyDescent="0.2">
      <c r="A11" s="21">
        <v>801727</v>
      </c>
      <c r="B11" s="22">
        <v>0</v>
      </c>
    </row>
    <row r="12" spans="1:2" x14ac:dyDescent="0.2">
      <c r="A12" s="21">
        <v>801729</v>
      </c>
      <c r="B12" s="22">
        <v>188.5</v>
      </c>
    </row>
    <row r="13" spans="1:2" x14ac:dyDescent="0.2">
      <c r="A13" s="21">
        <v>801757</v>
      </c>
      <c r="B13" s="22">
        <v>291.64999999999998</v>
      </c>
    </row>
    <row r="14" spans="1:2" x14ac:dyDescent="0.2">
      <c r="A14" s="21">
        <v>801764</v>
      </c>
      <c r="B14" s="22">
        <v>187.85</v>
      </c>
    </row>
    <row r="15" spans="1:2" x14ac:dyDescent="0.2">
      <c r="A15" s="21">
        <v>801766</v>
      </c>
      <c r="B15" s="22">
        <v>124</v>
      </c>
    </row>
    <row r="16" spans="1:2" x14ac:dyDescent="0.2">
      <c r="A16" s="21">
        <v>801796</v>
      </c>
      <c r="B16" s="22">
        <v>13.5</v>
      </c>
    </row>
    <row r="17" spans="1:2" x14ac:dyDescent="0.2">
      <c r="A17" s="21">
        <v>801800</v>
      </c>
      <c r="B17" s="22">
        <v>257</v>
      </c>
    </row>
    <row r="18" spans="1:2" x14ac:dyDescent="0.2">
      <c r="A18" s="21">
        <v>801837</v>
      </c>
      <c r="B18" s="22">
        <v>370</v>
      </c>
    </row>
    <row r="19" spans="1:2" x14ac:dyDescent="0.2">
      <c r="A19" s="21">
        <v>801838</v>
      </c>
      <c r="B19" s="22">
        <v>894.5</v>
      </c>
    </row>
    <row r="20" spans="1:2" x14ac:dyDescent="0.2">
      <c r="A20" s="21">
        <v>801867</v>
      </c>
      <c r="B20" s="22">
        <v>0</v>
      </c>
    </row>
    <row r="21" spans="1:2" x14ac:dyDescent="0.2">
      <c r="A21" s="21">
        <v>801868</v>
      </c>
      <c r="B21" s="22">
        <v>195.5</v>
      </c>
    </row>
    <row r="22" spans="1:2" x14ac:dyDescent="0.2">
      <c r="A22" s="21">
        <v>801869</v>
      </c>
      <c r="B22" s="22">
        <v>0</v>
      </c>
    </row>
    <row r="23" spans="1:2" x14ac:dyDescent="0.2">
      <c r="A23" s="21">
        <v>801871</v>
      </c>
      <c r="B23" s="22">
        <v>27</v>
      </c>
    </row>
    <row r="24" spans="1:2" x14ac:dyDescent="0.2">
      <c r="A24" s="21">
        <v>801876</v>
      </c>
      <c r="B24" s="22">
        <v>126</v>
      </c>
    </row>
    <row r="25" spans="1:2" x14ac:dyDescent="0.2">
      <c r="A25" s="21">
        <v>801878</v>
      </c>
      <c r="B25" s="22">
        <v>704.8</v>
      </c>
    </row>
    <row r="26" spans="1:2" x14ac:dyDescent="0.2">
      <c r="A26" s="21">
        <v>801881</v>
      </c>
      <c r="B26" s="22">
        <v>1724.5</v>
      </c>
    </row>
    <row r="27" spans="1:2" x14ac:dyDescent="0.2">
      <c r="A27" s="21">
        <v>801883</v>
      </c>
      <c r="B27" s="22">
        <v>1882.85</v>
      </c>
    </row>
    <row r="28" spans="1:2" x14ac:dyDescent="0.2">
      <c r="A28" s="21">
        <v>801915</v>
      </c>
      <c r="B28" s="22">
        <v>355</v>
      </c>
    </row>
    <row r="29" spans="1:2" x14ac:dyDescent="0.2">
      <c r="A29" s="21">
        <v>801916</v>
      </c>
      <c r="B29" s="22">
        <v>20</v>
      </c>
    </row>
    <row r="30" spans="1:2" x14ac:dyDescent="0.2">
      <c r="A30" s="21">
        <v>801918</v>
      </c>
      <c r="B30" s="22">
        <v>474.5</v>
      </c>
    </row>
    <row r="31" spans="1:2" x14ac:dyDescent="0.2">
      <c r="A31" s="21">
        <v>801920</v>
      </c>
      <c r="B31" s="22">
        <v>135</v>
      </c>
    </row>
    <row r="32" spans="1:2" x14ac:dyDescent="0.2">
      <c r="A32" s="21">
        <v>801965</v>
      </c>
      <c r="B32" s="22">
        <v>192</v>
      </c>
    </row>
    <row r="33" spans="1:2" x14ac:dyDescent="0.2">
      <c r="A33" s="21">
        <v>801966</v>
      </c>
      <c r="B33" s="22">
        <v>1</v>
      </c>
    </row>
    <row r="34" spans="1:2" x14ac:dyDescent="0.2">
      <c r="A34" s="21">
        <v>801967</v>
      </c>
      <c r="B34" s="22">
        <v>17.5</v>
      </c>
    </row>
    <row r="35" spans="1:2" x14ac:dyDescent="0.2">
      <c r="A35" s="21">
        <v>801999</v>
      </c>
      <c r="B35" s="22">
        <v>1026.3500000000001</v>
      </c>
    </row>
    <row r="36" spans="1:2" x14ac:dyDescent="0.2">
      <c r="A36" s="21">
        <v>802012</v>
      </c>
      <c r="B36" s="22">
        <v>47</v>
      </c>
    </row>
    <row r="37" spans="1:2" x14ac:dyDescent="0.2">
      <c r="A37" s="21">
        <v>802044</v>
      </c>
      <c r="B37" s="22">
        <v>421.15</v>
      </c>
    </row>
    <row r="38" spans="1:2" x14ac:dyDescent="0.2">
      <c r="A38" s="21">
        <v>802068</v>
      </c>
      <c r="B38" s="22">
        <v>212</v>
      </c>
    </row>
    <row r="39" spans="1:2" x14ac:dyDescent="0.2">
      <c r="A39" s="21">
        <v>802073</v>
      </c>
      <c r="B39" s="22">
        <v>1</v>
      </c>
    </row>
    <row r="40" spans="1:2" x14ac:dyDescent="0.2">
      <c r="A40" s="21">
        <v>802088</v>
      </c>
      <c r="B40" s="22">
        <v>32.5</v>
      </c>
    </row>
    <row r="41" spans="1:2" x14ac:dyDescent="0.2">
      <c r="A41" s="21">
        <v>802089</v>
      </c>
      <c r="B41" s="22">
        <v>1300.55</v>
      </c>
    </row>
    <row r="42" spans="1:2" x14ac:dyDescent="0.2">
      <c r="A42" s="21">
        <v>802094</v>
      </c>
      <c r="B42" s="22">
        <v>118.95</v>
      </c>
    </row>
    <row r="43" spans="1:2" x14ac:dyDescent="0.2">
      <c r="A43" s="21">
        <v>802095</v>
      </c>
      <c r="B43" s="22">
        <v>337</v>
      </c>
    </row>
    <row r="44" spans="1:2" x14ac:dyDescent="0.2">
      <c r="A44" s="21">
        <v>802100</v>
      </c>
      <c r="B44" s="22">
        <v>195</v>
      </c>
    </row>
    <row r="45" spans="1:2" x14ac:dyDescent="0.2">
      <c r="A45" s="21">
        <v>802105</v>
      </c>
      <c r="B45" s="22">
        <v>801.25</v>
      </c>
    </row>
    <row r="46" spans="1:2" x14ac:dyDescent="0.2">
      <c r="A46" s="21">
        <v>802117</v>
      </c>
      <c r="B46" s="22">
        <v>1778.6</v>
      </c>
    </row>
    <row r="47" spans="1:2" x14ac:dyDescent="0.2">
      <c r="A47" s="21">
        <v>802147</v>
      </c>
      <c r="B47" s="22">
        <v>168.5</v>
      </c>
    </row>
    <row r="48" spans="1:2" x14ac:dyDescent="0.2">
      <c r="A48" s="21">
        <v>802148</v>
      </c>
      <c r="B48" s="22">
        <v>714.1</v>
      </c>
    </row>
    <row r="49" spans="1:2" x14ac:dyDescent="0.2">
      <c r="A49" s="21">
        <v>802149</v>
      </c>
      <c r="B49" s="22">
        <v>397.75</v>
      </c>
    </row>
    <row r="50" spans="1:2" x14ac:dyDescent="0.2">
      <c r="A50" s="21">
        <v>802151</v>
      </c>
      <c r="B50" s="22">
        <v>1737</v>
      </c>
    </row>
    <row r="51" spans="1:2" x14ac:dyDescent="0.2">
      <c r="A51" s="21">
        <v>802156</v>
      </c>
      <c r="B51" s="22">
        <v>345</v>
      </c>
    </row>
    <row r="52" spans="1:2" x14ac:dyDescent="0.2">
      <c r="A52" s="21">
        <v>802161</v>
      </c>
      <c r="B52" s="22">
        <v>171.75</v>
      </c>
    </row>
    <row r="53" spans="1:2" x14ac:dyDescent="0.2">
      <c r="A53" s="21">
        <v>802164</v>
      </c>
      <c r="B53" s="22">
        <v>226</v>
      </c>
    </row>
    <row r="54" spans="1:2" x14ac:dyDescent="0.2">
      <c r="A54" s="21">
        <v>802165</v>
      </c>
      <c r="B54" s="22">
        <v>240.75</v>
      </c>
    </row>
    <row r="55" spans="1:2" x14ac:dyDescent="0.2">
      <c r="A55" s="21">
        <v>802196</v>
      </c>
      <c r="B55" s="22">
        <v>165.4</v>
      </c>
    </row>
    <row r="56" spans="1:2" x14ac:dyDescent="0.2">
      <c r="A56" s="21">
        <v>802210</v>
      </c>
      <c r="B56" s="22">
        <v>280.5</v>
      </c>
    </row>
    <row r="57" spans="1:2" x14ac:dyDescent="0.2">
      <c r="A57" s="21">
        <v>802212</v>
      </c>
      <c r="B57" s="22">
        <v>31</v>
      </c>
    </row>
    <row r="58" spans="1:2" x14ac:dyDescent="0.2">
      <c r="A58" s="21">
        <v>802213</v>
      </c>
      <c r="B58" s="22">
        <v>267.39999999999998</v>
      </c>
    </row>
    <row r="59" spans="1:2" x14ac:dyDescent="0.2">
      <c r="A59" s="21">
        <v>802214</v>
      </c>
      <c r="B59" s="22">
        <v>0</v>
      </c>
    </row>
    <row r="60" spans="1:2" x14ac:dyDescent="0.2">
      <c r="A60" s="21">
        <v>802265</v>
      </c>
      <c r="B60" s="22">
        <v>0</v>
      </c>
    </row>
    <row r="61" spans="1:2" x14ac:dyDescent="0.2">
      <c r="A61" s="21">
        <v>802370</v>
      </c>
      <c r="B61" s="22">
        <v>80</v>
      </c>
    </row>
    <row r="62" spans="1:2" x14ac:dyDescent="0.2">
      <c r="A62" s="21">
        <v>802371</v>
      </c>
      <c r="B62" s="22">
        <v>357</v>
      </c>
    </row>
    <row r="63" spans="1:2" x14ac:dyDescent="0.2">
      <c r="A63" s="21">
        <v>802376</v>
      </c>
      <c r="B63" s="22">
        <v>36</v>
      </c>
    </row>
    <row r="64" spans="1:2" x14ac:dyDescent="0.2">
      <c r="A64" s="21">
        <v>802838</v>
      </c>
      <c r="B64" s="22">
        <v>733.35</v>
      </c>
    </row>
    <row r="65" spans="1:2" x14ac:dyDescent="0.2">
      <c r="A65" s="21">
        <v>802841</v>
      </c>
      <c r="B65" s="22">
        <v>95.5</v>
      </c>
    </row>
    <row r="66" spans="1:2" x14ac:dyDescent="0.2">
      <c r="A66" s="21">
        <v>802848</v>
      </c>
      <c r="B66" s="22">
        <v>230</v>
      </c>
    </row>
    <row r="67" spans="1:2" x14ac:dyDescent="0.2">
      <c r="A67" s="21">
        <v>802870</v>
      </c>
      <c r="B67" s="22">
        <v>0</v>
      </c>
    </row>
    <row r="68" spans="1:2" x14ac:dyDescent="0.2">
      <c r="A68" s="21">
        <v>802878</v>
      </c>
      <c r="B68" s="22">
        <v>307</v>
      </c>
    </row>
    <row r="69" spans="1:2" x14ac:dyDescent="0.2">
      <c r="A69" s="21">
        <v>802893</v>
      </c>
      <c r="B69" s="22">
        <v>313</v>
      </c>
    </row>
    <row r="70" spans="1:2" x14ac:dyDescent="0.2">
      <c r="A70" s="21">
        <v>802894</v>
      </c>
      <c r="B70" s="22">
        <v>357</v>
      </c>
    </row>
    <row r="71" spans="1:2" x14ac:dyDescent="0.2">
      <c r="A71" s="21">
        <v>802895</v>
      </c>
      <c r="B71" s="22">
        <v>305</v>
      </c>
    </row>
    <row r="72" spans="1:2" x14ac:dyDescent="0.2">
      <c r="A72" s="21">
        <v>802896</v>
      </c>
      <c r="B72" s="22">
        <v>437.5</v>
      </c>
    </row>
    <row r="73" spans="1:2" x14ac:dyDescent="0.2">
      <c r="A73" s="21">
        <v>802913</v>
      </c>
      <c r="B73" s="22">
        <v>232.6</v>
      </c>
    </row>
    <row r="74" spans="1:2" x14ac:dyDescent="0.2">
      <c r="A74" s="21">
        <v>802918</v>
      </c>
      <c r="B74" s="22">
        <v>14</v>
      </c>
    </row>
    <row r="75" spans="1:2" x14ac:dyDescent="0.2">
      <c r="A75" s="21">
        <v>802921</v>
      </c>
      <c r="B75" s="22">
        <v>100</v>
      </c>
    </row>
    <row r="76" spans="1:2" x14ac:dyDescent="0.2">
      <c r="A76" s="21">
        <v>802923</v>
      </c>
      <c r="B76" s="22">
        <v>160</v>
      </c>
    </row>
    <row r="77" spans="1:2" x14ac:dyDescent="0.2">
      <c r="A77" s="21">
        <v>802925</v>
      </c>
      <c r="B77" s="22">
        <v>20</v>
      </c>
    </row>
    <row r="78" spans="1:2" x14ac:dyDescent="0.2">
      <c r="A78" s="21">
        <v>802948</v>
      </c>
      <c r="B78" s="22">
        <v>180</v>
      </c>
    </row>
    <row r="79" spans="1:2" x14ac:dyDescent="0.2">
      <c r="A79" s="21">
        <v>802964</v>
      </c>
      <c r="B79" s="22">
        <v>399.5</v>
      </c>
    </row>
    <row r="80" spans="1:2" x14ac:dyDescent="0.2">
      <c r="A80" s="21">
        <v>802965</v>
      </c>
      <c r="B80" s="22">
        <v>0</v>
      </c>
    </row>
    <row r="81" spans="1:2" x14ac:dyDescent="0.2">
      <c r="A81" s="21">
        <v>802968</v>
      </c>
      <c r="B81" s="22">
        <v>255.75</v>
      </c>
    </row>
    <row r="82" spans="1:2" x14ac:dyDescent="0.2">
      <c r="A82" s="21">
        <v>802972</v>
      </c>
      <c r="B82" s="22">
        <v>0</v>
      </c>
    </row>
    <row r="83" spans="1:2" x14ac:dyDescent="0.2">
      <c r="A83" s="21">
        <v>802987</v>
      </c>
      <c r="B83" s="22">
        <v>290</v>
      </c>
    </row>
    <row r="84" spans="1:2" x14ac:dyDescent="0.2">
      <c r="A84" s="21">
        <v>803003</v>
      </c>
      <c r="B84" s="22">
        <v>623</v>
      </c>
    </row>
    <row r="85" spans="1:2" x14ac:dyDescent="0.2">
      <c r="A85" s="21">
        <v>803017</v>
      </c>
      <c r="B85" s="22">
        <v>562.79999999999995</v>
      </c>
    </row>
    <row r="86" spans="1:2" x14ac:dyDescent="0.2">
      <c r="A86" s="21">
        <v>803018</v>
      </c>
      <c r="B86" s="22">
        <v>95</v>
      </c>
    </row>
    <row r="87" spans="1:2" x14ac:dyDescent="0.2">
      <c r="A87" s="21">
        <v>803020</v>
      </c>
      <c r="B87" s="22">
        <v>97.5</v>
      </c>
    </row>
    <row r="88" spans="1:2" x14ac:dyDescent="0.2">
      <c r="A88" s="21">
        <v>803021</v>
      </c>
      <c r="B88" s="22">
        <v>310.5</v>
      </c>
    </row>
    <row r="89" spans="1:2" x14ac:dyDescent="0.2">
      <c r="A89" s="21">
        <v>803022</v>
      </c>
      <c r="B89" s="22">
        <v>294.5</v>
      </c>
    </row>
    <row r="90" spans="1:2" x14ac:dyDescent="0.2">
      <c r="A90" s="21">
        <v>803023</v>
      </c>
      <c r="B90" s="22">
        <v>220</v>
      </c>
    </row>
    <row r="91" spans="1:2" x14ac:dyDescent="0.2">
      <c r="A91" s="21">
        <v>803049</v>
      </c>
      <c r="B91" s="22">
        <v>350.25</v>
      </c>
    </row>
    <row r="92" spans="1:2" x14ac:dyDescent="0.2">
      <c r="A92" s="21">
        <v>803051</v>
      </c>
      <c r="B92" s="22">
        <v>208</v>
      </c>
    </row>
    <row r="93" spans="1:2" x14ac:dyDescent="0.2">
      <c r="A93" s="21">
        <v>803071</v>
      </c>
      <c r="B93" s="22">
        <v>890.5</v>
      </c>
    </row>
    <row r="94" spans="1:2" x14ac:dyDescent="0.2">
      <c r="A94" s="21">
        <v>803124</v>
      </c>
      <c r="B94" s="22">
        <v>57.5</v>
      </c>
    </row>
    <row r="95" spans="1:2" x14ac:dyDescent="0.2">
      <c r="A95" s="21">
        <v>803125</v>
      </c>
      <c r="B95" s="22">
        <v>355</v>
      </c>
    </row>
    <row r="96" spans="1:2" x14ac:dyDescent="0.2">
      <c r="A96" s="21">
        <v>803141</v>
      </c>
      <c r="B96" s="22">
        <v>200</v>
      </c>
    </row>
    <row r="97" spans="1:2" x14ac:dyDescent="0.2">
      <c r="A97" s="21">
        <v>803148</v>
      </c>
      <c r="B97" s="22">
        <v>943.4</v>
      </c>
    </row>
    <row r="98" spans="1:2" x14ac:dyDescent="0.2">
      <c r="A98" s="21">
        <v>803188</v>
      </c>
      <c r="B98" s="22">
        <v>220</v>
      </c>
    </row>
    <row r="99" spans="1:2" x14ac:dyDescent="0.2">
      <c r="A99" s="21">
        <v>803193</v>
      </c>
      <c r="B99" s="22">
        <v>138</v>
      </c>
    </row>
    <row r="100" spans="1:2" x14ac:dyDescent="0.2">
      <c r="A100" s="21">
        <v>803201</v>
      </c>
      <c r="B100" s="22">
        <v>185</v>
      </c>
    </row>
    <row r="101" spans="1:2" x14ac:dyDescent="0.2">
      <c r="A101" s="21">
        <v>803240</v>
      </c>
      <c r="B101" s="22">
        <v>163</v>
      </c>
    </row>
    <row r="102" spans="1:2" x14ac:dyDescent="0.2">
      <c r="A102" s="21">
        <v>803251</v>
      </c>
      <c r="B102" s="22">
        <v>90</v>
      </c>
    </row>
    <row r="103" spans="1:2" x14ac:dyDescent="0.2">
      <c r="A103" s="21">
        <v>803256</v>
      </c>
      <c r="B103" s="22">
        <v>1781.5</v>
      </c>
    </row>
    <row r="104" spans="1:2" x14ac:dyDescent="0.2">
      <c r="A104" s="21">
        <v>803258</v>
      </c>
      <c r="B104" s="22">
        <v>236.25</v>
      </c>
    </row>
    <row r="105" spans="1:2" x14ac:dyDescent="0.2">
      <c r="A105" s="21">
        <v>803260</v>
      </c>
      <c r="B105" s="22">
        <v>127.5</v>
      </c>
    </row>
    <row r="106" spans="1:2" x14ac:dyDescent="0.2">
      <c r="A106" s="21">
        <v>803292</v>
      </c>
      <c r="B106" s="22">
        <v>779</v>
      </c>
    </row>
    <row r="107" spans="1:2" x14ac:dyDescent="0.2">
      <c r="A107" s="21">
        <v>803293</v>
      </c>
      <c r="B107" s="22">
        <v>231</v>
      </c>
    </row>
    <row r="108" spans="1:2" x14ac:dyDescent="0.2">
      <c r="A108" s="21">
        <v>803351</v>
      </c>
      <c r="B108" s="22">
        <v>80</v>
      </c>
    </row>
    <row r="109" spans="1:2" x14ac:dyDescent="0.2">
      <c r="A109" s="21">
        <v>803352</v>
      </c>
      <c r="B109" s="22">
        <v>0</v>
      </c>
    </row>
    <row r="110" spans="1:2" x14ac:dyDescent="0.2">
      <c r="A110" s="21">
        <v>803364</v>
      </c>
      <c r="B110" s="22">
        <v>0</v>
      </c>
    </row>
    <row r="111" spans="1:2" x14ac:dyDescent="0.2">
      <c r="A111" s="21">
        <v>803425</v>
      </c>
      <c r="B111" s="22">
        <v>92.5</v>
      </c>
    </row>
    <row r="112" spans="1:2" x14ac:dyDescent="0.2">
      <c r="A112" s="21">
        <v>803501</v>
      </c>
      <c r="B112" s="22">
        <v>0</v>
      </c>
    </row>
    <row r="113" spans="1:2" x14ac:dyDescent="0.2">
      <c r="A113" s="21">
        <v>803534</v>
      </c>
      <c r="B113" s="22">
        <v>781.5</v>
      </c>
    </row>
    <row r="114" spans="1:2" x14ac:dyDescent="0.2">
      <c r="A114" s="21">
        <v>803578</v>
      </c>
      <c r="B114" s="22">
        <v>166</v>
      </c>
    </row>
    <row r="115" spans="1:2" x14ac:dyDescent="0.2">
      <c r="A115" s="21">
        <v>803579</v>
      </c>
      <c r="B115" s="22">
        <v>512.5</v>
      </c>
    </row>
    <row r="116" spans="1:2" x14ac:dyDescent="0.2">
      <c r="A116" s="21">
        <v>803594</v>
      </c>
      <c r="B116" s="22">
        <v>51</v>
      </c>
    </row>
    <row r="117" spans="1:2" x14ac:dyDescent="0.2">
      <c r="A117" s="21">
        <v>803690</v>
      </c>
      <c r="B117" s="22">
        <v>952.5</v>
      </c>
    </row>
    <row r="118" spans="1:2" x14ac:dyDescent="0.2">
      <c r="A118" s="21">
        <v>803691</v>
      </c>
      <c r="B118" s="22">
        <v>742</v>
      </c>
    </row>
    <row r="119" spans="1:2" x14ac:dyDescent="0.2">
      <c r="A119" s="21">
        <v>803698</v>
      </c>
      <c r="B119" s="22">
        <v>220</v>
      </c>
    </row>
    <row r="120" spans="1:2" x14ac:dyDescent="0.2">
      <c r="A120" s="21">
        <v>803721</v>
      </c>
      <c r="B120" s="22">
        <v>340</v>
      </c>
    </row>
    <row r="121" spans="1:2" x14ac:dyDescent="0.2">
      <c r="A121" s="21">
        <v>803755</v>
      </c>
      <c r="B121" s="22">
        <v>40</v>
      </c>
    </row>
    <row r="122" spans="1:2" x14ac:dyDescent="0.2">
      <c r="A122" s="21">
        <v>803769</v>
      </c>
      <c r="B122" s="22">
        <v>404</v>
      </c>
    </row>
    <row r="123" spans="1:2" x14ac:dyDescent="0.2">
      <c r="A123" s="21">
        <v>803770</v>
      </c>
      <c r="B123" s="22">
        <v>30</v>
      </c>
    </row>
    <row r="124" spans="1:2" x14ac:dyDescent="0.2">
      <c r="A124" s="21">
        <v>803775</v>
      </c>
      <c r="B124" s="22">
        <v>0</v>
      </c>
    </row>
    <row r="125" spans="1:2" x14ac:dyDescent="0.2">
      <c r="A125" s="21">
        <v>803778</v>
      </c>
      <c r="B125" s="22">
        <v>200.5</v>
      </c>
    </row>
    <row r="126" spans="1:2" x14ac:dyDescent="0.2">
      <c r="A126" s="21">
        <v>803794</v>
      </c>
      <c r="B126" s="22">
        <v>278.5</v>
      </c>
    </row>
    <row r="127" spans="1:2" x14ac:dyDescent="0.2">
      <c r="A127" s="21">
        <v>803809</v>
      </c>
      <c r="B127" s="22">
        <v>496</v>
      </c>
    </row>
    <row r="128" spans="1:2" x14ac:dyDescent="0.2">
      <c r="A128" s="21">
        <v>803811</v>
      </c>
      <c r="B128" s="22">
        <v>25</v>
      </c>
    </row>
    <row r="129" spans="1:2" x14ac:dyDescent="0.2">
      <c r="A129" s="21">
        <v>803820</v>
      </c>
      <c r="B129" s="22">
        <v>419.3</v>
      </c>
    </row>
    <row r="130" spans="1:2" x14ac:dyDescent="0.2">
      <c r="A130" s="21">
        <v>803821</v>
      </c>
      <c r="B130" s="22">
        <v>567</v>
      </c>
    </row>
    <row r="131" spans="1:2" x14ac:dyDescent="0.2">
      <c r="A131" s="21">
        <v>803832</v>
      </c>
      <c r="B131" s="22">
        <v>242.5</v>
      </c>
    </row>
    <row r="132" spans="1:2" x14ac:dyDescent="0.2">
      <c r="A132" s="21">
        <v>803843</v>
      </c>
      <c r="B132" s="22">
        <v>220.5</v>
      </c>
    </row>
    <row r="133" spans="1:2" x14ac:dyDescent="0.2">
      <c r="A133" s="21">
        <v>803877</v>
      </c>
      <c r="B133" s="22">
        <v>96</v>
      </c>
    </row>
    <row r="134" spans="1:2" x14ac:dyDescent="0.2">
      <c r="A134" s="21">
        <v>803885</v>
      </c>
      <c r="B134" s="22">
        <v>551</v>
      </c>
    </row>
    <row r="135" spans="1:2" x14ac:dyDescent="0.2">
      <c r="A135" s="21">
        <v>803886</v>
      </c>
      <c r="B135" s="22">
        <v>767.75</v>
      </c>
    </row>
    <row r="136" spans="1:2" x14ac:dyDescent="0.2">
      <c r="A136" s="21">
        <v>803946</v>
      </c>
      <c r="B136" s="22">
        <v>155</v>
      </c>
    </row>
    <row r="137" spans="1:2" x14ac:dyDescent="0.2">
      <c r="A137" s="21">
        <v>803952</v>
      </c>
      <c r="B137" s="22">
        <v>584.5</v>
      </c>
    </row>
    <row r="138" spans="1:2" x14ac:dyDescent="0.2">
      <c r="A138" s="21">
        <v>803954</v>
      </c>
      <c r="B138" s="22">
        <v>95</v>
      </c>
    </row>
    <row r="139" spans="1:2" x14ac:dyDescent="0.2">
      <c r="A139" s="21">
        <v>803955</v>
      </c>
      <c r="B139" s="22">
        <v>10</v>
      </c>
    </row>
    <row r="140" spans="1:2" x14ac:dyDescent="0.2">
      <c r="A140" s="21">
        <v>803983</v>
      </c>
      <c r="B140" s="22">
        <v>123</v>
      </c>
    </row>
    <row r="141" spans="1:2" x14ac:dyDescent="0.2">
      <c r="A141" s="21">
        <v>803990</v>
      </c>
      <c r="B141" s="22">
        <v>150</v>
      </c>
    </row>
    <row r="142" spans="1:2" x14ac:dyDescent="0.2">
      <c r="A142" s="21">
        <v>803991</v>
      </c>
      <c r="B142" s="22">
        <v>216</v>
      </c>
    </row>
    <row r="143" spans="1:2" x14ac:dyDescent="0.2">
      <c r="A143" s="21">
        <v>803992</v>
      </c>
      <c r="B143" s="22">
        <v>334</v>
      </c>
    </row>
    <row r="144" spans="1:2" x14ac:dyDescent="0.2">
      <c r="A144" s="21">
        <v>803993</v>
      </c>
      <c r="B144" s="22">
        <v>117.5</v>
      </c>
    </row>
    <row r="145" spans="1:2" x14ac:dyDescent="0.2">
      <c r="A145" s="21">
        <v>804006</v>
      </c>
      <c r="B145" s="22">
        <v>37.5</v>
      </c>
    </row>
    <row r="146" spans="1:2" x14ac:dyDescent="0.2">
      <c r="A146" s="21">
        <v>804023</v>
      </c>
      <c r="B146" s="22">
        <v>77.5</v>
      </c>
    </row>
    <row r="147" spans="1:2" x14ac:dyDescent="0.2">
      <c r="A147" s="21">
        <v>804031</v>
      </c>
      <c r="B147" s="22">
        <v>70</v>
      </c>
    </row>
    <row r="148" spans="1:2" x14ac:dyDescent="0.2">
      <c r="A148" s="21">
        <v>804050</v>
      </c>
      <c r="B148" s="22">
        <v>315</v>
      </c>
    </row>
    <row r="149" spans="1:2" x14ac:dyDescent="0.2">
      <c r="A149" s="21">
        <v>804057</v>
      </c>
      <c r="B149" s="22">
        <v>250</v>
      </c>
    </row>
    <row r="150" spans="1:2" x14ac:dyDescent="0.2">
      <c r="A150" s="21">
        <v>804058</v>
      </c>
      <c r="B150" s="22">
        <v>1484.55</v>
      </c>
    </row>
    <row r="151" spans="1:2" x14ac:dyDescent="0.2">
      <c r="A151" s="21">
        <v>804079</v>
      </c>
      <c r="B151" s="22">
        <v>35</v>
      </c>
    </row>
    <row r="152" spans="1:2" x14ac:dyDescent="0.2">
      <c r="A152" s="21">
        <v>804080</v>
      </c>
      <c r="B152" s="22">
        <v>391</v>
      </c>
    </row>
    <row r="153" spans="1:2" x14ac:dyDescent="0.2">
      <c r="A153" s="21">
        <v>804081</v>
      </c>
      <c r="B153" s="22">
        <v>111</v>
      </c>
    </row>
    <row r="154" spans="1:2" x14ac:dyDescent="0.2">
      <c r="A154" s="21">
        <v>804082</v>
      </c>
      <c r="B154" s="22">
        <v>537.79999999999995</v>
      </c>
    </row>
    <row r="155" spans="1:2" x14ac:dyDescent="0.2">
      <c r="A155" s="21">
        <v>804084</v>
      </c>
      <c r="B155" s="22">
        <v>50</v>
      </c>
    </row>
    <row r="156" spans="1:2" x14ac:dyDescent="0.2">
      <c r="A156" s="21">
        <v>804106</v>
      </c>
      <c r="B156" s="22">
        <v>132</v>
      </c>
    </row>
    <row r="157" spans="1:2" x14ac:dyDescent="0.2">
      <c r="A157" s="21">
        <v>804122</v>
      </c>
      <c r="B157" s="22">
        <v>0</v>
      </c>
    </row>
    <row r="158" spans="1:2" x14ac:dyDescent="0.2">
      <c r="A158" s="21">
        <v>804131</v>
      </c>
      <c r="B158" s="22">
        <v>747.35</v>
      </c>
    </row>
    <row r="159" spans="1:2" x14ac:dyDescent="0.2">
      <c r="A159" s="21">
        <v>804132</v>
      </c>
      <c r="B159" s="22">
        <v>20</v>
      </c>
    </row>
    <row r="160" spans="1:2" x14ac:dyDescent="0.2">
      <c r="A160" s="21">
        <v>804135</v>
      </c>
      <c r="B160" s="22">
        <v>343.25</v>
      </c>
    </row>
    <row r="161" spans="1:2" x14ac:dyDescent="0.2">
      <c r="A161" s="21">
        <v>804136</v>
      </c>
      <c r="B161" s="22">
        <v>435.3</v>
      </c>
    </row>
    <row r="162" spans="1:2" x14ac:dyDescent="0.2">
      <c r="A162" s="21">
        <v>804165</v>
      </c>
      <c r="B162" s="22">
        <v>98</v>
      </c>
    </row>
    <row r="163" spans="1:2" x14ac:dyDescent="0.2">
      <c r="A163" s="21">
        <v>804176</v>
      </c>
      <c r="B163" s="22">
        <v>779.05</v>
      </c>
    </row>
    <row r="164" spans="1:2" x14ac:dyDescent="0.2">
      <c r="A164" s="21">
        <v>804178</v>
      </c>
      <c r="B164" s="22">
        <v>125</v>
      </c>
    </row>
    <row r="165" spans="1:2" x14ac:dyDescent="0.2">
      <c r="A165" s="21">
        <v>804220</v>
      </c>
      <c r="B165" s="22">
        <v>671</v>
      </c>
    </row>
    <row r="166" spans="1:2" x14ac:dyDescent="0.2">
      <c r="A166" s="21">
        <v>804235</v>
      </c>
      <c r="B166" s="22">
        <v>152.5</v>
      </c>
    </row>
    <row r="167" spans="1:2" x14ac:dyDescent="0.2">
      <c r="A167" s="21">
        <v>804243</v>
      </c>
      <c r="B167" s="22">
        <v>1117.5</v>
      </c>
    </row>
    <row r="168" spans="1:2" x14ac:dyDescent="0.2">
      <c r="A168" s="21">
        <v>804251</v>
      </c>
      <c r="B168" s="22">
        <v>337</v>
      </c>
    </row>
    <row r="169" spans="1:2" x14ac:dyDescent="0.2">
      <c r="A169" s="21">
        <v>804286</v>
      </c>
      <c r="B169" s="22">
        <v>330.5</v>
      </c>
    </row>
    <row r="170" spans="1:2" x14ac:dyDescent="0.2">
      <c r="A170" s="21">
        <v>804310</v>
      </c>
      <c r="B170" s="22">
        <v>2684</v>
      </c>
    </row>
    <row r="171" spans="1:2" x14ac:dyDescent="0.2">
      <c r="A171" s="21">
        <v>804312</v>
      </c>
      <c r="B171" s="22">
        <v>703.5</v>
      </c>
    </row>
    <row r="172" spans="1:2" x14ac:dyDescent="0.2">
      <c r="A172" s="21">
        <v>804313</v>
      </c>
      <c r="B172" s="22">
        <v>45</v>
      </c>
    </row>
    <row r="173" spans="1:2" x14ac:dyDescent="0.2">
      <c r="A173" s="21">
        <v>804365</v>
      </c>
      <c r="B173" s="22">
        <v>119</v>
      </c>
    </row>
    <row r="174" spans="1:2" x14ac:dyDescent="0.2">
      <c r="A174" s="21">
        <v>804429</v>
      </c>
      <c r="B174" s="22">
        <v>71</v>
      </c>
    </row>
    <row r="175" spans="1:2" x14ac:dyDescent="0.2">
      <c r="A175" s="21">
        <v>804430</v>
      </c>
      <c r="B175" s="22">
        <v>5</v>
      </c>
    </row>
    <row r="176" spans="1:2" x14ac:dyDescent="0.2">
      <c r="A176" s="21">
        <v>804431</v>
      </c>
      <c r="B176" s="22">
        <v>2002</v>
      </c>
    </row>
    <row r="177" spans="1:2" x14ac:dyDescent="0.2">
      <c r="A177" s="21">
        <v>804432</v>
      </c>
      <c r="B177" s="22">
        <v>868</v>
      </c>
    </row>
    <row r="178" spans="1:2" x14ac:dyDescent="0.2">
      <c r="A178" s="21">
        <v>804474</v>
      </c>
      <c r="B178" s="22">
        <v>15</v>
      </c>
    </row>
    <row r="179" spans="1:2" x14ac:dyDescent="0.2">
      <c r="A179" s="21">
        <v>804485</v>
      </c>
      <c r="B179" s="22">
        <v>162.25</v>
      </c>
    </row>
    <row r="180" spans="1:2" x14ac:dyDescent="0.2">
      <c r="A180" s="21">
        <v>804632</v>
      </c>
      <c r="B180" s="22">
        <v>609</v>
      </c>
    </row>
    <row r="181" spans="1:2" x14ac:dyDescent="0.2">
      <c r="A181" s="21">
        <v>804744</v>
      </c>
      <c r="B181" s="22">
        <v>32.5</v>
      </c>
    </row>
    <row r="182" spans="1:2" x14ac:dyDescent="0.2">
      <c r="A182" s="21">
        <v>804746</v>
      </c>
      <c r="B182" s="22">
        <v>146.05000000000001</v>
      </c>
    </row>
    <row r="183" spans="1:2" x14ac:dyDescent="0.2">
      <c r="A183" s="21">
        <v>804773</v>
      </c>
      <c r="B183" s="22">
        <v>0</v>
      </c>
    </row>
    <row r="184" spans="1:2" x14ac:dyDescent="0.2">
      <c r="A184" s="21">
        <v>804774</v>
      </c>
      <c r="B184" s="22">
        <v>102.5</v>
      </c>
    </row>
    <row r="185" spans="1:2" x14ac:dyDescent="0.2">
      <c r="A185" s="21">
        <v>804818</v>
      </c>
      <c r="B185" s="22">
        <v>439.5</v>
      </c>
    </row>
    <row r="186" spans="1:2" x14ac:dyDescent="0.2">
      <c r="A186" s="21">
        <v>804832</v>
      </c>
      <c r="B186" s="22">
        <v>10</v>
      </c>
    </row>
    <row r="187" spans="1:2" x14ac:dyDescent="0.2">
      <c r="A187" s="21">
        <v>804833</v>
      </c>
      <c r="B187" s="22">
        <v>40</v>
      </c>
    </row>
    <row r="188" spans="1:2" x14ac:dyDescent="0.2">
      <c r="A188" s="21">
        <v>804863</v>
      </c>
      <c r="B188" s="22">
        <v>10</v>
      </c>
    </row>
    <row r="189" spans="1:2" x14ac:dyDescent="0.2">
      <c r="A189" s="21">
        <v>804864</v>
      </c>
      <c r="B189" s="22">
        <v>85</v>
      </c>
    </row>
    <row r="190" spans="1:2" x14ac:dyDescent="0.2">
      <c r="A190" s="21">
        <v>804876</v>
      </c>
      <c r="B190" s="22">
        <v>242</v>
      </c>
    </row>
    <row r="191" spans="1:2" x14ac:dyDescent="0.2">
      <c r="A191" s="21">
        <v>804888</v>
      </c>
      <c r="B191" s="22">
        <v>909.5</v>
      </c>
    </row>
    <row r="192" spans="1:2" x14ac:dyDescent="0.2">
      <c r="A192" s="21">
        <v>804897</v>
      </c>
      <c r="B192" s="22">
        <v>337</v>
      </c>
    </row>
    <row r="193" spans="1:2" x14ac:dyDescent="0.2">
      <c r="A193" s="21">
        <v>804898</v>
      </c>
      <c r="B193" s="22">
        <v>105</v>
      </c>
    </row>
    <row r="194" spans="1:2" x14ac:dyDescent="0.2">
      <c r="A194" s="21">
        <v>804909</v>
      </c>
      <c r="B194" s="22">
        <v>0</v>
      </c>
    </row>
    <row r="195" spans="1:2" x14ac:dyDescent="0.2">
      <c r="A195" s="21">
        <v>804910</v>
      </c>
      <c r="B195" s="22">
        <v>605.29999999999995</v>
      </c>
    </row>
    <row r="196" spans="1:2" x14ac:dyDescent="0.2">
      <c r="A196" s="21">
        <v>804933</v>
      </c>
      <c r="B196" s="22">
        <v>331</v>
      </c>
    </row>
    <row r="197" spans="1:2" x14ac:dyDescent="0.2">
      <c r="A197" s="21">
        <v>804935</v>
      </c>
      <c r="B197" s="22">
        <v>627.75</v>
      </c>
    </row>
    <row r="198" spans="1:2" x14ac:dyDescent="0.2">
      <c r="A198" s="21">
        <v>804940</v>
      </c>
      <c r="B198" s="22">
        <v>84.5</v>
      </c>
    </row>
    <row r="199" spans="1:2" x14ac:dyDescent="0.2">
      <c r="A199" s="21">
        <v>804966</v>
      </c>
      <c r="B199" s="22">
        <v>263</v>
      </c>
    </row>
    <row r="200" spans="1:2" x14ac:dyDescent="0.2">
      <c r="A200" s="21">
        <v>804968</v>
      </c>
      <c r="B200" s="22">
        <v>0</v>
      </c>
    </row>
    <row r="201" spans="1:2" x14ac:dyDescent="0.2">
      <c r="A201" s="21">
        <v>804969</v>
      </c>
      <c r="B201" s="22">
        <v>360.6</v>
      </c>
    </row>
    <row r="202" spans="1:2" x14ac:dyDescent="0.2">
      <c r="A202" s="21">
        <v>804971</v>
      </c>
      <c r="B202" s="22">
        <v>248</v>
      </c>
    </row>
    <row r="203" spans="1:2" x14ac:dyDescent="0.2">
      <c r="A203" s="21">
        <v>804978</v>
      </c>
      <c r="B203" s="22">
        <v>0</v>
      </c>
    </row>
    <row r="204" spans="1:2" x14ac:dyDescent="0.2">
      <c r="A204" s="21">
        <v>804980</v>
      </c>
      <c r="B204" s="22">
        <v>6.5</v>
      </c>
    </row>
    <row r="205" spans="1:2" x14ac:dyDescent="0.2">
      <c r="A205" s="21">
        <v>804992</v>
      </c>
      <c r="B205" s="22">
        <v>20</v>
      </c>
    </row>
    <row r="206" spans="1:2" x14ac:dyDescent="0.2">
      <c r="A206" s="21">
        <v>805005</v>
      </c>
      <c r="B206" s="22">
        <v>52.5</v>
      </c>
    </row>
    <row r="207" spans="1:2" x14ac:dyDescent="0.2">
      <c r="A207" s="21">
        <v>805095</v>
      </c>
      <c r="B207" s="22">
        <v>368</v>
      </c>
    </row>
    <row r="208" spans="1:2" x14ac:dyDescent="0.2">
      <c r="A208" s="21">
        <v>805149</v>
      </c>
      <c r="B208" s="22">
        <v>179</v>
      </c>
    </row>
    <row r="209" spans="1:2" x14ac:dyDescent="0.2">
      <c r="A209" s="21">
        <v>805151</v>
      </c>
      <c r="B209" s="22">
        <v>889</v>
      </c>
    </row>
    <row r="210" spans="1:2" x14ac:dyDescent="0.2">
      <c r="A210" s="21">
        <v>805158</v>
      </c>
      <c r="B210" s="22">
        <v>331.5</v>
      </c>
    </row>
    <row r="211" spans="1:2" x14ac:dyDescent="0.2">
      <c r="A211" s="21">
        <v>805185</v>
      </c>
      <c r="B211" s="22">
        <v>1750</v>
      </c>
    </row>
    <row r="212" spans="1:2" x14ac:dyDescent="0.2">
      <c r="A212" s="21">
        <v>805255</v>
      </c>
      <c r="B212" s="22">
        <v>28.5</v>
      </c>
    </row>
    <row r="213" spans="1:2" x14ac:dyDescent="0.2">
      <c r="A213" s="21">
        <v>805276</v>
      </c>
      <c r="B213" s="22">
        <v>97.5</v>
      </c>
    </row>
    <row r="214" spans="1:2" x14ac:dyDescent="0.2">
      <c r="A214" s="21">
        <v>805323</v>
      </c>
      <c r="B214" s="22">
        <v>52</v>
      </c>
    </row>
    <row r="215" spans="1:2" x14ac:dyDescent="0.2">
      <c r="A215" s="21">
        <v>805324</v>
      </c>
      <c r="B215" s="22">
        <v>62</v>
      </c>
    </row>
    <row r="216" spans="1:2" x14ac:dyDescent="0.2">
      <c r="A216" s="21">
        <v>805325</v>
      </c>
      <c r="B216" s="22">
        <v>358.2</v>
      </c>
    </row>
    <row r="217" spans="1:2" x14ac:dyDescent="0.2">
      <c r="A217" s="21">
        <v>805351</v>
      </c>
      <c r="B217" s="22">
        <v>335</v>
      </c>
    </row>
    <row r="218" spans="1:2" x14ac:dyDescent="0.2">
      <c r="A218" s="21">
        <v>805375</v>
      </c>
      <c r="B218" s="22">
        <v>75.05</v>
      </c>
    </row>
    <row r="219" spans="1:2" x14ac:dyDescent="0.2">
      <c r="A219" s="21">
        <v>805377</v>
      </c>
      <c r="B219" s="22">
        <v>526.75</v>
      </c>
    </row>
    <row r="220" spans="1:2" x14ac:dyDescent="0.2">
      <c r="A220" s="21">
        <v>805378</v>
      </c>
      <c r="B220" s="22">
        <v>875</v>
      </c>
    </row>
    <row r="221" spans="1:2" x14ac:dyDescent="0.2">
      <c r="A221" s="21">
        <v>805385</v>
      </c>
      <c r="B221" s="22">
        <v>102.6</v>
      </c>
    </row>
    <row r="222" spans="1:2" x14ac:dyDescent="0.2">
      <c r="A222" s="21">
        <v>805397</v>
      </c>
      <c r="B222" s="22">
        <v>10</v>
      </c>
    </row>
    <row r="223" spans="1:2" x14ac:dyDescent="0.2">
      <c r="A223" s="21">
        <v>805401</v>
      </c>
      <c r="B223" s="22">
        <v>31</v>
      </c>
    </row>
    <row r="224" spans="1:2" x14ac:dyDescent="0.2">
      <c r="A224" s="21">
        <v>805403</v>
      </c>
      <c r="B224" s="22">
        <v>15</v>
      </c>
    </row>
    <row r="225" spans="1:2" x14ac:dyDescent="0.2">
      <c r="A225" s="21">
        <v>805406</v>
      </c>
      <c r="B225" s="22">
        <v>17.5</v>
      </c>
    </row>
    <row r="226" spans="1:2" x14ac:dyDescent="0.2">
      <c r="A226" s="21">
        <v>805419</v>
      </c>
      <c r="B226" s="22">
        <v>329</v>
      </c>
    </row>
    <row r="227" spans="1:2" x14ac:dyDescent="0.2">
      <c r="A227" s="21">
        <v>805420</v>
      </c>
      <c r="B227" s="22">
        <v>313</v>
      </c>
    </row>
    <row r="228" spans="1:2" x14ac:dyDescent="0.2">
      <c r="A228" s="21">
        <v>805432</v>
      </c>
      <c r="B228" s="22">
        <v>65</v>
      </c>
    </row>
    <row r="229" spans="1:2" x14ac:dyDescent="0.2">
      <c r="A229" s="21">
        <v>805433</v>
      </c>
      <c r="B229" s="22">
        <v>909.8</v>
      </c>
    </row>
    <row r="230" spans="1:2" x14ac:dyDescent="0.2">
      <c r="A230" s="21">
        <v>805453</v>
      </c>
      <c r="B230" s="22">
        <v>722.5</v>
      </c>
    </row>
    <row r="231" spans="1:2" x14ac:dyDescent="0.2">
      <c r="A231" s="21">
        <v>805454</v>
      </c>
      <c r="B231" s="22">
        <v>175</v>
      </c>
    </row>
    <row r="232" spans="1:2" x14ac:dyDescent="0.2">
      <c r="A232" s="21">
        <v>805468</v>
      </c>
      <c r="B232" s="22">
        <v>91</v>
      </c>
    </row>
    <row r="233" spans="1:2" x14ac:dyDescent="0.2">
      <c r="A233" s="21">
        <v>805544</v>
      </c>
      <c r="B233" s="22">
        <v>609.29999999999995</v>
      </c>
    </row>
    <row r="234" spans="1:2" x14ac:dyDescent="0.2">
      <c r="A234" s="21">
        <v>805545</v>
      </c>
      <c r="B234" s="22">
        <v>400.5</v>
      </c>
    </row>
    <row r="235" spans="1:2" x14ac:dyDescent="0.2">
      <c r="A235" s="21">
        <v>805572</v>
      </c>
      <c r="B235" s="22">
        <v>0</v>
      </c>
    </row>
    <row r="236" spans="1:2" x14ac:dyDescent="0.2">
      <c r="A236" s="21">
        <v>805574</v>
      </c>
      <c r="B236" s="22">
        <v>946.5</v>
      </c>
    </row>
    <row r="237" spans="1:2" x14ac:dyDescent="0.2">
      <c r="A237" s="21">
        <v>805597</v>
      </c>
      <c r="B237" s="22">
        <v>272.10000000000002</v>
      </c>
    </row>
    <row r="238" spans="1:2" x14ac:dyDescent="0.2">
      <c r="A238" s="21">
        <v>805621</v>
      </c>
      <c r="B238" s="22">
        <v>240</v>
      </c>
    </row>
    <row r="239" spans="1:2" x14ac:dyDescent="0.2">
      <c r="A239" s="21">
        <v>805624</v>
      </c>
      <c r="B239" s="22">
        <v>31</v>
      </c>
    </row>
    <row r="240" spans="1:2" x14ac:dyDescent="0.2">
      <c r="A240" s="21">
        <v>805627</v>
      </c>
      <c r="B240" s="22">
        <v>52.5</v>
      </c>
    </row>
    <row r="241" spans="1:2" x14ac:dyDescent="0.2">
      <c r="A241" s="21">
        <v>805646</v>
      </c>
      <c r="B241" s="22">
        <v>40</v>
      </c>
    </row>
    <row r="242" spans="1:2" x14ac:dyDescent="0.2">
      <c r="A242" s="21">
        <v>805654</v>
      </c>
      <c r="B242" s="22">
        <v>142</v>
      </c>
    </row>
    <row r="243" spans="1:2" x14ac:dyDescent="0.2">
      <c r="A243" s="21">
        <v>805677</v>
      </c>
      <c r="B243" s="22">
        <v>0</v>
      </c>
    </row>
    <row r="244" spans="1:2" x14ac:dyDescent="0.2">
      <c r="A244" s="21">
        <v>805752</v>
      </c>
      <c r="B244" s="22">
        <v>126.05</v>
      </c>
    </row>
    <row r="245" spans="1:2" x14ac:dyDescent="0.2">
      <c r="A245" s="21">
        <v>805765</v>
      </c>
      <c r="B245" s="22">
        <v>199</v>
      </c>
    </row>
    <row r="246" spans="1:2" x14ac:dyDescent="0.2">
      <c r="A246" s="21">
        <v>805796</v>
      </c>
      <c r="B246" s="22">
        <v>223.5</v>
      </c>
    </row>
    <row r="247" spans="1:2" x14ac:dyDescent="0.2">
      <c r="A247" s="21">
        <v>805810</v>
      </c>
      <c r="B247" s="22">
        <v>152</v>
      </c>
    </row>
    <row r="248" spans="1:2" x14ac:dyDescent="0.2">
      <c r="A248" s="21">
        <v>805811</v>
      </c>
      <c r="B248" s="22">
        <v>815.09999999999991</v>
      </c>
    </row>
    <row r="249" spans="1:2" x14ac:dyDescent="0.2">
      <c r="A249" s="21">
        <v>805822</v>
      </c>
      <c r="B249" s="22">
        <v>140.5</v>
      </c>
    </row>
    <row r="250" spans="1:2" x14ac:dyDescent="0.2">
      <c r="A250" s="21">
        <v>805828</v>
      </c>
      <c r="B250" s="22">
        <v>171.55</v>
      </c>
    </row>
    <row r="251" spans="1:2" x14ac:dyDescent="0.2">
      <c r="A251" s="21">
        <v>805847</v>
      </c>
      <c r="B251" s="22">
        <v>414.8</v>
      </c>
    </row>
    <row r="252" spans="1:2" x14ac:dyDescent="0.2">
      <c r="A252" s="21">
        <v>805848</v>
      </c>
      <c r="B252" s="22">
        <v>7.5</v>
      </c>
    </row>
    <row r="253" spans="1:2" x14ac:dyDescent="0.2">
      <c r="A253" s="21">
        <v>805869</v>
      </c>
      <c r="B253" s="22">
        <v>22.5</v>
      </c>
    </row>
    <row r="254" spans="1:2" x14ac:dyDescent="0.2">
      <c r="A254" s="21">
        <v>805870</v>
      </c>
      <c r="B254" s="22">
        <v>390.5</v>
      </c>
    </row>
    <row r="255" spans="1:2" x14ac:dyDescent="0.2">
      <c r="A255" s="21">
        <v>805872</v>
      </c>
      <c r="B255" s="22">
        <v>0</v>
      </c>
    </row>
    <row r="256" spans="1:2" x14ac:dyDescent="0.2">
      <c r="A256" s="21">
        <v>805911</v>
      </c>
      <c r="B256" s="22">
        <v>0</v>
      </c>
    </row>
    <row r="257" spans="1:2" x14ac:dyDescent="0.2">
      <c r="A257" s="21">
        <v>805921</v>
      </c>
      <c r="B257" s="22">
        <v>417</v>
      </c>
    </row>
    <row r="258" spans="1:2" x14ac:dyDescent="0.2">
      <c r="A258" s="21">
        <v>805969</v>
      </c>
      <c r="B258" s="22">
        <v>441</v>
      </c>
    </row>
    <row r="259" spans="1:2" x14ac:dyDescent="0.2">
      <c r="A259" s="21">
        <v>805980</v>
      </c>
      <c r="B259" s="22">
        <v>20</v>
      </c>
    </row>
    <row r="260" spans="1:2" x14ac:dyDescent="0.2">
      <c r="A260" s="21">
        <v>805984</v>
      </c>
      <c r="B260" s="22">
        <v>0</v>
      </c>
    </row>
    <row r="261" spans="1:2" x14ac:dyDescent="0.2">
      <c r="A261" s="21">
        <v>805986</v>
      </c>
      <c r="B261" s="22">
        <v>265.25</v>
      </c>
    </row>
    <row r="262" spans="1:2" x14ac:dyDescent="0.2">
      <c r="A262" s="21">
        <v>805995</v>
      </c>
      <c r="B262" s="22">
        <v>93.95</v>
      </c>
    </row>
    <row r="263" spans="1:2" x14ac:dyDescent="0.2">
      <c r="A263" s="21">
        <v>806024</v>
      </c>
      <c r="B263" s="22">
        <v>62</v>
      </c>
    </row>
    <row r="264" spans="1:2" x14ac:dyDescent="0.2">
      <c r="A264" s="21">
        <v>806032</v>
      </c>
      <c r="B264" s="22">
        <v>349</v>
      </c>
    </row>
    <row r="265" spans="1:2" x14ac:dyDescent="0.2">
      <c r="A265" s="21">
        <v>806047</v>
      </c>
      <c r="B265" s="22">
        <v>0</v>
      </c>
    </row>
    <row r="266" spans="1:2" x14ac:dyDescent="0.2">
      <c r="A266" s="21">
        <v>806051</v>
      </c>
      <c r="B266" s="22">
        <v>906</v>
      </c>
    </row>
    <row r="267" spans="1:2" x14ac:dyDescent="0.2">
      <c r="A267" s="21">
        <v>806052</v>
      </c>
      <c r="B267" s="22">
        <v>240</v>
      </c>
    </row>
    <row r="268" spans="1:2" x14ac:dyDescent="0.2">
      <c r="A268" s="21">
        <v>806094</v>
      </c>
      <c r="B268" s="22">
        <v>845.75</v>
      </c>
    </row>
    <row r="269" spans="1:2" x14ac:dyDescent="0.2">
      <c r="A269" s="21">
        <v>806095</v>
      </c>
      <c r="B269" s="22">
        <v>933</v>
      </c>
    </row>
    <row r="270" spans="1:2" x14ac:dyDescent="0.2">
      <c r="A270" s="21">
        <v>806096</v>
      </c>
      <c r="B270" s="22">
        <v>165.25</v>
      </c>
    </row>
    <row r="271" spans="1:2" x14ac:dyDescent="0.2">
      <c r="A271" s="21">
        <v>806097</v>
      </c>
      <c r="B271" s="22">
        <v>191</v>
      </c>
    </row>
    <row r="272" spans="1:2" x14ac:dyDescent="0.2">
      <c r="A272" s="21">
        <v>806099</v>
      </c>
      <c r="B272" s="22">
        <v>358</v>
      </c>
    </row>
    <row r="273" spans="1:2" x14ac:dyDescent="0.2">
      <c r="A273" s="21">
        <v>806100</v>
      </c>
      <c r="B273" s="22">
        <v>120</v>
      </c>
    </row>
    <row r="274" spans="1:2" x14ac:dyDescent="0.2">
      <c r="A274" s="21">
        <v>806101</v>
      </c>
      <c r="B274" s="22">
        <v>394.75</v>
      </c>
    </row>
    <row r="275" spans="1:2" x14ac:dyDescent="0.2">
      <c r="A275" s="21">
        <v>806125</v>
      </c>
      <c r="B275" s="22">
        <v>160</v>
      </c>
    </row>
    <row r="276" spans="1:2" x14ac:dyDescent="0.2">
      <c r="A276" s="21">
        <v>806141</v>
      </c>
      <c r="B276" s="22">
        <v>50</v>
      </c>
    </row>
    <row r="277" spans="1:2" x14ac:dyDescent="0.2">
      <c r="A277" s="21">
        <v>806142</v>
      </c>
      <c r="B277" s="22">
        <v>35</v>
      </c>
    </row>
    <row r="278" spans="1:2" x14ac:dyDescent="0.2">
      <c r="A278" s="21">
        <v>806155</v>
      </c>
      <c r="B278" s="22">
        <v>0</v>
      </c>
    </row>
    <row r="279" spans="1:2" x14ac:dyDescent="0.2">
      <c r="A279" s="21">
        <v>806156</v>
      </c>
      <c r="B279" s="22">
        <v>283</v>
      </c>
    </row>
    <row r="280" spans="1:2" x14ac:dyDescent="0.2">
      <c r="A280" s="21">
        <v>806157</v>
      </c>
      <c r="B280" s="22">
        <v>0</v>
      </c>
    </row>
    <row r="281" spans="1:2" x14ac:dyDescent="0.2">
      <c r="A281" s="21">
        <v>806158</v>
      </c>
      <c r="B281" s="22">
        <v>346</v>
      </c>
    </row>
    <row r="282" spans="1:2" x14ac:dyDescent="0.2">
      <c r="A282" s="21">
        <v>806174</v>
      </c>
      <c r="B282" s="22">
        <v>219</v>
      </c>
    </row>
    <row r="283" spans="1:2" x14ac:dyDescent="0.2">
      <c r="A283" s="21">
        <v>806175</v>
      </c>
      <c r="B283" s="22">
        <v>165</v>
      </c>
    </row>
    <row r="284" spans="1:2" x14ac:dyDescent="0.2">
      <c r="A284" s="21">
        <v>806176</v>
      </c>
      <c r="B284" s="22">
        <v>481</v>
      </c>
    </row>
    <row r="285" spans="1:2" x14ac:dyDescent="0.2">
      <c r="A285" s="21">
        <v>806178</v>
      </c>
      <c r="B285" s="22">
        <v>67.5</v>
      </c>
    </row>
    <row r="286" spans="1:2" x14ac:dyDescent="0.2">
      <c r="A286" s="21">
        <v>806210</v>
      </c>
      <c r="B286" s="22">
        <v>215</v>
      </c>
    </row>
    <row r="287" spans="1:2" x14ac:dyDescent="0.2">
      <c r="A287" s="21">
        <v>806212</v>
      </c>
      <c r="B287" s="22">
        <v>0</v>
      </c>
    </row>
    <row r="288" spans="1:2" x14ac:dyDescent="0.2">
      <c r="A288" s="21">
        <v>806230</v>
      </c>
      <c r="B288" s="22">
        <v>172.5</v>
      </c>
    </row>
    <row r="289" spans="1:2" x14ac:dyDescent="0.2">
      <c r="A289" s="21">
        <v>806232</v>
      </c>
      <c r="B289" s="22">
        <v>90</v>
      </c>
    </row>
    <row r="290" spans="1:2" x14ac:dyDescent="0.2">
      <c r="A290" s="21">
        <v>806233</v>
      </c>
      <c r="B290" s="22">
        <v>190</v>
      </c>
    </row>
    <row r="291" spans="1:2" x14ac:dyDescent="0.2">
      <c r="A291" s="21">
        <v>806234</v>
      </c>
      <c r="B291" s="22">
        <v>143.5</v>
      </c>
    </row>
    <row r="292" spans="1:2" x14ac:dyDescent="0.2">
      <c r="A292" s="21">
        <v>806246</v>
      </c>
      <c r="B292" s="22">
        <v>180</v>
      </c>
    </row>
    <row r="293" spans="1:2" x14ac:dyDescent="0.2">
      <c r="A293" s="21">
        <v>806283</v>
      </c>
      <c r="B293" s="22">
        <v>81.8</v>
      </c>
    </row>
    <row r="294" spans="1:2" x14ac:dyDescent="0.2">
      <c r="A294" s="21">
        <v>806288</v>
      </c>
      <c r="B294" s="22">
        <v>0</v>
      </c>
    </row>
    <row r="295" spans="1:2" x14ac:dyDescent="0.2">
      <c r="A295" s="21">
        <v>806289</v>
      </c>
      <c r="B295" s="22">
        <v>264</v>
      </c>
    </row>
    <row r="296" spans="1:2" x14ac:dyDescent="0.2">
      <c r="A296" s="21">
        <v>806296</v>
      </c>
      <c r="B296" s="22">
        <v>278.3</v>
      </c>
    </row>
    <row r="297" spans="1:2" x14ac:dyDescent="0.2">
      <c r="A297" s="21">
        <v>806307</v>
      </c>
      <c r="B297" s="22">
        <v>247.25</v>
      </c>
    </row>
    <row r="298" spans="1:2" x14ac:dyDescent="0.2">
      <c r="A298" s="21">
        <v>806321</v>
      </c>
      <c r="B298" s="22">
        <v>21.5</v>
      </c>
    </row>
    <row r="299" spans="1:2" x14ac:dyDescent="0.2">
      <c r="A299" s="21">
        <v>806322</v>
      </c>
      <c r="B299" s="22">
        <v>0</v>
      </c>
    </row>
    <row r="300" spans="1:2" x14ac:dyDescent="0.2">
      <c r="A300" s="21">
        <v>806323</v>
      </c>
      <c r="B300" s="22">
        <v>260.5</v>
      </c>
    </row>
    <row r="301" spans="1:2" x14ac:dyDescent="0.2">
      <c r="A301" s="21">
        <v>806327</v>
      </c>
      <c r="B301" s="22">
        <v>107.5</v>
      </c>
    </row>
    <row r="302" spans="1:2" x14ac:dyDescent="0.2">
      <c r="A302" s="21">
        <v>806337</v>
      </c>
      <c r="B302" s="22">
        <v>271</v>
      </c>
    </row>
    <row r="303" spans="1:2" x14ac:dyDescent="0.2">
      <c r="A303" s="21">
        <v>806339</v>
      </c>
      <c r="B303" s="22">
        <v>166</v>
      </c>
    </row>
    <row r="304" spans="1:2" x14ac:dyDescent="0.2">
      <c r="A304" s="21">
        <v>806346</v>
      </c>
      <c r="B304" s="22">
        <v>539.5</v>
      </c>
    </row>
    <row r="305" spans="1:2" x14ac:dyDescent="0.2">
      <c r="A305" s="21">
        <v>806359</v>
      </c>
      <c r="B305" s="22">
        <v>20</v>
      </c>
    </row>
    <row r="306" spans="1:2" x14ac:dyDescent="0.2">
      <c r="A306" s="21">
        <v>806360</v>
      </c>
      <c r="B306" s="22">
        <v>220</v>
      </c>
    </row>
    <row r="307" spans="1:2" x14ac:dyDescent="0.2">
      <c r="A307" s="21">
        <v>806362</v>
      </c>
      <c r="B307" s="22">
        <v>589</v>
      </c>
    </row>
    <row r="308" spans="1:2" x14ac:dyDescent="0.2">
      <c r="A308" s="21">
        <v>806371</v>
      </c>
      <c r="B308" s="22">
        <v>252.85</v>
      </c>
    </row>
    <row r="309" spans="1:2" x14ac:dyDescent="0.2">
      <c r="A309" s="21">
        <v>806395</v>
      </c>
      <c r="B309" s="22">
        <v>196.5</v>
      </c>
    </row>
    <row r="310" spans="1:2" x14ac:dyDescent="0.2">
      <c r="A310" s="21">
        <v>806396</v>
      </c>
      <c r="B310" s="22">
        <v>72.5</v>
      </c>
    </row>
    <row r="311" spans="1:2" x14ac:dyDescent="0.2">
      <c r="A311" s="21">
        <v>806400</v>
      </c>
      <c r="B311" s="22">
        <v>200</v>
      </c>
    </row>
    <row r="312" spans="1:2" x14ac:dyDescent="0.2">
      <c r="A312" s="21">
        <v>806401</v>
      </c>
      <c r="B312" s="22">
        <v>686.5</v>
      </c>
    </row>
    <row r="313" spans="1:2" x14ac:dyDescent="0.2">
      <c r="A313" s="21">
        <v>806430</v>
      </c>
      <c r="B313" s="22">
        <v>541.04999999999995</v>
      </c>
    </row>
    <row r="314" spans="1:2" x14ac:dyDescent="0.2">
      <c r="A314" s="21">
        <v>806431</v>
      </c>
      <c r="B314" s="22">
        <v>145</v>
      </c>
    </row>
    <row r="315" spans="1:2" x14ac:dyDescent="0.2">
      <c r="A315" s="21">
        <v>806433</v>
      </c>
      <c r="B315" s="22">
        <v>3356.35</v>
      </c>
    </row>
    <row r="316" spans="1:2" x14ac:dyDescent="0.2">
      <c r="A316" s="21">
        <v>806436</v>
      </c>
      <c r="B316" s="22">
        <v>1040.2</v>
      </c>
    </row>
    <row r="317" spans="1:2" x14ac:dyDescent="0.2">
      <c r="A317" s="21">
        <v>806439</v>
      </c>
      <c r="B317" s="22">
        <v>1004.5</v>
      </c>
    </row>
    <row r="318" spans="1:2" x14ac:dyDescent="0.2">
      <c r="A318" s="21">
        <v>806440</v>
      </c>
      <c r="B318" s="22">
        <v>0</v>
      </c>
    </row>
    <row r="319" spans="1:2" x14ac:dyDescent="0.2">
      <c r="A319" s="21">
        <v>806466</v>
      </c>
      <c r="B319" s="22">
        <v>47</v>
      </c>
    </row>
    <row r="320" spans="1:2" x14ac:dyDescent="0.2">
      <c r="A320" s="21">
        <v>806468</v>
      </c>
      <c r="B320" s="22">
        <v>179</v>
      </c>
    </row>
    <row r="321" spans="1:2" x14ac:dyDescent="0.2">
      <c r="A321" s="21">
        <v>806469</v>
      </c>
      <c r="B321" s="22">
        <v>222</v>
      </c>
    </row>
    <row r="322" spans="1:2" x14ac:dyDescent="0.2">
      <c r="A322" s="21">
        <v>806471</v>
      </c>
      <c r="B322" s="22">
        <v>114</v>
      </c>
    </row>
    <row r="323" spans="1:2" x14ac:dyDescent="0.2">
      <c r="A323" s="21">
        <v>806472</v>
      </c>
      <c r="B323" s="22">
        <v>564.29999999999995</v>
      </c>
    </row>
    <row r="324" spans="1:2" x14ac:dyDescent="0.2">
      <c r="A324" s="21">
        <v>806474</v>
      </c>
      <c r="B324" s="22">
        <v>0</v>
      </c>
    </row>
    <row r="325" spans="1:2" x14ac:dyDescent="0.2">
      <c r="A325" s="21">
        <v>806484</v>
      </c>
      <c r="B325" s="22">
        <v>543.79999999999995</v>
      </c>
    </row>
    <row r="326" spans="1:2" x14ac:dyDescent="0.2">
      <c r="A326" s="21">
        <v>806487</v>
      </c>
      <c r="B326" s="22">
        <v>317.35000000000002</v>
      </c>
    </row>
    <row r="327" spans="1:2" x14ac:dyDescent="0.2">
      <c r="A327" s="21">
        <v>806510</v>
      </c>
      <c r="B327" s="22">
        <v>45</v>
      </c>
    </row>
    <row r="328" spans="1:2" x14ac:dyDescent="0.2">
      <c r="A328" s="21">
        <v>806511</v>
      </c>
      <c r="B328" s="22">
        <v>27</v>
      </c>
    </row>
    <row r="329" spans="1:2" x14ac:dyDescent="0.2">
      <c r="A329" s="21">
        <v>806517</v>
      </c>
      <c r="B329" s="22">
        <v>337.25</v>
      </c>
    </row>
    <row r="330" spans="1:2" x14ac:dyDescent="0.2">
      <c r="A330" s="21">
        <v>806539</v>
      </c>
      <c r="B330" s="22">
        <v>0</v>
      </c>
    </row>
    <row r="331" spans="1:2" x14ac:dyDescent="0.2">
      <c r="A331" s="21">
        <v>806540</v>
      </c>
      <c r="B331" s="22">
        <v>112</v>
      </c>
    </row>
    <row r="332" spans="1:2" x14ac:dyDescent="0.2">
      <c r="A332" s="21">
        <v>806565</v>
      </c>
      <c r="B332" s="22">
        <v>64.5</v>
      </c>
    </row>
    <row r="333" spans="1:2" x14ac:dyDescent="0.2">
      <c r="A333" s="21">
        <v>806601</v>
      </c>
      <c r="B333" s="22">
        <v>866.1</v>
      </c>
    </row>
    <row r="334" spans="1:2" x14ac:dyDescent="0.2">
      <c r="A334" s="21">
        <v>806615</v>
      </c>
      <c r="B334" s="22">
        <v>112.6</v>
      </c>
    </row>
    <row r="335" spans="1:2" x14ac:dyDescent="0.2">
      <c r="A335" s="21">
        <v>806616</v>
      </c>
      <c r="B335" s="22">
        <v>432</v>
      </c>
    </row>
    <row r="336" spans="1:2" x14ac:dyDescent="0.2">
      <c r="A336" s="21">
        <v>806620</v>
      </c>
      <c r="B336" s="22">
        <v>177</v>
      </c>
    </row>
    <row r="337" spans="1:2" x14ac:dyDescent="0.2">
      <c r="A337" s="21">
        <v>806651</v>
      </c>
      <c r="B337" s="22">
        <v>343</v>
      </c>
    </row>
    <row r="338" spans="1:2" x14ac:dyDescent="0.2">
      <c r="A338" s="21">
        <v>806659</v>
      </c>
      <c r="B338" s="22">
        <v>0</v>
      </c>
    </row>
    <row r="339" spans="1:2" x14ac:dyDescent="0.2">
      <c r="A339" s="21">
        <v>806668</v>
      </c>
      <c r="B339" s="22">
        <v>201.35</v>
      </c>
    </row>
    <row r="340" spans="1:2" x14ac:dyDescent="0.2">
      <c r="A340" s="21">
        <v>806669</v>
      </c>
      <c r="B340" s="22">
        <v>0</v>
      </c>
    </row>
    <row r="341" spans="1:2" x14ac:dyDescent="0.2">
      <c r="A341" s="21">
        <v>806670</v>
      </c>
      <c r="B341" s="22">
        <v>80</v>
      </c>
    </row>
    <row r="342" spans="1:2" x14ac:dyDescent="0.2">
      <c r="A342" s="21">
        <v>806689</v>
      </c>
      <c r="B342" s="22">
        <v>0</v>
      </c>
    </row>
    <row r="343" spans="1:2" x14ac:dyDescent="0.2">
      <c r="A343" s="21">
        <v>806717</v>
      </c>
      <c r="B343" s="22">
        <v>0</v>
      </c>
    </row>
    <row r="344" spans="1:2" x14ac:dyDescent="0.2">
      <c r="A344" s="21">
        <v>806720</v>
      </c>
      <c r="B344" s="22">
        <v>0</v>
      </c>
    </row>
    <row r="345" spans="1:2" x14ac:dyDescent="0.2">
      <c r="A345" s="21">
        <v>806721</v>
      </c>
      <c r="B345" s="22">
        <v>369.1</v>
      </c>
    </row>
    <row r="346" spans="1:2" x14ac:dyDescent="0.2">
      <c r="A346" s="21">
        <v>806722</v>
      </c>
      <c r="B346" s="22">
        <v>431</v>
      </c>
    </row>
    <row r="347" spans="1:2" x14ac:dyDescent="0.2">
      <c r="A347" s="21">
        <v>806723</v>
      </c>
      <c r="B347" s="22">
        <v>283.5</v>
      </c>
    </row>
    <row r="348" spans="1:2" x14ac:dyDescent="0.2">
      <c r="A348" s="21">
        <v>806748</v>
      </c>
      <c r="B348" s="22">
        <v>660</v>
      </c>
    </row>
    <row r="349" spans="1:2" x14ac:dyDescent="0.2">
      <c r="A349" s="21">
        <v>806754</v>
      </c>
      <c r="B349" s="22">
        <v>28</v>
      </c>
    </row>
    <row r="350" spans="1:2" x14ac:dyDescent="0.2">
      <c r="A350" s="21">
        <v>806782</v>
      </c>
      <c r="B350" s="22">
        <v>85</v>
      </c>
    </row>
    <row r="351" spans="1:2" x14ac:dyDescent="0.2">
      <c r="A351" s="21">
        <v>806802</v>
      </c>
      <c r="B351" s="22">
        <v>683.5</v>
      </c>
    </row>
    <row r="352" spans="1:2" x14ac:dyDescent="0.2">
      <c r="A352" s="21">
        <v>806804</v>
      </c>
      <c r="B352" s="22">
        <v>361.5</v>
      </c>
    </row>
    <row r="353" spans="1:2" x14ac:dyDescent="0.2">
      <c r="A353" s="21">
        <v>806805</v>
      </c>
      <c r="B353" s="22">
        <v>235</v>
      </c>
    </row>
    <row r="354" spans="1:2" x14ac:dyDescent="0.2">
      <c r="A354" s="21">
        <v>806827</v>
      </c>
      <c r="B354" s="22">
        <v>104</v>
      </c>
    </row>
    <row r="355" spans="1:2" x14ac:dyDescent="0.2">
      <c r="A355" s="21">
        <v>806828</v>
      </c>
      <c r="B355" s="22">
        <v>0</v>
      </c>
    </row>
    <row r="356" spans="1:2" x14ac:dyDescent="0.2">
      <c r="A356" s="21">
        <v>806829</v>
      </c>
      <c r="B356" s="22">
        <v>188.55</v>
      </c>
    </row>
    <row r="357" spans="1:2" x14ac:dyDescent="0.2">
      <c r="A357" s="21">
        <v>806830</v>
      </c>
      <c r="B357" s="22">
        <v>111</v>
      </c>
    </row>
    <row r="358" spans="1:2" x14ac:dyDescent="0.2">
      <c r="A358" s="21">
        <v>806841</v>
      </c>
      <c r="B358" s="22">
        <v>289</v>
      </c>
    </row>
    <row r="359" spans="1:2" x14ac:dyDescent="0.2">
      <c r="A359" s="21">
        <v>806843</v>
      </c>
      <c r="B359" s="22">
        <v>313</v>
      </c>
    </row>
    <row r="360" spans="1:2" x14ac:dyDescent="0.2">
      <c r="A360" s="21">
        <v>806862</v>
      </c>
      <c r="B360" s="22">
        <v>259.5</v>
      </c>
    </row>
    <row r="361" spans="1:2" x14ac:dyDescent="0.2">
      <c r="A361" s="21">
        <v>806863</v>
      </c>
      <c r="B361" s="22">
        <v>818.5</v>
      </c>
    </row>
    <row r="362" spans="1:2" x14ac:dyDescent="0.2">
      <c r="A362" s="21">
        <v>806864</v>
      </c>
      <c r="B362" s="22">
        <v>519.5</v>
      </c>
    </row>
    <row r="363" spans="1:2" x14ac:dyDescent="0.2">
      <c r="A363" s="21">
        <v>806871</v>
      </c>
      <c r="B363" s="22">
        <v>347.5</v>
      </c>
    </row>
    <row r="364" spans="1:2" x14ac:dyDescent="0.2">
      <c r="A364" s="21">
        <v>806872</v>
      </c>
      <c r="B364" s="22">
        <v>17.5</v>
      </c>
    </row>
    <row r="365" spans="1:2" x14ac:dyDescent="0.2">
      <c r="A365" s="21">
        <v>806882</v>
      </c>
      <c r="B365" s="22">
        <v>692.2</v>
      </c>
    </row>
    <row r="366" spans="1:2" x14ac:dyDescent="0.2">
      <c r="A366" s="21">
        <v>806883</v>
      </c>
      <c r="B366" s="22">
        <v>741</v>
      </c>
    </row>
    <row r="367" spans="1:2" x14ac:dyDescent="0.2">
      <c r="A367" s="21">
        <v>806885</v>
      </c>
      <c r="B367" s="22">
        <v>135</v>
      </c>
    </row>
    <row r="368" spans="1:2" x14ac:dyDescent="0.2">
      <c r="A368" s="21">
        <v>806887</v>
      </c>
      <c r="B368" s="22">
        <v>406.3</v>
      </c>
    </row>
    <row r="369" spans="1:2" x14ac:dyDescent="0.2">
      <c r="A369" s="21">
        <v>806898</v>
      </c>
      <c r="B369" s="22">
        <v>347.5</v>
      </c>
    </row>
    <row r="370" spans="1:2" x14ac:dyDescent="0.2">
      <c r="A370" s="21">
        <v>806915</v>
      </c>
      <c r="B370" s="22">
        <v>155</v>
      </c>
    </row>
    <row r="371" spans="1:2" x14ac:dyDescent="0.2">
      <c r="A371" s="21">
        <v>806922</v>
      </c>
      <c r="B371" s="22">
        <v>110</v>
      </c>
    </row>
    <row r="372" spans="1:2" x14ac:dyDescent="0.2">
      <c r="A372" s="21">
        <v>806923</v>
      </c>
      <c r="B372" s="22">
        <v>45</v>
      </c>
    </row>
    <row r="373" spans="1:2" x14ac:dyDescent="0.2">
      <c r="A373" s="21">
        <v>806926</v>
      </c>
      <c r="B373" s="22">
        <v>413</v>
      </c>
    </row>
    <row r="374" spans="1:2" x14ac:dyDescent="0.2">
      <c r="A374" s="21">
        <v>806939</v>
      </c>
      <c r="B374" s="22">
        <v>462</v>
      </c>
    </row>
    <row r="375" spans="1:2" x14ac:dyDescent="0.2">
      <c r="A375" s="21">
        <v>806943</v>
      </c>
      <c r="B375" s="22">
        <v>27.5</v>
      </c>
    </row>
    <row r="376" spans="1:2" x14ac:dyDescent="0.2">
      <c r="A376" s="21">
        <v>806968</v>
      </c>
      <c r="B376" s="22">
        <v>122.5</v>
      </c>
    </row>
    <row r="377" spans="1:2" x14ac:dyDescent="0.2">
      <c r="A377" s="21">
        <v>806969</v>
      </c>
      <c r="B377" s="22">
        <v>0</v>
      </c>
    </row>
    <row r="378" spans="1:2" x14ac:dyDescent="0.2">
      <c r="A378" s="21">
        <v>806971</v>
      </c>
      <c r="B378" s="22">
        <v>69.5</v>
      </c>
    </row>
    <row r="379" spans="1:2" x14ac:dyDescent="0.2">
      <c r="A379" s="21">
        <v>806972</v>
      </c>
      <c r="B379" s="22">
        <v>0</v>
      </c>
    </row>
    <row r="380" spans="1:2" x14ac:dyDescent="0.2">
      <c r="A380" s="21">
        <v>806973</v>
      </c>
      <c r="B380" s="22">
        <v>75</v>
      </c>
    </row>
    <row r="381" spans="1:2" x14ac:dyDescent="0.2">
      <c r="A381" s="21">
        <v>806975</v>
      </c>
      <c r="B381" s="22">
        <v>592</v>
      </c>
    </row>
    <row r="382" spans="1:2" x14ac:dyDescent="0.2">
      <c r="A382" s="21">
        <v>806996</v>
      </c>
      <c r="B382" s="22">
        <v>160</v>
      </c>
    </row>
    <row r="383" spans="1:2" x14ac:dyDescent="0.2">
      <c r="A383" s="21">
        <v>806999</v>
      </c>
      <c r="B383" s="22">
        <v>196.5</v>
      </c>
    </row>
    <row r="384" spans="1:2" x14ac:dyDescent="0.2">
      <c r="A384" s="21">
        <v>807002</v>
      </c>
      <c r="B384" s="22">
        <v>567.70000000000005</v>
      </c>
    </row>
    <row r="385" spans="1:2" x14ac:dyDescent="0.2">
      <c r="A385" s="21">
        <v>807016</v>
      </c>
      <c r="B385" s="22">
        <v>55</v>
      </c>
    </row>
    <row r="386" spans="1:2" x14ac:dyDescent="0.2">
      <c r="A386" s="21">
        <v>807017</v>
      </c>
      <c r="B386" s="22">
        <v>219</v>
      </c>
    </row>
    <row r="387" spans="1:2" x14ac:dyDescent="0.2">
      <c r="A387" s="21">
        <v>807025</v>
      </c>
      <c r="B387" s="22">
        <v>467.8</v>
      </c>
    </row>
    <row r="388" spans="1:2" x14ac:dyDescent="0.2">
      <c r="A388" s="21">
        <v>807026</v>
      </c>
      <c r="B388" s="22">
        <v>23.7</v>
      </c>
    </row>
    <row r="389" spans="1:2" x14ac:dyDescent="0.2">
      <c r="A389" s="21">
        <v>807053</v>
      </c>
      <c r="B389" s="22">
        <v>6.5</v>
      </c>
    </row>
    <row r="390" spans="1:2" x14ac:dyDescent="0.2">
      <c r="A390" s="21">
        <v>807054</v>
      </c>
      <c r="B390" s="22">
        <v>2.5</v>
      </c>
    </row>
    <row r="391" spans="1:2" x14ac:dyDescent="0.2">
      <c r="A391" s="21">
        <v>807055</v>
      </c>
      <c r="B391" s="22">
        <v>0</v>
      </c>
    </row>
    <row r="392" spans="1:2" x14ac:dyDescent="0.2">
      <c r="A392" s="21">
        <v>807056</v>
      </c>
      <c r="B392" s="22">
        <v>20</v>
      </c>
    </row>
    <row r="393" spans="1:2" x14ac:dyDescent="0.2">
      <c r="A393" s="21">
        <v>807065</v>
      </c>
      <c r="B393" s="22">
        <v>0</v>
      </c>
    </row>
    <row r="394" spans="1:2" x14ac:dyDescent="0.2">
      <c r="A394" s="21">
        <v>807066</v>
      </c>
      <c r="B394" s="22">
        <v>101</v>
      </c>
    </row>
    <row r="395" spans="1:2" x14ac:dyDescent="0.2">
      <c r="A395" s="21">
        <v>807095</v>
      </c>
      <c r="B395" s="22">
        <v>75</v>
      </c>
    </row>
    <row r="396" spans="1:2" x14ac:dyDescent="0.2">
      <c r="A396" s="21">
        <v>807103</v>
      </c>
      <c r="B396" s="22">
        <v>0</v>
      </c>
    </row>
    <row r="397" spans="1:2" x14ac:dyDescent="0.2">
      <c r="A397" s="21">
        <v>807104</v>
      </c>
      <c r="B397" s="22">
        <v>122.5</v>
      </c>
    </row>
    <row r="398" spans="1:2" x14ac:dyDescent="0.2">
      <c r="A398" s="21">
        <v>807105</v>
      </c>
      <c r="B398" s="22">
        <v>90</v>
      </c>
    </row>
    <row r="399" spans="1:2" x14ac:dyDescent="0.2">
      <c r="A399" s="21">
        <v>807112</v>
      </c>
      <c r="B399" s="22">
        <v>0</v>
      </c>
    </row>
    <row r="400" spans="1:2" x14ac:dyDescent="0.2">
      <c r="A400" s="21">
        <v>807113</v>
      </c>
      <c r="B400" s="22">
        <v>44</v>
      </c>
    </row>
    <row r="401" spans="1:2" x14ac:dyDescent="0.2">
      <c r="A401" s="21">
        <v>807120</v>
      </c>
      <c r="B401" s="22">
        <v>2399.5</v>
      </c>
    </row>
    <row r="402" spans="1:2" x14ac:dyDescent="0.2">
      <c r="A402" s="21">
        <v>807121</v>
      </c>
      <c r="B402" s="22">
        <v>249.75</v>
      </c>
    </row>
    <row r="403" spans="1:2" x14ac:dyDescent="0.2">
      <c r="A403" s="21">
        <v>807122</v>
      </c>
      <c r="B403" s="22">
        <v>235</v>
      </c>
    </row>
    <row r="404" spans="1:2" x14ac:dyDescent="0.2">
      <c r="A404" s="21">
        <v>807140</v>
      </c>
      <c r="B404" s="22">
        <v>73</v>
      </c>
    </row>
    <row r="405" spans="1:2" x14ac:dyDescent="0.2">
      <c r="A405" s="21">
        <v>807141</v>
      </c>
      <c r="B405" s="22">
        <v>65</v>
      </c>
    </row>
    <row r="406" spans="1:2" x14ac:dyDescent="0.2">
      <c r="A406" s="21">
        <v>807142</v>
      </c>
      <c r="B406" s="22">
        <v>803.55</v>
      </c>
    </row>
    <row r="407" spans="1:2" x14ac:dyDescent="0.2">
      <c r="A407" s="21">
        <v>807143</v>
      </c>
      <c r="B407" s="22">
        <v>432.2</v>
      </c>
    </row>
    <row r="408" spans="1:2" x14ac:dyDescent="0.2">
      <c r="A408" s="21">
        <v>807151</v>
      </c>
      <c r="B408" s="22">
        <v>128.6</v>
      </c>
    </row>
    <row r="409" spans="1:2" x14ac:dyDescent="0.2">
      <c r="A409" s="21">
        <v>807153</v>
      </c>
      <c r="B409" s="22">
        <v>128.5</v>
      </c>
    </row>
    <row r="410" spans="1:2" x14ac:dyDescent="0.2">
      <c r="A410" s="21">
        <v>807164</v>
      </c>
      <c r="B410" s="22">
        <v>160.30000000000001</v>
      </c>
    </row>
    <row r="411" spans="1:2" x14ac:dyDescent="0.2">
      <c r="A411" s="21">
        <v>807177</v>
      </c>
      <c r="B411" s="22">
        <v>157.5</v>
      </c>
    </row>
    <row r="412" spans="1:2" x14ac:dyDescent="0.2">
      <c r="A412" s="21">
        <v>807187</v>
      </c>
      <c r="B412" s="22">
        <v>69.25</v>
      </c>
    </row>
    <row r="413" spans="1:2" x14ac:dyDescent="0.2">
      <c r="A413" s="21">
        <v>807200</v>
      </c>
      <c r="B413" s="22">
        <v>104.5</v>
      </c>
    </row>
    <row r="414" spans="1:2" x14ac:dyDescent="0.2">
      <c r="A414" s="21">
        <v>807201</v>
      </c>
      <c r="B414" s="22">
        <v>60</v>
      </c>
    </row>
    <row r="415" spans="1:2" x14ac:dyDescent="0.2">
      <c r="A415" s="21">
        <v>807202</v>
      </c>
      <c r="B415" s="22">
        <v>249.75</v>
      </c>
    </row>
    <row r="416" spans="1:2" x14ac:dyDescent="0.2">
      <c r="A416" s="21">
        <v>807203</v>
      </c>
      <c r="B416" s="22">
        <v>28.5</v>
      </c>
    </row>
    <row r="417" spans="1:2" x14ac:dyDescent="0.2">
      <c r="A417" s="21">
        <v>807228</v>
      </c>
      <c r="B417" s="22">
        <v>30</v>
      </c>
    </row>
    <row r="418" spans="1:2" x14ac:dyDescent="0.2">
      <c r="A418" s="21">
        <v>807244</v>
      </c>
      <c r="B418" s="22">
        <v>406.5</v>
      </c>
    </row>
    <row r="419" spans="1:2" x14ac:dyDescent="0.2">
      <c r="A419" s="21">
        <v>807257</v>
      </c>
      <c r="B419" s="22">
        <v>493</v>
      </c>
    </row>
    <row r="420" spans="1:2" x14ac:dyDescent="0.2">
      <c r="A420" s="21">
        <v>807258</v>
      </c>
      <c r="B420" s="22">
        <v>161</v>
      </c>
    </row>
    <row r="421" spans="1:2" x14ac:dyDescent="0.2">
      <c r="A421" s="21">
        <v>807259</v>
      </c>
      <c r="B421" s="22">
        <v>135.4</v>
      </c>
    </row>
    <row r="422" spans="1:2" x14ac:dyDescent="0.2">
      <c r="A422" s="21">
        <v>807261</v>
      </c>
      <c r="B422" s="22">
        <v>0</v>
      </c>
    </row>
    <row r="423" spans="1:2" x14ac:dyDescent="0.2">
      <c r="A423" s="21">
        <v>807265</v>
      </c>
      <c r="B423" s="22">
        <v>96.5</v>
      </c>
    </row>
    <row r="424" spans="1:2" x14ac:dyDescent="0.2">
      <c r="A424" s="21">
        <v>807303</v>
      </c>
      <c r="B424" s="22">
        <v>1612.8</v>
      </c>
    </row>
    <row r="425" spans="1:2" x14ac:dyDescent="0.2">
      <c r="A425" s="21">
        <v>807305</v>
      </c>
      <c r="B425" s="22">
        <v>0</v>
      </c>
    </row>
    <row r="426" spans="1:2" x14ac:dyDescent="0.2">
      <c r="A426" s="21">
        <v>807310</v>
      </c>
      <c r="B426" s="22">
        <v>20</v>
      </c>
    </row>
    <row r="427" spans="1:2" x14ac:dyDescent="0.2">
      <c r="A427" s="21">
        <v>807353</v>
      </c>
      <c r="B427" s="22">
        <v>368.5</v>
      </c>
    </row>
    <row r="428" spans="1:2" x14ac:dyDescent="0.2">
      <c r="A428" s="21">
        <v>807359</v>
      </c>
      <c r="B428" s="22">
        <v>40</v>
      </c>
    </row>
    <row r="429" spans="1:2" x14ac:dyDescent="0.2">
      <c r="A429" s="21">
        <v>807360</v>
      </c>
      <c r="B429" s="22">
        <v>18.350000000000001</v>
      </c>
    </row>
    <row r="430" spans="1:2" x14ac:dyDescent="0.2">
      <c r="A430" s="21">
        <v>807368</v>
      </c>
      <c r="B430" s="22">
        <v>26.25</v>
      </c>
    </row>
    <row r="431" spans="1:2" x14ac:dyDescent="0.2">
      <c r="A431" s="21">
        <v>807377</v>
      </c>
      <c r="B431" s="22">
        <v>280.64999999999998</v>
      </c>
    </row>
    <row r="432" spans="1:2" x14ac:dyDescent="0.2">
      <c r="A432" s="21">
        <v>807393</v>
      </c>
      <c r="B432" s="22">
        <v>0</v>
      </c>
    </row>
    <row r="433" spans="1:2" x14ac:dyDescent="0.2">
      <c r="A433" s="21">
        <v>807394</v>
      </c>
      <c r="B433" s="22">
        <v>0</v>
      </c>
    </row>
    <row r="434" spans="1:2" x14ac:dyDescent="0.2">
      <c r="A434" s="21">
        <v>807395</v>
      </c>
      <c r="B434" s="22">
        <v>0</v>
      </c>
    </row>
    <row r="435" spans="1:2" x14ac:dyDescent="0.2">
      <c r="A435" s="21">
        <v>807406</v>
      </c>
      <c r="B435" s="22">
        <v>323.75</v>
      </c>
    </row>
    <row r="436" spans="1:2" x14ac:dyDescent="0.2">
      <c r="A436" s="21">
        <v>807407</v>
      </c>
      <c r="B436" s="22">
        <v>0</v>
      </c>
    </row>
    <row r="437" spans="1:2" x14ac:dyDescent="0.2">
      <c r="A437" s="21">
        <v>807416</v>
      </c>
      <c r="B437" s="22">
        <v>404.55</v>
      </c>
    </row>
    <row r="438" spans="1:2" x14ac:dyDescent="0.2">
      <c r="A438" s="21">
        <v>807430</v>
      </c>
      <c r="B438" s="22">
        <v>567.35</v>
      </c>
    </row>
    <row r="439" spans="1:2" x14ac:dyDescent="0.2">
      <c r="A439" s="21">
        <v>807438</v>
      </c>
      <c r="B439" s="22">
        <v>668.1</v>
      </c>
    </row>
    <row r="440" spans="1:2" x14ac:dyDescent="0.2">
      <c r="A440" s="21">
        <v>807439</v>
      </c>
      <c r="B440" s="22">
        <v>73</v>
      </c>
    </row>
    <row r="441" spans="1:2" x14ac:dyDescent="0.2">
      <c r="A441" s="21">
        <v>807490</v>
      </c>
      <c r="B441" s="22">
        <v>0</v>
      </c>
    </row>
    <row r="442" spans="1:2" x14ac:dyDescent="0.2">
      <c r="A442" s="21">
        <v>807568</v>
      </c>
      <c r="B442" s="22">
        <v>436</v>
      </c>
    </row>
    <row r="443" spans="1:2" x14ac:dyDescent="0.2">
      <c r="A443" s="21">
        <v>807570</v>
      </c>
      <c r="B443" s="22">
        <v>168.25</v>
      </c>
    </row>
    <row r="444" spans="1:2" x14ac:dyDescent="0.2">
      <c r="A444" s="21">
        <v>807576</v>
      </c>
      <c r="B444" s="22">
        <v>241.8</v>
      </c>
    </row>
    <row r="445" spans="1:2" x14ac:dyDescent="0.2">
      <c r="A445" s="21">
        <v>807577</v>
      </c>
      <c r="B445" s="22">
        <v>87.5</v>
      </c>
    </row>
    <row r="446" spans="1:2" x14ac:dyDescent="0.2">
      <c r="A446" s="21">
        <v>807594</v>
      </c>
      <c r="B446" s="22">
        <v>825.95</v>
      </c>
    </row>
    <row r="447" spans="1:2" x14ac:dyDescent="0.2">
      <c r="A447" s="21">
        <v>807595</v>
      </c>
      <c r="B447" s="22">
        <v>550.5</v>
      </c>
    </row>
    <row r="448" spans="1:2" x14ac:dyDescent="0.2">
      <c r="A448" s="21">
        <v>807601</v>
      </c>
      <c r="B448" s="22">
        <v>210.6</v>
      </c>
    </row>
    <row r="449" spans="1:2" x14ac:dyDescent="0.2">
      <c r="A449" s="21">
        <v>807603</v>
      </c>
      <c r="B449" s="22">
        <v>405</v>
      </c>
    </row>
    <row r="450" spans="1:2" x14ac:dyDescent="0.2">
      <c r="A450" s="21">
        <v>807608</v>
      </c>
      <c r="B450" s="22">
        <v>574.5</v>
      </c>
    </row>
    <row r="451" spans="1:2" x14ac:dyDescent="0.2">
      <c r="A451" s="21">
        <v>807609</v>
      </c>
      <c r="B451" s="22">
        <v>0</v>
      </c>
    </row>
    <row r="452" spans="1:2" x14ac:dyDescent="0.2">
      <c r="A452" s="21">
        <v>807611</v>
      </c>
      <c r="B452" s="22">
        <v>217</v>
      </c>
    </row>
    <row r="453" spans="1:2" x14ac:dyDescent="0.2">
      <c r="A453" s="21">
        <v>807626</v>
      </c>
      <c r="B453" s="22">
        <v>140</v>
      </c>
    </row>
    <row r="454" spans="1:2" x14ac:dyDescent="0.2">
      <c r="A454" s="21">
        <v>807629</v>
      </c>
      <c r="B454" s="22">
        <v>20</v>
      </c>
    </row>
    <row r="455" spans="1:2" x14ac:dyDescent="0.2">
      <c r="A455" s="21">
        <v>807643</v>
      </c>
      <c r="B455" s="22">
        <v>188.2</v>
      </c>
    </row>
    <row r="456" spans="1:2" x14ac:dyDescent="0.2">
      <c r="A456" s="21">
        <v>807647</v>
      </c>
      <c r="B456" s="22">
        <v>305</v>
      </c>
    </row>
    <row r="457" spans="1:2" x14ac:dyDescent="0.2">
      <c r="A457" s="21">
        <v>807648</v>
      </c>
      <c r="B457" s="22">
        <v>232.39999999999998</v>
      </c>
    </row>
    <row r="458" spans="1:2" x14ac:dyDescent="0.2">
      <c r="A458" s="21">
        <v>807680</v>
      </c>
      <c r="B458" s="22">
        <v>45</v>
      </c>
    </row>
    <row r="459" spans="1:2" x14ac:dyDescent="0.2">
      <c r="A459" s="21">
        <v>807681</v>
      </c>
      <c r="B459" s="22">
        <v>40</v>
      </c>
    </row>
    <row r="460" spans="1:2" x14ac:dyDescent="0.2">
      <c r="A460" s="21">
        <v>807682</v>
      </c>
      <c r="B460" s="22">
        <v>775</v>
      </c>
    </row>
    <row r="461" spans="1:2" x14ac:dyDescent="0.2">
      <c r="A461" s="21">
        <v>807683</v>
      </c>
      <c r="B461" s="22">
        <v>158</v>
      </c>
    </row>
    <row r="462" spans="1:2" x14ac:dyDescent="0.2">
      <c r="A462" s="21">
        <v>807684</v>
      </c>
      <c r="B462" s="22">
        <v>266.5</v>
      </c>
    </row>
    <row r="463" spans="1:2" x14ac:dyDescent="0.2">
      <c r="A463" s="21">
        <v>807690</v>
      </c>
      <c r="B463" s="22">
        <v>0</v>
      </c>
    </row>
    <row r="464" spans="1:2" x14ac:dyDescent="0.2">
      <c r="A464" s="21">
        <v>807702</v>
      </c>
      <c r="B464" s="22">
        <v>347.5</v>
      </c>
    </row>
    <row r="465" spans="1:2" x14ac:dyDescent="0.2">
      <c r="A465" s="21">
        <v>807703</v>
      </c>
      <c r="B465" s="22">
        <v>155</v>
      </c>
    </row>
    <row r="466" spans="1:2" x14ac:dyDescent="0.2">
      <c r="A466" s="21">
        <v>807704</v>
      </c>
      <c r="B466" s="22">
        <v>74</v>
      </c>
    </row>
    <row r="467" spans="1:2" x14ac:dyDescent="0.2">
      <c r="A467" s="21">
        <v>807706</v>
      </c>
      <c r="B467" s="22">
        <v>322.85000000000002</v>
      </c>
    </row>
    <row r="468" spans="1:2" x14ac:dyDescent="0.2">
      <c r="A468" s="21">
        <v>807707</v>
      </c>
      <c r="B468" s="22">
        <v>62.5</v>
      </c>
    </row>
    <row r="469" spans="1:2" x14ac:dyDescent="0.2">
      <c r="A469" s="21">
        <v>807711</v>
      </c>
      <c r="B469" s="22">
        <v>298.5</v>
      </c>
    </row>
    <row r="470" spans="1:2" x14ac:dyDescent="0.2">
      <c r="A470" s="21">
        <v>807718</v>
      </c>
      <c r="B470" s="22">
        <v>338.45</v>
      </c>
    </row>
    <row r="471" spans="1:2" x14ac:dyDescent="0.2">
      <c r="A471" s="21">
        <v>807719</v>
      </c>
      <c r="B471" s="22">
        <v>1472.9</v>
      </c>
    </row>
    <row r="472" spans="1:2" x14ac:dyDescent="0.2">
      <c r="A472" s="21">
        <v>807722</v>
      </c>
      <c r="B472" s="22">
        <v>835</v>
      </c>
    </row>
    <row r="473" spans="1:2" x14ac:dyDescent="0.2">
      <c r="A473" s="21">
        <v>807723</v>
      </c>
      <c r="B473" s="22">
        <v>119.5</v>
      </c>
    </row>
    <row r="474" spans="1:2" x14ac:dyDescent="0.2">
      <c r="A474" s="21">
        <v>807724</v>
      </c>
      <c r="B474" s="22">
        <v>20</v>
      </c>
    </row>
    <row r="475" spans="1:2" x14ac:dyDescent="0.2">
      <c r="A475" s="21">
        <v>807726</v>
      </c>
      <c r="B475" s="22">
        <v>1</v>
      </c>
    </row>
    <row r="476" spans="1:2" x14ac:dyDescent="0.2">
      <c r="A476" s="21">
        <v>807733</v>
      </c>
      <c r="B476" s="22">
        <v>643.5</v>
      </c>
    </row>
    <row r="477" spans="1:2" x14ac:dyDescent="0.2">
      <c r="A477" s="21">
        <v>807734</v>
      </c>
      <c r="B477" s="22">
        <v>678.5</v>
      </c>
    </row>
    <row r="478" spans="1:2" x14ac:dyDescent="0.2">
      <c r="A478" s="21">
        <v>807763</v>
      </c>
      <c r="B478" s="22">
        <v>265</v>
      </c>
    </row>
    <row r="479" spans="1:2" x14ac:dyDescent="0.2">
      <c r="A479" s="21">
        <v>807776</v>
      </c>
      <c r="B479" s="22">
        <v>119.5</v>
      </c>
    </row>
    <row r="480" spans="1:2" x14ac:dyDescent="0.2">
      <c r="A480" s="21">
        <v>807777</v>
      </c>
      <c r="B480" s="22">
        <v>453.1</v>
      </c>
    </row>
    <row r="481" spans="1:2" x14ac:dyDescent="0.2">
      <c r="A481" s="21">
        <v>807778</v>
      </c>
      <c r="B481" s="22">
        <v>75</v>
      </c>
    </row>
    <row r="482" spans="1:2" x14ac:dyDescent="0.2">
      <c r="A482" s="21">
        <v>807779</v>
      </c>
      <c r="B482" s="22">
        <v>0</v>
      </c>
    </row>
    <row r="483" spans="1:2" x14ac:dyDescent="0.2">
      <c r="A483" s="21">
        <v>807780</v>
      </c>
      <c r="B483" s="22">
        <v>0</v>
      </c>
    </row>
    <row r="484" spans="1:2" x14ac:dyDescent="0.2">
      <c r="A484" s="21">
        <v>807781</v>
      </c>
      <c r="B484" s="22">
        <v>409</v>
      </c>
    </row>
    <row r="485" spans="1:2" x14ac:dyDescent="0.2">
      <c r="A485" s="21">
        <v>807811</v>
      </c>
      <c r="B485" s="22">
        <v>1348.15</v>
      </c>
    </row>
    <row r="486" spans="1:2" x14ac:dyDescent="0.2">
      <c r="A486" s="21">
        <v>807812</v>
      </c>
      <c r="B486" s="22">
        <v>65</v>
      </c>
    </row>
    <row r="487" spans="1:2" x14ac:dyDescent="0.2">
      <c r="A487" s="21">
        <v>807815</v>
      </c>
      <c r="B487" s="22">
        <v>225</v>
      </c>
    </row>
    <row r="488" spans="1:2" x14ac:dyDescent="0.2">
      <c r="A488" s="21">
        <v>807817</v>
      </c>
      <c r="B488" s="22">
        <v>0</v>
      </c>
    </row>
    <row r="489" spans="1:2" x14ac:dyDescent="0.2">
      <c r="A489" s="21">
        <v>807819</v>
      </c>
      <c r="B489" s="22">
        <v>235</v>
      </c>
    </row>
    <row r="490" spans="1:2" x14ac:dyDescent="0.2">
      <c r="A490" s="21">
        <v>807826</v>
      </c>
      <c r="B490" s="22">
        <v>196.45</v>
      </c>
    </row>
    <row r="491" spans="1:2" x14ac:dyDescent="0.2">
      <c r="A491" s="21">
        <v>807861</v>
      </c>
      <c r="B491" s="22">
        <v>335</v>
      </c>
    </row>
    <row r="492" spans="1:2" x14ac:dyDescent="0.2">
      <c r="A492" s="21">
        <v>807862</v>
      </c>
      <c r="B492" s="22">
        <v>341</v>
      </c>
    </row>
    <row r="493" spans="1:2" x14ac:dyDescent="0.2">
      <c r="A493" s="21">
        <v>807863</v>
      </c>
      <c r="B493" s="22">
        <v>5</v>
      </c>
    </row>
    <row r="494" spans="1:2" x14ac:dyDescent="0.2">
      <c r="A494" s="21">
        <v>807864</v>
      </c>
      <c r="B494" s="22">
        <v>243.5</v>
      </c>
    </row>
    <row r="495" spans="1:2" x14ac:dyDescent="0.2">
      <c r="A495" s="21">
        <v>807865</v>
      </c>
      <c r="B495" s="22">
        <v>345</v>
      </c>
    </row>
    <row r="496" spans="1:2" x14ac:dyDescent="0.2">
      <c r="A496" s="21">
        <v>807883</v>
      </c>
      <c r="B496" s="22">
        <v>642</v>
      </c>
    </row>
    <row r="497" spans="1:2" x14ac:dyDescent="0.2">
      <c r="A497" s="21">
        <v>807884</v>
      </c>
      <c r="B497" s="22">
        <v>467.5</v>
      </c>
    </row>
    <row r="498" spans="1:2" x14ac:dyDescent="0.2">
      <c r="A498" s="21">
        <v>807885</v>
      </c>
      <c r="B498" s="22">
        <v>510</v>
      </c>
    </row>
    <row r="499" spans="1:2" x14ac:dyDescent="0.2">
      <c r="A499" s="21">
        <v>807886</v>
      </c>
      <c r="B499" s="22">
        <v>120</v>
      </c>
    </row>
    <row r="500" spans="1:2" x14ac:dyDescent="0.2">
      <c r="A500" s="21">
        <v>807887</v>
      </c>
      <c r="B500" s="22">
        <v>492.15</v>
      </c>
    </row>
    <row r="501" spans="1:2" x14ac:dyDescent="0.2">
      <c r="A501" s="21">
        <v>807889</v>
      </c>
      <c r="B501" s="22">
        <v>506</v>
      </c>
    </row>
    <row r="502" spans="1:2" x14ac:dyDescent="0.2">
      <c r="A502" s="21">
        <v>807908</v>
      </c>
      <c r="B502" s="22">
        <v>57.5</v>
      </c>
    </row>
    <row r="503" spans="1:2" x14ac:dyDescent="0.2">
      <c r="A503" s="21">
        <v>807909</v>
      </c>
      <c r="B503" s="22">
        <v>100</v>
      </c>
    </row>
    <row r="504" spans="1:2" x14ac:dyDescent="0.2">
      <c r="A504" s="21">
        <v>807911</v>
      </c>
      <c r="B504" s="22">
        <v>288.75</v>
      </c>
    </row>
    <row r="505" spans="1:2" x14ac:dyDescent="0.2">
      <c r="A505" s="21">
        <v>807912</v>
      </c>
      <c r="B505" s="22">
        <v>795</v>
      </c>
    </row>
    <row r="506" spans="1:2" x14ac:dyDescent="0.2">
      <c r="A506" s="21">
        <v>807915</v>
      </c>
      <c r="B506" s="22">
        <v>219</v>
      </c>
    </row>
    <row r="507" spans="1:2" x14ac:dyDescent="0.2">
      <c r="A507" s="21">
        <v>807929</v>
      </c>
      <c r="B507" s="22">
        <v>70</v>
      </c>
    </row>
    <row r="508" spans="1:2" x14ac:dyDescent="0.2">
      <c r="A508" s="21">
        <v>807931</v>
      </c>
      <c r="B508" s="22">
        <v>20</v>
      </c>
    </row>
    <row r="509" spans="1:2" x14ac:dyDescent="0.2">
      <c r="A509" s="21">
        <v>807940</v>
      </c>
      <c r="B509" s="22">
        <v>20</v>
      </c>
    </row>
    <row r="510" spans="1:2" x14ac:dyDescent="0.2">
      <c r="A510" s="21">
        <v>807948</v>
      </c>
      <c r="B510" s="22">
        <v>135</v>
      </c>
    </row>
    <row r="511" spans="1:2" x14ac:dyDescent="0.2">
      <c r="A511" s="21">
        <v>807949</v>
      </c>
      <c r="B511" s="22">
        <v>143.5</v>
      </c>
    </row>
    <row r="512" spans="1:2" x14ac:dyDescent="0.2">
      <c r="A512" s="21">
        <v>807956</v>
      </c>
      <c r="B512" s="22">
        <v>20</v>
      </c>
    </row>
    <row r="513" spans="1:2" x14ac:dyDescent="0.2">
      <c r="A513" s="21">
        <v>807958</v>
      </c>
      <c r="B513" s="22">
        <v>65</v>
      </c>
    </row>
    <row r="514" spans="1:2" x14ac:dyDescent="0.2">
      <c r="A514" s="21">
        <v>807975</v>
      </c>
      <c r="B514" s="22">
        <v>0</v>
      </c>
    </row>
    <row r="515" spans="1:2" x14ac:dyDescent="0.2">
      <c r="A515" s="21">
        <v>807976</v>
      </c>
      <c r="B515" s="22">
        <v>536</v>
      </c>
    </row>
    <row r="516" spans="1:2" x14ac:dyDescent="0.2">
      <c r="A516" s="21">
        <v>807986</v>
      </c>
      <c r="B516" s="22">
        <v>165</v>
      </c>
    </row>
    <row r="517" spans="1:2" x14ac:dyDescent="0.2">
      <c r="A517" s="21">
        <v>807987</v>
      </c>
      <c r="B517" s="22">
        <v>472.5</v>
      </c>
    </row>
    <row r="518" spans="1:2" x14ac:dyDescent="0.2">
      <c r="A518" s="21">
        <v>807988</v>
      </c>
      <c r="B518" s="22">
        <v>10</v>
      </c>
    </row>
    <row r="519" spans="1:2" x14ac:dyDescent="0.2">
      <c r="A519" s="21">
        <v>807997</v>
      </c>
      <c r="B519" s="22">
        <v>0</v>
      </c>
    </row>
    <row r="520" spans="1:2" x14ac:dyDescent="0.2">
      <c r="A520" s="21">
        <v>807998</v>
      </c>
      <c r="B520" s="22">
        <v>44</v>
      </c>
    </row>
    <row r="521" spans="1:2" x14ac:dyDescent="0.2">
      <c r="A521" s="21">
        <v>808082</v>
      </c>
      <c r="B521" s="22">
        <v>33</v>
      </c>
    </row>
    <row r="522" spans="1:2" x14ac:dyDescent="0.2">
      <c r="A522" s="21">
        <v>808084</v>
      </c>
      <c r="B522" s="22">
        <v>160</v>
      </c>
    </row>
    <row r="523" spans="1:2" x14ac:dyDescent="0.2">
      <c r="A523" s="21">
        <v>808087</v>
      </c>
      <c r="B523" s="22">
        <v>304.75</v>
      </c>
    </row>
    <row r="524" spans="1:2" x14ac:dyDescent="0.2">
      <c r="A524" s="21">
        <v>808088</v>
      </c>
      <c r="B524" s="22">
        <v>27.5</v>
      </c>
    </row>
    <row r="525" spans="1:2" x14ac:dyDescent="0.2">
      <c r="A525" s="21">
        <v>808094</v>
      </c>
      <c r="B525" s="22">
        <v>20</v>
      </c>
    </row>
    <row r="526" spans="1:2" x14ac:dyDescent="0.2">
      <c r="A526" s="21">
        <v>808103</v>
      </c>
      <c r="B526" s="22">
        <v>0</v>
      </c>
    </row>
    <row r="527" spans="1:2" x14ac:dyDescent="0.2">
      <c r="A527" s="21">
        <v>808120</v>
      </c>
      <c r="B527" s="22">
        <v>207.5</v>
      </c>
    </row>
    <row r="528" spans="1:2" x14ac:dyDescent="0.2">
      <c r="A528" s="21">
        <v>808121</v>
      </c>
      <c r="B528" s="22">
        <v>45</v>
      </c>
    </row>
    <row r="529" spans="1:2" x14ac:dyDescent="0.2">
      <c r="A529" s="21">
        <v>808133</v>
      </c>
      <c r="B529" s="22">
        <v>1044.3499999999999</v>
      </c>
    </row>
    <row r="530" spans="1:2" x14ac:dyDescent="0.2">
      <c r="A530" s="21">
        <v>808145</v>
      </c>
      <c r="B530" s="22">
        <v>5</v>
      </c>
    </row>
    <row r="531" spans="1:2" x14ac:dyDescent="0.2">
      <c r="A531" s="21">
        <v>808147</v>
      </c>
      <c r="B531" s="22">
        <v>704</v>
      </c>
    </row>
    <row r="532" spans="1:2" x14ac:dyDescent="0.2">
      <c r="A532" s="21">
        <v>808151</v>
      </c>
      <c r="B532" s="22">
        <v>320</v>
      </c>
    </row>
    <row r="533" spans="1:2" x14ac:dyDescent="0.2">
      <c r="A533" s="21">
        <v>808152</v>
      </c>
      <c r="B533" s="22">
        <v>297.5</v>
      </c>
    </row>
    <row r="534" spans="1:2" x14ac:dyDescent="0.2">
      <c r="A534" s="21">
        <v>808154</v>
      </c>
      <c r="B534" s="22">
        <v>159.5</v>
      </c>
    </row>
    <row r="535" spans="1:2" x14ac:dyDescent="0.2">
      <c r="A535" s="21">
        <v>808155</v>
      </c>
      <c r="B535" s="22">
        <v>381</v>
      </c>
    </row>
    <row r="536" spans="1:2" x14ac:dyDescent="0.2">
      <c r="A536" s="21">
        <v>808157</v>
      </c>
      <c r="B536" s="22">
        <v>163.05000000000001</v>
      </c>
    </row>
    <row r="537" spans="1:2" x14ac:dyDescent="0.2">
      <c r="A537" s="21">
        <v>808163</v>
      </c>
      <c r="B537" s="22">
        <v>17.5</v>
      </c>
    </row>
    <row r="538" spans="1:2" x14ac:dyDescent="0.2">
      <c r="A538" s="21">
        <v>808172</v>
      </c>
      <c r="B538" s="22">
        <v>682.25</v>
      </c>
    </row>
    <row r="539" spans="1:2" x14ac:dyDescent="0.2">
      <c r="A539" s="21">
        <v>808173</v>
      </c>
      <c r="B539" s="22">
        <v>281.75</v>
      </c>
    </row>
    <row r="540" spans="1:2" x14ac:dyDescent="0.2">
      <c r="A540" s="21">
        <v>808181</v>
      </c>
      <c r="B540" s="22">
        <v>65.599999999999994</v>
      </c>
    </row>
    <row r="541" spans="1:2" x14ac:dyDescent="0.2">
      <c r="A541" s="21">
        <v>808182</v>
      </c>
      <c r="B541" s="22">
        <v>135</v>
      </c>
    </row>
    <row r="542" spans="1:2" x14ac:dyDescent="0.2">
      <c r="A542" s="21">
        <v>808184</v>
      </c>
      <c r="B542" s="22">
        <v>191.5</v>
      </c>
    </row>
    <row r="543" spans="1:2" x14ac:dyDescent="0.2">
      <c r="A543" s="21">
        <v>808186</v>
      </c>
      <c r="B543" s="22">
        <v>85</v>
      </c>
    </row>
    <row r="544" spans="1:2" x14ac:dyDescent="0.2">
      <c r="A544" s="21">
        <v>808198</v>
      </c>
      <c r="B544" s="22">
        <v>124.75</v>
      </c>
    </row>
    <row r="545" spans="1:2" x14ac:dyDescent="0.2">
      <c r="A545" s="21">
        <v>808200</v>
      </c>
      <c r="B545" s="22">
        <v>37</v>
      </c>
    </row>
    <row r="546" spans="1:2" x14ac:dyDescent="0.2">
      <c r="A546" s="21">
        <v>808206</v>
      </c>
      <c r="B546" s="22">
        <v>185</v>
      </c>
    </row>
    <row r="547" spans="1:2" x14ac:dyDescent="0.2">
      <c r="A547" s="21">
        <v>808210</v>
      </c>
      <c r="B547" s="22">
        <v>88.25</v>
      </c>
    </row>
    <row r="548" spans="1:2" x14ac:dyDescent="0.2">
      <c r="A548" s="21">
        <v>808227</v>
      </c>
      <c r="B548" s="22">
        <v>413.5</v>
      </c>
    </row>
    <row r="549" spans="1:2" x14ac:dyDescent="0.2">
      <c r="A549" s="21">
        <v>808228</v>
      </c>
      <c r="B549" s="22">
        <v>0</v>
      </c>
    </row>
    <row r="550" spans="1:2" x14ac:dyDescent="0.2">
      <c r="A550" s="21">
        <v>808229</v>
      </c>
      <c r="B550" s="22">
        <v>190</v>
      </c>
    </row>
    <row r="551" spans="1:2" x14ac:dyDescent="0.2">
      <c r="A551" s="21">
        <v>808259</v>
      </c>
      <c r="B551" s="22">
        <v>0</v>
      </c>
    </row>
    <row r="552" spans="1:2" x14ac:dyDescent="0.2">
      <c r="A552" s="21">
        <v>808269</v>
      </c>
      <c r="B552" s="22">
        <v>0</v>
      </c>
    </row>
    <row r="553" spans="1:2" x14ac:dyDescent="0.2">
      <c r="A553" s="21">
        <v>808271</v>
      </c>
      <c r="B553" s="22">
        <v>640.75</v>
      </c>
    </row>
    <row r="554" spans="1:2" x14ac:dyDescent="0.2">
      <c r="A554" s="21">
        <v>808272</v>
      </c>
      <c r="B554" s="22">
        <v>822.5</v>
      </c>
    </row>
    <row r="555" spans="1:2" x14ac:dyDescent="0.2">
      <c r="A555" s="21">
        <v>808275</v>
      </c>
      <c r="B555" s="22">
        <v>327.7</v>
      </c>
    </row>
    <row r="556" spans="1:2" x14ac:dyDescent="0.2">
      <c r="A556" s="21">
        <v>808276</v>
      </c>
      <c r="B556" s="22">
        <v>250.5</v>
      </c>
    </row>
    <row r="557" spans="1:2" x14ac:dyDescent="0.2">
      <c r="A557" s="21">
        <v>808283</v>
      </c>
      <c r="B557" s="22">
        <v>345.5</v>
      </c>
    </row>
    <row r="558" spans="1:2" x14ac:dyDescent="0.2">
      <c r="A558" s="21">
        <v>808284</v>
      </c>
      <c r="B558" s="22">
        <v>112</v>
      </c>
    </row>
    <row r="559" spans="1:2" x14ac:dyDescent="0.2">
      <c r="A559" s="21">
        <v>808289</v>
      </c>
      <c r="B559" s="22">
        <v>32.700000000000003</v>
      </c>
    </row>
    <row r="560" spans="1:2" x14ac:dyDescent="0.2">
      <c r="A560" s="21">
        <v>808292</v>
      </c>
      <c r="B560" s="22">
        <v>210</v>
      </c>
    </row>
    <row r="561" spans="1:2" x14ac:dyDescent="0.2">
      <c r="A561" s="21">
        <v>808309</v>
      </c>
      <c r="B561" s="22">
        <v>160.5</v>
      </c>
    </row>
    <row r="562" spans="1:2" x14ac:dyDescent="0.2">
      <c r="A562" s="21">
        <v>808310</v>
      </c>
      <c r="B562" s="22">
        <v>92</v>
      </c>
    </row>
    <row r="563" spans="1:2" x14ac:dyDescent="0.2">
      <c r="A563" s="21">
        <v>808312</v>
      </c>
      <c r="B563" s="22">
        <v>701</v>
      </c>
    </row>
    <row r="564" spans="1:2" x14ac:dyDescent="0.2">
      <c r="A564" s="21">
        <v>808313</v>
      </c>
      <c r="B564" s="22">
        <v>127.5</v>
      </c>
    </row>
    <row r="565" spans="1:2" x14ac:dyDescent="0.2">
      <c r="A565" s="21">
        <v>808315</v>
      </c>
      <c r="B565" s="22">
        <v>0</v>
      </c>
    </row>
    <row r="566" spans="1:2" x14ac:dyDescent="0.2">
      <c r="A566" s="21">
        <v>808316</v>
      </c>
      <c r="B566" s="22">
        <v>225.5</v>
      </c>
    </row>
    <row r="567" spans="1:2" x14ac:dyDescent="0.2">
      <c r="A567" s="21">
        <v>808317</v>
      </c>
      <c r="B567" s="22">
        <v>574</v>
      </c>
    </row>
    <row r="568" spans="1:2" x14ac:dyDescent="0.2">
      <c r="A568" s="21">
        <v>808318</v>
      </c>
      <c r="B568" s="22">
        <v>280</v>
      </c>
    </row>
    <row r="569" spans="1:2" x14ac:dyDescent="0.2">
      <c r="A569" s="21">
        <v>808328</v>
      </c>
      <c r="B569" s="22">
        <v>137</v>
      </c>
    </row>
    <row r="570" spans="1:2" x14ac:dyDescent="0.2">
      <c r="A570" s="21">
        <v>808330</v>
      </c>
      <c r="B570" s="22">
        <v>158</v>
      </c>
    </row>
    <row r="571" spans="1:2" x14ac:dyDescent="0.2">
      <c r="A571" s="21">
        <v>808345</v>
      </c>
      <c r="B571" s="22">
        <v>13</v>
      </c>
    </row>
    <row r="572" spans="1:2" x14ac:dyDescent="0.2">
      <c r="A572" s="21">
        <v>808346</v>
      </c>
      <c r="B572" s="22">
        <v>567.29999999999995</v>
      </c>
    </row>
    <row r="573" spans="1:2" x14ac:dyDescent="0.2">
      <c r="A573" s="21">
        <v>808347</v>
      </c>
      <c r="B573" s="22">
        <v>425.25</v>
      </c>
    </row>
    <row r="574" spans="1:2" x14ac:dyDescent="0.2">
      <c r="A574" s="21">
        <v>808348</v>
      </c>
      <c r="B574" s="22">
        <v>132</v>
      </c>
    </row>
    <row r="575" spans="1:2" x14ac:dyDescent="0.2">
      <c r="A575" s="21">
        <v>808372</v>
      </c>
      <c r="B575" s="22">
        <v>15</v>
      </c>
    </row>
    <row r="576" spans="1:2" x14ac:dyDescent="0.2">
      <c r="A576" s="21">
        <v>808374</v>
      </c>
      <c r="B576" s="22">
        <v>226</v>
      </c>
    </row>
    <row r="577" spans="1:2" x14ac:dyDescent="0.2">
      <c r="A577" s="21">
        <v>808390</v>
      </c>
      <c r="B577" s="22">
        <v>0</v>
      </c>
    </row>
    <row r="578" spans="1:2" x14ac:dyDescent="0.2">
      <c r="A578" s="21">
        <v>808391</v>
      </c>
      <c r="B578" s="22">
        <v>22</v>
      </c>
    </row>
    <row r="579" spans="1:2" x14ac:dyDescent="0.2">
      <c r="A579" s="21">
        <v>808413</v>
      </c>
      <c r="B579" s="22">
        <v>282.64999999999998</v>
      </c>
    </row>
    <row r="580" spans="1:2" x14ac:dyDescent="0.2">
      <c r="A580" s="21">
        <v>808419</v>
      </c>
      <c r="B580" s="22">
        <v>3140.15</v>
      </c>
    </row>
    <row r="581" spans="1:2" x14ac:dyDescent="0.2">
      <c r="A581" s="21">
        <v>808424</v>
      </c>
      <c r="B581" s="22">
        <v>75</v>
      </c>
    </row>
    <row r="582" spans="1:2" x14ac:dyDescent="0.2">
      <c r="A582" s="21">
        <v>808426</v>
      </c>
      <c r="B582" s="22">
        <v>723.9</v>
      </c>
    </row>
    <row r="583" spans="1:2" x14ac:dyDescent="0.2">
      <c r="A583" s="21">
        <v>808427</v>
      </c>
      <c r="B583" s="22">
        <v>160</v>
      </c>
    </row>
    <row r="584" spans="1:2" x14ac:dyDescent="0.2">
      <c r="A584" s="21">
        <v>808428</v>
      </c>
      <c r="B584" s="22">
        <v>40</v>
      </c>
    </row>
    <row r="585" spans="1:2" x14ac:dyDescent="0.2">
      <c r="A585" s="21">
        <v>808429</v>
      </c>
      <c r="B585" s="22">
        <v>329.5</v>
      </c>
    </row>
    <row r="586" spans="1:2" x14ac:dyDescent="0.2">
      <c r="A586" s="21">
        <v>808433</v>
      </c>
      <c r="B586" s="22">
        <v>0</v>
      </c>
    </row>
    <row r="587" spans="1:2" x14ac:dyDescent="0.2">
      <c r="A587" s="21">
        <v>808434</v>
      </c>
      <c r="B587" s="22">
        <v>1056.3</v>
      </c>
    </row>
    <row r="588" spans="1:2" x14ac:dyDescent="0.2">
      <c r="A588" s="21">
        <v>808443</v>
      </c>
      <c r="B588" s="22">
        <v>311.5</v>
      </c>
    </row>
    <row r="589" spans="1:2" x14ac:dyDescent="0.2">
      <c r="A589" s="21">
        <v>808444</v>
      </c>
      <c r="B589" s="22">
        <v>170.5</v>
      </c>
    </row>
    <row r="590" spans="1:2" x14ac:dyDescent="0.2">
      <c r="A590" s="21">
        <v>808446</v>
      </c>
      <c r="B590" s="22">
        <v>362.5</v>
      </c>
    </row>
    <row r="591" spans="1:2" x14ac:dyDescent="0.2">
      <c r="A591" s="21">
        <v>808448</v>
      </c>
      <c r="B591" s="22">
        <v>612.75</v>
      </c>
    </row>
    <row r="592" spans="1:2" x14ac:dyDescent="0.2">
      <c r="A592" s="21">
        <v>808449</v>
      </c>
      <c r="B592" s="22">
        <v>20</v>
      </c>
    </row>
    <row r="593" spans="1:2" x14ac:dyDescent="0.2">
      <c r="A593" s="21">
        <v>808451</v>
      </c>
      <c r="B593" s="22">
        <v>373.5</v>
      </c>
    </row>
    <row r="594" spans="1:2" x14ac:dyDescent="0.2">
      <c r="A594" s="21">
        <v>808469</v>
      </c>
      <c r="B594" s="22">
        <v>322</v>
      </c>
    </row>
    <row r="595" spans="1:2" x14ac:dyDescent="0.2">
      <c r="A595" s="21">
        <v>808471</v>
      </c>
      <c r="B595" s="22">
        <v>588</v>
      </c>
    </row>
    <row r="596" spans="1:2" x14ac:dyDescent="0.2">
      <c r="A596" s="21">
        <v>808487</v>
      </c>
      <c r="B596" s="22">
        <v>80</v>
      </c>
    </row>
    <row r="597" spans="1:2" x14ac:dyDescent="0.2">
      <c r="A597" s="21">
        <v>808488</v>
      </c>
      <c r="B597" s="22">
        <v>765</v>
      </c>
    </row>
    <row r="598" spans="1:2" x14ac:dyDescent="0.2">
      <c r="A598" s="21">
        <v>808491</v>
      </c>
      <c r="B598" s="22">
        <v>10</v>
      </c>
    </row>
    <row r="599" spans="1:2" x14ac:dyDescent="0.2">
      <c r="A599" s="21">
        <v>808492</v>
      </c>
      <c r="B599" s="22">
        <v>175</v>
      </c>
    </row>
    <row r="600" spans="1:2" x14ac:dyDescent="0.2">
      <c r="A600" s="21">
        <v>808495</v>
      </c>
      <c r="B600" s="22">
        <v>210</v>
      </c>
    </row>
    <row r="601" spans="1:2" x14ac:dyDescent="0.2">
      <c r="A601" s="21">
        <v>808496</v>
      </c>
      <c r="B601" s="22">
        <v>683</v>
      </c>
    </row>
    <row r="602" spans="1:2" x14ac:dyDescent="0.2">
      <c r="A602" s="21">
        <v>808497</v>
      </c>
      <c r="B602" s="22">
        <v>212</v>
      </c>
    </row>
    <row r="603" spans="1:2" x14ac:dyDescent="0.2">
      <c r="A603" s="21">
        <v>808498</v>
      </c>
      <c r="B603" s="22">
        <v>786.5</v>
      </c>
    </row>
    <row r="604" spans="1:2" x14ac:dyDescent="0.2">
      <c r="A604" s="21">
        <v>808547</v>
      </c>
      <c r="B604" s="22">
        <v>204.45</v>
      </c>
    </row>
    <row r="605" spans="1:2" x14ac:dyDescent="0.2">
      <c r="A605" s="21">
        <v>808548</v>
      </c>
      <c r="B605" s="22">
        <v>90</v>
      </c>
    </row>
    <row r="606" spans="1:2" x14ac:dyDescent="0.2">
      <c r="A606" s="21">
        <v>808550</v>
      </c>
      <c r="B606" s="22">
        <v>0</v>
      </c>
    </row>
    <row r="607" spans="1:2" x14ac:dyDescent="0.2">
      <c r="A607" s="21">
        <v>808552</v>
      </c>
      <c r="B607" s="22">
        <v>95</v>
      </c>
    </row>
    <row r="608" spans="1:2" x14ac:dyDescent="0.2">
      <c r="A608" s="21">
        <v>808553</v>
      </c>
      <c r="B608" s="22">
        <v>0</v>
      </c>
    </row>
    <row r="609" spans="1:2" x14ac:dyDescent="0.2">
      <c r="A609" s="21">
        <v>808554</v>
      </c>
      <c r="B609" s="22">
        <v>72.5</v>
      </c>
    </row>
    <row r="610" spans="1:2" x14ac:dyDescent="0.2">
      <c r="A610" s="21">
        <v>808558</v>
      </c>
      <c r="B610" s="22">
        <v>332.5</v>
      </c>
    </row>
    <row r="611" spans="1:2" x14ac:dyDescent="0.2">
      <c r="A611" s="21">
        <v>808559</v>
      </c>
      <c r="B611" s="22">
        <v>165</v>
      </c>
    </row>
    <row r="612" spans="1:2" x14ac:dyDescent="0.2">
      <c r="A612" s="21">
        <v>808569</v>
      </c>
      <c r="B612" s="22">
        <v>887.75</v>
      </c>
    </row>
    <row r="613" spans="1:2" x14ac:dyDescent="0.2">
      <c r="A613" s="21">
        <v>808570</v>
      </c>
      <c r="B613" s="22">
        <v>282.8</v>
      </c>
    </row>
    <row r="614" spans="1:2" x14ac:dyDescent="0.2">
      <c r="A614" s="21">
        <v>808572</v>
      </c>
      <c r="B614" s="22">
        <v>178</v>
      </c>
    </row>
    <row r="615" spans="1:2" x14ac:dyDescent="0.2">
      <c r="A615" s="21">
        <v>808575</v>
      </c>
      <c r="B615" s="22">
        <v>75</v>
      </c>
    </row>
    <row r="616" spans="1:2" x14ac:dyDescent="0.2">
      <c r="A616" s="21">
        <v>808578</v>
      </c>
      <c r="B616" s="22">
        <v>249.5</v>
      </c>
    </row>
    <row r="617" spans="1:2" x14ac:dyDescent="0.2">
      <c r="A617" s="21">
        <v>808606</v>
      </c>
      <c r="B617" s="22">
        <v>53.5</v>
      </c>
    </row>
    <row r="618" spans="1:2" x14ac:dyDescent="0.2">
      <c r="A618" s="21">
        <v>808607</v>
      </c>
      <c r="B618" s="22">
        <v>676</v>
      </c>
    </row>
    <row r="619" spans="1:2" x14ac:dyDescent="0.2">
      <c r="A619" s="21">
        <v>808608</v>
      </c>
      <c r="B619" s="22">
        <v>7.5</v>
      </c>
    </row>
    <row r="620" spans="1:2" x14ac:dyDescent="0.2">
      <c r="A620" s="21">
        <v>808609</v>
      </c>
      <c r="B620" s="22">
        <v>289</v>
      </c>
    </row>
    <row r="621" spans="1:2" x14ac:dyDescent="0.2">
      <c r="A621" s="21">
        <v>808610</v>
      </c>
      <c r="B621" s="22">
        <v>0</v>
      </c>
    </row>
    <row r="622" spans="1:2" x14ac:dyDescent="0.2">
      <c r="A622" s="21">
        <v>808611</v>
      </c>
      <c r="B622" s="22">
        <v>795.9</v>
      </c>
    </row>
    <row r="623" spans="1:2" x14ac:dyDescent="0.2">
      <c r="A623" s="21">
        <v>808613</v>
      </c>
      <c r="B623" s="22">
        <v>28.6</v>
      </c>
    </row>
    <row r="624" spans="1:2" x14ac:dyDescent="0.2">
      <c r="A624" s="21">
        <v>808615</v>
      </c>
      <c r="B624" s="22">
        <v>425</v>
      </c>
    </row>
    <row r="625" spans="1:2" x14ac:dyDescent="0.2">
      <c r="A625" s="21">
        <v>808618</v>
      </c>
      <c r="B625" s="22">
        <v>222.5</v>
      </c>
    </row>
    <row r="626" spans="1:2" x14ac:dyDescent="0.2">
      <c r="A626" s="21">
        <v>808619</v>
      </c>
      <c r="B626" s="22">
        <v>1349.5</v>
      </c>
    </row>
    <row r="627" spans="1:2" x14ac:dyDescent="0.2">
      <c r="A627" s="21">
        <v>808622</v>
      </c>
      <c r="B627" s="22">
        <v>1227.8499999999999</v>
      </c>
    </row>
    <row r="628" spans="1:2" x14ac:dyDescent="0.2">
      <c r="A628" s="21">
        <v>808623</v>
      </c>
      <c r="B628" s="22">
        <v>564</v>
      </c>
    </row>
    <row r="629" spans="1:2" x14ac:dyDescent="0.2">
      <c r="A629" s="21">
        <v>808639</v>
      </c>
      <c r="B629" s="22">
        <v>10</v>
      </c>
    </row>
    <row r="630" spans="1:2" x14ac:dyDescent="0.2">
      <c r="A630" s="21">
        <v>808644</v>
      </c>
      <c r="B630" s="22">
        <v>313</v>
      </c>
    </row>
    <row r="631" spans="1:2" x14ac:dyDescent="0.2">
      <c r="A631" s="21">
        <v>808674</v>
      </c>
      <c r="B631" s="22">
        <v>635.5</v>
      </c>
    </row>
    <row r="632" spans="1:2" x14ac:dyDescent="0.2">
      <c r="A632" s="21">
        <v>808676</v>
      </c>
      <c r="B632" s="22">
        <v>50</v>
      </c>
    </row>
    <row r="633" spans="1:2" x14ac:dyDescent="0.2">
      <c r="A633" s="21">
        <v>808677</v>
      </c>
      <c r="B633" s="22">
        <v>15</v>
      </c>
    </row>
    <row r="634" spans="1:2" x14ac:dyDescent="0.2">
      <c r="A634" s="21">
        <v>808678</v>
      </c>
      <c r="B634" s="22">
        <v>0</v>
      </c>
    </row>
    <row r="635" spans="1:2" x14ac:dyDescent="0.2">
      <c r="A635" s="21">
        <v>808693</v>
      </c>
      <c r="B635" s="22">
        <v>1311.35</v>
      </c>
    </row>
    <row r="636" spans="1:2" x14ac:dyDescent="0.2">
      <c r="A636" s="21">
        <v>808708</v>
      </c>
      <c r="B636" s="22">
        <v>0</v>
      </c>
    </row>
    <row r="637" spans="1:2" x14ac:dyDescent="0.2">
      <c r="A637" s="21">
        <v>808713</v>
      </c>
      <c r="B637" s="22">
        <v>49</v>
      </c>
    </row>
    <row r="638" spans="1:2" x14ac:dyDescent="0.2">
      <c r="A638" s="21">
        <v>808730</v>
      </c>
      <c r="B638" s="22">
        <v>182.55</v>
      </c>
    </row>
    <row r="639" spans="1:2" x14ac:dyDescent="0.2">
      <c r="A639" s="21">
        <v>808731</v>
      </c>
      <c r="B639" s="22">
        <v>456</v>
      </c>
    </row>
    <row r="640" spans="1:2" x14ac:dyDescent="0.2">
      <c r="A640" s="21">
        <v>808732</v>
      </c>
      <c r="B640" s="22">
        <v>1254.5</v>
      </c>
    </row>
    <row r="641" spans="1:2" x14ac:dyDescent="0.2">
      <c r="A641" s="21">
        <v>808733</v>
      </c>
      <c r="B641" s="22">
        <v>117.5</v>
      </c>
    </row>
    <row r="642" spans="1:2" x14ac:dyDescent="0.2">
      <c r="A642" s="21">
        <v>808739</v>
      </c>
      <c r="B642" s="22">
        <v>258.8</v>
      </c>
    </row>
    <row r="643" spans="1:2" x14ac:dyDescent="0.2">
      <c r="A643" s="21">
        <v>808749</v>
      </c>
      <c r="B643" s="22">
        <v>264</v>
      </c>
    </row>
    <row r="644" spans="1:2" x14ac:dyDescent="0.2">
      <c r="A644" s="21">
        <v>808750</v>
      </c>
      <c r="B644" s="22">
        <v>75</v>
      </c>
    </row>
    <row r="645" spans="1:2" x14ac:dyDescent="0.2">
      <c r="A645" s="21">
        <v>808751</v>
      </c>
      <c r="B645" s="22">
        <v>92.5</v>
      </c>
    </row>
    <row r="646" spans="1:2" x14ac:dyDescent="0.2">
      <c r="A646" s="21">
        <v>808775</v>
      </c>
      <c r="B646" s="22">
        <v>122.5</v>
      </c>
    </row>
    <row r="647" spans="1:2" x14ac:dyDescent="0.2">
      <c r="A647" s="21">
        <v>808786</v>
      </c>
      <c r="B647" s="22">
        <v>212.5</v>
      </c>
    </row>
    <row r="648" spans="1:2" x14ac:dyDescent="0.2">
      <c r="A648" s="21">
        <v>808787</v>
      </c>
      <c r="B648" s="22">
        <v>546.25</v>
      </c>
    </row>
    <row r="649" spans="1:2" x14ac:dyDescent="0.2">
      <c r="A649" s="21">
        <v>808789</v>
      </c>
      <c r="B649" s="22">
        <v>381</v>
      </c>
    </row>
    <row r="650" spans="1:2" x14ac:dyDescent="0.2">
      <c r="A650" s="21">
        <v>808791</v>
      </c>
      <c r="B650" s="22">
        <v>448</v>
      </c>
    </row>
    <row r="651" spans="1:2" x14ac:dyDescent="0.2">
      <c r="A651" s="21">
        <v>808792</v>
      </c>
      <c r="B651" s="22">
        <v>312.8</v>
      </c>
    </row>
    <row r="652" spans="1:2" x14ac:dyDescent="0.2">
      <c r="A652" s="21">
        <v>808795</v>
      </c>
      <c r="B652" s="22">
        <v>0</v>
      </c>
    </row>
    <row r="653" spans="1:2" x14ac:dyDescent="0.2">
      <c r="A653" s="21">
        <v>808818</v>
      </c>
      <c r="B653" s="22">
        <v>208</v>
      </c>
    </row>
    <row r="654" spans="1:2" x14ac:dyDescent="0.2">
      <c r="A654" s="21">
        <v>808820</v>
      </c>
      <c r="B654" s="22">
        <v>279</v>
      </c>
    </row>
    <row r="655" spans="1:2" x14ac:dyDescent="0.2">
      <c r="A655" s="21">
        <v>808821</v>
      </c>
      <c r="B655" s="22">
        <v>61</v>
      </c>
    </row>
    <row r="656" spans="1:2" x14ac:dyDescent="0.2">
      <c r="A656" s="21">
        <v>808822</v>
      </c>
      <c r="B656" s="22">
        <v>163</v>
      </c>
    </row>
    <row r="657" spans="1:2" x14ac:dyDescent="0.2">
      <c r="A657" s="21">
        <v>808823</v>
      </c>
      <c r="B657" s="22">
        <v>7.5</v>
      </c>
    </row>
    <row r="658" spans="1:2" x14ac:dyDescent="0.2">
      <c r="A658" s="21">
        <v>808835</v>
      </c>
      <c r="B658" s="22">
        <v>95</v>
      </c>
    </row>
    <row r="659" spans="1:2" x14ac:dyDescent="0.2">
      <c r="A659" s="21">
        <v>808837</v>
      </c>
      <c r="B659" s="22">
        <v>514.5</v>
      </c>
    </row>
    <row r="660" spans="1:2" x14ac:dyDescent="0.2">
      <c r="A660" s="21">
        <v>808845</v>
      </c>
      <c r="B660" s="22">
        <v>297</v>
      </c>
    </row>
    <row r="661" spans="1:2" x14ac:dyDescent="0.2">
      <c r="A661" s="21">
        <v>808849</v>
      </c>
      <c r="B661" s="22">
        <v>120</v>
      </c>
    </row>
    <row r="662" spans="1:2" x14ac:dyDescent="0.2">
      <c r="A662" s="21">
        <v>808852</v>
      </c>
      <c r="B662" s="22">
        <v>136</v>
      </c>
    </row>
    <row r="663" spans="1:2" x14ac:dyDescent="0.2">
      <c r="A663" s="21">
        <v>808856</v>
      </c>
      <c r="B663" s="22">
        <v>25</v>
      </c>
    </row>
    <row r="664" spans="1:2" x14ac:dyDescent="0.2">
      <c r="A664" s="21">
        <v>808857</v>
      </c>
      <c r="B664" s="22">
        <v>65</v>
      </c>
    </row>
    <row r="665" spans="1:2" x14ac:dyDescent="0.2">
      <c r="A665" s="21">
        <v>808858</v>
      </c>
      <c r="B665" s="22">
        <v>443.95</v>
      </c>
    </row>
    <row r="666" spans="1:2" x14ac:dyDescent="0.2">
      <c r="A666" s="21">
        <v>808889</v>
      </c>
      <c r="B666" s="22">
        <v>395</v>
      </c>
    </row>
    <row r="667" spans="1:2" x14ac:dyDescent="0.2">
      <c r="A667" s="21">
        <v>808890</v>
      </c>
      <c r="B667" s="22">
        <v>533.5</v>
      </c>
    </row>
    <row r="668" spans="1:2" x14ac:dyDescent="0.2">
      <c r="A668" s="21">
        <v>808891</v>
      </c>
      <c r="B668" s="22">
        <v>0</v>
      </c>
    </row>
    <row r="669" spans="1:2" x14ac:dyDescent="0.2">
      <c r="A669" s="21">
        <v>808892</v>
      </c>
      <c r="B669" s="22">
        <v>617.75</v>
      </c>
    </row>
    <row r="670" spans="1:2" x14ac:dyDescent="0.2">
      <c r="A670" s="21">
        <v>808893</v>
      </c>
      <c r="B670" s="22">
        <v>258.5</v>
      </c>
    </row>
    <row r="671" spans="1:2" x14ac:dyDescent="0.2">
      <c r="A671" s="21">
        <v>808894</v>
      </c>
      <c r="B671" s="22">
        <v>223.25</v>
      </c>
    </row>
    <row r="672" spans="1:2" x14ac:dyDescent="0.2">
      <c r="A672" s="21">
        <v>808895</v>
      </c>
      <c r="B672" s="22">
        <v>0</v>
      </c>
    </row>
    <row r="673" spans="1:2" x14ac:dyDescent="0.2">
      <c r="A673" s="21">
        <v>808902</v>
      </c>
      <c r="B673" s="22">
        <v>85</v>
      </c>
    </row>
    <row r="674" spans="1:2" x14ac:dyDescent="0.2">
      <c r="A674" s="21">
        <v>808903</v>
      </c>
      <c r="B674" s="22">
        <v>40</v>
      </c>
    </row>
    <row r="675" spans="1:2" x14ac:dyDescent="0.2">
      <c r="A675" s="21">
        <v>808910</v>
      </c>
      <c r="B675" s="22">
        <v>5</v>
      </c>
    </row>
    <row r="676" spans="1:2" x14ac:dyDescent="0.2">
      <c r="A676" s="21">
        <v>808911</v>
      </c>
      <c r="B676" s="22">
        <v>0</v>
      </c>
    </row>
    <row r="677" spans="1:2" x14ac:dyDescent="0.2">
      <c r="A677" s="21">
        <v>808912</v>
      </c>
      <c r="B677" s="22">
        <v>25</v>
      </c>
    </row>
    <row r="678" spans="1:2" x14ac:dyDescent="0.2">
      <c r="A678" s="21">
        <v>808914</v>
      </c>
      <c r="B678" s="22">
        <v>242</v>
      </c>
    </row>
    <row r="679" spans="1:2" x14ac:dyDescent="0.2">
      <c r="A679" s="21">
        <v>808924</v>
      </c>
      <c r="B679" s="22">
        <v>206.5</v>
      </c>
    </row>
    <row r="680" spans="1:2" x14ac:dyDescent="0.2">
      <c r="A680" s="21">
        <v>808925</v>
      </c>
      <c r="B680" s="22">
        <v>401.7</v>
      </c>
    </row>
    <row r="681" spans="1:2" x14ac:dyDescent="0.2">
      <c r="A681" s="21">
        <v>808926</v>
      </c>
      <c r="B681" s="22">
        <v>165</v>
      </c>
    </row>
    <row r="682" spans="1:2" x14ac:dyDescent="0.2">
      <c r="A682" s="21">
        <v>808928</v>
      </c>
      <c r="B682" s="22">
        <v>430.6</v>
      </c>
    </row>
    <row r="683" spans="1:2" x14ac:dyDescent="0.2">
      <c r="A683" s="21">
        <v>808929</v>
      </c>
      <c r="B683" s="22">
        <v>0</v>
      </c>
    </row>
    <row r="684" spans="1:2" x14ac:dyDescent="0.2">
      <c r="A684" s="21">
        <v>808930</v>
      </c>
      <c r="B684" s="22">
        <v>61.5</v>
      </c>
    </row>
    <row r="685" spans="1:2" x14ac:dyDescent="0.2">
      <c r="A685" s="21">
        <v>808931</v>
      </c>
      <c r="B685" s="22">
        <v>0</v>
      </c>
    </row>
    <row r="686" spans="1:2" x14ac:dyDescent="0.2">
      <c r="A686" s="21">
        <v>808934</v>
      </c>
      <c r="B686" s="22">
        <v>762.55</v>
      </c>
    </row>
    <row r="687" spans="1:2" x14ac:dyDescent="0.2">
      <c r="A687" s="21">
        <v>808937</v>
      </c>
      <c r="B687" s="22">
        <v>0.95</v>
      </c>
    </row>
    <row r="688" spans="1:2" x14ac:dyDescent="0.2">
      <c r="A688" s="21">
        <v>808938</v>
      </c>
      <c r="B688" s="22">
        <v>443.75</v>
      </c>
    </row>
    <row r="689" spans="1:2" x14ac:dyDescent="0.2">
      <c r="A689" s="21">
        <v>808939</v>
      </c>
      <c r="B689" s="22">
        <v>72.5</v>
      </c>
    </row>
    <row r="690" spans="1:2" x14ac:dyDescent="0.2">
      <c r="A690" s="21">
        <v>808940</v>
      </c>
      <c r="B690" s="22">
        <v>644.5</v>
      </c>
    </row>
    <row r="691" spans="1:2" x14ac:dyDescent="0.2">
      <c r="A691" s="21">
        <v>808941</v>
      </c>
      <c r="B691" s="22">
        <v>259</v>
      </c>
    </row>
    <row r="692" spans="1:2" x14ac:dyDescent="0.2">
      <c r="A692" s="21">
        <v>808951</v>
      </c>
      <c r="B692" s="22">
        <v>643</v>
      </c>
    </row>
    <row r="693" spans="1:2" x14ac:dyDescent="0.2">
      <c r="A693" s="21">
        <v>808957</v>
      </c>
      <c r="B693" s="22">
        <v>0</v>
      </c>
    </row>
    <row r="694" spans="1:2" x14ac:dyDescent="0.2">
      <c r="A694" s="21">
        <v>808958</v>
      </c>
      <c r="B694" s="22">
        <v>273.5</v>
      </c>
    </row>
    <row r="695" spans="1:2" x14ac:dyDescent="0.2">
      <c r="A695" s="21">
        <v>808959</v>
      </c>
      <c r="B695" s="22">
        <v>256</v>
      </c>
    </row>
    <row r="696" spans="1:2" x14ac:dyDescent="0.2">
      <c r="A696" s="21">
        <v>808979</v>
      </c>
      <c r="B696" s="22">
        <v>148.05000000000001</v>
      </c>
    </row>
    <row r="697" spans="1:2" x14ac:dyDescent="0.2">
      <c r="A697" s="21">
        <v>808980</v>
      </c>
      <c r="B697" s="22">
        <v>136.5</v>
      </c>
    </row>
    <row r="698" spans="1:2" x14ac:dyDescent="0.2">
      <c r="A698" s="21">
        <v>809004</v>
      </c>
      <c r="B698" s="22">
        <v>385</v>
      </c>
    </row>
    <row r="699" spans="1:2" x14ac:dyDescent="0.2">
      <c r="A699" s="21">
        <v>809012</v>
      </c>
      <c r="B699" s="22">
        <v>106.5</v>
      </c>
    </row>
    <row r="700" spans="1:2" x14ac:dyDescent="0.2">
      <c r="A700" s="21">
        <v>809016</v>
      </c>
      <c r="B700" s="22">
        <v>170</v>
      </c>
    </row>
    <row r="701" spans="1:2" x14ac:dyDescent="0.2">
      <c r="A701" s="21">
        <v>809020</v>
      </c>
      <c r="B701" s="22">
        <v>344</v>
      </c>
    </row>
    <row r="702" spans="1:2" x14ac:dyDescent="0.2">
      <c r="A702" s="21">
        <v>809039</v>
      </c>
      <c r="B702" s="22">
        <v>122.5</v>
      </c>
    </row>
    <row r="703" spans="1:2" x14ac:dyDescent="0.2">
      <c r="A703" s="21">
        <v>809044</v>
      </c>
      <c r="B703" s="22">
        <v>574.5</v>
      </c>
    </row>
    <row r="704" spans="1:2" x14ac:dyDescent="0.2">
      <c r="A704" s="21">
        <v>809102</v>
      </c>
      <c r="B704" s="22">
        <v>282.60000000000002</v>
      </c>
    </row>
    <row r="705" spans="1:2" x14ac:dyDescent="0.2">
      <c r="A705" s="21">
        <v>809103</v>
      </c>
      <c r="B705" s="22">
        <v>130</v>
      </c>
    </row>
    <row r="706" spans="1:2" x14ac:dyDescent="0.2">
      <c r="A706" s="21">
        <v>809114</v>
      </c>
      <c r="B706" s="22">
        <v>197.5</v>
      </c>
    </row>
    <row r="707" spans="1:2" x14ac:dyDescent="0.2">
      <c r="A707" s="21">
        <v>809115</v>
      </c>
      <c r="B707" s="22">
        <v>870</v>
      </c>
    </row>
    <row r="708" spans="1:2" x14ac:dyDescent="0.2">
      <c r="A708" s="21">
        <v>809117</v>
      </c>
      <c r="B708" s="22">
        <v>0</v>
      </c>
    </row>
    <row r="709" spans="1:2" x14ac:dyDescent="0.2">
      <c r="A709" s="21">
        <v>809120</v>
      </c>
      <c r="B709" s="22">
        <v>0</v>
      </c>
    </row>
    <row r="710" spans="1:2" x14ac:dyDescent="0.2">
      <c r="A710" s="21">
        <v>809121</v>
      </c>
      <c r="B710" s="22">
        <v>0</v>
      </c>
    </row>
    <row r="711" spans="1:2" x14ac:dyDescent="0.2">
      <c r="A711" s="21">
        <v>809133</v>
      </c>
      <c r="B711" s="22">
        <v>272.75</v>
      </c>
    </row>
    <row r="712" spans="1:2" x14ac:dyDescent="0.2">
      <c r="A712" s="21">
        <v>809142</v>
      </c>
      <c r="B712" s="22">
        <v>957.5</v>
      </c>
    </row>
    <row r="713" spans="1:2" x14ac:dyDescent="0.2">
      <c r="A713" s="21">
        <v>809143</v>
      </c>
      <c r="B713" s="22">
        <v>10</v>
      </c>
    </row>
    <row r="714" spans="1:2" x14ac:dyDescent="0.2">
      <c r="A714" s="21">
        <v>809165</v>
      </c>
      <c r="B714" s="22">
        <v>67.5</v>
      </c>
    </row>
    <row r="715" spans="1:2" x14ac:dyDescent="0.2">
      <c r="A715" s="21">
        <v>809168</v>
      </c>
      <c r="B715" s="22">
        <v>0</v>
      </c>
    </row>
    <row r="716" spans="1:2" x14ac:dyDescent="0.2">
      <c r="A716" s="21">
        <v>809170</v>
      </c>
      <c r="B716" s="22">
        <v>54</v>
      </c>
    </row>
    <row r="717" spans="1:2" x14ac:dyDescent="0.2">
      <c r="A717" s="21">
        <v>809179</v>
      </c>
      <c r="B717" s="22">
        <v>0</v>
      </c>
    </row>
    <row r="718" spans="1:2" x14ac:dyDescent="0.2">
      <c r="A718" s="21">
        <v>809180</v>
      </c>
      <c r="B718" s="22">
        <v>10</v>
      </c>
    </row>
    <row r="719" spans="1:2" x14ac:dyDescent="0.2">
      <c r="A719" s="21">
        <v>809181</v>
      </c>
      <c r="B719" s="22">
        <v>0</v>
      </c>
    </row>
    <row r="720" spans="1:2" x14ac:dyDescent="0.2">
      <c r="A720" s="21">
        <v>809182</v>
      </c>
      <c r="B720" s="22">
        <v>111.2</v>
      </c>
    </row>
    <row r="721" spans="1:2" x14ac:dyDescent="0.2">
      <c r="A721" s="21">
        <v>809183</v>
      </c>
      <c r="B721" s="22">
        <v>628.5</v>
      </c>
    </row>
    <row r="722" spans="1:2" x14ac:dyDescent="0.2">
      <c r="A722" s="21">
        <v>809184</v>
      </c>
      <c r="B722" s="22">
        <v>115</v>
      </c>
    </row>
    <row r="723" spans="1:2" x14ac:dyDescent="0.2">
      <c r="A723" s="21">
        <v>809191</v>
      </c>
      <c r="B723" s="22">
        <v>454</v>
      </c>
    </row>
    <row r="724" spans="1:2" x14ac:dyDescent="0.2">
      <c r="A724" s="21">
        <v>809205</v>
      </c>
      <c r="B724" s="22">
        <v>65</v>
      </c>
    </row>
    <row r="725" spans="1:2" x14ac:dyDescent="0.2">
      <c r="A725" s="21">
        <v>809212</v>
      </c>
      <c r="B725" s="22">
        <v>85.5</v>
      </c>
    </row>
    <row r="726" spans="1:2" x14ac:dyDescent="0.2">
      <c r="A726" s="21">
        <v>809217</v>
      </c>
      <c r="B726" s="22">
        <v>398</v>
      </c>
    </row>
    <row r="727" spans="1:2" x14ac:dyDescent="0.2">
      <c r="A727" s="21">
        <v>809219</v>
      </c>
      <c r="B727" s="22">
        <v>281</v>
      </c>
    </row>
    <row r="728" spans="1:2" x14ac:dyDescent="0.2">
      <c r="A728" s="21">
        <v>809221</v>
      </c>
      <c r="B728" s="22">
        <v>0</v>
      </c>
    </row>
    <row r="729" spans="1:2" x14ac:dyDescent="0.2">
      <c r="A729" s="21">
        <v>809222</v>
      </c>
      <c r="B729" s="22">
        <v>0</v>
      </c>
    </row>
    <row r="730" spans="1:2" x14ac:dyDescent="0.2">
      <c r="A730" s="21">
        <v>809223</v>
      </c>
      <c r="B730" s="22">
        <v>43</v>
      </c>
    </row>
    <row r="731" spans="1:2" x14ac:dyDescent="0.2">
      <c r="A731" s="21">
        <v>809241</v>
      </c>
      <c r="B731" s="22">
        <v>194.5</v>
      </c>
    </row>
    <row r="732" spans="1:2" x14ac:dyDescent="0.2">
      <c r="A732" s="21">
        <v>809242</v>
      </c>
      <c r="B732" s="22">
        <v>57</v>
      </c>
    </row>
    <row r="733" spans="1:2" x14ac:dyDescent="0.2">
      <c r="A733" s="21">
        <v>809267</v>
      </c>
      <c r="B733" s="22">
        <v>588.5</v>
      </c>
    </row>
    <row r="734" spans="1:2" x14ac:dyDescent="0.2">
      <c r="A734" s="21">
        <v>809276</v>
      </c>
      <c r="B734" s="22">
        <v>10</v>
      </c>
    </row>
    <row r="735" spans="1:2" x14ac:dyDescent="0.2">
      <c r="A735" s="21">
        <v>809279</v>
      </c>
      <c r="B735" s="22">
        <v>0</v>
      </c>
    </row>
    <row r="736" spans="1:2" x14ac:dyDescent="0.2">
      <c r="A736" s="21">
        <v>809280</v>
      </c>
      <c r="B736" s="22">
        <v>165</v>
      </c>
    </row>
    <row r="737" spans="1:2" x14ac:dyDescent="0.2">
      <c r="A737" s="21">
        <v>809281</v>
      </c>
      <c r="B737" s="22">
        <v>204</v>
      </c>
    </row>
    <row r="738" spans="1:2" x14ac:dyDescent="0.2">
      <c r="A738" s="21">
        <v>809282</v>
      </c>
      <c r="B738" s="22">
        <v>465</v>
      </c>
    </row>
    <row r="739" spans="1:2" x14ac:dyDescent="0.2">
      <c r="A739" s="21">
        <v>809283</v>
      </c>
      <c r="B739" s="22">
        <v>759</v>
      </c>
    </row>
    <row r="740" spans="1:2" x14ac:dyDescent="0.2">
      <c r="A740" s="21">
        <v>809284</v>
      </c>
      <c r="B740" s="22">
        <v>137</v>
      </c>
    </row>
    <row r="741" spans="1:2" x14ac:dyDescent="0.2">
      <c r="A741" s="21">
        <v>809285</v>
      </c>
      <c r="B741" s="22">
        <v>396</v>
      </c>
    </row>
    <row r="742" spans="1:2" x14ac:dyDescent="0.2">
      <c r="A742" s="21">
        <v>809295</v>
      </c>
      <c r="B742" s="22">
        <v>1227.1000000000001</v>
      </c>
    </row>
    <row r="743" spans="1:2" x14ac:dyDescent="0.2">
      <c r="A743" s="21">
        <v>809312</v>
      </c>
      <c r="B743" s="22">
        <v>5</v>
      </c>
    </row>
    <row r="744" spans="1:2" x14ac:dyDescent="0.2">
      <c r="A744" s="21">
        <v>809315</v>
      </c>
      <c r="B744" s="22">
        <v>229</v>
      </c>
    </row>
    <row r="745" spans="1:2" x14ac:dyDescent="0.2">
      <c r="A745" s="21">
        <v>809325</v>
      </c>
      <c r="B745" s="22">
        <v>101.5</v>
      </c>
    </row>
    <row r="746" spans="1:2" x14ac:dyDescent="0.2">
      <c r="A746" s="21">
        <v>809326</v>
      </c>
      <c r="B746" s="22">
        <v>186.75</v>
      </c>
    </row>
    <row r="747" spans="1:2" x14ac:dyDescent="0.2">
      <c r="A747" s="21">
        <v>809327</v>
      </c>
      <c r="B747" s="22">
        <v>400.5</v>
      </c>
    </row>
    <row r="748" spans="1:2" x14ac:dyDescent="0.2">
      <c r="A748" s="21">
        <v>809330</v>
      </c>
      <c r="B748" s="22">
        <v>906.8</v>
      </c>
    </row>
    <row r="749" spans="1:2" x14ac:dyDescent="0.2">
      <c r="A749" s="21">
        <v>809332</v>
      </c>
      <c r="B749" s="22">
        <v>383.5</v>
      </c>
    </row>
    <row r="750" spans="1:2" x14ac:dyDescent="0.2">
      <c r="A750" s="21">
        <v>809333</v>
      </c>
      <c r="B750" s="22">
        <v>622.4</v>
      </c>
    </row>
    <row r="751" spans="1:2" x14ac:dyDescent="0.2">
      <c r="A751" s="21">
        <v>809334</v>
      </c>
      <c r="B751" s="22">
        <v>0</v>
      </c>
    </row>
    <row r="752" spans="1:2" x14ac:dyDescent="0.2">
      <c r="A752" s="21">
        <v>809338</v>
      </c>
      <c r="B752" s="22">
        <v>577</v>
      </c>
    </row>
    <row r="753" spans="1:2" x14ac:dyDescent="0.2">
      <c r="A753" s="21">
        <v>809348</v>
      </c>
      <c r="B753" s="22">
        <v>60</v>
      </c>
    </row>
    <row r="754" spans="1:2" x14ac:dyDescent="0.2">
      <c r="A754" s="21">
        <v>809350</v>
      </c>
      <c r="B754" s="22">
        <v>80</v>
      </c>
    </row>
    <row r="755" spans="1:2" x14ac:dyDescent="0.2">
      <c r="A755" s="21">
        <v>809354</v>
      </c>
      <c r="B755" s="22">
        <v>212.5</v>
      </c>
    </row>
    <row r="756" spans="1:2" x14ac:dyDescent="0.2">
      <c r="A756" s="21">
        <v>809361</v>
      </c>
      <c r="B756" s="22">
        <v>395.25</v>
      </c>
    </row>
    <row r="757" spans="1:2" x14ac:dyDescent="0.2">
      <c r="A757" s="21">
        <v>809368</v>
      </c>
      <c r="B757" s="22">
        <v>297</v>
      </c>
    </row>
    <row r="758" spans="1:2" x14ac:dyDescent="0.2">
      <c r="A758" s="21">
        <v>809394</v>
      </c>
      <c r="B758" s="22">
        <v>15</v>
      </c>
    </row>
    <row r="759" spans="1:2" x14ac:dyDescent="0.2">
      <c r="A759" s="21">
        <v>809411</v>
      </c>
      <c r="B759" s="22">
        <v>254.4</v>
      </c>
    </row>
    <row r="760" spans="1:2" x14ac:dyDescent="0.2">
      <c r="A760" s="21">
        <v>809413</v>
      </c>
      <c r="B760" s="22">
        <v>117.5</v>
      </c>
    </row>
    <row r="761" spans="1:2" x14ac:dyDescent="0.2">
      <c r="A761" s="21">
        <v>809418</v>
      </c>
      <c r="B761" s="22">
        <v>0</v>
      </c>
    </row>
    <row r="762" spans="1:2" x14ac:dyDescent="0.2">
      <c r="A762" s="21">
        <v>809420</v>
      </c>
      <c r="B762" s="22">
        <v>236.5</v>
      </c>
    </row>
    <row r="763" spans="1:2" x14ac:dyDescent="0.2">
      <c r="A763" s="21">
        <v>809421</v>
      </c>
      <c r="B763" s="22">
        <v>204.5</v>
      </c>
    </row>
    <row r="764" spans="1:2" x14ac:dyDescent="0.2">
      <c r="A764" s="21">
        <v>809422</v>
      </c>
      <c r="B764" s="22">
        <v>0</v>
      </c>
    </row>
    <row r="765" spans="1:2" x14ac:dyDescent="0.2">
      <c r="A765" s="21">
        <v>809423</v>
      </c>
      <c r="B765" s="22">
        <v>105</v>
      </c>
    </row>
    <row r="766" spans="1:2" x14ac:dyDescent="0.2">
      <c r="A766" s="21">
        <v>809424</v>
      </c>
      <c r="B766" s="22">
        <v>0</v>
      </c>
    </row>
    <row r="767" spans="1:2" x14ac:dyDescent="0.2">
      <c r="A767" s="21">
        <v>809426</v>
      </c>
      <c r="B767" s="22">
        <v>58</v>
      </c>
    </row>
    <row r="768" spans="1:2" x14ac:dyDescent="0.2">
      <c r="A768" s="21">
        <v>809438</v>
      </c>
      <c r="B768" s="22">
        <v>194</v>
      </c>
    </row>
    <row r="769" spans="1:2" x14ac:dyDescent="0.2">
      <c r="A769" s="21">
        <v>809439</v>
      </c>
      <c r="B769" s="22">
        <v>0</v>
      </c>
    </row>
    <row r="770" spans="1:2" x14ac:dyDescent="0.2">
      <c r="A770" s="21">
        <v>809455</v>
      </c>
      <c r="B770" s="22">
        <v>311.5</v>
      </c>
    </row>
    <row r="771" spans="1:2" x14ac:dyDescent="0.2">
      <c r="A771" s="21">
        <v>809457</v>
      </c>
      <c r="B771" s="22">
        <v>290</v>
      </c>
    </row>
    <row r="772" spans="1:2" x14ac:dyDescent="0.2">
      <c r="A772" s="21">
        <v>809459</v>
      </c>
      <c r="B772" s="22">
        <v>96</v>
      </c>
    </row>
    <row r="773" spans="1:2" x14ac:dyDescent="0.2">
      <c r="A773" s="21">
        <v>809466</v>
      </c>
      <c r="B773" s="22">
        <v>315</v>
      </c>
    </row>
    <row r="774" spans="1:2" x14ac:dyDescent="0.2">
      <c r="A774" s="21">
        <v>809467</v>
      </c>
      <c r="B774" s="22">
        <v>170</v>
      </c>
    </row>
    <row r="775" spans="1:2" x14ac:dyDescent="0.2">
      <c r="A775" s="21">
        <v>809471</v>
      </c>
      <c r="B775" s="22">
        <v>37</v>
      </c>
    </row>
    <row r="776" spans="1:2" x14ac:dyDescent="0.2">
      <c r="A776" s="21">
        <v>809476</v>
      </c>
      <c r="B776" s="22">
        <v>40</v>
      </c>
    </row>
    <row r="777" spans="1:2" x14ac:dyDescent="0.2">
      <c r="A777" s="21">
        <v>809479</v>
      </c>
      <c r="B777" s="22">
        <v>200.25</v>
      </c>
    </row>
    <row r="778" spans="1:2" x14ac:dyDescent="0.2">
      <c r="A778" s="21">
        <v>809506</v>
      </c>
      <c r="B778" s="22">
        <v>686.85</v>
      </c>
    </row>
    <row r="779" spans="1:2" x14ac:dyDescent="0.2">
      <c r="A779" s="21">
        <v>809507</v>
      </c>
      <c r="B779" s="22">
        <v>339.25</v>
      </c>
    </row>
    <row r="780" spans="1:2" x14ac:dyDescent="0.2">
      <c r="A780" s="21">
        <v>809527</v>
      </c>
      <c r="B780" s="22">
        <v>192</v>
      </c>
    </row>
    <row r="781" spans="1:2" x14ac:dyDescent="0.2">
      <c r="A781" s="21">
        <v>809529</v>
      </c>
      <c r="B781" s="22">
        <v>345</v>
      </c>
    </row>
    <row r="782" spans="1:2" x14ac:dyDescent="0.2">
      <c r="A782" s="21">
        <v>809532</v>
      </c>
      <c r="B782" s="22">
        <v>93</v>
      </c>
    </row>
    <row r="783" spans="1:2" x14ac:dyDescent="0.2">
      <c r="A783" s="21">
        <v>809534</v>
      </c>
      <c r="B783" s="22">
        <v>75.25</v>
      </c>
    </row>
    <row r="784" spans="1:2" x14ac:dyDescent="0.2">
      <c r="A784" s="21">
        <v>809550</v>
      </c>
      <c r="B784" s="22">
        <v>311.5</v>
      </c>
    </row>
    <row r="785" spans="1:2" x14ac:dyDescent="0.2">
      <c r="A785" s="21">
        <v>809551</v>
      </c>
      <c r="B785" s="22">
        <v>95.5</v>
      </c>
    </row>
    <row r="786" spans="1:2" x14ac:dyDescent="0.2">
      <c r="A786" s="21">
        <v>809552</v>
      </c>
      <c r="B786" s="22">
        <v>618.95000000000005</v>
      </c>
    </row>
    <row r="787" spans="1:2" x14ac:dyDescent="0.2">
      <c r="A787" s="21">
        <v>809569</v>
      </c>
      <c r="B787" s="22">
        <v>5</v>
      </c>
    </row>
    <row r="788" spans="1:2" x14ac:dyDescent="0.2">
      <c r="A788" s="21">
        <v>809577</v>
      </c>
      <c r="B788" s="22">
        <v>532.15</v>
      </c>
    </row>
    <row r="789" spans="1:2" x14ac:dyDescent="0.2">
      <c r="A789" s="21">
        <v>809578</v>
      </c>
      <c r="B789" s="22">
        <v>484.5</v>
      </c>
    </row>
    <row r="790" spans="1:2" x14ac:dyDescent="0.2">
      <c r="A790" s="21">
        <v>809579</v>
      </c>
      <c r="B790" s="22">
        <v>2341.15</v>
      </c>
    </row>
    <row r="791" spans="1:2" x14ac:dyDescent="0.2">
      <c r="A791" s="21">
        <v>809580</v>
      </c>
      <c r="B791" s="22">
        <v>0</v>
      </c>
    </row>
    <row r="792" spans="1:2" x14ac:dyDescent="0.2">
      <c r="A792" s="21">
        <v>809617</v>
      </c>
      <c r="B792" s="22">
        <v>12.5</v>
      </c>
    </row>
    <row r="793" spans="1:2" x14ac:dyDescent="0.2">
      <c r="A793" s="21">
        <v>809618</v>
      </c>
      <c r="B793" s="22">
        <v>65.5</v>
      </c>
    </row>
    <row r="794" spans="1:2" x14ac:dyDescent="0.2">
      <c r="A794" s="21">
        <v>809620</v>
      </c>
      <c r="B794" s="22">
        <v>0</v>
      </c>
    </row>
    <row r="795" spans="1:2" x14ac:dyDescent="0.2">
      <c r="A795" s="21">
        <v>809621</v>
      </c>
      <c r="B795" s="22">
        <v>345.5</v>
      </c>
    </row>
    <row r="796" spans="1:2" x14ac:dyDescent="0.2">
      <c r="A796" s="21">
        <v>809622</v>
      </c>
      <c r="B796" s="22">
        <v>25</v>
      </c>
    </row>
    <row r="797" spans="1:2" x14ac:dyDescent="0.2">
      <c r="A797" s="21">
        <v>809643</v>
      </c>
      <c r="B797" s="22">
        <v>52.5</v>
      </c>
    </row>
    <row r="798" spans="1:2" x14ac:dyDescent="0.2">
      <c r="A798" s="21">
        <v>809644</v>
      </c>
      <c r="B798" s="22">
        <v>55</v>
      </c>
    </row>
    <row r="799" spans="1:2" x14ac:dyDescent="0.2">
      <c r="A799" s="21">
        <v>809656</v>
      </c>
      <c r="B799" s="22">
        <v>0</v>
      </c>
    </row>
    <row r="800" spans="1:2" x14ac:dyDescent="0.2">
      <c r="A800" s="21">
        <v>809735</v>
      </c>
      <c r="B800" s="22">
        <v>337.65</v>
      </c>
    </row>
    <row r="801" spans="1:2" x14ac:dyDescent="0.2">
      <c r="A801" s="21">
        <v>809736</v>
      </c>
      <c r="B801" s="22">
        <v>0</v>
      </c>
    </row>
    <row r="802" spans="1:2" x14ac:dyDescent="0.2">
      <c r="A802" s="21">
        <v>809778</v>
      </c>
      <c r="B802" s="22">
        <v>436</v>
      </c>
    </row>
    <row r="803" spans="1:2" x14ac:dyDescent="0.2">
      <c r="A803" s="21">
        <v>809780</v>
      </c>
      <c r="B803" s="22">
        <v>416.5</v>
      </c>
    </row>
    <row r="804" spans="1:2" x14ac:dyDescent="0.2">
      <c r="A804" s="21">
        <v>809781</v>
      </c>
      <c r="B804" s="22">
        <v>200</v>
      </c>
    </row>
    <row r="805" spans="1:2" x14ac:dyDescent="0.2">
      <c r="A805" s="21">
        <v>809785</v>
      </c>
      <c r="B805" s="22">
        <v>631.79999999999995</v>
      </c>
    </row>
    <row r="806" spans="1:2" x14ac:dyDescent="0.2">
      <c r="A806" s="21">
        <v>809794</v>
      </c>
      <c r="B806" s="22">
        <v>716</v>
      </c>
    </row>
    <row r="807" spans="1:2" x14ac:dyDescent="0.2">
      <c r="A807" s="21">
        <v>809860</v>
      </c>
      <c r="B807" s="22">
        <v>476</v>
      </c>
    </row>
    <row r="808" spans="1:2" x14ac:dyDescent="0.2">
      <c r="A808" s="21">
        <v>809892</v>
      </c>
      <c r="B808" s="22">
        <v>20</v>
      </c>
    </row>
    <row r="809" spans="1:2" x14ac:dyDescent="0.2">
      <c r="A809" s="21">
        <v>809893</v>
      </c>
      <c r="B809" s="22">
        <v>682</v>
      </c>
    </row>
    <row r="810" spans="1:2" x14ac:dyDescent="0.2">
      <c r="A810" s="21">
        <v>809906</v>
      </c>
      <c r="B810" s="22">
        <v>21.95</v>
      </c>
    </row>
    <row r="811" spans="1:2" x14ac:dyDescent="0.2">
      <c r="A811" s="21">
        <v>809907</v>
      </c>
      <c r="B811" s="22">
        <v>672</v>
      </c>
    </row>
    <row r="812" spans="1:2" x14ac:dyDescent="0.2">
      <c r="A812" s="21">
        <v>809908</v>
      </c>
      <c r="B812" s="22">
        <v>436.5</v>
      </c>
    </row>
    <row r="813" spans="1:2" x14ac:dyDescent="0.2">
      <c r="A813" s="21">
        <v>809909</v>
      </c>
      <c r="B813" s="22">
        <v>35</v>
      </c>
    </row>
    <row r="814" spans="1:2" x14ac:dyDescent="0.2">
      <c r="A814" s="21">
        <v>809916</v>
      </c>
      <c r="B814" s="22">
        <v>115</v>
      </c>
    </row>
    <row r="815" spans="1:2" x14ac:dyDescent="0.2">
      <c r="A815" s="21">
        <v>809917</v>
      </c>
      <c r="B815" s="22">
        <v>1176.3499999999999</v>
      </c>
    </row>
    <row r="816" spans="1:2" x14ac:dyDescent="0.2">
      <c r="A816" s="21">
        <v>809918</v>
      </c>
      <c r="B816" s="22">
        <v>998.8</v>
      </c>
    </row>
    <row r="817" spans="1:2" x14ac:dyDescent="0.2">
      <c r="A817" s="21">
        <v>809983</v>
      </c>
      <c r="B817" s="22">
        <v>140</v>
      </c>
    </row>
    <row r="818" spans="1:2" x14ac:dyDescent="0.2">
      <c r="A818" s="21">
        <v>809984</v>
      </c>
      <c r="B818" s="22">
        <v>274.3</v>
      </c>
    </row>
    <row r="819" spans="1:2" x14ac:dyDescent="0.2">
      <c r="A819" s="21">
        <v>809985</v>
      </c>
      <c r="B819" s="22">
        <v>31</v>
      </c>
    </row>
    <row r="820" spans="1:2" x14ac:dyDescent="0.2">
      <c r="A820" s="21">
        <v>809986</v>
      </c>
      <c r="B820" s="22">
        <v>295</v>
      </c>
    </row>
    <row r="821" spans="1:2" x14ac:dyDescent="0.2">
      <c r="A821" s="21">
        <v>809988</v>
      </c>
      <c r="B821" s="22">
        <v>250</v>
      </c>
    </row>
    <row r="822" spans="1:2" x14ac:dyDescent="0.2">
      <c r="A822" s="21">
        <v>809989</v>
      </c>
      <c r="B822" s="22">
        <v>508.75</v>
      </c>
    </row>
    <row r="823" spans="1:2" x14ac:dyDescent="0.2">
      <c r="A823" s="21">
        <v>810055</v>
      </c>
      <c r="B823" s="22">
        <v>133</v>
      </c>
    </row>
    <row r="824" spans="1:2" x14ac:dyDescent="0.2">
      <c r="A824" s="21">
        <v>810084</v>
      </c>
      <c r="B824" s="22">
        <v>39.6</v>
      </c>
    </row>
    <row r="825" spans="1:2" x14ac:dyDescent="0.2">
      <c r="A825" s="21">
        <v>810094</v>
      </c>
      <c r="B825" s="22">
        <v>163.5</v>
      </c>
    </row>
    <row r="826" spans="1:2" x14ac:dyDescent="0.2">
      <c r="A826" s="21">
        <v>810104</v>
      </c>
      <c r="B826" s="22">
        <v>0</v>
      </c>
    </row>
    <row r="827" spans="1:2" x14ac:dyDescent="0.2">
      <c r="A827" s="21">
        <v>810105</v>
      </c>
      <c r="B827" s="22">
        <v>453.15</v>
      </c>
    </row>
    <row r="828" spans="1:2" x14ac:dyDescent="0.2">
      <c r="A828" s="21">
        <v>810120</v>
      </c>
      <c r="B828" s="22">
        <v>389</v>
      </c>
    </row>
    <row r="829" spans="1:2" x14ac:dyDescent="0.2">
      <c r="A829" s="21">
        <v>810122</v>
      </c>
      <c r="B829" s="22">
        <v>20</v>
      </c>
    </row>
    <row r="830" spans="1:2" x14ac:dyDescent="0.2">
      <c r="A830" s="21">
        <v>810127</v>
      </c>
      <c r="B830" s="22">
        <v>243.75</v>
      </c>
    </row>
    <row r="831" spans="1:2" x14ac:dyDescent="0.2">
      <c r="A831" s="21">
        <v>810128</v>
      </c>
      <c r="B831" s="22">
        <v>91</v>
      </c>
    </row>
    <row r="832" spans="1:2" x14ac:dyDescent="0.2">
      <c r="A832" s="21">
        <v>810129</v>
      </c>
      <c r="B832" s="22">
        <v>165</v>
      </c>
    </row>
    <row r="833" spans="1:2" x14ac:dyDescent="0.2">
      <c r="A833" s="21">
        <v>810130</v>
      </c>
      <c r="B833" s="22">
        <v>104.3</v>
      </c>
    </row>
    <row r="834" spans="1:2" x14ac:dyDescent="0.2">
      <c r="A834" s="21">
        <v>810131</v>
      </c>
      <c r="B834" s="22">
        <v>0</v>
      </c>
    </row>
    <row r="835" spans="1:2" x14ac:dyDescent="0.2">
      <c r="A835" s="21">
        <v>810132</v>
      </c>
      <c r="B835" s="22">
        <v>0</v>
      </c>
    </row>
    <row r="836" spans="1:2" x14ac:dyDescent="0.2">
      <c r="A836" s="21">
        <v>810155</v>
      </c>
      <c r="B836" s="22">
        <v>614</v>
      </c>
    </row>
    <row r="837" spans="1:2" x14ac:dyDescent="0.2">
      <c r="A837" s="21">
        <v>810157</v>
      </c>
      <c r="B837" s="22">
        <v>994</v>
      </c>
    </row>
    <row r="838" spans="1:2" x14ac:dyDescent="0.2">
      <c r="A838" s="21">
        <v>810158</v>
      </c>
      <c r="B838" s="22">
        <v>15</v>
      </c>
    </row>
    <row r="839" spans="1:2" x14ac:dyDescent="0.2">
      <c r="A839" s="21">
        <v>810159</v>
      </c>
      <c r="B839" s="22">
        <v>328.5</v>
      </c>
    </row>
    <row r="840" spans="1:2" x14ac:dyDescent="0.2">
      <c r="A840" s="21">
        <v>810182</v>
      </c>
      <c r="B840" s="22">
        <v>488</v>
      </c>
    </row>
    <row r="841" spans="1:2" x14ac:dyDescent="0.2">
      <c r="A841" s="21">
        <v>810221</v>
      </c>
      <c r="B841" s="22">
        <v>565</v>
      </c>
    </row>
    <row r="842" spans="1:2" x14ac:dyDescent="0.2">
      <c r="A842" s="21">
        <v>810222</v>
      </c>
      <c r="B842" s="22">
        <v>274.5</v>
      </c>
    </row>
    <row r="843" spans="1:2" x14ac:dyDescent="0.2">
      <c r="A843" s="21">
        <v>810223</v>
      </c>
      <c r="B843" s="22">
        <v>535.4</v>
      </c>
    </row>
    <row r="844" spans="1:2" x14ac:dyDescent="0.2">
      <c r="A844" s="21">
        <v>810224</v>
      </c>
      <c r="B844" s="22">
        <v>114</v>
      </c>
    </row>
    <row r="845" spans="1:2" x14ac:dyDescent="0.2">
      <c r="A845" s="21">
        <v>810225</v>
      </c>
      <c r="B845" s="22">
        <v>259</v>
      </c>
    </row>
    <row r="846" spans="1:2" x14ac:dyDescent="0.2">
      <c r="A846" s="21">
        <v>810242</v>
      </c>
      <c r="B846" s="22">
        <v>2940.95</v>
      </c>
    </row>
    <row r="847" spans="1:2" x14ac:dyDescent="0.2">
      <c r="A847" s="21">
        <v>810274</v>
      </c>
      <c r="B847" s="22">
        <v>323</v>
      </c>
    </row>
    <row r="848" spans="1:2" x14ac:dyDescent="0.2">
      <c r="A848" s="21">
        <v>810298</v>
      </c>
      <c r="B848" s="22">
        <v>0</v>
      </c>
    </row>
    <row r="849" spans="1:2" x14ac:dyDescent="0.2">
      <c r="A849" s="21">
        <v>810299</v>
      </c>
      <c r="B849" s="22">
        <v>80</v>
      </c>
    </row>
    <row r="850" spans="1:2" x14ac:dyDescent="0.2">
      <c r="A850" s="21">
        <v>810304</v>
      </c>
      <c r="B850" s="22">
        <v>1</v>
      </c>
    </row>
    <row r="851" spans="1:2" x14ac:dyDescent="0.2">
      <c r="A851" s="21">
        <v>810305</v>
      </c>
      <c r="B851" s="22">
        <v>477.75</v>
      </c>
    </row>
    <row r="852" spans="1:2" x14ac:dyDescent="0.2">
      <c r="A852" s="21">
        <v>810324</v>
      </c>
      <c r="B852" s="22">
        <v>115</v>
      </c>
    </row>
    <row r="853" spans="1:2" x14ac:dyDescent="0.2">
      <c r="A853" s="21">
        <v>810348</v>
      </c>
      <c r="B853" s="22">
        <v>30</v>
      </c>
    </row>
    <row r="854" spans="1:2" x14ac:dyDescent="0.2">
      <c r="A854" s="21">
        <v>810376</v>
      </c>
      <c r="B854" s="22">
        <v>0</v>
      </c>
    </row>
    <row r="855" spans="1:2" x14ac:dyDescent="0.2">
      <c r="A855" s="21">
        <v>810377</v>
      </c>
      <c r="B855" s="22">
        <v>264</v>
      </c>
    </row>
    <row r="856" spans="1:2" x14ac:dyDescent="0.2">
      <c r="A856" s="21">
        <v>810386</v>
      </c>
      <c r="B856" s="22">
        <v>92</v>
      </c>
    </row>
    <row r="857" spans="1:2" x14ac:dyDescent="0.2">
      <c r="A857" s="21">
        <v>810387</v>
      </c>
      <c r="B857" s="22">
        <v>231</v>
      </c>
    </row>
    <row r="858" spans="1:2" x14ac:dyDescent="0.2">
      <c r="A858" s="21">
        <v>810434</v>
      </c>
      <c r="B858" s="22">
        <v>391.15</v>
      </c>
    </row>
    <row r="859" spans="1:2" x14ac:dyDescent="0.2">
      <c r="A859" s="21">
        <v>810435</v>
      </c>
      <c r="B859" s="22">
        <v>75</v>
      </c>
    </row>
    <row r="860" spans="1:2" x14ac:dyDescent="0.2">
      <c r="A860" s="21">
        <v>810475</v>
      </c>
      <c r="B860" s="22">
        <v>20</v>
      </c>
    </row>
    <row r="861" spans="1:2" x14ac:dyDescent="0.2">
      <c r="A861" s="21">
        <v>810480</v>
      </c>
      <c r="B861" s="22">
        <v>111.5</v>
      </c>
    </row>
    <row r="862" spans="1:2" x14ac:dyDescent="0.2">
      <c r="A862" s="21">
        <v>810481</v>
      </c>
      <c r="B862" s="22">
        <v>18</v>
      </c>
    </row>
    <row r="863" spans="1:2" x14ac:dyDescent="0.2">
      <c r="A863" s="21">
        <v>810510</v>
      </c>
      <c r="B863" s="22">
        <v>45</v>
      </c>
    </row>
    <row r="864" spans="1:2" x14ac:dyDescent="0.2">
      <c r="A864" s="21">
        <v>810511</v>
      </c>
      <c r="B864" s="22">
        <v>857.5</v>
      </c>
    </row>
    <row r="865" spans="1:2" x14ac:dyDescent="0.2">
      <c r="A865" s="21">
        <v>810512</v>
      </c>
      <c r="B865" s="22">
        <v>36</v>
      </c>
    </row>
    <row r="866" spans="1:2" x14ac:dyDescent="0.2">
      <c r="A866" s="21">
        <v>810513</v>
      </c>
      <c r="B866" s="22">
        <v>374.5</v>
      </c>
    </row>
    <row r="867" spans="1:2" x14ac:dyDescent="0.2">
      <c r="A867" s="21">
        <v>810533</v>
      </c>
      <c r="B867" s="22">
        <v>29</v>
      </c>
    </row>
    <row r="868" spans="1:2" x14ac:dyDescent="0.2">
      <c r="A868" s="21">
        <v>810551</v>
      </c>
      <c r="B868" s="22">
        <v>35</v>
      </c>
    </row>
    <row r="869" spans="1:2" x14ac:dyDescent="0.2">
      <c r="A869" s="21">
        <v>810558</v>
      </c>
      <c r="B869" s="22">
        <v>70</v>
      </c>
    </row>
    <row r="870" spans="1:2" x14ac:dyDescent="0.2">
      <c r="A870" s="21">
        <v>810559</v>
      </c>
      <c r="B870" s="22">
        <v>30</v>
      </c>
    </row>
    <row r="871" spans="1:2" x14ac:dyDescent="0.2">
      <c r="A871" s="21">
        <v>810560</v>
      </c>
      <c r="B871" s="22">
        <v>113</v>
      </c>
    </row>
    <row r="872" spans="1:2" x14ac:dyDescent="0.2">
      <c r="A872" s="21">
        <v>810583</v>
      </c>
      <c r="B872" s="22">
        <v>48</v>
      </c>
    </row>
    <row r="873" spans="1:2" x14ac:dyDescent="0.2">
      <c r="A873" s="21">
        <v>810584</v>
      </c>
      <c r="B873" s="22">
        <v>388</v>
      </c>
    </row>
    <row r="874" spans="1:2" x14ac:dyDescent="0.2">
      <c r="A874" s="21">
        <v>810595</v>
      </c>
      <c r="B874" s="22">
        <v>201.65</v>
      </c>
    </row>
    <row r="875" spans="1:2" x14ac:dyDescent="0.2">
      <c r="A875" s="21">
        <v>810596</v>
      </c>
      <c r="B875" s="22">
        <v>437</v>
      </c>
    </row>
    <row r="876" spans="1:2" x14ac:dyDescent="0.2">
      <c r="A876" s="21">
        <v>810597</v>
      </c>
      <c r="B876" s="22">
        <v>101</v>
      </c>
    </row>
    <row r="877" spans="1:2" x14ac:dyDescent="0.2">
      <c r="A877" s="21">
        <v>810647</v>
      </c>
      <c r="B877" s="22">
        <v>417</v>
      </c>
    </row>
    <row r="878" spans="1:2" x14ac:dyDescent="0.2">
      <c r="A878" s="21">
        <v>810648</v>
      </c>
      <c r="B878" s="22">
        <v>11</v>
      </c>
    </row>
    <row r="879" spans="1:2" x14ac:dyDescent="0.2">
      <c r="A879" s="21">
        <v>810653</v>
      </c>
      <c r="B879" s="22">
        <v>336.45</v>
      </c>
    </row>
    <row r="880" spans="1:2" x14ac:dyDescent="0.2">
      <c r="A880" s="21">
        <v>810683</v>
      </c>
      <c r="B880" s="22">
        <v>512.29999999999995</v>
      </c>
    </row>
    <row r="881" spans="1:2" x14ac:dyDescent="0.2">
      <c r="A881" s="21">
        <v>810684</v>
      </c>
      <c r="B881" s="22">
        <v>35</v>
      </c>
    </row>
    <row r="882" spans="1:2" x14ac:dyDescent="0.2">
      <c r="A882" s="21">
        <v>810685</v>
      </c>
      <c r="B882" s="22">
        <v>174</v>
      </c>
    </row>
    <row r="883" spans="1:2" x14ac:dyDescent="0.2">
      <c r="A883" s="21">
        <v>810686</v>
      </c>
      <c r="B883" s="22">
        <v>361</v>
      </c>
    </row>
    <row r="884" spans="1:2" x14ac:dyDescent="0.2">
      <c r="A884" s="21">
        <v>810700</v>
      </c>
      <c r="B884" s="22">
        <v>65</v>
      </c>
    </row>
    <row r="885" spans="1:2" x14ac:dyDescent="0.2">
      <c r="A885" s="21">
        <v>810734</v>
      </c>
      <c r="B885" s="22">
        <v>41.5</v>
      </c>
    </row>
    <row r="886" spans="1:2" x14ac:dyDescent="0.2">
      <c r="A886" s="21">
        <v>810741</v>
      </c>
      <c r="B886" s="22">
        <v>25.5</v>
      </c>
    </row>
    <row r="887" spans="1:2" x14ac:dyDescent="0.2">
      <c r="A887" s="21">
        <v>810751</v>
      </c>
      <c r="B887" s="22">
        <v>15</v>
      </c>
    </row>
    <row r="888" spans="1:2" x14ac:dyDescent="0.2">
      <c r="A888" s="21">
        <v>810756</v>
      </c>
      <c r="B888" s="22">
        <v>0</v>
      </c>
    </row>
    <row r="889" spans="1:2" x14ac:dyDescent="0.2">
      <c r="A889" s="21">
        <v>810762</v>
      </c>
      <c r="B889" s="22">
        <v>352</v>
      </c>
    </row>
    <row r="890" spans="1:2" x14ac:dyDescent="0.2">
      <c r="A890" s="21">
        <v>810798</v>
      </c>
      <c r="B890" s="22">
        <v>1069.8</v>
      </c>
    </row>
    <row r="891" spans="1:2" x14ac:dyDescent="0.2">
      <c r="A891" s="21">
        <v>810799</v>
      </c>
      <c r="B891" s="22">
        <v>168.65</v>
      </c>
    </row>
    <row r="892" spans="1:2" x14ac:dyDescent="0.2">
      <c r="A892" s="21">
        <v>810821</v>
      </c>
      <c r="B892" s="22">
        <v>320.7</v>
      </c>
    </row>
    <row r="893" spans="1:2" x14ac:dyDescent="0.2">
      <c r="A893" s="21">
        <v>810830</v>
      </c>
      <c r="B893" s="22">
        <v>157</v>
      </c>
    </row>
    <row r="894" spans="1:2" x14ac:dyDescent="0.2">
      <c r="A894" s="21">
        <v>810839</v>
      </c>
      <c r="B894" s="22">
        <v>860</v>
      </c>
    </row>
    <row r="895" spans="1:2" x14ac:dyDescent="0.2">
      <c r="A895" s="21">
        <v>810840</v>
      </c>
      <c r="B895" s="22">
        <v>600</v>
      </c>
    </row>
    <row r="896" spans="1:2" x14ac:dyDescent="0.2">
      <c r="A896" s="21">
        <v>810841</v>
      </c>
      <c r="B896" s="22">
        <v>628.5</v>
      </c>
    </row>
    <row r="897" spans="1:2" x14ac:dyDescent="0.2">
      <c r="A897" s="21">
        <v>810843</v>
      </c>
      <c r="B897" s="22">
        <v>112.95</v>
      </c>
    </row>
    <row r="898" spans="1:2" x14ac:dyDescent="0.2">
      <c r="A898" s="21">
        <v>810852</v>
      </c>
      <c r="B898" s="22">
        <v>3.5</v>
      </c>
    </row>
    <row r="899" spans="1:2" x14ac:dyDescent="0.2">
      <c r="A899" s="21">
        <v>810871</v>
      </c>
      <c r="B899" s="22">
        <v>67.5</v>
      </c>
    </row>
    <row r="900" spans="1:2" x14ac:dyDescent="0.2">
      <c r="A900" s="21">
        <v>810894</v>
      </c>
      <c r="B900" s="22">
        <v>432.95</v>
      </c>
    </row>
    <row r="901" spans="1:2" x14ac:dyDescent="0.2">
      <c r="A901" s="21">
        <v>810896</v>
      </c>
      <c r="B901" s="22">
        <v>67.5</v>
      </c>
    </row>
    <row r="902" spans="1:2" x14ac:dyDescent="0.2">
      <c r="A902" s="21">
        <v>810897</v>
      </c>
      <c r="B902" s="22">
        <v>1038.5</v>
      </c>
    </row>
    <row r="903" spans="1:2" x14ac:dyDescent="0.2">
      <c r="A903" s="21">
        <v>810898</v>
      </c>
      <c r="B903" s="22">
        <v>311</v>
      </c>
    </row>
    <row r="904" spans="1:2" x14ac:dyDescent="0.2">
      <c r="A904" s="21">
        <v>810899</v>
      </c>
      <c r="B904" s="22">
        <v>289</v>
      </c>
    </row>
    <row r="905" spans="1:2" x14ac:dyDescent="0.2">
      <c r="A905" s="21">
        <v>810901</v>
      </c>
      <c r="B905" s="22">
        <v>700.5</v>
      </c>
    </row>
    <row r="906" spans="1:2" x14ac:dyDescent="0.2">
      <c r="A906" s="21">
        <v>810902</v>
      </c>
      <c r="B906" s="22">
        <v>450</v>
      </c>
    </row>
    <row r="907" spans="1:2" x14ac:dyDescent="0.2">
      <c r="A907" s="21">
        <v>810906</v>
      </c>
      <c r="B907" s="22">
        <v>10</v>
      </c>
    </row>
    <row r="908" spans="1:2" x14ac:dyDescent="0.2">
      <c r="A908" s="21">
        <v>810907</v>
      </c>
      <c r="B908" s="22">
        <v>45</v>
      </c>
    </row>
    <row r="909" spans="1:2" x14ac:dyDescent="0.2">
      <c r="A909" s="21">
        <v>810908</v>
      </c>
      <c r="B909" s="22">
        <v>355.5</v>
      </c>
    </row>
    <row r="910" spans="1:2" x14ac:dyDescent="0.2">
      <c r="A910" s="21">
        <v>810913</v>
      </c>
      <c r="B910" s="22">
        <v>40</v>
      </c>
    </row>
    <row r="911" spans="1:2" x14ac:dyDescent="0.2">
      <c r="A911" s="21">
        <v>810914</v>
      </c>
      <c r="B911" s="22">
        <v>25</v>
      </c>
    </row>
    <row r="912" spans="1:2" x14ac:dyDescent="0.2">
      <c r="A912" s="21">
        <v>810919</v>
      </c>
      <c r="B912" s="22">
        <v>30</v>
      </c>
    </row>
    <row r="913" spans="1:2" x14ac:dyDescent="0.2">
      <c r="A913" s="21">
        <v>810920</v>
      </c>
      <c r="B913" s="22">
        <v>219</v>
      </c>
    </row>
    <row r="914" spans="1:2" x14ac:dyDescent="0.2">
      <c r="A914" s="21">
        <v>810922</v>
      </c>
      <c r="B914" s="22">
        <v>0</v>
      </c>
    </row>
    <row r="915" spans="1:2" x14ac:dyDescent="0.2">
      <c r="A915" s="21">
        <v>810951</v>
      </c>
      <c r="B915" s="22">
        <v>1353</v>
      </c>
    </row>
    <row r="916" spans="1:2" x14ac:dyDescent="0.2">
      <c r="A916" s="21">
        <v>810952</v>
      </c>
      <c r="B916" s="22">
        <v>255</v>
      </c>
    </row>
    <row r="917" spans="1:2" x14ac:dyDescent="0.2">
      <c r="A917" s="21">
        <v>810953</v>
      </c>
      <c r="B917" s="22">
        <v>197.5</v>
      </c>
    </row>
    <row r="918" spans="1:2" x14ac:dyDescent="0.2">
      <c r="A918" s="21">
        <v>810954</v>
      </c>
      <c r="B918" s="22">
        <v>0</v>
      </c>
    </row>
    <row r="919" spans="1:2" x14ac:dyDescent="0.2">
      <c r="A919" s="21">
        <v>810956</v>
      </c>
      <c r="B919" s="22">
        <v>252</v>
      </c>
    </row>
    <row r="920" spans="1:2" x14ac:dyDescent="0.2">
      <c r="A920" s="21">
        <v>810958</v>
      </c>
      <c r="B920" s="22">
        <v>592.25</v>
      </c>
    </row>
    <row r="921" spans="1:2" x14ac:dyDescent="0.2">
      <c r="A921" s="21">
        <v>810991</v>
      </c>
      <c r="B921" s="22">
        <v>276.5</v>
      </c>
    </row>
    <row r="922" spans="1:2" x14ac:dyDescent="0.2">
      <c r="A922" s="21">
        <v>811032</v>
      </c>
      <c r="B922" s="22">
        <v>433</v>
      </c>
    </row>
    <row r="923" spans="1:2" x14ac:dyDescent="0.2">
      <c r="A923" s="21">
        <v>811033</v>
      </c>
      <c r="B923" s="22">
        <v>10</v>
      </c>
    </row>
    <row r="924" spans="1:2" x14ac:dyDescent="0.2">
      <c r="A924" s="21">
        <v>811034</v>
      </c>
      <c r="B924" s="22">
        <v>0</v>
      </c>
    </row>
    <row r="925" spans="1:2" x14ac:dyDescent="0.2">
      <c r="A925" s="21">
        <v>811036</v>
      </c>
      <c r="B925" s="22">
        <v>0</v>
      </c>
    </row>
    <row r="926" spans="1:2" x14ac:dyDescent="0.2">
      <c r="A926" s="21">
        <v>811037</v>
      </c>
      <c r="B926" s="22">
        <v>282.5</v>
      </c>
    </row>
    <row r="927" spans="1:2" x14ac:dyDescent="0.2">
      <c r="A927" s="21">
        <v>811038</v>
      </c>
      <c r="B927" s="22">
        <v>0</v>
      </c>
    </row>
    <row r="928" spans="1:2" x14ac:dyDescent="0.2">
      <c r="A928" s="21">
        <v>811045</v>
      </c>
      <c r="B928" s="22">
        <v>205</v>
      </c>
    </row>
    <row r="929" spans="1:2" x14ac:dyDescent="0.2">
      <c r="A929" s="21">
        <v>811047</v>
      </c>
      <c r="B929" s="22">
        <v>292</v>
      </c>
    </row>
    <row r="930" spans="1:2" x14ac:dyDescent="0.2">
      <c r="A930" s="21">
        <v>811049</v>
      </c>
      <c r="B930" s="22">
        <v>220</v>
      </c>
    </row>
    <row r="931" spans="1:2" x14ac:dyDescent="0.2">
      <c r="A931" s="21">
        <v>811051</v>
      </c>
      <c r="B931" s="22">
        <v>15</v>
      </c>
    </row>
    <row r="932" spans="1:2" x14ac:dyDescent="0.2">
      <c r="A932" s="21">
        <v>811052</v>
      </c>
      <c r="B932" s="22">
        <v>5</v>
      </c>
    </row>
    <row r="933" spans="1:2" x14ac:dyDescent="0.2">
      <c r="A933" s="21">
        <v>811064</v>
      </c>
      <c r="B933" s="22">
        <v>58</v>
      </c>
    </row>
    <row r="934" spans="1:2" x14ac:dyDescent="0.2">
      <c r="A934" s="21">
        <v>811066</v>
      </c>
      <c r="B934" s="22">
        <v>106</v>
      </c>
    </row>
    <row r="935" spans="1:2" x14ac:dyDescent="0.2">
      <c r="A935" s="21">
        <v>811070</v>
      </c>
      <c r="B935" s="22">
        <v>41</v>
      </c>
    </row>
    <row r="936" spans="1:2" x14ac:dyDescent="0.2">
      <c r="A936" s="21">
        <v>811071</v>
      </c>
      <c r="B936" s="22">
        <v>0</v>
      </c>
    </row>
    <row r="937" spans="1:2" x14ac:dyDescent="0.2">
      <c r="A937" s="21">
        <v>811085</v>
      </c>
      <c r="B937" s="22">
        <v>0</v>
      </c>
    </row>
    <row r="938" spans="1:2" x14ac:dyDescent="0.2">
      <c r="A938" s="21">
        <v>811086</v>
      </c>
      <c r="B938" s="22">
        <v>0</v>
      </c>
    </row>
    <row r="939" spans="1:2" x14ac:dyDescent="0.2">
      <c r="A939" s="21">
        <v>811088</v>
      </c>
      <c r="B939" s="22">
        <v>503.5</v>
      </c>
    </row>
    <row r="940" spans="1:2" x14ac:dyDescent="0.2">
      <c r="A940" s="21">
        <v>811089</v>
      </c>
      <c r="B940" s="22">
        <v>820</v>
      </c>
    </row>
    <row r="941" spans="1:2" x14ac:dyDescent="0.2">
      <c r="A941" s="21">
        <v>811091</v>
      </c>
      <c r="B941" s="22">
        <v>20</v>
      </c>
    </row>
    <row r="942" spans="1:2" x14ac:dyDescent="0.2">
      <c r="A942" s="21">
        <v>811092</v>
      </c>
      <c r="B942" s="22">
        <v>297.39999999999998</v>
      </c>
    </row>
    <row r="943" spans="1:2" x14ac:dyDescent="0.2">
      <c r="A943" s="21">
        <v>811093</v>
      </c>
      <c r="B943" s="22">
        <v>314</v>
      </c>
    </row>
    <row r="944" spans="1:2" x14ac:dyDescent="0.2">
      <c r="A944" s="21">
        <v>811098</v>
      </c>
      <c r="B944" s="22">
        <v>17.5</v>
      </c>
    </row>
    <row r="945" spans="1:2" x14ac:dyDescent="0.2">
      <c r="A945" s="21">
        <v>811099</v>
      </c>
      <c r="B945" s="22">
        <v>47.5</v>
      </c>
    </row>
    <row r="946" spans="1:2" x14ac:dyDescent="0.2">
      <c r="A946" s="21">
        <v>811106</v>
      </c>
      <c r="B946" s="22">
        <v>1587.05</v>
      </c>
    </row>
    <row r="947" spans="1:2" x14ac:dyDescent="0.2">
      <c r="A947" s="21">
        <v>811107</v>
      </c>
      <c r="B947" s="22">
        <v>0</v>
      </c>
    </row>
    <row r="948" spans="1:2" x14ac:dyDescent="0.2">
      <c r="A948" s="21">
        <v>811118</v>
      </c>
      <c r="B948" s="22">
        <v>57</v>
      </c>
    </row>
    <row r="949" spans="1:2" x14ac:dyDescent="0.2">
      <c r="A949" s="21">
        <v>811119</v>
      </c>
      <c r="B949" s="22">
        <v>222.1</v>
      </c>
    </row>
    <row r="950" spans="1:2" x14ac:dyDescent="0.2">
      <c r="A950" s="21">
        <v>811121</v>
      </c>
      <c r="B950" s="22">
        <v>308.25</v>
      </c>
    </row>
    <row r="951" spans="1:2" x14ac:dyDescent="0.2">
      <c r="A951" s="21">
        <v>811134</v>
      </c>
      <c r="B951" s="22">
        <v>20</v>
      </c>
    </row>
    <row r="952" spans="1:2" x14ac:dyDescent="0.2">
      <c r="A952" s="21">
        <v>811135</v>
      </c>
      <c r="B952" s="22">
        <v>50</v>
      </c>
    </row>
    <row r="953" spans="1:2" x14ac:dyDescent="0.2">
      <c r="A953" s="21">
        <v>811136</v>
      </c>
      <c r="B953" s="22">
        <v>0</v>
      </c>
    </row>
    <row r="954" spans="1:2" x14ac:dyDescent="0.2">
      <c r="A954" s="21">
        <v>811137</v>
      </c>
      <c r="B954" s="22">
        <v>426.9</v>
      </c>
    </row>
    <row r="955" spans="1:2" x14ac:dyDescent="0.2">
      <c r="A955" s="21">
        <v>811138</v>
      </c>
      <c r="B955" s="22">
        <v>452.95</v>
      </c>
    </row>
    <row r="956" spans="1:2" x14ac:dyDescent="0.2">
      <c r="A956" s="21">
        <v>811139</v>
      </c>
      <c r="B956" s="22">
        <v>45</v>
      </c>
    </row>
    <row r="957" spans="1:2" x14ac:dyDescent="0.2">
      <c r="A957" s="21">
        <v>811165</v>
      </c>
      <c r="B957" s="22">
        <v>271</v>
      </c>
    </row>
    <row r="958" spans="1:2" x14ac:dyDescent="0.2">
      <c r="A958" s="21">
        <v>811172</v>
      </c>
      <c r="B958" s="22">
        <v>1191.5</v>
      </c>
    </row>
    <row r="959" spans="1:2" x14ac:dyDescent="0.2">
      <c r="A959" s="21">
        <v>811173</v>
      </c>
      <c r="B959" s="22">
        <v>116</v>
      </c>
    </row>
    <row r="960" spans="1:2" x14ac:dyDescent="0.2">
      <c r="A960" s="21">
        <v>811181</v>
      </c>
      <c r="B960" s="22">
        <v>0</v>
      </c>
    </row>
    <row r="961" spans="1:2" x14ac:dyDescent="0.2">
      <c r="A961" s="21">
        <v>811182</v>
      </c>
      <c r="B961" s="22">
        <v>172.5</v>
      </c>
    </row>
    <row r="962" spans="1:2" x14ac:dyDescent="0.2">
      <c r="A962" s="21">
        <v>811183</v>
      </c>
      <c r="B962" s="22">
        <v>156.25</v>
      </c>
    </row>
    <row r="963" spans="1:2" x14ac:dyDescent="0.2">
      <c r="A963" s="21">
        <v>811184</v>
      </c>
      <c r="B963" s="22">
        <v>0</v>
      </c>
    </row>
    <row r="964" spans="1:2" x14ac:dyDescent="0.2">
      <c r="A964" s="21">
        <v>811185</v>
      </c>
      <c r="B964" s="22">
        <v>50</v>
      </c>
    </row>
    <row r="965" spans="1:2" x14ac:dyDescent="0.2">
      <c r="A965" s="21">
        <v>811186</v>
      </c>
      <c r="B965" s="22">
        <v>273.5</v>
      </c>
    </row>
    <row r="966" spans="1:2" x14ac:dyDescent="0.2">
      <c r="A966" s="21">
        <v>811187</v>
      </c>
      <c r="B966" s="22">
        <v>194</v>
      </c>
    </row>
    <row r="967" spans="1:2" x14ac:dyDescent="0.2">
      <c r="A967" s="21">
        <v>811189</v>
      </c>
      <c r="B967" s="22">
        <v>147.5</v>
      </c>
    </row>
    <row r="968" spans="1:2" x14ac:dyDescent="0.2">
      <c r="A968" s="21">
        <v>811191</v>
      </c>
      <c r="B968" s="22">
        <v>201</v>
      </c>
    </row>
    <row r="969" spans="1:2" x14ac:dyDescent="0.2">
      <c r="A969" s="21">
        <v>811192</v>
      </c>
      <c r="B969" s="22">
        <v>373</v>
      </c>
    </row>
    <row r="970" spans="1:2" x14ac:dyDescent="0.2">
      <c r="A970" s="21">
        <v>811214</v>
      </c>
      <c r="B970" s="22">
        <v>174.5</v>
      </c>
    </row>
    <row r="971" spans="1:2" x14ac:dyDescent="0.2">
      <c r="A971" s="21">
        <v>811218</v>
      </c>
      <c r="B971" s="22">
        <v>148.55000000000001</v>
      </c>
    </row>
    <row r="972" spans="1:2" x14ac:dyDescent="0.2">
      <c r="A972" s="21">
        <v>811219</v>
      </c>
      <c r="B972" s="22">
        <v>8</v>
      </c>
    </row>
    <row r="973" spans="1:2" x14ac:dyDescent="0.2">
      <c r="A973" s="21">
        <v>811241</v>
      </c>
      <c r="B973" s="22">
        <v>0</v>
      </c>
    </row>
    <row r="974" spans="1:2" x14ac:dyDescent="0.2">
      <c r="A974" s="21">
        <v>811242</v>
      </c>
      <c r="B974" s="22">
        <v>37.5</v>
      </c>
    </row>
    <row r="975" spans="1:2" x14ac:dyDescent="0.2">
      <c r="A975" s="21">
        <v>811243</v>
      </c>
      <c r="B975" s="22">
        <v>38</v>
      </c>
    </row>
    <row r="976" spans="1:2" x14ac:dyDescent="0.2">
      <c r="A976" s="21">
        <v>811244</v>
      </c>
      <c r="B976" s="22">
        <v>84.25</v>
      </c>
    </row>
    <row r="977" spans="1:2" x14ac:dyDescent="0.2">
      <c r="A977" s="21">
        <v>811251</v>
      </c>
      <c r="B977" s="22">
        <v>135</v>
      </c>
    </row>
    <row r="978" spans="1:2" x14ac:dyDescent="0.2">
      <c r="A978" s="21">
        <v>811253</v>
      </c>
      <c r="B978" s="22">
        <v>0</v>
      </c>
    </row>
    <row r="979" spans="1:2" x14ac:dyDescent="0.2">
      <c r="A979" s="21">
        <v>811254</v>
      </c>
      <c r="B979" s="22">
        <v>6</v>
      </c>
    </row>
    <row r="980" spans="1:2" x14ac:dyDescent="0.2">
      <c r="A980" s="21">
        <v>811255</v>
      </c>
      <c r="B980" s="22">
        <v>0</v>
      </c>
    </row>
    <row r="981" spans="1:2" x14ac:dyDescent="0.2">
      <c r="A981" s="21">
        <v>811256</v>
      </c>
      <c r="B981" s="22">
        <v>115</v>
      </c>
    </row>
    <row r="982" spans="1:2" x14ac:dyDescent="0.2">
      <c r="A982" s="21">
        <v>811270</v>
      </c>
      <c r="B982" s="22">
        <v>755</v>
      </c>
    </row>
    <row r="983" spans="1:2" x14ac:dyDescent="0.2">
      <c r="A983" s="21">
        <v>811271</v>
      </c>
      <c r="B983" s="22">
        <v>102.5</v>
      </c>
    </row>
    <row r="984" spans="1:2" x14ac:dyDescent="0.2">
      <c r="A984" s="21">
        <v>811273</v>
      </c>
      <c r="B984" s="22">
        <v>21.25</v>
      </c>
    </row>
    <row r="985" spans="1:2" x14ac:dyDescent="0.2">
      <c r="A985" s="21">
        <v>811274</v>
      </c>
      <c r="B985" s="22">
        <v>227.5</v>
      </c>
    </row>
    <row r="986" spans="1:2" x14ac:dyDescent="0.2">
      <c r="A986" s="21">
        <v>811275</v>
      </c>
      <c r="B986" s="22">
        <v>163</v>
      </c>
    </row>
    <row r="987" spans="1:2" x14ac:dyDescent="0.2">
      <c r="A987" s="21">
        <v>811315</v>
      </c>
      <c r="B987" s="22">
        <v>412</v>
      </c>
    </row>
    <row r="988" spans="1:2" x14ac:dyDescent="0.2">
      <c r="A988" s="21">
        <v>811316</v>
      </c>
      <c r="B988" s="22">
        <v>90</v>
      </c>
    </row>
    <row r="989" spans="1:2" x14ac:dyDescent="0.2">
      <c r="A989" s="21">
        <v>811324</v>
      </c>
      <c r="B989" s="22">
        <v>221.5</v>
      </c>
    </row>
    <row r="990" spans="1:2" x14ac:dyDescent="0.2">
      <c r="A990" s="21">
        <v>811328</v>
      </c>
      <c r="B990" s="22">
        <v>382</v>
      </c>
    </row>
    <row r="991" spans="1:2" x14ac:dyDescent="0.2">
      <c r="A991" s="21">
        <v>811329</v>
      </c>
      <c r="B991" s="22">
        <v>20</v>
      </c>
    </row>
    <row r="992" spans="1:2" x14ac:dyDescent="0.2">
      <c r="A992" s="21">
        <v>811348</v>
      </c>
      <c r="B992" s="22">
        <v>0</v>
      </c>
    </row>
    <row r="993" spans="1:2" x14ac:dyDescent="0.2">
      <c r="A993" s="21">
        <v>811349</v>
      </c>
      <c r="B993" s="22">
        <v>30</v>
      </c>
    </row>
    <row r="994" spans="1:2" x14ac:dyDescent="0.2">
      <c r="A994" s="21">
        <v>811350</v>
      </c>
      <c r="B994" s="22">
        <v>350</v>
      </c>
    </row>
    <row r="995" spans="1:2" x14ac:dyDescent="0.2">
      <c r="A995" s="21">
        <v>811356</v>
      </c>
      <c r="B995" s="22">
        <v>5</v>
      </c>
    </row>
    <row r="996" spans="1:2" x14ac:dyDescent="0.2">
      <c r="A996" s="21">
        <v>811357</v>
      </c>
      <c r="B996" s="22">
        <v>165</v>
      </c>
    </row>
    <row r="997" spans="1:2" x14ac:dyDescent="0.2">
      <c r="A997" s="21">
        <v>811360</v>
      </c>
      <c r="B997" s="22">
        <v>453.5</v>
      </c>
    </row>
    <row r="998" spans="1:2" x14ac:dyDescent="0.2">
      <c r="A998" s="21">
        <v>811385</v>
      </c>
      <c r="B998" s="22">
        <v>230</v>
      </c>
    </row>
    <row r="999" spans="1:2" x14ac:dyDescent="0.2">
      <c r="A999" s="21">
        <v>811386</v>
      </c>
      <c r="B999" s="22">
        <v>602.70000000000005</v>
      </c>
    </row>
    <row r="1000" spans="1:2" x14ac:dyDescent="0.2">
      <c r="A1000" s="21">
        <v>811387</v>
      </c>
      <c r="B1000" s="22">
        <v>89.5</v>
      </c>
    </row>
    <row r="1001" spans="1:2" x14ac:dyDescent="0.2">
      <c r="A1001" s="21">
        <v>811401</v>
      </c>
      <c r="B1001" s="22">
        <v>7.5</v>
      </c>
    </row>
    <row r="1002" spans="1:2" x14ac:dyDescent="0.2">
      <c r="A1002" s="21">
        <v>811402</v>
      </c>
      <c r="B1002" s="22">
        <v>424</v>
      </c>
    </row>
    <row r="1003" spans="1:2" x14ac:dyDescent="0.2">
      <c r="A1003" s="21">
        <v>811403</v>
      </c>
      <c r="B1003" s="22">
        <v>5</v>
      </c>
    </row>
    <row r="1004" spans="1:2" x14ac:dyDescent="0.2">
      <c r="A1004" s="21">
        <v>811405</v>
      </c>
      <c r="B1004" s="22">
        <v>376.25</v>
      </c>
    </row>
    <row r="1005" spans="1:2" x14ac:dyDescent="0.2">
      <c r="A1005" s="21">
        <v>811418</v>
      </c>
      <c r="B1005" s="22">
        <v>171</v>
      </c>
    </row>
    <row r="1006" spans="1:2" x14ac:dyDescent="0.2">
      <c r="A1006" s="21">
        <v>811419</v>
      </c>
      <c r="B1006" s="22">
        <v>5</v>
      </c>
    </row>
    <row r="1007" spans="1:2" x14ac:dyDescent="0.2">
      <c r="A1007" s="21">
        <v>811420</v>
      </c>
      <c r="B1007" s="22">
        <v>205</v>
      </c>
    </row>
    <row r="1008" spans="1:2" x14ac:dyDescent="0.2">
      <c r="A1008" s="21">
        <v>811422</v>
      </c>
      <c r="B1008" s="22">
        <v>55</v>
      </c>
    </row>
    <row r="1009" spans="1:2" x14ac:dyDescent="0.2">
      <c r="A1009" s="21">
        <v>811423</v>
      </c>
      <c r="B1009" s="22">
        <v>40</v>
      </c>
    </row>
    <row r="1010" spans="1:2" x14ac:dyDescent="0.2">
      <c r="A1010" s="21">
        <v>811425</v>
      </c>
      <c r="B1010" s="22">
        <v>2285.5</v>
      </c>
    </row>
    <row r="1011" spans="1:2" x14ac:dyDescent="0.2">
      <c r="A1011" s="21">
        <v>811433</v>
      </c>
      <c r="B1011" s="22">
        <v>331.8</v>
      </c>
    </row>
    <row r="1012" spans="1:2" x14ac:dyDescent="0.2">
      <c r="A1012" s="21">
        <v>811454</v>
      </c>
      <c r="B1012" s="22">
        <v>185.75</v>
      </c>
    </row>
    <row r="1013" spans="1:2" x14ac:dyDescent="0.2">
      <c r="A1013" s="21">
        <v>811455</v>
      </c>
      <c r="B1013" s="22">
        <v>46.5</v>
      </c>
    </row>
    <row r="1014" spans="1:2" x14ac:dyDescent="0.2">
      <c r="A1014" s="21">
        <v>811475</v>
      </c>
      <c r="B1014" s="22">
        <v>0</v>
      </c>
    </row>
    <row r="1015" spans="1:2" x14ac:dyDescent="0.2">
      <c r="A1015" s="21">
        <v>811479</v>
      </c>
      <c r="B1015" s="22">
        <v>255.05</v>
      </c>
    </row>
    <row r="1016" spans="1:2" x14ac:dyDescent="0.2">
      <c r="A1016" s="21">
        <v>811480</v>
      </c>
      <c r="B1016" s="22">
        <v>88.25</v>
      </c>
    </row>
    <row r="1017" spans="1:2" x14ac:dyDescent="0.2">
      <c r="A1017" s="21">
        <v>811481</v>
      </c>
      <c r="B1017" s="22">
        <v>0</v>
      </c>
    </row>
    <row r="1018" spans="1:2" x14ac:dyDescent="0.2">
      <c r="A1018" s="21">
        <v>811489</v>
      </c>
      <c r="B1018" s="22">
        <v>0</v>
      </c>
    </row>
    <row r="1019" spans="1:2" x14ac:dyDescent="0.2">
      <c r="A1019" s="21">
        <v>811510</v>
      </c>
      <c r="B1019" s="22">
        <v>528.70000000000005</v>
      </c>
    </row>
    <row r="1020" spans="1:2" x14ac:dyDescent="0.2">
      <c r="A1020" s="21">
        <v>811511</v>
      </c>
      <c r="B1020" s="22">
        <v>51</v>
      </c>
    </row>
    <row r="1021" spans="1:2" x14ac:dyDescent="0.2">
      <c r="A1021" s="21">
        <v>811512</v>
      </c>
      <c r="B1021" s="22">
        <v>290</v>
      </c>
    </row>
    <row r="1022" spans="1:2" x14ac:dyDescent="0.2">
      <c r="A1022" s="21">
        <v>811513</v>
      </c>
      <c r="B1022" s="22">
        <v>371.5</v>
      </c>
    </row>
    <row r="1023" spans="1:2" x14ac:dyDescent="0.2">
      <c r="A1023" s="21">
        <v>811514</v>
      </c>
      <c r="B1023" s="22">
        <v>1190.5</v>
      </c>
    </row>
    <row r="1024" spans="1:2" x14ac:dyDescent="0.2">
      <c r="A1024" s="21">
        <v>811522</v>
      </c>
      <c r="B1024" s="22">
        <v>105</v>
      </c>
    </row>
    <row r="1025" spans="1:2" x14ac:dyDescent="0.2">
      <c r="A1025" s="21">
        <v>811523</v>
      </c>
      <c r="B1025" s="22">
        <v>618.20000000000005</v>
      </c>
    </row>
    <row r="1026" spans="1:2" x14ac:dyDescent="0.2">
      <c r="A1026" s="21">
        <v>811534</v>
      </c>
      <c r="B1026" s="22">
        <v>112.25</v>
      </c>
    </row>
    <row r="1027" spans="1:2" x14ac:dyDescent="0.2">
      <c r="A1027" s="21">
        <v>811535</v>
      </c>
      <c r="B1027" s="22">
        <v>11.5</v>
      </c>
    </row>
    <row r="1028" spans="1:2" x14ac:dyDescent="0.2">
      <c r="A1028" s="21">
        <v>811543</v>
      </c>
      <c r="B1028" s="22">
        <v>104.5</v>
      </c>
    </row>
    <row r="1029" spans="1:2" x14ac:dyDescent="0.2">
      <c r="A1029" s="21">
        <v>811544</v>
      </c>
      <c r="B1029" s="22">
        <v>40</v>
      </c>
    </row>
    <row r="1030" spans="1:2" x14ac:dyDescent="0.2">
      <c r="A1030" s="21">
        <v>811545</v>
      </c>
      <c r="B1030" s="22">
        <v>0</v>
      </c>
    </row>
    <row r="1031" spans="1:2" x14ac:dyDescent="0.2">
      <c r="A1031" s="21">
        <v>811546</v>
      </c>
      <c r="B1031" s="22">
        <v>631</v>
      </c>
    </row>
    <row r="1032" spans="1:2" x14ac:dyDescent="0.2">
      <c r="A1032" s="21">
        <v>811547</v>
      </c>
      <c r="B1032" s="22">
        <v>52</v>
      </c>
    </row>
    <row r="1033" spans="1:2" x14ac:dyDescent="0.2">
      <c r="A1033" s="21">
        <v>811549</v>
      </c>
      <c r="B1033" s="22">
        <v>233</v>
      </c>
    </row>
    <row r="1034" spans="1:2" x14ac:dyDescent="0.2">
      <c r="A1034" s="21">
        <v>811550</v>
      </c>
      <c r="B1034" s="22">
        <v>97</v>
      </c>
    </row>
    <row r="1035" spans="1:2" x14ac:dyDescent="0.2">
      <c r="A1035" s="21">
        <v>811582</v>
      </c>
      <c r="B1035" s="22">
        <v>252.45</v>
      </c>
    </row>
    <row r="1036" spans="1:2" x14ac:dyDescent="0.2">
      <c r="A1036" s="21">
        <v>811584</v>
      </c>
      <c r="B1036" s="22">
        <v>0</v>
      </c>
    </row>
    <row r="1037" spans="1:2" x14ac:dyDescent="0.2">
      <c r="A1037" s="21">
        <v>811585</v>
      </c>
      <c r="B1037" s="22">
        <v>56</v>
      </c>
    </row>
    <row r="1038" spans="1:2" x14ac:dyDescent="0.2">
      <c r="A1038" s="21">
        <v>811588</v>
      </c>
      <c r="B1038" s="22">
        <v>299</v>
      </c>
    </row>
    <row r="1039" spans="1:2" x14ac:dyDescent="0.2">
      <c r="A1039" s="21">
        <v>811596</v>
      </c>
      <c r="B1039" s="22">
        <v>895.55</v>
      </c>
    </row>
    <row r="1040" spans="1:2" x14ac:dyDescent="0.2">
      <c r="A1040" s="21">
        <v>811621</v>
      </c>
      <c r="B1040" s="22">
        <v>318.5</v>
      </c>
    </row>
    <row r="1041" spans="1:2" x14ac:dyDescent="0.2">
      <c r="A1041" s="21">
        <v>811622</v>
      </c>
      <c r="B1041" s="22">
        <v>328</v>
      </c>
    </row>
    <row r="1042" spans="1:2" x14ac:dyDescent="0.2">
      <c r="A1042" s="21">
        <v>811623</v>
      </c>
      <c r="B1042" s="22">
        <v>62.5</v>
      </c>
    </row>
    <row r="1043" spans="1:2" x14ac:dyDescent="0.2">
      <c r="A1043" s="21">
        <v>811624</v>
      </c>
      <c r="B1043" s="22">
        <v>37.5</v>
      </c>
    </row>
    <row r="1044" spans="1:2" x14ac:dyDescent="0.2">
      <c r="A1044" s="21">
        <v>811625</v>
      </c>
      <c r="B1044" s="22">
        <v>423.45</v>
      </c>
    </row>
    <row r="1045" spans="1:2" x14ac:dyDescent="0.2">
      <c r="A1045" s="21">
        <v>811628</v>
      </c>
      <c r="B1045" s="22">
        <v>0</v>
      </c>
    </row>
    <row r="1046" spans="1:2" x14ac:dyDescent="0.2">
      <c r="A1046" s="21">
        <v>811629</v>
      </c>
      <c r="B1046" s="22">
        <v>35</v>
      </c>
    </row>
    <row r="1047" spans="1:2" x14ac:dyDescent="0.2">
      <c r="A1047" s="21">
        <v>811630</v>
      </c>
      <c r="B1047" s="22">
        <v>294.8</v>
      </c>
    </row>
    <row r="1048" spans="1:2" x14ac:dyDescent="0.2">
      <c r="A1048" s="21">
        <v>811633</v>
      </c>
      <c r="B1048" s="22">
        <v>16.5</v>
      </c>
    </row>
    <row r="1049" spans="1:2" x14ac:dyDescent="0.2">
      <c r="A1049" s="21">
        <v>811634</v>
      </c>
      <c r="B1049" s="22">
        <v>603.04999999999995</v>
      </c>
    </row>
    <row r="1050" spans="1:2" x14ac:dyDescent="0.2">
      <c r="A1050" s="21">
        <v>811639</v>
      </c>
      <c r="B1050" s="22">
        <v>41.5</v>
      </c>
    </row>
    <row r="1051" spans="1:2" x14ac:dyDescent="0.2">
      <c r="A1051" s="21">
        <v>811647</v>
      </c>
      <c r="B1051" s="22">
        <v>352.55</v>
      </c>
    </row>
    <row r="1052" spans="1:2" x14ac:dyDescent="0.2">
      <c r="A1052" s="21">
        <v>811648</v>
      </c>
      <c r="B1052" s="22">
        <v>226</v>
      </c>
    </row>
    <row r="1053" spans="1:2" x14ac:dyDescent="0.2">
      <c r="A1053" s="21">
        <v>811663</v>
      </c>
      <c r="B1053" s="22">
        <v>80.5</v>
      </c>
    </row>
    <row r="1054" spans="1:2" x14ac:dyDescent="0.2">
      <c r="A1054" s="21">
        <v>811672</v>
      </c>
      <c r="B1054" s="22">
        <v>616.5</v>
      </c>
    </row>
    <row r="1055" spans="1:2" x14ac:dyDescent="0.2">
      <c r="A1055" s="21">
        <v>811674</v>
      </c>
      <c r="B1055" s="22">
        <v>566.70000000000005</v>
      </c>
    </row>
    <row r="1056" spans="1:2" x14ac:dyDescent="0.2">
      <c r="A1056" s="21">
        <v>811676</v>
      </c>
      <c r="B1056" s="22">
        <v>159.5</v>
      </c>
    </row>
    <row r="1057" spans="1:2" x14ac:dyDescent="0.2">
      <c r="A1057" s="21">
        <v>811677</v>
      </c>
      <c r="B1057" s="22">
        <v>580.75</v>
      </c>
    </row>
    <row r="1058" spans="1:2" x14ac:dyDescent="0.2">
      <c r="A1058" s="21">
        <v>811679</v>
      </c>
      <c r="B1058" s="22">
        <v>10</v>
      </c>
    </row>
    <row r="1059" spans="1:2" x14ac:dyDescent="0.2">
      <c r="A1059" s="21">
        <v>811681</v>
      </c>
      <c r="B1059" s="22">
        <v>320</v>
      </c>
    </row>
    <row r="1060" spans="1:2" x14ac:dyDescent="0.2">
      <c r="A1060" s="21">
        <v>811682</v>
      </c>
      <c r="B1060" s="22">
        <v>320.25</v>
      </c>
    </row>
    <row r="1061" spans="1:2" x14ac:dyDescent="0.2">
      <c r="A1061" s="21">
        <v>811683</v>
      </c>
      <c r="B1061" s="22">
        <v>559</v>
      </c>
    </row>
    <row r="1062" spans="1:2" x14ac:dyDescent="0.2">
      <c r="A1062" s="21">
        <v>811685</v>
      </c>
      <c r="B1062" s="22">
        <v>378.3</v>
      </c>
    </row>
    <row r="1063" spans="1:2" x14ac:dyDescent="0.2">
      <c r="A1063" s="21">
        <v>811686</v>
      </c>
      <c r="B1063" s="22">
        <v>536</v>
      </c>
    </row>
    <row r="1064" spans="1:2" x14ac:dyDescent="0.2">
      <c r="A1064" s="21">
        <v>811687</v>
      </c>
      <c r="B1064" s="22">
        <v>475.95</v>
      </c>
    </row>
    <row r="1065" spans="1:2" x14ac:dyDescent="0.2">
      <c r="A1065" s="21">
        <v>811693</v>
      </c>
      <c r="B1065" s="22">
        <v>101.05</v>
      </c>
    </row>
    <row r="1066" spans="1:2" x14ac:dyDescent="0.2">
      <c r="A1066" s="21">
        <v>811694</v>
      </c>
      <c r="B1066" s="22">
        <v>1747</v>
      </c>
    </row>
    <row r="1067" spans="1:2" x14ac:dyDescent="0.2">
      <c r="A1067" s="21">
        <v>811733</v>
      </c>
      <c r="B1067" s="22">
        <v>0</v>
      </c>
    </row>
    <row r="1068" spans="1:2" x14ac:dyDescent="0.2">
      <c r="A1068" s="21">
        <v>811735</v>
      </c>
      <c r="B1068" s="22">
        <v>448.9</v>
      </c>
    </row>
    <row r="1069" spans="1:2" x14ac:dyDescent="0.2">
      <c r="A1069" s="21">
        <v>811771</v>
      </c>
      <c r="B1069" s="22">
        <v>320</v>
      </c>
    </row>
    <row r="1070" spans="1:2" x14ac:dyDescent="0.2">
      <c r="A1070" s="21">
        <v>811772</v>
      </c>
      <c r="B1070" s="22">
        <v>184.5</v>
      </c>
    </row>
    <row r="1071" spans="1:2" x14ac:dyDescent="0.2">
      <c r="A1071" s="21">
        <v>811773</v>
      </c>
      <c r="B1071" s="22">
        <v>10</v>
      </c>
    </row>
    <row r="1072" spans="1:2" x14ac:dyDescent="0.2">
      <c r="A1072" s="21">
        <v>811774</v>
      </c>
      <c r="B1072" s="22">
        <v>6</v>
      </c>
    </row>
    <row r="1073" spans="1:2" x14ac:dyDescent="0.2">
      <c r="A1073" s="21">
        <v>811776</v>
      </c>
      <c r="B1073" s="22">
        <v>55</v>
      </c>
    </row>
    <row r="1074" spans="1:2" x14ac:dyDescent="0.2">
      <c r="A1074" s="21">
        <v>811777</v>
      </c>
      <c r="B1074" s="22">
        <v>139</v>
      </c>
    </row>
    <row r="1075" spans="1:2" x14ac:dyDescent="0.2">
      <c r="A1075" s="21">
        <v>811778</v>
      </c>
      <c r="B1075" s="22">
        <v>15</v>
      </c>
    </row>
    <row r="1076" spans="1:2" x14ac:dyDescent="0.2">
      <c r="A1076" s="21">
        <v>811779</v>
      </c>
      <c r="B1076" s="22">
        <v>0</v>
      </c>
    </row>
    <row r="1077" spans="1:2" x14ac:dyDescent="0.2">
      <c r="A1077" s="21">
        <v>811780</v>
      </c>
      <c r="B1077" s="22">
        <v>519</v>
      </c>
    </row>
    <row r="1078" spans="1:2" x14ac:dyDescent="0.2">
      <c r="A1078" s="21">
        <v>811781</v>
      </c>
      <c r="B1078" s="22">
        <v>0</v>
      </c>
    </row>
    <row r="1079" spans="1:2" x14ac:dyDescent="0.2">
      <c r="A1079" s="21">
        <v>811782</v>
      </c>
      <c r="B1079" s="22">
        <v>0</v>
      </c>
    </row>
    <row r="1080" spans="1:2" x14ac:dyDescent="0.2">
      <c r="A1080" s="21">
        <v>811799</v>
      </c>
      <c r="B1080" s="22">
        <v>144</v>
      </c>
    </row>
    <row r="1081" spans="1:2" x14ac:dyDescent="0.2">
      <c r="A1081" s="21">
        <v>811800</v>
      </c>
      <c r="B1081" s="22">
        <v>213.45</v>
      </c>
    </row>
    <row r="1082" spans="1:2" x14ac:dyDescent="0.2">
      <c r="A1082" s="21">
        <v>811817</v>
      </c>
      <c r="B1082" s="22">
        <v>7.5</v>
      </c>
    </row>
    <row r="1083" spans="1:2" x14ac:dyDescent="0.2">
      <c r="A1083" s="21">
        <v>811848</v>
      </c>
      <c r="B1083" s="22">
        <v>198</v>
      </c>
    </row>
    <row r="1084" spans="1:2" x14ac:dyDescent="0.2">
      <c r="A1084" s="21">
        <v>811860</v>
      </c>
      <c r="B1084" s="22">
        <v>10</v>
      </c>
    </row>
    <row r="1085" spans="1:2" x14ac:dyDescent="0.2">
      <c r="A1085" s="21">
        <v>811862</v>
      </c>
      <c r="B1085" s="22">
        <v>1411.15</v>
      </c>
    </row>
    <row r="1086" spans="1:2" x14ac:dyDescent="0.2">
      <c r="A1086" s="21">
        <v>811863</v>
      </c>
      <c r="B1086" s="22">
        <v>680.75</v>
      </c>
    </row>
    <row r="1087" spans="1:2" x14ac:dyDescent="0.2">
      <c r="A1087" s="21">
        <v>811864</v>
      </c>
      <c r="B1087" s="22">
        <v>187.25</v>
      </c>
    </row>
    <row r="1088" spans="1:2" x14ac:dyDescent="0.2">
      <c r="A1088" s="21">
        <v>811868</v>
      </c>
      <c r="B1088" s="22">
        <v>17.5</v>
      </c>
    </row>
    <row r="1089" spans="1:2" x14ac:dyDescent="0.2">
      <c r="A1089" s="21">
        <v>811869</v>
      </c>
      <c r="B1089" s="22">
        <v>60</v>
      </c>
    </row>
    <row r="1090" spans="1:2" x14ac:dyDescent="0.2">
      <c r="A1090" s="21">
        <v>811870</v>
      </c>
      <c r="B1090" s="22">
        <v>0</v>
      </c>
    </row>
    <row r="1091" spans="1:2" x14ac:dyDescent="0.2">
      <c r="A1091" s="21">
        <v>811871</v>
      </c>
      <c r="B1091" s="22">
        <v>870.6</v>
      </c>
    </row>
    <row r="1092" spans="1:2" x14ac:dyDescent="0.2">
      <c r="A1092" s="21">
        <v>811872</v>
      </c>
      <c r="B1092" s="22">
        <v>143.5</v>
      </c>
    </row>
    <row r="1093" spans="1:2" x14ac:dyDescent="0.2">
      <c r="A1093" s="21">
        <v>811891</v>
      </c>
      <c r="B1093" s="22">
        <v>22</v>
      </c>
    </row>
    <row r="1094" spans="1:2" x14ac:dyDescent="0.2">
      <c r="A1094" s="21">
        <v>811892</v>
      </c>
      <c r="B1094" s="22">
        <v>245</v>
      </c>
    </row>
    <row r="1095" spans="1:2" x14ac:dyDescent="0.2">
      <c r="A1095" s="21">
        <v>811896</v>
      </c>
      <c r="B1095" s="22">
        <v>2</v>
      </c>
    </row>
    <row r="1096" spans="1:2" x14ac:dyDescent="0.2">
      <c r="A1096" s="21">
        <v>811897</v>
      </c>
      <c r="B1096" s="22">
        <v>45</v>
      </c>
    </row>
    <row r="1097" spans="1:2" x14ac:dyDescent="0.2">
      <c r="A1097" s="21">
        <v>811910</v>
      </c>
      <c r="B1097" s="22">
        <v>30</v>
      </c>
    </row>
    <row r="1098" spans="1:2" x14ac:dyDescent="0.2">
      <c r="A1098" s="21">
        <v>811913</v>
      </c>
      <c r="B1098" s="22">
        <v>0</v>
      </c>
    </row>
    <row r="1099" spans="1:2" x14ac:dyDescent="0.2">
      <c r="A1099" s="21">
        <v>811918</v>
      </c>
      <c r="B1099" s="22">
        <v>45</v>
      </c>
    </row>
    <row r="1100" spans="1:2" x14ac:dyDescent="0.2">
      <c r="A1100" s="21">
        <v>811921</v>
      </c>
      <c r="B1100" s="22">
        <v>40</v>
      </c>
    </row>
    <row r="1101" spans="1:2" x14ac:dyDescent="0.2">
      <c r="A1101" s="21">
        <v>811922</v>
      </c>
      <c r="B1101" s="22">
        <v>135</v>
      </c>
    </row>
    <row r="1102" spans="1:2" x14ac:dyDescent="0.2">
      <c r="A1102" s="21">
        <v>811924</v>
      </c>
      <c r="B1102" s="22">
        <v>298.5</v>
      </c>
    </row>
    <row r="1103" spans="1:2" x14ac:dyDescent="0.2">
      <c r="A1103" s="21">
        <v>811944</v>
      </c>
      <c r="B1103" s="22">
        <v>139.5</v>
      </c>
    </row>
    <row r="1104" spans="1:2" x14ac:dyDescent="0.2">
      <c r="A1104" s="21">
        <v>811996</v>
      </c>
      <c r="B1104" s="22">
        <v>166.25</v>
      </c>
    </row>
    <row r="1105" spans="1:2" x14ac:dyDescent="0.2">
      <c r="A1105" s="21">
        <v>811998</v>
      </c>
      <c r="B1105" s="22">
        <v>0</v>
      </c>
    </row>
    <row r="1106" spans="1:2" x14ac:dyDescent="0.2">
      <c r="A1106" s="21">
        <v>812000</v>
      </c>
      <c r="B1106" s="22">
        <v>0</v>
      </c>
    </row>
    <row r="1107" spans="1:2" x14ac:dyDescent="0.2">
      <c r="A1107" s="21">
        <v>812003</v>
      </c>
      <c r="B1107" s="22">
        <v>123</v>
      </c>
    </row>
    <row r="1108" spans="1:2" x14ac:dyDescent="0.2">
      <c r="A1108" s="21">
        <v>812005</v>
      </c>
      <c r="B1108" s="22">
        <v>373</v>
      </c>
    </row>
    <row r="1109" spans="1:2" x14ac:dyDescent="0.2">
      <c r="A1109" s="21">
        <v>812043</v>
      </c>
      <c r="B1109" s="22">
        <v>20.5</v>
      </c>
    </row>
    <row r="1110" spans="1:2" x14ac:dyDescent="0.2">
      <c r="A1110" s="21">
        <v>812047</v>
      </c>
      <c r="B1110" s="22">
        <v>10</v>
      </c>
    </row>
    <row r="1111" spans="1:2" x14ac:dyDescent="0.2">
      <c r="A1111" s="21">
        <v>812049</v>
      </c>
      <c r="B1111" s="22">
        <v>694.25</v>
      </c>
    </row>
    <row r="1112" spans="1:2" x14ac:dyDescent="0.2">
      <c r="A1112" s="21">
        <v>812052</v>
      </c>
      <c r="B1112" s="22">
        <v>241</v>
      </c>
    </row>
    <row r="1113" spans="1:2" x14ac:dyDescent="0.2">
      <c r="A1113" s="21">
        <v>812056</v>
      </c>
      <c r="B1113" s="22">
        <v>0</v>
      </c>
    </row>
    <row r="1114" spans="1:2" x14ac:dyDescent="0.2">
      <c r="A1114" s="21">
        <v>812059</v>
      </c>
      <c r="B1114" s="22">
        <v>216.5</v>
      </c>
    </row>
    <row r="1115" spans="1:2" x14ac:dyDescent="0.2">
      <c r="A1115" s="21">
        <v>812060</v>
      </c>
      <c r="B1115" s="22">
        <v>153</v>
      </c>
    </row>
    <row r="1116" spans="1:2" x14ac:dyDescent="0.2">
      <c r="A1116" s="21">
        <v>812064</v>
      </c>
      <c r="B1116" s="22">
        <v>17.25</v>
      </c>
    </row>
    <row r="1117" spans="1:2" x14ac:dyDescent="0.2">
      <c r="A1117" s="21">
        <v>812065</v>
      </c>
      <c r="B1117" s="22">
        <v>10</v>
      </c>
    </row>
    <row r="1118" spans="1:2" x14ac:dyDescent="0.2">
      <c r="A1118" s="21">
        <v>812066</v>
      </c>
      <c r="B1118" s="22">
        <v>296</v>
      </c>
    </row>
    <row r="1119" spans="1:2" x14ac:dyDescent="0.2">
      <c r="A1119" s="21">
        <v>812067</v>
      </c>
      <c r="B1119" s="22">
        <v>881.59999999999991</v>
      </c>
    </row>
    <row r="1120" spans="1:2" x14ac:dyDescent="0.2">
      <c r="A1120" s="21">
        <v>812068</v>
      </c>
      <c r="B1120" s="22">
        <v>260</v>
      </c>
    </row>
    <row r="1121" spans="1:2" x14ac:dyDescent="0.2">
      <c r="A1121" s="21">
        <v>812069</v>
      </c>
      <c r="B1121" s="22">
        <v>72</v>
      </c>
    </row>
    <row r="1122" spans="1:2" x14ac:dyDescent="0.2">
      <c r="A1122" s="21">
        <v>812070</v>
      </c>
      <c r="B1122" s="22">
        <v>83.45</v>
      </c>
    </row>
    <row r="1123" spans="1:2" x14ac:dyDescent="0.2">
      <c r="A1123" s="21">
        <v>812071</v>
      </c>
      <c r="B1123" s="22">
        <v>739.95</v>
      </c>
    </row>
    <row r="1124" spans="1:2" x14ac:dyDescent="0.2">
      <c r="A1124" s="21">
        <v>812072</v>
      </c>
      <c r="B1124" s="22">
        <v>5</v>
      </c>
    </row>
    <row r="1125" spans="1:2" x14ac:dyDescent="0.2">
      <c r="A1125" s="21">
        <v>812076</v>
      </c>
      <c r="B1125" s="22">
        <v>322.5</v>
      </c>
    </row>
    <row r="1126" spans="1:2" x14ac:dyDescent="0.2">
      <c r="A1126" s="21">
        <v>812077</v>
      </c>
      <c r="B1126" s="22">
        <v>109.5</v>
      </c>
    </row>
    <row r="1127" spans="1:2" x14ac:dyDescent="0.2">
      <c r="A1127" s="21">
        <v>812096</v>
      </c>
      <c r="B1127" s="22">
        <v>496</v>
      </c>
    </row>
    <row r="1128" spans="1:2" x14ac:dyDescent="0.2">
      <c r="A1128" s="21">
        <v>812097</v>
      </c>
      <c r="B1128" s="22">
        <v>265</v>
      </c>
    </row>
    <row r="1129" spans="1:2" x14ac:dyDescent="0.2">
      <c r="A1129" s="21">
        <v>812099</v>
      </c>
      <c r="B1129" s="22">
        <v>139.69999999999999</v>
      </c>
    </row>
    <row r="1130" spans="1:2" x14ac:dyDescent="0.2">
      <c r="A1130" s="21">
        <v>812100</v>
      </c>
      <c r="B1130" s="22">
        <v>5</v>
      </c>
    </row>
    <row r="1131" spans="1:2" x14ac:dyDescent="0.2">
      <c r="A1131" s="21">
        <v>812102</v>
      </c>
      <c r="B1131" s="22">
        <v>43.5</v>
      </c>
    </row>
    <row r="1132" spans="1:2" x14ac:dyDescent="0.2">
      <c r="A1132" s="21">
        <v>812109</v>
      </c>
      <c r="B1132" s="22">
        <v>180</v>
      </c>
    </row>
    <row r="1133" spans="1:2" x14ac:dyDescent="0.2">
      <c r="A1133" s="21">
        <v>812110</v>
      </c>
      <c r="B1133" s="22">
        <v>92.5</v>
      </c>
    </row>
    <row r="1134" spans="1:2" x14ac:dyDescent="0.2">
      <c r="A1134" s="21">
        <v>812134</v>
      </c>
      <c r="B1134" s="22">
        <v>483</v>
      </c>
    </row>
    <row r="1135" spans="1:2" x14ac:dyDescent="0.2">
      <c r="A1135" s="21">
        <v>812136</v>
      </c>
      <c r="B1135" s="22">
        <v>20</v>
      </c>
    </row>
    <row r="1136" spans="1:2" x14ac:dyDescent="0.2">
      <c r="A1136" s="21">
        <v>812141</v>
      </c>
      <c r="B1136" s="22">
        <v>35</v>
      </c>
    </row>
    <row r="1137" spans="1:2" x14ac:dyDescent="0.2">
      <c r="A1137" s="21">
        <v>812142</v>
      </c>
      <c r="B1137" s="22">
        <v>165.5</v>
      </c>
    </row>
    <row r="1138" spans="1:2" x14ac:dyDescent="0.2">
      <c r="A1138" s="21">
        <v>812160</v>
      </c>
      <c r="B1138" s="22">
        <v>1023.9999999999999</v>
      </c>
    </row>
    <row r="1139" spans="1:2" x14ac:dyDescent="0.2">
      <c r="A1139" s="21">
        <v>812161</v>
      </c>
      <c r="B1139" s="22">
        <v>446.45</v>
      </c>
    </row>
    <row r="1140" spans="1:2" x14ac:dyDescent="0.2">
      <c r="A1140" s="21">
        <v>812175</v>
      </c>
      <c r="B1140" s="22">
        <v>106</v>
      </c>
    </row>
    <row r="1141" spans="1:2" x14ac:dyDescent="0.2">
      <c r="A1141" s="21">
        <v>812176</v>
      </c>
      <c r="B1141" s="22">
        <v>162</v>
      </c>
    </row>
    <row r="1142" spans="1:2" x14ac:dyDescent="0.2">
      <c r="A1142" s="21">
        <v>812177</v>
      </c>
      <c r="B1142" s="22">
        <v>220</v>
      </c>
    </row>
    <row r="1143" spans="1:2" x14ac:dyDescent="0.2">
      <c r="A1143" s="21">
        <v>812178</v>
      </c>
      <c r="B1143" s="22">
        <v>1916.9</v>
      </c>
    </row>
    <row r="1144" spans="1:2" x14ac:dyDescent="0.2">
      <c r="A1144" s="21">
        <v>812195</v>
      </c>
      <c r="B1144" s="22">
        <v>59</v>
      </c>
    </row>
    <row r="1145" spans="1:2" x14ac:dyDescent="0.2">
      <c r="A1145" s="21">
        <v>812196</v>
      </c>
      <c r="B1145" s="22">
        <v>14.75</v>
      </c>
    </row>
    <row r="1146" spans="1:2" x14ac:dyDescent="0.2">
      <c r="A1146" s="21">
        <v>812218</v>
      </c>
      <c r="B1146" s="22">
        <v>105.5</v>
      </c>
    </row>
    <row r="1147" spans="1:2" x14ac:dyDescent="0.2">
      <c r="A1147" s="21">
        <v>812236</v>
      </c>
      <c r="B1147" s="22">
        <v>25</v>
      </c>
    </row>
    <row r="1148" spans="1:2" x14ac:dyDescent="0.2">
      <c r="A1148" s="21">
        <v>812237</v>
      </c>
      <c r="B1148" s="22">
        <v>330</v>
      </c>
    </row>
    <row r="1149" spans="1:2" x14ac:dyDescent="0.2">
      <c r="A1149" s="21">
        <v>812265</v>
      </c>
      <c r="B1149" s="22">
        <v>279.5</v>
      </c>
    </row>
    <row r="1150" spans="1:2" x14ac:dyDescent="0.2">
      <c r="A1150" s="21">
        <v>812266</v>
      </c>
      <c r="B1150" s="22">
        <v>70</v>
      </c>
    </row>
    <row r="1151" spans="1:2" x14ac:dyDescent="0.2">
      <c r="A1151" s="21">
        <v>812267</v>
      </c>
      <c r="B1151" s="22">
        <v>411</v>
      </c>
    </row>
    <row r="1152" spans="1:2" x14ac:dyDescent="0.2">
      <c r="A1152" s="21">
        <v>812282</v>
      </c>
      <c r="B1152" s="22">
        <v>1121.2</v>
      </c>
    </row>
    <row r="1153" spans="1:2" x14ac:dyDescent="0.2">
      <c r="A1153" s="21">
        <v>812289</v>
      </c>
      <c r="B1153" s="22">
        <v>796.75</v>
      </c>
    </row>
    <row r="1154" spans="1:2" x14ac:dyDescent="0.2">
      <c r="A1154" s="21">
        <v>812291</v>
      </c>
      <c r="B1154" s="22">
        <v>190</v>
      </c>
    </row>
    <row r="1155" spans="1:2" x14ac:dyDescent="0.2">
      <c r="A1155" s="21">
        <v>812299</v>
      </c>
      <c r="B1155" s="22">
        <v>119.5</v>
      </c>
    </row>
    <row r="1156" spans="1:2" x14ac:dyDescent="0.2">
      <c r="A1156" s="21">
        <v>812300</v>
      </c>
      <c r="B1156" s="22">
        <v>347.15</v>
      </c>
    </row>
    <row r="1157" spans="1:2" x14ac:dyDescent="0.2">
      <c r="A1157" s="21">
        <v>812301</v>
      </c>
      <c r="B1157" s="22">
        <v>0</v>
      </c>
    </row>
    <row r="1158" spans="1:2" x14ac:dyDescent="0.2">
      <c r="A1158" s="21">
        <v>812317</v>
      </c>
      <c r="B1158" s="22">
        <v>235</v>
      </c>
    </row>
    <row r="1159" spans="1:2" x14ac:dyDescent="0.2">
      <c r="A1159" s="21">
        <v>812320</v>
      </c>
      <c r="B1159" s="22">
        <v>437</v>
      </c>
    </row>
    <row r="1160" spans="1:2" x14ac:dyDescent="0.2">
      <c r="A1160" s="21">
        <v>812333</v>
      </c>
      <c r="B1160" s="22">
        <v>3</v>
      </c>
    </row>
    <row r="1161" spans="1:2" x14ac:dyDescent="0.2">
      <c r="A1161" s="21">
        <v>812336</v>
      </c>
      <c r="B1161" s="22">
        <v>10</v>
      </c>
    </row>
    <row r="1162" spans="1:2" x14ac:dyDescent="0.2">
      <c r="A1162" s="21">
        <v>812344</v>
      </c>
      <c r="B1162" s="22">
        <v>0</v>
      </c>
    </row>
    <row r="1163" spans="1:2" x14ac:dyDescent="0.2">
      <c r="A1163" s="21">
        <v>812346</v>
      </c>
      <c r="B1163" s="22">
        <v>20</v>
      </c>
    </row>
    <row r="1164" spans="1:2" x14ac:dyDescent="0.2">
      <c r="A1164" s="21">
        <v>812352</v>
      </c>
      <c r="B1164" s="22">
        <v>42</v>
      </c>
    </row>
    <row r="1165" spans="1:2" x14ac:dyDescent="0.2">
      <c r="A1165" s="21">
        <v>812360</v>
      </c>
      <c r="B1165" s="22">
        <v>155</v>
      </c>
    </row>
    <row r="1166" spans="1:2" x14ac:dyDescent="0.2">
      <c r="A1166" s="21">
        <v>812362</v>
      </c>
      <c r="B1166" s="22">
        <v>40</v>
      </c>
    </row>
    <row r="1167" spans="1:2" x14ac:dyDescent="0.2">
      <c r="A1167" s="21">
        <v>812372</v>
      </c>
      <c r="B1167" s="22">
        <v>434</v>
      </c>
    </row>
    <row r="1168" spans="1:2" x14ac:dyDescent="0.2">
      <c r="A1168" s="21">
        <v>812381</v>
      </c>
      <c r="B1168" s="22">
        <v>5</v>
      </c>
    </row>
    <row r="1169" spans="1:2" x14ac:dyDescent="0.2">
      <c r="A1169" s="21">
        <v>812382</v>
      </c>
      <c r="B1169" s="22">
        <v>425.9</v>
      </c>
    </row>
    <row r="1170" spans="1:2" x14ac:dyDescent="0.2">
      <c r="A1170" s="21">
        <v>812384</v>
      </c>
      <c r="B1170" s="22">
        <v>1508.6</v>
      </c>
    </row>
    <row r="1171" spans="1:2" x14ac:dyDescent="0.2">
      <c r="A1171" s="21">
        <v>812389</v>
      </c>
      <c r="B1171" s="22">
        <v>299</v>
      </c>
    </row>
    <row r="1172" spans="1:2" x14ac:dyDescent="0.2">
      <c r="A1172" s="21">
        <v>812391</v>
      </c>
      <c r="B1172" s="22">
        <v>43</v>
      </c>
    </row>
    <row r="1173" spans="1:2" x14ac:dyDescent="0.2">
      <c r="A1173" s="21">
        <v>812392</v>
      </c>
      <c r="B1173" s="22">
        <v>146.5</v>
      </c>
    </row>
    <row r="1174" spans="1:2" x14ac:dyDescent="0.2">
      <c r="A1174" s="21">
        <v>812393</v>
      </c>
      <c r="B1174" s="22">
        <v>0</v>
      </c>
    </row>
    <row r="1175" spans="1:2" x14ac:dyDescent="0.2">
      <c r="A1175" s="21">
        <v>812395</v>
      </c>
      <c r="B1175" s="22">
        <v>0</v>
      </c>
    </row>
    <row r="1176" spans="1:2" x14ac:dyDescent="0.2">
      <c r="A1176" s="21">
        <v>812396</v>
      </c>
      <c r="B1176" s="22">
        <v>85</v>
      </c>
    </row>
    <row r="1177" spans="1:2" x14ac:dyDescent="0.2">
      <c r="A1177" s="21">
        <v>812404</v>
      </c>
      <c r="B1177" s="22">
        <v>105.5</v>
      </c>
    </row>
    <row r="1178" spans="1:2" x14ac:dyDescent="0.2">
      <c r="A1178" s="21">
        <v>812407</v>
      </c>
      <c r="B1178" s="22">
        <v>2</v>
      </c>
    </row>
    <row r="1179" spans="1:2" x14ac:dyDescent="0.2">
      <c r="A1179" s="21">
        <v>812409</v>
      </c>
      <c r="B1179" s="22">
        <v>355.5</v>
      </c>
    </row>
    <row r="1180" spans="1:2" x14ac:dyDescent="0.2">
      <c r="A1180" s="21">
        <v>812425</v>
      </c>
      <c r="B1180" s="22">
        <v>698.95</v>
      </c>
    </row>
    <row r="1181" spans="1:2" x14ac:dyDescent="0.2">
      <c r="A1181" s="21">
        <v>812426</v>
      </c>
      <c r="B1181" s="22">
        <v>316.5</v>
      </c>
    </row>
    <row r="1182" spans="1:2" x14ac:dyDescent="0.2">
      <c r="A1182" s="21">
        <v>812428</v>
      </c>
      <c r="B1182" s="22">
        <v>15.5</v>
      </c>
    </row>
    <row r="1183" spans="1:2" x14ac:dyDescent="0.2">
      <c r="A1183" s="21">
        <v>812433</v>
      </c>
      <c r="B1183" s="22">
        <v>134</v>
      </c>
    </row>
    <row r="1184" spans="1:2" x14ac:dyDescent="0.2">
      <c r="A1184" s="21">
        <v>812450</v>
      </c>
      <c r="B1184" s="22">
        <v>163</v>
      </c>
    </row>
    <row r="1185" spans="1:2" x14ac:dyDescent="0.2">
      <c r="A1185" s="21">
        <v>812451</v>
      </c>
      <c r="B1185" s="22">
        <v>70</v>
      </c>
    </row>
    <row r="1186" spans="1:2" x14ac:dyDescent="0.2">
      <c r="A1186" s="21">
        <v>812461</v>
      </c>
      <c r="B1186" s="22">
        <v>78</v>
      </c>
    </row>
    <row r="1187" spans="1:2" x14ac:dyDescent="0.2">
      <c r="A1187" s="21">
        <v>812469</v>
      </c>
      <c r="B1187" s="22">
        <v>0</v>
      </c>
    </row>
    <row r="1188" spans="1:2" x14ac:dyDescent="0.2">
      <c r="A1188" s="21">
        <v>812472</v>
      </c>
      <c r="B1188" s="22">
        <v>0</v>
      </c>
    </row>
    <row r="1189" spans="1:2" x14ac:dyDescent="0.2">
      <c r="A1189" s="21">
        <v>812474</v>
      </c>
      <c r="B1189" s="22">
        <v>146.1</v>
      </c>
    </row>
    <row r="1190" spans="1:2" x14ac:dyDescent="0.2">
      <c r="A1190" s="21">
        <v>812483</v>
      </c>
      <c r="B1190" s="22">
        <v>79</v>
      </c>
    </row>
    <row r="1191" spans="1:2" x14ac:dyDescent="0.2">
      <c r="A1191" s="21">
        <v>812505</v>
      </c>
      <c r="B1191" s="22">
        <v>0</v>
      </c>
    </row>
    <row r="1192" spans="1:2" x14ac:dyDescent="0.2">
      <c r="A1192" s="21">
        <v>812507</v>
      </c>
      <c r="B1192" s="22">
        <v>271</v>
      </c>
    </row>
    <row r="1193" spans="1:2" x14ac:dyDescent="0.2">
      <c r="A1193" s="21">
        <v>812535</v>
      </c>
      <c r="B1193" s="22">
        <v>303</v>
      </c>
    </row>
    <row r="1194" spans="1:2" x14ac:dyDescent="0.2">
      <c r="A1194" s="21">
        <v>812536</v>
      </c>
      <c r="B1194" s="22">
        <v>525.5</v>
      </c>
    </row>
    <row r="1195" spans="1:2" x14ac:dyDescent="0.2">
      <c r="A1195" s="21">
        <v>812537</v>
      </c>
      <c r="B1195" s="22">
        <v>26.5</v>
      </c>
    </row>
    <row r="1196" spans="1:2" x14ac:dyDescent="0.2">
      <c r="A1196" s="21">
        <v>812545</v>
      </c>
      <c r="B1196" s="22">
        <v>268</v>
      </c>
    </row>
    <row r="1197" spans="1:2" x14ac:dyDescent="0.2">
      <c r="A1197" s="21">
        <v>812546</v>
      </c>
      <c r="B1197" s="22">
        <v>0</v>
      </c>
    </row>
    <row r="1198" spans="1:2" x14ac:dyDescent="0.2">
      <c r="A1198" s="21">
        <v>812548</v>
      </c>
      <c r="B1198" s="22">
        <v>495</v>
      </c>
    </row>
    <row r="1199" spans="1:2" x14ac:dyDescent="0.2">
      <c r="A1199" s="21">
        <v>812551</v>
      </c>
      <c r="B1199" s="22">
        <v>0</v>
      </c>
    </row>
    <row r="1200" spans="1:2" x14ac:dyDescent="0.2">
      <c r="A1200" s="21">
        <v>812552</v>
      </c>
      <c r="B1200" s="22">
        <v>300</v>
      </c>
    </row>
    <row r="1201" spans="1:2" x14ac:dyDescent="0.2">
      <c r="A1201" s="21">
        <v>812561</v>
      </c>
      <c r="B1201" s="22">
        <v>217</v>
      </c>
    </row>
    <row r="1202" spans="1:2" x14ac:dyDescent="0.2">
      <c r="A1202" s="21">
        <v>812562</v>
      </c>
      <c r="B1202" s="22">
        <v>1</v>
      </c>
    </row>
    <row r="1203" spans="1:2" x14ac:dyDescent="0.2">
      <c r="A1203" s="21">
        <v>812563</v>
      </c>
      <c r="B1203" s="22">
        <v>440</v>
      </c>
    </row>
    <row r="1204" spans="1:2" x14ac:dyDescent="0.2">
      <c r="A1204" s="21">
        <v>812564</v>
      </c>
      <c r="B1204" s="22">
        <v>50</v>
      </c>
    </row>
    <row r="1205" spans="1:2" x14ac:dyDescent="0.2">
      <c r="A1205" s="21">
        <v>812565</v>
      </c>
      <c r="B1205" s="22">
        <v>0</v>
      </c>
    </row>
    <row r="1206" spans="1:2" x14ac:dyDescent="0.2">
      <c r="A1206" s="21">
        <v>812569</v>
      </c>
      <c r="B1206" s="22">
        <v>809.45</v>
      </c>
    </row>
    <row r="1207" spans="1:2" x14ac:dyDescent="0.2">
      <c r="A1207" s="21">
        <v>812570</v>
      </c>
      <c r="B1207" s="22">
        <v>0</v>
      </c>
    </row>
    <row r="1208" spans="1:2" x14ac:dyDescent="0.2">
      <c r="A1208" s="21">
        <v>812571</v>
      </c>
      <c r="B1208" s="22">
        <v>15</v>
      </c>
    </row>
    <row r="1209" spans="1:2" x14ac:dyDescent="0.2">
      <c r="A1209" s="21">
        <v>812572</v>
      </c>
      <c r="B1209" s="22">
        <v>275.5</v>
      </c>
    </row>
    <row r="1210" spans="1:2" x14ac:dyDescent="0.2">
      <c r="A1210" s="21">
        <v>812615</v>
      </c>
      <c r="B1210" s="22">
        <v>535</v>
      </c>
    </row>
    <row r="1211" spans="1:2" x14ac:dyDescent="0.2">
      <c r="A1211" s="21">
        <v>812616</v>
      </c>
      <c r="B1211" s="22">
        <v>0</v>
      </c>
    </row>
    <row r="1212" spans="1:2" x14ac:dyDescent="0.2">
      <c r="A1212" s="21">
        <v>812617</v>
      </c>
      <c r="B1212" s="22">
        <v>319.05</v>
      </c>
    </row>
    <row r="1213" spans="1:2" x14ac:dyDescent="0.2">
      <c r="A1213" s="21">
        <v>812623</v>
      </c>
      <c r="B1213" s="22">
        <v>5</v>
      </c>
    </row>
    <row r="1214" spans="1:2" x14ac:dyDescent="0.2">
      <c r="A1214" s="21">
        <v>812624</v>
      </c>
      <c r="B1214" s="22">
        <v>212</v>
      </c>
    </row>
    <row r="1215" spans="1:2" x14ac:dyDescent="0.2">
      <c r="A1215" s="21">
        <v>812625</v>
      </c>
      <c r="B1215" s="22">
        <v>30</v>
      </c>
    </row>
    <row r="1216" spans="1:2" x14ac:dyDescent="0.2">
      <c r="A1216" s="21">
        <v>812626</v>
      </c>
      <c r="B1216" s="22">
        <v>57</v>
      </c>
    </row>
    <row r="1217" spans="1:2" x14ac:dyDescent="0.2">
      <c r="A1217" s="21">
        <v>812627</v>
      </c>
      <c r="B1217" s="22">
        <v>30</v>
      </c>
    </row>
    <row r="1218" spans="1:2" x14ac:dyDescent="0.2">
      <c r="A1218" s="21">
        <v>812630</v>
      </c>
      <c r="B1218" s="22">
        <v>155.5</v>
      </c>
    </row>
    <row r="1219" spans="1:2" x14ac:dyDescent="0.2">
      <c r="A1219" s="21">
        <v>812634</v>
      </c>
      <c r="B1219" s="22">
        <v>0</v>
      </c>
    </row>
    <row r="1220" spans="1:2" x14ac:dyDescent="0.2">
      <c r="A1220" s="21">
        <v>812654</v>
      </c>
      <c r="B1220" s="22">
        <v>0</v>
      </c>
    </row>
    <row r="1221" spans="1:2" x14ac:dyDescent="0.2">
      <c r="A1221" s="21">
        <v>812658</v>
      </c>
      <c r="B1221" s="22">
        <v>0</v>
      </c>
    </row>
    <row r="1222" spans="1:2" x14ac:dyDescent="0.2">
      <c r="A1222" s="21">
        <v>812663</v>
      </c>
      <c r="B1222" s="22">
        <v>0</v>
      </c>
    </row>
    <row r="1223" spans="1:2" x14ac:dyDescent="0.2">
      <c r="A1223" s="21">
        <v>812664</v>
      </c>
      <c r="B1223" s="22">
        <v>244.5</v>
      </c>
    </row>
    <row r="1224" spans="1:2" x14ac:dyDescent="0.2">
      <c r="A1224" s="21">
        <v>812665</v>
      </c>
      <c r="B1224" s="22">
        <v>375</v>
      </c>
    </row>
    <row r="1225" spans="1:2" x14ac:dyDescent="0.2">
      <c r="A1225" s="21">
        <v>812666</v>
      </c>
      <c r="B1225" s="22">
        <v>620.25</v>
      </c>
    </row>
    <row r="1226" spans="1:2" x14ac:dyDescent="0.2">
      <c r="A1226" s="21">
        <v>812667</v>
      </c>
      <c r="B1226" s="22">
        <v>1071</v>
      </c>
    </row>
    <row r="1227" spans="1:2" x14ac:dyDescent="0.2">
      <c r="A1227" s="21">
        <v>812668</v>
      </c>
      <c r="B1227" s="22">
        <v>425.5</v>
      </c>
    </row>
    <row r="1228" spans="1:2" x14ac:dyDescent="0.2">
      <c r="A1228" s="21">
        <v>812684</v>
      </c>
      <c r="B1228" s="22">
        <v>0</v>
      </c>
    </row>
    <row r="1229" spans="1:2" x14ac:dyDescent="0.2">
      <c r="A1229" s="21">
        <v>812687</v>
      </c>
      <c r="B1229" s="22">
        <v>172</v>
      </c>
    </row>
    <row r="1230" spans="1:2" x14ac:dyDescent="0.2">
      <c r="A1230" s="21">
        <v>812688</v>
      </c>
      <c r="B1230" s="22">
        <v>20</v>
      </c>
    </row>
    <row r="1231" spans="1:2" x14ac:dyDescent="0.2">
      <c r="A1231" s="21">
        <v>812700</v>
      </c>
      <c r="B1231" s="22">
        <v>2</v>
      </c>
    </row>
    <row r="1232" spans="1:2" x14ac:dyDescent="0.2">
      <c r="A1232" s="21">
        <v>812701</v>
      </c>
      <c r="B1232" s="22">
        <v>112.5</v>
      </c>
    </row>
    <row r="1233" spans="1:2" x14ac:dyDescent="0.2">
      <c r="A1233" s="21">
        <v>812703</v>
      </c>
      <c r="B1233" s="22">
        <v>191</v>
      </c>
    </row>
    <row r="1234" spans="1:2" x14ac:dyDescent="0.2">
      <c r="A1234" s="21">
        <v>812705</v>
      </c>
      <c r="B1234" s="22">
        <v>80</v>
      </c>
    </row>
    <row r="1235" spans="1:2" x14ac:dyDescent="0.2">
      <c r="A1235" s="21">
        <v>812706</v>
      </c>
      <c r="B1235" s="22">
        <v>0</v>
      </c>
    </row>
    <row r="1236" spans="1:2" x14ac:dyDescent="0.2">
      <c r="A1236" s="21">
        <v>812712</v>
      </c>
      <c r="B1236" s="22">
        <v>516.5</v>
      </c>
    </row>
    <row r="1237" spans="1:2" x14ac:dyDescent="0.2">
      <c r="A1237" s="21">
        <v>812723</v>
      </c>
      <c r="B1237" s="22">
        <v>104</v>
      </c>
    </row>
    <row r="1238" spans="1:2" x14ac:dyDescent="0.2">
      <c r="A1238" s="21">
        <v>812729</v>
      </c>
      <c r="B1238" s="22">
        <v>51</v>
      </c>
    </row>
    <row r="1239" spans="1:2" x14ac:dyDescent="0.2">
      <c r="A1239" s="21">
        <v>812730</v>
      </c>
      <c r="B1239" s="22">
        <v>153</v>
      </c>
    </row>
    <row r="1240" spans="1:2" x14ac:dyDescent="0.2">
      <c r="A1240" s="21">
        <v>812737</v>
      </c>
      <c r="B1240" s="22">
        <v>674.5</v>
      </c>
    </row>
    <row r="1241" spans="1:2" x14ac:dyDescent="0.2">
      <c r="A1241" s="21">
        <v>812738</v>
      </c>
      <c r="B1241" s="22">
        <v>343</v>
      </c>
    </row>
    <row r="1242" spans="1:2" x14ac:dyDescent="0.2">
      <c r="A1242" s="21">
        <v>812741</v>
      </c>
      <c r="B1242" s="22">
        <v>11</v>
      </c>
    </row>
    <row r="1243" spans="1:2" x14ac:dyDescent="0.2">
      <c r="A1243" s="21">
        <v>812743</v>
      </c>
      <c r="B1243" s="22">
        <v>112.9</v>
      </c>
    </row>
    <row r="1244" spans="1:2" x14ac:dyDescent="0.2">
      <c r="A1244" s="21">
        <v>812746</v>
      </c>
      <c r="B1244" s="22">
        <v>15</v>
      </c>
    </row>
    <row r="1245" spans="1:2" x14ac:dyDescent="0.2">
      <c r="A1245" s="21">
        <v>812747</v>
      </c>
      <c r="B1245" s="22">
        <v>173.25</v>
      </c>
    </row>
    <row r="1246" spans="1:2" x14ac:dyDescent="0.2">
      <c r="A1246" s="21">
        <v>812751</v>
      </c>
      <c r="B1246" s="22">
        <v>366</v>
      </c>
    </row>
    <row r="1247" spans="1:2" x14ac:dyDescent="0.2">
      <c r="A1247" s="21">
        <v>812752</v>
      </c>
      <c r="B1247" s="22">
        <v>27.5</v>
      </c>
    </row>
    <row r="1248" spans="1:2" x14ac:dyDescent="0.2">
      <c r="A1248" s="21">
        <v>812755</v>
      </c>
      <c r="B1248" s="22">
        <v>45</v>
      </c>
    </row>
    <row r="1249" spans="1:2" x14ac:dyDescent="0.2">
      <c r="A1249" s="21">
        <v>812757</v>
      </c>
      <c r="B1249" s="22">
        <v>80</v>
      </c>
    </row>
    <row r="1250" spans="1:2" x14ac:dyDescent="0.2">
      <c r="A1250" s="21">
        <v>812759</v>
      </c>
      <c r="B1250" s="22">
        <v>858.3</v>
      </c>
    </row>
    <row r="1251" spans="1:2" x14ac:dyDescent="0.2">
      <c r="A1251" s="21">
        <v>812760</v>
      </c>
      <c r="B1251" s="22">
        <v>169.25</v>
      </c>
    </row>
    <row r="1252" spans="1:2" x14ac:dyDescent="0.2">
      <c r="A1252" s="21">
        <v>812768</v>
      </c>
      <c r="B1252" s="22">
        <v>307</v>
      </c>
    </row>
    <row r="1253" spans="1:2" x14ac:dyDescent="0.2">
      <c r="A1253" s="21">
        <v>812776</v>
      </c>
      <c r="B1253" s="22">
        <v>10</v>
      </c>
    </row>
    <row r="1254" spans="1:2" x14ac:dyDescent="0.2">
      <c r="A1254" s="21">
        <v>812778</v>
      </c>
      <c r="B1254" s="22">
        <v>59</v>
      </c>
    </row>
    <row r="1255" spans="1:2" x14ac:dyDescent="0.2">
      <c r="A1255" s="21">
        <v>812780</v>
      </c>
      <c r="B1255" s="22">
        <v>0</v>
      </c>
    </row>
    <row r="1256" spans="1:2" x14ac:dyDescent="0.2">
      <c r="A1256" s="21">
        <v>812792</v>
      </c>
      <c r="B1256" s="22">
        <v>231</v>
      </c>
    </row>
    <row r="1257" spans="1:2" x14ac:dyDescent="0.2">
      <c r="A1257" s="21">
        <v>812793</v>
      </c>
      <c r="B1257" s="22">
        <v>123.25</v>
      </c>
    </row>
    <row r="1258" spans="1:2" x14ac:dyDescent="0.2">
      <c r="A1258" s="21">
        <v>812794</v>
      </c>
      <c r="B1258" s="22">
        <v>0</v>
      </c>
    </row>
    <row r="1259" spans="1:2" x14ac:dyDescent="0.2">
      <c r="A1259" s="21">
        <v>812807</v>
      </c>
      <c r="B1259" s="22">
        <v>24</v>
      </c>
    </row>
    <row r="1260" spans="1:2" x14ac:dyDescent="0.2">
      <c r="A1260" s="21">
        <v>812808</v>
      </c>
      <c r="B1260" s="22">
        <v>250</v>
      </c>
    </row>
    <row r="1261" spans="1:2" x14ac:dyDescent="0.2">
      <c r="A1261" s="21">
        <v>812810</v>
      </c>
      <c r="B1261" s="22">
        <v>70</v>
      </c>
    </row>
    <row r="1262" spans="1:2" x14ac:dyDescent="0.2">
      <c r="A1262" s="21">
        <v>812811</v>
      </c>
      <c r="B1262" s="22">
        <v>1</v>
      </c>
    </row>
    <row r="1263" spans="1:2" x14ac:dyDescent="0.2">
      <c r="A1263" s="21">
        <v>812812</v>
      </c>
      <c r="B1263" s="22">
        <v>148.5</v>
      </c>
    </row>
    <row r="1264" spans="1:2" x14ac:dyDescent="0.2">
      <c r="A1264" s="21">
        <v>812821</v>
      </c>
      <c r="B1264" s="22">
        <v>213</v>
      </c>
    </row>
    <row r="1265" spans="1:2" x14ac:dyDescent="0.2">
      <c r="A1265" s="21">
        <v>812823</v>
      </c>
      <c r="B1265" s="22">
        <v>561.9</v>
      </c>
    </row>
    <row r="1266" spans="1:2" x14ac:dyDescent="0.2">
      <c r="A1266" s="21">
        <v>812838</v>
      </c>
      <c r="B1266" s="22">
        <v>1009.5</v>
      </c>
    </row>
    <row r="1267" spans="1:2" x14ac:dyDescent="0.2">
      <c r="A1267" s="21">
        <v>812842</v>
      </c>
      <c r="B1267" s="22">
        <v>277</v>
      </c>
    </row>
    <row r="1268" spans="1:2" x14ac:dyDescent="0.2">
      <c r="A1268" s="21">
        <v>812846</v>
      </c>
      <c r="B1268" s="22">
        <v>344</v>
      </c>
    </row>
    <row r="1269" spans="1:2" x14ac:dyDescent="0.2">
      <c r="A1269" s="21">
        <v>812848</v>
      </c>
      <c r="B1269" s="22">
        <v>104.5</v>
      </c>
    </row>
    <row r="1270" spans="1:2" x14ac:dyDescent="0.2">
      <c r="A1270" s="21">
        <v>812850</v>
      </c>
      <c r="B1270" s="22">
        <v>846</v>
      </c>
    </row>
    <row r="1271" spans="1:2" x14ac:dyDescent="0.2">
      <c r="A1271" s="21">
        <v>812852</v>
      </c>
      <c r="B1271" s="22">
        <v>196</v>
      </c>
    </row>
    <row r="1272" spans="1:2" x14ac:dyDescent="0.2">
      <c r="A1272" s="21">
        <v>812854</v>
      </c>
      <c r="B1272" s="22">
        <v>30</v>
      </c>
    </row>
    <row r="1273" spans="1:2" x14ac:dyDescent="0.2">
      <c r="A1273" s="21">
        <v>812856</v>
      </c>
      <c r="B1273" s="22">
        <v>25</v>
      </c>
    </row>
    <row r="1274" spans="1:2" x14ac:dyDescent="0.2">
      <c r="A1274" s="21">
        <v>812859</v>
      </c>
      <c r="B1274" s="22">
        <v>173.75</v>
      </c>
    </row>
    <row r="1275" spans="1:2" x14ac:dyDescent="0.2">
      <c r="A1275" s="21">
        <v>812860</v>
      </c>
      <c r="B1275" s="22">
        <v>66</v>
      </c>
    </row>
    <row r="1276" spans="1:2" x14ac:dyDescent="0.2">
      <c r="A1276" s="21">
        <v>812861</v>
      </c>
      <c r="B1276" s="22">
        <v>15</v>
      </c>
    </row>
    <row r="1277" spans="1:2" x14ac:dyDescent="0.2">
      <c r="A1277" s="21">
        <v>812863</v>
      </c>
      <c r="B1277" s="22">
        <v>295.10000000000002</v>
      </c>
    </row>
    <row r="1278" spans="1:2" x14ac:dyDescent="0.2">
      <c r="A1278" s="21">
        <v>812866</v>
      </c>
      <c r="B1278" s="22">
        <v>332.5</v>
      </c>
    </row>
    <row r="1279" spans="1:2" x14ac:dyDescent="0.2">
      <c r="A1279" s="21">
        <v>812869</v>
      </c>
      <c r="B1279" s="22">
        <v>0</v>
      </c>
    </row>
    <row r="1280" spans="1:2" x14ac:dyDescent="0.2">
      <c r="A1280" s="21">
        <v>812880</v>
      </c>
      <c r="B1280" s="22">
        <v>112.5</v>
      </c>
    </row>
    <row r="1281" spans="1:2" x14ac:dyDescent="0.2">
      <c r="A1281" s="21">
        <v>812883</v>
      </c>
      <c r="B1281" s="22">
        <v>248.75</v>
      </c>
    </row>
    <row r="1282" spans="1:2" x14ac:dyDescent="0.2">
      <c r="A1282" s="21">
        <v>812884</v>
      </c>
      <c r="B1282" s="22">
        <v>0</v>
      </c>
    </row>
    <row r="1283" spans="1:2" x14ac:dyDescent="0.2">
      <c r="A1283" s="21">
        <v>812891</v>
      </c>
      <c r="B1283" s="22">
        <v>275.75</v>
      </c>
    </row>
    <row r="1284" spans="1:2" x14ac:dyDescent="0.2">
      <c r="A1284" s="21">
        <v>812893</v>
      </c>
      <c r="B1284" s="22">
        <v>5</v>
      </c>
    </row>
    <row r="1285" spans="1:2" x14ac:dyDescent="0.2">
      <c r="A1285" s="21">
        <v>812897</v>
      </c>
      <c r="B1285" s="22">
        <v>380.9</v>
      </c>
    </row>
    <row r="1286" spans="1:2" x14ac:dyDescent="0.2">
      <c r="A1286" s="21">
        <v>812899</v>
      </c>
      <c r="B1286" s="22">
        <v>0</v>
      </c>
    </row>
    <row r="1287" spans="1:2" x14ac:dyDescent="0.2">
      <c r="A1287" s="21">
        <v>812900</v>
      </c>
      <c r="B1287" s="22">
        <v>240</v>
      </c>
    </row>
    <row r="1288" spans="1:2" x14ac:dyDescent="0.2">
      <c r="A1288" s="21">
        <v>812902</v>
      </c>
      <c r="B1288" s="22">
        <v>93.5</v>
      </c>
    </row>
    <row r="1289" spans="1:2" x14ac:dyDescent="0.2">
      <c r="A1289" s="21">
        <v>812903</v>
      </c>
      <c r="B1289" s="22">
        <v>427.5</v>
      </c>
    </row>
    <row r="1290" spans="1:2" x14ac:dyDescent="0.2">
      <c r="A1290" s="21">
        <v>812905</v>
      </c>
      <c r="B1290" s="22">
        <v>64</v>
      </c>
    </row>
    <row r="1291" spans="1:2" x14ac:dyDescent="0.2">
      <c r="A1291" s="21">
        <v>812909</v>
      </c>
      <c r="B1291" s="22">
        <v>10.5</v>
      </c>
    </row>
    <row r="1292" spans="1:2" x14ac:dyDescent="0.2">
      <c r="A1292" s="21">
        <v>812920</v>
      </c>
      <c r="B1292" s="22">
        <v>57</v>
      </c>
    </row>
    <row r="1293" spans="1:2" x14ac:dyDescent="0.2">
      <c r="A1293" s="21">
        <v>812944</v>
      </c>
      <c r="B1293" s="22">
        <v>373</v>
      </c>
    </row>
    <row r="1294" spans="1:2" x14ac:dyDescent="0.2">
      <c r="A1294" s="21">
        <v>812947</v>
      </c>
      <c r="B1294" s="22">
        <v>231</v>
      </c>
    </row>
    <row r="1295" spans="1:2" x14ac:dyDescent="0.2">
      <c r="A1295" s="21">
        <v>812949</v>
      </c>
      <c r="B1295" s="22">
        <v>345</v>
      </c>
    </row>
    <row r="1296" spans="1:2" x14ac:dyDescent="0.2">
      <c r="A1296" s="21">
        <v>812964</v>
      </c>
      <c r="B1296" s="22">
        <v>220</v>
      </c>
    </row>
    <row r="1297" spans="1:2" x14ac:dyDescent="0.2">
      <c r="A1297" s="21">
        <v>812967</v>
      </c>
      <c r="B1297" s="22">
        <v>364.4</v>
      </c>
    </row>
    <row r="1298" spans="1:2" x14ac:dyDescent="0.2">
      <c r="A1298" s="21">
        <v>812969</v>
      </c>
      <c r="B1298" s="22">
        <v>1034.75</v>
      </c>
    </row>
    <row r="1299" spans="1:2" x14ac:dyDescent="0.2">
      <c r="A1299" s="21">
        <v>812971</v>
      </c>
      <c r="B1299" s="22">
        <v>442</v>
      </c>
    </row>
    <row r="1300" spans="1:2" x14ac:dyDescent="0.2">
      <c r="A1300" s="21">
        <v>812976</v>
      </c>
      <c r="B1300" s="22">
        <v>161</v>
      </c>
    </row>
    <row r="1301" spans="1:2" x14ac:dyDescent="0.2">
      <c r="A1301" s="21">
        <v>812978</v>
      </c>
      <c r="B1301" s="22">
        <v>196.5</v>
      </c>
    </row>
    <row r="1302" spans="1:2" x14ac:dyDescent="0.2">
      <c r="A1302" s="21">
        <v>812983</v>
      </c>
      <c r="B1302" s="22">
        <v>176</v>
      </c>
    </row>
    <row r="1303" spans="1:2" x14ac:dyDescent="0.2">
      <c r="A1303" s="21">
        <v>812984</v>
      </c>
      <c r="B1303" s="22">
        <v>369</v>
      </c>
    </row>
    <row r="1304" spans="1:2" x14ac:dyDescent="0.2">
      <c r="A1304" s="21">
        <v>812985</v>
      </c>
      <c r="B1304" s="22">
        <v>52.5</v>
      </c>
    </row>
    <row r="1305" spans="1:2" x14ac:dyDescent="0.2">
      <c r="A1305" s="21">
        <v>812986</v>
      </c>
      <c r="B1305" s="22">
        <v>105.5</v>
      </c>
    </row>
    <row r="1306" spans="1:2" x14ac:dyDescent="0.2">
      <c r="A1306" s="21">
        <v>812990</v>
      </c>
      <c r="B1306" s="22">
        <v>76.5</v>
      </c>
    </row>
    <row r="1307" spans="1:2" x14ac:dyDescent="0.2">
      <c r="A1307" s="21">
        <v>812992</v>
      </c>
      <c r="B1307" s="22">
        <v>762</v>
      </c>
    </row>
    <row r="1308" spans="1:2" x14ac:dyDescent="0.2">
      <c r="A1308" s="21">
        <v>812994</v>
      </c>
      <c r="B1308" s="22">
        <v>376.5</v>
      </c>
    </row>
    <row r="1309" spans="1:2" x14ac:dyDescent="0.2">
      <c r="A1309" s="21">
        <v>812996</v>
      </c>
      <c r="B1309" s="22">
        <v>267.75</v>
      </c>
    </row>
    <row r="1310" spans="1:2" x14ac:dyDescent="0.2">
      <c r="A1310" s="21">
        <v>812999</v>
      </c>
      <c r="B1310" s="22">
        <v>0</v>
      </c>
    </row>
    <row r="1311" spans="1:2" x14ac:dyDescent="0.2">
      <c r="A1311" s="21">
        <v>813001</v>
      </c>
      <c r="B1311" s="22">
        <v>0</v>
      </c>
    </row>
    <row r="1312" spans="1:2" x14ac:dyDescent="0.2">
      <c r="A1312" s="21">
        <v>813002</v>
      </c>
      <c r="B1312" s="22">
        <v>2912.15</v>
      </c>
    </row>
    <row r="1313" spans="1:2" x14ac:dyDescent="0.2">
      <c r="A1313" s="21">
        <v>813003</v>
      </c>
      <c r="B1313" s="22">
        <v>11</v>
      </c>
    </row>
    <row r="1314" spans="1:2" x14ac:dyDescent="0.2">
      <c r="A1314" s="21">
        <v>813005</v>
      </c>
      <c r="B1314" s="22">
        <v>40</v>
      </c>
    </row>
    <row r="1315" spans="1:2" x14ac:dyDescent="0.2">
      <c r="A1315" s="21">
        <v>813006</v>
      </c>
      <c r="B1315" s="22">
        <v>15</v>
      </c>
    </row>
    <row r="1316" spans="1:2" x14ac:dyDescent="0.2">
      <c r="A1316" s="21">
        <v>813007</v>
      </c>
      <c r="B1316" s="22">
        <v>458.5</v>
      </c>
    </row>
    <row r="1317" spans="1:2" x14ac:dyDescent="0.2">
      <c r="A1317" s="21">
        <v>813008</v>
      </c>
      <c r="B1317" s="22">
        <v>343</v>
      </c>
    </row>
    <row r="1318" spans="1:2" x14ac:dyDescent="0.2">
      <c r="A1318" s="21">
        <v>813009</v>
      </c>
      <c r="B1318" s="22">
        <v>145</v>
      </c>
    </row>
    <row r="1319" spans="1:2" x14ac:dyDescent="0.2">
      <c r="A1319" s="21">
        <v>813010</v>
      </c>
      <c r="B1319" s="22">
        <v>186.5</v>
      </c>
    </row>
    <row r="1320" spans="1:2" x14ac:dyDescent="0.2">
      <c r="A1320" s="21">
        <v>813019</v>
      </c>
      <c r="B1320" s="22">
        <v>95</v>
      </c>
    </row>
    <row r="1321" spans="1:2" x14ac:dyDescent="0.2">
      <c r="A1321" s="21">
        <v>813020</v>
      </c>
      <c r="B1321" s="22">
        <v>52.5</v>
      </c>
    </row>
    <row r="1322" spans="1:2" x14ac:dyDescent="0.2">
      <c r="A1322" s="21">
        <v>813021</v>
      </c>
      <c r="B1322" s="22">
        <v>272</v>
      </c>
    </row>
    <row r="1323" spans="1:2" x14ac:dyDescent="0.2">
      <c r="A1323" s="21">
        <v>813022</v>
      </c>
      <c r="B1323" s="22">
        <v>0</v>
      </c>
    </row>
    <row r="1324" spans="1:2" x14ac:dyDescent="0.2">
      <c r="A1324" s="21">
        <v>813023</v>
      </c>
      <c r="B1324" s="22">
        <v>25</v>
      </c>
    </row>
    <row r="1325" spans="1:2" x14ac:dyDescent="0.2">
      <c r="A1325" s="21">
        <v>813031</v>
      </c>
      <c r="B1325" s="22">
        <v>115</v>
      </c>
    </row>
    <row r="1326" spans="1:2" x14ac:dyDescent="0.2">
      <c r="A1326" s="21">
        <v>813034</v>
      </c>
      <c r="B1326" s="22">
        <v>60</v>
      </c>
    </row>
    <row r="1327" spans="1:2" x14ac:dyDescent="0.2">
      <c r="A1327" s="21">
        <v>813036</v>
      </c>
      <c r="B1327" s="22">
        <v>638.10000000000014</v>
      </c>
    </row>
    <row r="1328" spans="1:2" x14ac:dyDescent="0.2">
      <c r="A1328" s="21">
        <v>813040</v>
      </c>
      <c r="B1328" s="22">
        <v>0</v>
      </c>
    </row>
    <row r="1329" spans="1:2" x14ac:dyDescent="0.2">
      <c r="A1329" s="21">
        <v>813048</v>
      </c>
      <c r="B1329" s="22">
        <v>21</v>
      </c>
    </row>
    <row r="1330" spans="1:2" x14ac:dyDescent="0.2">
      <c r="A1330" s="21">
        <v>813050</v>
      </c>
      <c r="B1330" s="22">
        <v>75</v>
      </c>
    </row>
    <row r="1331" spans="1:2" x14ac:dyDescent="0.2">
      <c r="A1331" s="21">
        <v>813053</v>
      </c>
      <c r="B1331" s="22">
        <v>130</v>
      </c>
    </row>
    <row r="1332" spans="1:2" x14ac:dyDescent="0.2">
      <c r="A1332" s="21">
        <v>813054</v>
      </c>
      <c r="B1332" s="22">
        <v>40</v>
      </c>
    </row>
    <row r="1333" spans="1:2" x14ac:dyDescent="0.2">
      <c r="A1333" s="21">
        <v>813055</v>
      </c>
      <c r="B1333" s="22">
        <v>9</v>
      </c>
    </row>
    <row r="1334" spans="1:2" x14ac:dyDescent="0.2">
      <c r="A1334" s="21">
        <v>813056</v>
      </c>
      <c r="B1334" s="22">
        <v>183</v>
      </c>
    </row>
    <row r="1335" spans="1:2" x14ac:dyDescent="0.2">
      <c r="A1335" s="21">
        <v>813060</v>
      </c>
      <c r="B1335" s="22">
        <v>40</v>
      </c>
    </row>
    <row r="1336" spans="1:2" x14ac:dyDescent="0.2">
      <c r="A1336" s="21">
        <v>813074</v>
      </c>
      <c r="B1336" s="22">
        <v>81</v>
      </c>
    </row>
    <row r="1337" spans="1:2" x14ac:dyDescent="0.2">
      <c r="A1337" s="21">
        <v>813094</v>
      </c>
      <c r="B1337" s="22">
        <v>206</v>
      </c>
    </row>
    <row r="1338" spans="1:2" x14ac:dyDescent="0.2">
      <c r="A1338" s="21">
        <v>813096</v>
      </c>
      <c r="B1338" s="22">
        <v>0</v>
      </c>
    </row>
    <row r="1339" spans="1:2" x14ac:dyDescent="0.2">
      <c r="A1339" s="21">
        <v>813099</v>
      </c>
      <c r="B1339" s="22">
        <v>143.80000000000001</v>
      </c>
    </row>
    <row r="1340" spans="1:2" x14ac:dyDescent="0.2">
      <c r="A1340" s="21">
        <v>813101</v>
      </c>
      <c r="B1340" s="22">
        <v>3</v>
      </c>
    </row>
    <row r="1341" spans="1:2" x14ac:dyDescent="0.2">
      <c r="A1341" s="21">
        <v>813105</v>
      </c>
      <c r="B1341" s="22">
        <v>488.5</v>
      </c>
    </row>
    <row r="1342" spans="1:2" x14ac:dyDescent="0.2">
      <c r="A1342" s="21">
        <v>813106</v>
      </c>
      <c r="B1342" s="22">
        <v>20</v>
      </c>
    </row>
    <row r="1343" spans="1:2" x14ac:dyDescent="0.2">
      <c r="A1343" s="21">
        <v>813118</v>
      </c>
      <c r="B1343" s="22">
        <v>5</v>
      </c>
    </row>
    <row r="1344" spans="1:2" x14ac:dyDescent="0.2">
      <c r="A1344" s="21">
        <v>813120</v>
      </c>
      <c r="B1344" s="22">
        <v>0</v>
      </c>
    </row>
    <row r="1345" spans="1:2" x14ac:dyDescent="0.2">
      <c r="A1345" s="21">
        <v>813122</v>
      </c>
      <c r="B1345" s="22">
        <v>70</v>
      </c>
    </row>
    <row r="1346" spans="1:2" x14ac:dyDescent="0.2">
      <c r="A1346" s="21">
        <v>813124</v>
      </c>
      <c r="B1346" s="22">
        <v>0</v>
      </c>
    </row>
    <row r="1347" spans="1:2" x14ac:dyDescent="0.2">
      <c r="A1347" s="21">
        <v>813146</v>
      </c>
      <c r="B1347" s="22">
        <v>388.5</v>
      </c>
    </row>
    <row r="1348" spans="1:2" x14ac:dyDescent="0.2">
      <c r="A1348" s="21">
        <v>813147</v>
      </c>
      <c r="B1348" s="22">
        <v>20</v>
      </c>
    </row>
    <row r="1349" spans="1:2" x14ac:dyDescent="0.2">
      <c r="A1349" s="21">
        <v>813148</v>
      </c>
      <c r="B1349" s="22">
        <v>388.55</v>
      </c>
    </row>
    <row r="1350" spans="1:2" x14ac:dyDescent="0.2">
      <c r="A1350" s="21">
        <v>813149</v>
      </c>
      <c r="B1350" s="22">
        <v>328.5</v>
      </c>
    </row>
    <row r="1351" spans="1:2" x14ac:dyDescent="0.2">
      <c r="A1351" s="21">
        <v>813150</v>
      </c>
      <c r="B1351" s="22">
        <v>0</v>
      </c>
    </row>
    <row r="1352" spans="1:2" x14ac:dyDescent="0.2">
      <c r="A1352" s="21">
        <v>813151</v>
      </c>
      <c r="B1352" s="22">
        <v>158.5</v>
      </c>
    </row>
    <row r="1353" spans="1:2" x14ac:dyDescent="0.2">
      <c r="A1353" s="21">
        <v>813152</v>
      </c>
      <c r="B1353" s="22">
        <v>412</v>
      </c>
    </row>
    <row r="1354" spans="1:2" x14ac:dyDescent="0.2">
      <c r="A1354" s="21">
        <v>813154</v>
      </c>
      <c r="B1354" s="22">
        <v>316.5</v>
      </c>
    </row>
    <row r="1355" spans="1:2" x14ac:dyDescent="0.2">
      <c r="A1355" s="21">
        <v>813155</v>
      </c>
      <c r="B1355" s="22">
        <v>150.80000000000001</v>
      </c>
    </row>
    <row r="1356" spans="1:2" x14ac:dyDescent="0.2">
      <c r="A1356" s="21">
        <v>813157</v>
      </c>
      <c r="B1356" s="22">
        <v>0</v>
      </c>
    </row>
    <row r="1357" spans="1:2" x14ac:dyDescent="0.2">
      <c r="A1357" s="21">
        <v>813158</v>
      </c>
      <c r="B1357" s="22">
        <v>116</v>
      </c>
    </row>
    <row r="1358" spans="1:2" x14ac:dyDescent="0.2">
      <c r="A1358" s="21">
        <v>813160</v>
      </c>
      <c r="B1358" s="22">
        <v>166</v>
      </c>
    </row>
    <row r="1359" spans="1:2" x14ac:dyDescent="0.2">
      <c r="A1359" s="21">
        <v>813161</v>
      </c>
      <c r="B1359" s="22">
        <v>0</v>
      </c>
    </row>
    <row r="1360" spans="1:2" x14ac:dyDescent="0.2">
      <c r="A1360" s="21">
        <v>813162</v>
      </c>
      <c r="B1360" s="22">
        <v>162.5</v>
      </c>
    </row>
    <row r="1361" spans="1:2" x14ac:dyDescent="0.2">
      <c r="A1361" s="21">
        <v>813167</v>
      </c>
      <c r="B1361" s="22">
        <v>221.75</v>
      </c>
    </row>
    <row r="1362" spans="1:2" x14ac:dyDescent="0.2">
      <c r="A1362" s="21">
        <v>813168</v>
      </c>
      <c r="B1362" s="22">
        <v>100</v>
      </c>
    </row>
    <row r="1363" spans="1:2" x14ac:dyDescent="0.2">
      <c r="A1363" s="21">
        <v>813170</v>
      </c>
      <c r="B1363" s="22">
        <v>191.5</v>
      </c>
    </row>
    <row r="1364" spans="1:2" x14ac:dyDescent="0.2">
      <c r="A1364" s="21">
        <v>813172</v>
      </c>
      <c r="B1364" s="22">
        <v>671.5</v>
      </c>
    </row>
    <row r="1365" spans="1:2" x14ac:dyDescent="0.2">
      <c r="A1365" s="21">
        <v>813173</v>
      </c>
      <c r="B1365" s="22">
        <v>72</v>
      </c>
    </row>
    <row r="1366" spans="1:2" x14ac:dyDescent="0.2">
      <c r="A1366" s="21">
        <v>813174</v>
      </c>
      <c r="B1366" s="22">
        <v>124.95</v>
      </c>
    </row>
    <row r="1367" spans="1:2" x14ac:dyDescent="0.2">
      <c r="A1367" s="21">
        <v>813181</v>
      </c>
      <c r="B1367" s="22">
        <v>32</v>
      </c>
    </row>
    <row r="1368" spans="1:2" x14ac:dyDescent="0.2">
      <c r="A1368" s="21">
        <v>813182</v>
      </c>
      <c r="B1368" s="22">
        <v>80.5</v>
      </c>
    </row>
    <row r="1369" spans="1:2" x14ac:dyDescent="0.2">
      <c r="A1369" s="21">
        <v>813184</v>
      </c>
      <c r="B1369" s="22">
        <v>246.5</v>
      </c>
    </row>
    <row r="1370" spans="1:2" x14ac:dyDescent="0.2">
      <c r="A1370" s="21">
        <v>813185</v>
      </c>
      <c r="B1370" s="22">
        <v>80</v>
      </c>
    </row>
    <row r="1371" spans="1:2" x14ac:dyDescent="0.2">
      <c r="A1371" s="21">
        <v>813188</v>
      </c>
      <c r="B1371" s="22">
        <v>129</v>
      </c>
    </row>
    <row r="1372" spans="1:2" x14ac:dyDescent="0.2">
      <c r="A1372" s="21">
        <v>813190</v>
      </c>
      <c r="B1372" s="22">
        <v>30</v>
      </c>
    </row>
    <row r="1373" spans="1:2" x14ac:dyDescent="0.2">
      <c r="A1373" s="21">
        <v>813192</v>
      </c>
      <c r="B1373" s="22">
        <v>136</v>
      </c>
    </row>
    <row r="1374" spans="1:2" x14ac:dyDescent="0.2">
      <c r="A1374" s="21">
        <v>813194</v>
      </c>
      <c r="B1374" s="22">
        <v>202.5</v>
      </c>
    </row>
    <row r="1375" spans="1:2" x14ac:dyDescent="0.2">
      <c r="A1375" s="21">
        <v>813195</v>
      </c>
      <c r="B1375" s="22">
        <v>62.5</v>
      </c>
    </row>
    <row r="1376" spans="1:2" x14ac:dyDescent="0.2">
      <c r="A1376" s="21">
        <v>813198</v>
      </c>
      <c r="B1376" s="22">
        <v>365</v>
      </c>
    </row>
    <row r="1377" spans="1:2" x14ac:dyDescent="0.2">
      <c r="A1377" s="21">
        <v>813210</v>
      </c>
      <c r="B1377" s="22">
        <v>0</v>
      </c>
    </row>
    <row r="1378" spans="1:2" x14ac:dyDescent="0.2">
      <c r="A1378" s="21">
        <v>813213</v>
      </c>
      <c r="B1378" s="22">
        <v>767.5</v>
      </c>
    </row>
    <row r="1379" spans="1:2" x14ac:dyDescent="0.2">
      <c r="A1379" s="21">
        <v>813215</v>
      </c>
      <c r="B1379" s="22">
        <v>542.75</v>
      </c>
    </row>
    <row r="1380" spans="1:2" x14ac:dyDescent="0.2">
      <c r="A1380" s="21">
        <v>813217</v>
      </c>
      <c r="B1380" s="22">
        <v>370.65</v>
      </c>
    </row>
    <row r="1381" spans="1:2" x14ac:dyDescent="0.2">
      <c r="A1381" s="21">
        <v>813228</v>
      </c>
      <c r="B1381" s="22">
        <v>131</v>
      </c>
    </row>
    <row r="1382" spans="1:2" x14ac:dyDescent="0.2">
      <c r="A1382" s="21">
        <v>813229</v>
      </c>
      <c r="B1382" s="22">
        <v>906.9</v>
      </c>
    </row>
    <row r="1383" spans="1:2" x14ac:dyDescent="0.2">
      <c r="A1383" s="21">
        <v>813231</v>
      </c>
      <c r="B1383" s="22">
        <v>332.5</v>
      </c>
    </row>
    <row r="1384" spans="1:2" x14ac:dyDescent="0.2">
      <c r="A1384" s="21">
        <v>813245</v>
      </c>
      <c r="B1384" s="22">
        <v>148</v>
      </c>
    </row>
    <row r="1385" spans="1:2" x14ac:dyDescent="0.2">
      <c r="A1385" s="21">
        <v>813254</v>
      </c>
      <c r="B1385" s="22">
        <v>255</v>
      </c>
    </row>
    <row r="1386" spans="1:2" x14ac:dyDescent="0.2">
      <c r="A1386" s="21">
        <v>813256</v>
      </c>
      <c r="B1386" s="22">
        <v>25</v>
      </c>
    </row>
    <row r="1387" spans="1:2" x14ac:dyDescent="0.2">
      <c r="A1387" s="21">
        <v>813257</v>
      </c>
      <c r="B1387" s="22">
        <v>0</v>
      </c>
    </row>
    <row r="1388" spans="1:2" x14ac:dyDescent="0.2">
      <c r="A1388" s="21">
        <v>813258</v>
      </c>
      <c r="B1388" s="22">
        <v>210</v>
      </c>
    </row>
    <row r="1389" spans="1:2" x14ac:dyDescent="0.2">
      <c r="A1389" s="21">
        <v>813260</v>
      </c>
      <c r="B1389" s="22">
        <v>170</v>
      </c>
    </row>
    <row r="1390" spans="1:2" x14ac:dyDescent="0.2">
      <c r="A1390" s="21">
        <v>813266</v>
      </c>
      <c r="B1390" s="22">
        <v>187</v>
      </c>
    </row>
    <row r="1391" spans="1:2" x14ac:dyDescent="0.2">
      <c r="A1391" s="21">
        <v>813269</v>
      </c>
      <c r="B1391" s="22">
        <v>189</v>
      </c>
    </row>
    <row r="1392" spans="1:2" x14ac:dyDescent="0.2">
      <c r="A1392" s="21">
        <v>813271</v>
      </c>
      <c r="B1392" s="22">
        <v>285.25</v>
      </c>
    </row>
    <row r="1393" spans="1:2" x14ac:dyDescent="0.2">
      <c r="A1393" s="21">
        <v>813277</v>
      </c>
      <c r="B1393" s="22">
        <v>103</v>
      </c>
    </row>
    <row r="1394" spans="1:2" x14ac:dyDescent="0.2">
      <c r="A1394" s="21">
        <v>813279</v>
      </c>
      <c r="B1394" s="22">
        <v>256</v>
      </c>
    </row>
    <row r="1395" spans="1:2" x14ac:dyDescent="0.2">
      <c r="A1395" s="21">
        <v>813284</v>
      </c>
      <c r="B1395" s="22">
        <v>151.5</v>
      </c>
    </row>
    <row r="1396" spans="1:2" x14ac:dyDescent="0.2">
      <c r="A1396" s="21">
        <v>813288</v>
      </c>
      <c r="B1396" s="22">
        <v>312</v>
      </c>
    </row>
    <row r="1397" spans="1:2" x14ac:dyDescent="0.2">
      <c r="A1397" s="21">
        <v>813290</v>
      </c>
      <c r="B1397" s="22">
        <v>8</v>
      </c>
    </row>
    <row r="1398" spans="1:2" x14ac:dyDescent="0.2">
      <c r="A1398" s="21">
        <v>813291</v>
      </c>
      <c r="B1398" s="22">
        <v>142.5</v>
      </c>
    </row>
    <row r="1399" spans="1:2" x14ac:dyDescent="0.2">
      <c r="A1399" s="21">
        <v>813293</v>
      </c>
      <c r="B1399" s="22">
        <v>120</v>
      </c>
    </row>
    <row r="1400" spans="1:2" x14ac:dyDescent="0.2">
      <c r="A1400" s="21">
        <v>813299</v>
      </c>
      <c r="B1400" s="22">
        <v>149.5</v>
      </c>
    </row>
    <row r="1401" spans="1:2" x14ac:dyDescent="0.2">
      <c r="A1401" s="21">
        <v>813301</v>
      </c>
      <c r="B1401" s="22">
        <v>298.5</v>
      </c>
    </row>
    <row r="1402" spans="1:2" x14ac:dyDescent="0.2">
      <c r="A1402" s="21">
        <v>813302</v>
      </c>
      <c r="B1402" s="22">
        <v>0</v>
      </c>
    </row>
    <row r="1403" spans="1:2" x14ac:dyDescent="0.2">
      <c r="A1403" s="21">
        <v>813303</v>
      </c>
      <c r="B1403" s="22">
        <v>307</v>
      </c>
    </row>
    <row r="1404" spans="1:2" x14ac:dyDescent="0.2">
      <c r="A1404" s="21">
        <v>813312</v>
      </c>
      <c r="B1404" s="22">
        <v>268</v>
      </c>
    </row>
    <row r="1405" spans="1:2" x14ac:dyDescent="0.2">
      <c r="A1405" s="21">
        <v>813314</v>
      </c>
      <c r="B1405" s="22">
        <v>35</v>
      </c>
    </row>
    <row r="1406" spans="1:2" x14ac:dyDescent="0.2">
      <c r="A1406" s="21">
        <v>813324</v>
      </c>
      <c r="B1406" s="22">
        <v>84.5</v>
      </c>
    </row>
    <row r="1407" spans="1:2" x14ac:dyDescent="0.2">
      <c r="A1407" s="21">
        <v>813327</v>
      </c>
      <c r="B1407" s="22">
        <v>276.14999999999998</v>
      </c>
    </row>
    <row r="1408" spans="1:2" x14ac:dyDescent="0.2">
      <c r="A1408" s="21">
        <v>813347</v>
      </c>
      <c r="B1408" s="22">
        <v>203</v>
      </c>
    </row>
    <row r="1409" spans="1:2" x14ac:dyDescent="0.2">
      <c r="A1409" s="21">
        <v>813364</v>
      </c>
      <c r="B1409" s="22">
        <v>121.5</v>
      </c>
    </row>
    <row r="1410" spans="1:2" x14ac:dyDescent="0.2">
      <c r="A1410" s="21">
        <v>813366</v>
      </c>
      <c r="B1410" s="22">
        <v>0</v>
      </c>
    </row>
    <row r="1411" spans="1:2" x14ac:dyDescent="0.2">
      <c r="A1411" s="21">
        <v>813368</v>
      </c>
      <c r="B1411" s="22">
        <v>201.5</v>
      </c>
    </row>
    <row r="1412" spans="1:2" x14ac:dyDescent="0.2">
      <c r="A1412" s="21">
        <v>813374</v>
      </c>
      <c r="B1412" s="22">
        <v>30.25</v>
      </c>
    </row>
    <row r="1413" spans="1:2" x14ac:dyDescent="0.2">
      <c r="A1413" s="21">
        <v>813375</v>
      </c>
      <c r="B1413" s="22">
        <v>0</v>
      </c>
    </row>
    <row r="1414" spans="1:2" x14ac:dyDescent="0.2">
      <c r="A1414" s="21">
        <v>813376</v>
      </c>
      <c r="B1414" s="22">
        <v>787.2</v>
      </c>
    </row>
    <row r="1415" spans="1:2" x14ac:dyDescent="0.2">
      <c r="A1415" s="21">
        <v>813377</v>
      </c>
      <c r="B1415" s="22">
        <v>0</v>
      </c>
    </row>
    <row r="1416" spans="1:2" x14ac:dyDescent="0.2">
      <c r="A1416" s="21">
        <v>813378</v>
      </c>
      <c r="B1416" s="22">
        <v>107</v>
      </c>
    </row>
    <row r="1417" spans="1:2" x14ac:dyDescent="0.2">
      <c r="A1417" s="21">
        <v>813385</v>
      </c>
      <c r="B1417" s="22">
        <v>306</v>
      </c>
    </row>
    <row r="1418" spans="1:2" x14ac:dyDescent="0.2">
      <c r="A1418" s="21">
        <v>813388</v>
      </c>
      <c r="B1418" s="22">
        <v>192.4</v>
      </c>
    </row>
    <row r="1419" spans="1:2" x14ac:dyDescent="0.2">
      <c r="A1419" s="21">
        <v>813409</v>
      </c>
      <c r="B1419" s="22">
        <v>458</v>
      </c>
    </row>
    <row r="1420" spans="1:2" x14ac:dyDescent="0.2">
      <c r="A1420" s="21">
        <v>813413</v>
      </c>
      <c r="B1420" s="22">
        <v>24.5</v>
      </c>
    </row>
    <row r="1421" spans="1:2" x14ac:dyDescent="0.2">
      <c r="A1421" s="21">
        <v>813433</v>
      </c>
      <c r="B1421" s="22">
        <v>278</v>
      </c>
    </row>
    <row r="1422" spans="1:2" x14ac:dyDescent="0.2">
      <c r="A1422" s="21">
        <v>813434</v>
      </c>
      <c r="B1422" s="22">
        <v>706.5</v>
      </c>
    </row>
    <row r="1423" spans="1:2" x14ac:dyDescent="0.2">
      <c r="A1423" s="21">
        <v>813438</v>
      </c>
      <c r="B1423" s="22">
        <v>172.45</v>
      </c>
    </row>
    <row r="1424" spans="1:2" x14ac:dyDescent="0.2">
      <c r="A1424" s="21">
        <v>813450</v>
      </c>
      <c r="B1424" s="22">
        <v>204.5</v>
      </c>
    </row>
    <row r="1425" spans="1:2" x14ac:dyDescent="0.2">
      <c r="A1425" s="21">
        <v>813453</v>
      </c>
      <c r="B1425" s="22">
        <v>0</v>
      </c>
    </row>
    <row r="1426" spans="1:2" x14ac:dyDescent="0.2">
      <c r="A1426" s="21">
        <v>813489</v>
      </c>
      <c r="B1426" s="22">
        <v>368.75</v>
      </c>
    </row>
    <row r="1427" spans="1:2" x14ac:dyDescent="0.2">
      <c r="A1427" s="21">
        <v>813491</v>
      </c>
      <c r="B1427" s="22">
        <v>555.6</v>
      </c>
    </row>
    <row r="1428" spans="1:2" x14ac:dyDescent="0.2">
      <c r="A1428" s="21">
        <v>813521</v>
      </c>
      <c r="B1428" s="22">
        <v>710</v>
      </c>
    </row>
    <row r="1429" spans="1:2" x14ac:dyDescent="0.2">
      <c r="A1429" s="21">
        <v>813532</v>
      </c>
      <c r="B1429" s="22">
        <v>193</v>
      </c>
    </row>
    <row r="1430" spans="1:2" x14ac:dyDescent="0.2">
      <c r="A1430" s="21">
        <v>813539</v>
      </c>
      <c r="B1430" s="22">
        <v>395.5</v>
      </c>
    </row>
    <row r="1431" spans="1:2" x14ac:dyDescent="0.2">
      <c r="A1431" s="21">
        <v>813541</v>
      </c>
      <c r="B1431" s="22">
        <v>107.5</v>
      </c>
    </row>
    <row r="1432" spans="1:2" x14ac:dyDescent="0.2">
      <c r="A1432" s="21">
        <v>813567</v>
      </c>
      <c r="B1432" s="22">
        <v>378.25</v>
      </c>
    </row>
    <row r="1433" spans="1:2" x14ac:dyDescent="0.2">
      <c r="A1433" s="21">
        <v>813568</v>
      </c>
      <c r="B1433" s="22">
        <v>0</v>
      </c>
    </row>
    <row r="1434" spans="1:2" x14ac:dyDescent="0.2">
      <c r="A1434" s="21">
        <v>813570</v>
      </c>
      <c r="B1434" s="22">
        <v>739</v>
      </c>
    </row>
    <row r="1435" spans="1:2" x14ac:dyDescent="0.2">
      <c r="A1435" s="21">
        <v>813572</v>
      </c>
      <c r="B1435" s="22">
        <v>238</v>
      </c>
    </row>
    <row r="1436" spans="1:2" x14ac:dyDescent="0.2">
      <c r="A1436" s="21">
        <v>813602</v>
      </c>
      <c r="B1436" s="22">
        <v>199.25</v>
      </c>
    </row>
    <row r="1437" spans="1:2" x14ac:dyDescent="0.2">
      <c r="A1437" s="21">
        <v>813613</v>
      </c>
      <c r="B1437" s="22">
        <v>35</v>
      </c>
    </row>
    <row r="1438" spans="1:2" x14ac:dyDescent="0.2">
      <c r="A1438" s="21">
        <v>813619</v>
      </c>
      <c r="B1438" s="22">
        <v>492.5</v>
      </c>
    </row>
    <row r="1439" spans="1:2" x14ac:dyDescent="0.2">
      <c r="A1439" s="21">
        <v>813621</v>
      </c>
      <c r="B1439" s="22">
        <v>0</v>
      </c>
    </row>
    <row r="1440" spans="1:2" x14ac:dyDescent="0.2">
      <c r="A1440" s="21">
        <v>813632</v>
      </c>
      <c r="B1440" s="22">
        <v>186</v>
      </c>
    </row>
    <row r="1441" spans="1:2" x14ac:dyDescent="0.2">
      <c r="A1441" s="21">
        <v>813633</v>
      </c>
      <c r="B1441" s="22">
        <v>197</v>
      </c>
    </row>
    <row r="1442" spans="1:2" x14ac:dyDescent="0.2">
      <c r="A1442" s="21">
        <v>813635</v>
      </c>
      <c r="B1442" s="22">
        <v>350</v>
      </c>
    </row>
    <row r="1443" spans="1:2" x14ac:dyDescent="0.2">
      <c r="A1443" s="21">
        <v>813636</v>
      </c>
      <c r="B1443" s="22">
        <v>117.5</v>
      </c>
    </row>
    <row r="1444" spans="1:2" x14ac:dyDescent="0.2">
      <c r="A1444" s="21">
        <v>813638</v>
      </c>
      <c r="B1444" s="22">
        <v>194</v>
      </c>
    </row>
    <row r="1445" spans="1:2" x14ac:dyDescent="0.2">
      <c r="A1445" s="21">
        <v>813642</v>
      </c>
      <c r="B1445" s="22">
        <v>100.35</v>
      </c>
    </row>
    <row r="1446" spans="1:2" x14ac:dyDescent="0.2">
      <c r="A1446" s="21">
        <v>813647</v>
      </c>
      <c r="B1446" s="22">
        <v>66</v>
      </c>
    </row>
    <row r="1447" spans="1:2" x14ac:dyDescent="0.2">
      <c r="A1447" s="21">
        <v>813651</v>
      </c>
      <c r="B1447" s="22">
        <v>0</v>
      </c>
    </row>
    <row r="1448" spans="1:2" x14ac:dyDescent="0.2">
      <c r="A1448" s="21">
        <v>813656</v>
      </c>
      <c r="B1448" s="22">
        <v>69.05</v>
      </c>
    </row>
    <row r="1449" spans="1:2" x14ac:dyDescent="0.2">
      <c r="A1449" s="21">
        <v>813672</v>
      </c>
      <c r="B1449" s="22">
        <v>10</v>
      </c>
    </row>
    <row r="1450" spans="1:2" x14ac:dyDescent="0.2">
      <c r="A1450" s="21">
        <v>813674</v>
      </c>
      <c r="B1450" s="22">
        <v>148.5</v>
      </c>
    </row>
    <row r="1451" spans="1:2" x14ac:dyDescent="0.2">
      <c r="A1451" s="21">
        <v>813676</v>
      </c>
      <c r="B1451" s="22">
        <v>11.5</v>
      </c>
    </row>
    <row r="1452" spans="1:2" x14ac:dyDescent="0.2">
      <c r="A1452" s="21">
        <v>813679</v>
      </c>
      <c r="B1452" s="22">
        <v>30</v>
      </c>
    </row>
    <row r="1453" spans="1:2" x14ac:dyDescent="0.2">
      <c r="A1453" s="21">
        <v>813681</v>
      </c>
      <c r="B1453" s="22">
        <v>0</v>
      </c>
    </row>
    <row r="1454" spans="1:2" x14ac:dyDescent="0.2">
      <c r="A1454" s="21">
        <v>813690</v>
      </c>
      <c r="B1454" s="22">
        <v>0</v>
      </c>
    </row>
    <row r="1455" spans="1:2" x14ac:dyDescent="0.2">
      <c r="A1455" s="21">
        <v>813692</v>
      </c>
      <c r="B1455" s="22">
        <v>48.5</v>
      </c>
    </row>
    <row r="1456" spans="1:2" x14ac:dyDescent="0.2">
      <c r="A1456" s="21">
        <v>813724</v>
      </c>
      <c r="B1456" s="22">
        <v>218</v>
      </c>
    </row>
    <row r="1457" spans="1:2" x14ac:dyDescent="0.2">
      <c r="A1457" s="21">
        <v>813725</v>
      </c>
      <c r="B1457" s="22">
        <v>345.85</v>
      </c>
    </row>
    <row r="1458" spans="1:2" x14ac:dyDescent="0.2">
      <c r="A1458" s="21">
        <v>813728</v>
      </c>
      <c r="B1458" s="22">
        <v>0</v>
      </c>
    </row>
    <row r="1459" spans="1:2" x14ac:dyDescent="0.2">
      <c r="A1459" s="21">
        <v>813729</v>
      </c>
      <c r="B1459" s="22">
        <v>784.45</v>
      </c>
    </row>
    <row r="1460" spans="1:2" x14ac:dyDescent="0.2">
      <c r="A1460" s="21">
        <v>813731</v>
      </c>
      <c r="B1460" s="22">
        <v>114.75</v>
      </c>
    </row>
    <row r="1461" spans="1:2" x14ac:dyDescent="0.2">
      <c r="A1461" s="21">
        <v>813734</v>
      </c>
      <c r="B1461" s="22">
        <v>0</v>
      </c>
    </row>
    <row r="1462" spans="1:2" x14ac:dyDescent="0.2">
      <c r="A1462" s="21">
        <v>813746</v>
      </c>
      <c r="B1462" s="22">
        <v>0</v>
      </c>
    </row>
    <row r="1463" spans="1:2" x14ac:dyDescent="0.2">
      <c r="A1463" s="21">
        <v>813763</v>
      </c>
      <c r="B1463" s="22">
        <v>172.5</v>
      </c>
    </row>
    <row r="1464" spans="1:2" x14ac:dyDescent="0.2">
      <c r="A1464" s="21">
        <v>813765</v>
      </c>
      <c r="B1464" s="22">
        <v>956</v>
      </c>
    </row>
    <row r="1465" spans="1:2" x14ac:dyDescent="0.2">
      <c r="A1465" s="21">
        <v>813778</v>
      </c>
      <c r="B1465" s="22">
        <v>5</v>
      </c>
    </row>
    <row r="1466" spans="1:2" x14ac:dyDescent="0.2">
      <c r="A1466" s="21">
        <v>813780</v>
      </c>
      <c r="B1466" s="22">
        <v>0</v>
      </c>
    </row>
    <row r="1467" spans="1:2" x14ac:dyDescent="0.2">
      <c r="A1467" s="21">
        <v>813782</v>
      </c>
      <c r="B1467" s="22">
        <v>941</v>
      </c>
    </row>
    <row r="1468" spans="1:2" x14ac:dyDescent="0.2">
      <c r="A1468" s="21">
        <v>813787</v>
      </c>
      <c r="B1468" s="22">
        <v>10</v>
      </c>
    </row>
    <row r="1469" spans="1:2" x14ac:dyDescent="0.2">
      <c r="A1469" s="21">
        <v>813788</v>
      </c>
      <c r="B1469" s="22">
        <v>322.5</v>
      </c>
    </row>
    <row r="1470" spans="1:2" x14ac:dyDescent="0.2">
      <c r="A1470" s="21">
        <v>813799</v>
      </c>
      <c r="B1470" s="22">
        <v>465</v>
      </c>
    </row>
    <row r="1471" spans="1:2" x14ac:dyDescent="0.2">
      <c r="A1471" s="21">
        <v>813800</v>
      </c>
      <c r="B1471" s="22">
        <v>198.7</v>
      </c>
    </row>
    <row r="1472" spans="1:2" x14ac:dyDescent="0.2">
      <c r="A1472" s="21">
        <v>813802</v>
      </c>
      <c r="B1472" s="22">
        <v>133</v>
      </c>
    </row>
    <row r="1473" spans="1:2" x14ac:dyDescent="0.2">
      <c r="A1473" s="21">
        <v>813806</v>
      </c>
      <c r="B1473" s="22">
        <v>0</v>
      </c>
    </row>
    <row r="1474" spans="1:2" x14ac:dyDescent="0.2">
      <c r="A1474" s="21">
        <v>813815</v>
      </c>
      <c r="B1474" s="22">
        <v>342.25</v>
      </c>
    </row>
    <row r="1475" spans="1:2" x14ac:dyDescent="0.2">
      <c r="A1475" s="21">
        <v>813816</v>
      </c>
      <c r="B1475" s="22">
        <v>233</v>
      </c>
    </row>
    <row r="1476" spans="1:2" x14ac:dyDescent="0.2">
      <c r="A1476" s="21">
        <v>813820</v>
      </c>
      <c r="B1476" s="22">
        <v>15.95</v>
      </c>
    </row>
    <row r="1477" spans="1:2" x14ac:dyDescent="0.2">
      <c r="A1477" s="21">
        <v>813821</v>
      </c>
      <c r="B1477" s="22">
        <v>0</v>
      </c>
    </row>
    <row r="1478" spans="1:2" x14ac:dyDescent="0.2">
      <c r="A1478" s="21">
        <v>813829</v>
      </c>
      <c r="B1478" s="22">
        <v>952.5</v>
      </c>
    </row>
    <row r="1479" spans="1:2" x14ac:dyDescent="0.2">
      <c r="A1479" s="21">
        <v>813830</v>
      </c>
      <c r="B1479" s="22">
        <v>87.5</v>
      </c>
    </row>
    <row r="1480" spans="1:2" x14ac:dyDescent="0.2">
      <c r="A1480" s="21">
        <v>813832</v>
      </c>
      <c r="B1480" s="22">
        <v>30</v>
      </c>
    </row>
    <row r="1481" spans="1:2" x14ac:dyDescent="0.2">
      <c r="A1481" s="21">
        <v>813834</v>
      </c>
      <c r="B1481" s="22">
        <v>347.5</v>
      </c>
    </row>
    <row r="1482" spans="1:2" x14ac:dyDescent="0.2">
      <c r="A1482" s="21">
        <v>813842</v>
      </c>
      <c r="B1482" s="22">
        <v>178.5</v>
      </c>
    </row>
    <row r="1483" spans="1:2" x14ac:dyDescent="0.2">
      <c r="A1483" s="21">
        <v>813847</v>
      </c>
      <c r="B1483" s="22">
        <v>72</v>
      </c>
    </row>
    <row r="1484" spans="1:2" x14ac:dyDescent="0.2">
      <c r="A1484" s="21">
        <v>813866</v>
      </c>
      <c r="B1484" s="22">
        <v>129</v>
      </c>
    </row>
    <row r="1485" spans="1:2" x14ac:dyDescent="0.2">
      <c r="A1485" s="21">
        <v>813867</v>
      </c>
      <c r="B1485" s="22">
        <v>402</v>
      </c>
    </row>
    <row r="1486" spans="1:2" x14ac:dyDescent="0.2">
      <c r="A1486" s="21">
        <v>813876</v>
      </c>
      <c r="B1486" s="22">
        <v>98.2</v>
      </c>
    </row>
    <row r="1487" spans="1:2" x14ac:dyDescent="0.2">
      <c r="A1487" s="21">
        <v>813877</v>
      </c>
      <c r="B1487" s="22">
        <v>0</v>
      </c>
    </row>
    <row r="1488" spans="1:2" x14ac:dyDescent="0.2">
      <c r="A1488" s="21">
        <v>813894</v>
      </c>
      <c r="B1488" s="22">
        <v>432</v>
      </c>
    </row>
    <row r="1489" spans="1:2" x14ac:dyDescent="0.2">
      <c r="A1489" s="21">
        <v>813895</v>
      </c>
      <c r="B1489" s="22">
        <v>119</v>
      </c>
    </row>
    <row r="1490" spans="1:2" x14ac:dyDescent="0.2">
      <c r="A1490" s="21">
        <v>813896</v>
      </c>
      <c r="B1490" s="22">
        <v>60</v>
      </c>
    </row>
    <row r="1491" spans="1:2" x14ac:dyDescent="0.2">
      <c r="A1491" s="21">
        <v>813897</v>
      </c>
      <c r="B1491" s="22">
        <v>58.75</v>
      </c>
    </row>
    <row r="1492" spans="1:2" x14ac:dyDescent="0.2">
      <c r="A1492" s="21">
        <v>813909</v>
      </c>
      <c r="B1492" s="22">
        <v>252.25</v>
      </c>
    </row>
    <row r="1493" spans="1:2" x14ac:dyDescent="0.2">
      <c r="A1493" s="21">
        <v>813926</v>
      </c>
      <c r="B1493" s="22">
        <v>87</v>
      </c>
    </row>
    <row r="1494" spans="1:2" x14ac:dyDescent="0.2">
      <c r="A1494" s="21">
        <v>813928</v>
      </c>
      <c r="B1494" s="22">
        <v>96</v>
      </c>
    </row>
    <row r="1495" spans="1:2" x14ac:dyDescent="0.2">
      <c r="A1495" s="21">
        <v>813932</v>
      </c>
      <c r="B1495" s="22">
        <v>421.75</v>
      </c>
    </row>
    <row r="1496" spans="1:2" x14ac:dyDescent="0.2">
      <c r="A1496" s="21">
        <v>813933</v>
      </c>
      <c r="B1496" s="22">
        <v>10</v>
      </c>
    </row>
    <row r="1497" spans="1:2" x14ac:dyDescent="0.2">
      <c r="A1497" s="21">
        <v>813935</v>
      </c>
      <c r="B1497" s="22">
        <v>129.5</v>
      </c>
    </row>
    <row r="1498" spans="1:2" x14ac:dyDescent="0.2">
      <c r="A1498" s="21">
        <v>813936</v>
      </c>
      <c r="B1498" s="22">
        <v>0</v>
      </c>
    </row>
    <row r="1499" spans="1:2" x14ac:dyDescent="0.2">
      <c r="A1499" s="21">
        <v>813938</v>
      </c>
      <c r="B1499" s="22">
        <v>409</v>
      </c>
    </row>
    <row r="1500" spans="1:2" x14ac:dyDescent="0.2">
      <c r="A1500" s="21">
        <v>813946</v>
      </c>
      <c r="B1500" s="22">
        <v>289.95</v>
      </c>
    </row>
    <row r="1501" spans="1:2" x14ac:dyDescent="0.2">
      <c r="A1501" s="21">
        <v>813962</v>
      </c>
      <c r="B1501" s="22">
        <v>29.9</v>
      </c>
    </row>
    <row r="1502" spans="1:2" x14ac:dyDescent="0.2">
      <c r="A1502" s="21">
        <v>813971</v>
      </c>
      <c r="B1502" s="22">
        <v>407</v>
      </c>
    </row>
    <row r="1503" spans="1:2" x14ac:dyDescent="0.2">
      <c r="A1503" s="21">
        <v>813974</v>
      </c>
      <c r="B1503" s="22">
        <v>125</v>
      </c>
    </row>
    <row r="1504" spans="1:2" x14ac:dyDescent="0.2">
      <c r="A1504" s="21">
        <v>813979</v>
      </c>
      <c r="B1504" s="22">
        <v>30</v>
      </c>
    </row>
    <row r="1505" spans="1:2" x14ac:dyDescent="0.2">
      <c r="A1505" s="21">
        <v>813981</v>
      </c>
      <c r="B1505" s="22">
        <v>101.8</v>
      </c>
    </row>
    <row r="1506" spans="1:2" x14ac:dyDescent="0.2">
      <c r="A1506" s="21">
        <v>813983</v>
      </c>
      <c r="B1506" s="22">
        <v>203</v>
      </c>
    </row>
    <row r="1507" spans="1:2" x14ac:dyDescent="0.2">
      <c r="A1507" s="21">
        <v>813984</v>
      </c>
      <c r="B1507" s="22">
        <v>110</v>
      </c>
    </row>
    <row r="1508" spans="1:2" x14ac:dyDescent="0.2">
      <c r="A1508" s="21">
        <v>813997</v>
      </c>
      <c r="B1508" s="22">
        <v>352</v>
      </c>
    </row>
    <row r="1509" spans="1:2" x14ac:dyDescent="0.2">
      <c r="A1509" s="21">
        <v>813998</v>
      </c>
      <c r="B1509" s="22">
        <v>150</v>
      </c>
    </row>
    <row r="1510" spans="1:2" x14ac:dyDescent="0.2">
      <c r="A1510" s="21">
        <v>814000</v>
      </c>
      <c r="B1510" s="22">
        <v>194</v>
      </c>
    </row>
    <row r="1511" spans="1:2" x14ac:dyDescent="0.2">
      <c r="A1511" s="21">
        <v>814001</v>
      </c>
      <c r="B1511" s="22">
        <v>43</v>
      </c>
    </row>
    <row r="1512" spans="1:2" x14ac:dyDescent="0.2">
      <c r="A1512" s="21">
        <v>814004</v>
      </c>
      <c r="B1512" s="22">
        <v>99.75</v>
      </c>
    </row>
    <row r="1513" spans="1:2" x14ac:dyDescent="0.2">
      <c r="A1513" s="21">
        <v>814011</v>
      </c>
      <c r="B1513" s="22">
        <v>0</v>
      </c>
    </row>
    <row r="1514" spans="1:2" x14ac:dyDescent="0.2">
      <c r="A1514" s="21">
        <v>814013</v>
      </c>
      <c r="B1514" s="22">
        <v>205</v>
      </c>
    </row>
    <row r="1515" spans="1:2" x14ac:dyDescent="0.2">
      <c r="A1515" s="21">
        <v>814018</v>
      </c>
      <c r="B1515" s="22">
        <v>477.75</v>
      </c>
    </row>
    <row r="1516" spans="1:2" x14ac:dyDescent="0.2">
      <c r="A1516" s="21">
        <v>814031</v>
      </c>
      <c r="B1516" s="22">
        <v>0</v>
      </c>
    </row>
    <row r="1517" spans="1:2" x14ac:dyDescent="0.2">
      <c r="A1517" s="21">
        <v>814034</v>
      </c>
      <c r="B1517" s="22">
        <v>263.14999999999998</v>
      </c>
    </row>
    <row r="1518" spans="1:2" x14ac:dyDescent="0.2">
      <c r="A1518" s="21">
        <v>814038</v>
      </c>
      <c r="B1518" s="22">
        <v>218</v>
      </c>
    </row>
    <row r="1519" spans="1:2" x14ac:dyDescent="0.2">
      <c r="A1519" s="21">
        <v>814040</v>
      </c>
      <c r="B1519" s="22">
        <v>35</v>
      </c>
    </row>
    <row r="1520" spans="1:2" x14ac:dyDescent="0.2">
      <c r="A1520" s="21">
        <v>814047</v>
      </c>
      <c r="B1520" s="22">
        <v>30</v>
      </c>
    </row>
    <row r="1521" spans="1:2" x14ac:dyDescent="0.2">
      <c r="A1521" s="21">
        <v>814048</v>
      </c>
      <c r="B1521" s="22">
        <v>882.75</v>
      </c>
    </row>
    <row r="1522" spans="1:2" x14ac:dyDescent="0.2">
      <c r="A1522" s="21">
        <v>814050</v>
      </c>
      <c r="B1522" s="22">
        <v>920.3</v>
      </c>
    </row>
    <row r="1523" spans="1:2" x14ac:dyDescent="0.2">
      <c r="A1523" s="21">
        <v>814055</v>
      </c>
      <c r="B1523" s="22">
        <v>7.5</v>
      </c>
    </row>
    <row r="1524" spans="1:2" x14ac:dyDescent="0.2">
      <c r="A1524" s="21">
        <v>814058</v>
      </c>
      <c r="B1524" s="22">
        <v>286</v>
      </c>
    </row>
    <row r="1525" spans="1:2" x14ac:dyDescent="0.2">
      <c r="A1525" s="21">
        <v>814067</v>
      </c>
      <c r="B1525" s="22">
        <v>135</v>
      </c>
    </row>
    <row r="1526" spans="1:2" x14ac:dyDescent="0.2">
      <c r="A1526" s="21">
        <v>814068</v>
      </c>
      <c r="B1526" s="22">
        <v>0</v>
      </c>
    </row>
    <row r="1527" spans="1:2" x14ac:dyDescent="0.2">
      <c r="A1527" s="21">
        <v>814069</v>
      </c>
      <c r="B1527" s="22">
        <v>163.5</v>
      </c>
    </row>
    <row r="1528" spans="1:2" x14ac:dyDescent="0.2">
      <c r="A1528" s="21">
        <v>814079</v>
      </c>
      <c r="B1528" s="22">
        <v>399</v>
      </c>
    </row>
    <row r="1529" spans="1:2" x14ac:dyDescent="0.2">
      <c r="A1529" s="21">
        <v>814084</v>
      </c>
      <c r="B1529" s="22">
        <v>15</v>
      </c>
    </row>
    <row r="1530" spans="1:2" x14ac:dyDescent="0.2">
      <c r="A1530" s="21">
        <v>814085</v>
      </c>
      <c r="B1530" s="22">
        <v>334</v>
      </c>
    </row>
    <row r="1531" spans="1:2" x14ac:dyDescent="0.2">
      <c r="A1531" s="21">
        <v>814086</v>
      </c>
      <c r="B1531" s="22">
        <v>0</v>
      </c>
    </row>
    <row r="1532" spans="1:2" x14ac:dyDescent="0.2">
      <c r="A1532" s="21">
        <v>814087</v>
      </c>
      <c r="B1532" s="22">
        <v>161</v>
      </c>
    </row>
    <row r="1533" spans="1:2" x14ac:dyDescent="0.2">
      <c r="A1533" s="21">
        <v>814091</v>
      </c>
      <c r="B1533" s="22">
        <v>43.5</v>
      </c>
    </row>
    <row r="1534" spans="1:2" x14ac:dyDescent="0.2">
      <c r="A1534" s="21">
        <v>814093</v>
      </c>
      <c r="B1534" s="22">
        <v>20</v>
      </c>
    </row>
    <row r="1535" spans="1:2" x14ac:dyDescent="0.2">
      <c r="A1535" s="21">
        <v>814094</v>
      </c>
      <c r="B1535" s="22">
        <v>566.5</v>
      </c>
    </row>
    <row r="1536" spans="1:2" x14ac:dyDescent="0.2">
      <c r="A1536" s="21">
        <v>814095</v>
      </c>
      <c r="B1536" s="22">
        <v>0</v>
      </c>
    </row>
    <row r="1537" spans="1:2" x14ac:dyDescent="0.2">
      <c r="A1537" s="21">
        <v>814096</v>
      </c>
      <c r="B1537" s="22">
        <v>0</v>
      </c>
    </row>
    <row r="1538" spans="1:2" x14ac:dyDescent="0.2">
      <c r="A1538" s="21">
        <v>814097</v>
      </c>
      <c r="B1538" s="22">
        <v>479.5</v>
      </c>
    </row>
    <row r="1539" spans="1:2" x14ac:dyDescent="0.2">
      <c r="A1539" s="21">
        <v>814106</v>
      </c>
      <c r="B1539" s="22">
        <v>58</v>
      </c>
    </row>
    <row r="1540" spans="1:2" x14ac:dyDescent="0.2">
      <c r="A1540" s="21">
        <v>814107</v>
      </c>
      <c r="B1540" s="22">
        <v>81.849999999999994</v>
      </c>
    </row>
    <row r="1541" spans="1:2" x14ac:dyDescent="0.2">
      <c r="A1541" s="21">
        <v>814108</v>
      </c>
      <c r="B1541" s="22">
        <v>0</v>
      </c>
    </row>
    <row r="1542" spans="1:2" x14ac:dyDescent="0.2">
      <c r="A1542" s="21">
        <v>814109</v>
      </c>
      <c r="B1542" s="22">
        <v>867.5</v>
      </c>
    </row>
    <row r="1543" spans="1:2" x14ac:dyDescent="0.2">
      <c r="A1543" s="21">
        <v>814110</v>
      </c>
      <c r="B1543" s="22">
        <v>140</v>
      </c>
    </row>
    <row r="1544" spans="1:2" x14ac:dyDescent="0.2">
      <c r="A1544" s="21">
        <v>814111</v>
      </c>
      <c r="B1544" s="22">
        <v>145</v>
      </c>
    </row>
    <row r="1545" spans="1:2" x14ac:dyDescent="0.2">
      <c r="A1545" s="21">
        <v>814113</v>
      </c>
      <c r="B1545" s="22">
        <v>55</v>
      </c>
    </row>
    <row r="1546" spans="1:2" x14ac:dyDescent="0.2">
      <c r="A1546" s="21">
        <v>814114</v>
      </c>
      <c r="B1546" s="22">
        <v>151</v>
      </c>
    </row>
    <row r="1547" spans="1:2" x14ac:dyDescent="0.2">
      <c r="A1547" s="21">
        <v>814115</v>
      </c>
      <c r="B1547" s="22">
        <v>190</v>
      </c>
    </row>
    <row r="1548" spans="1:2" x14ac:dyDescent="0.2">
      <c r="A1548" s="21">
        <v>814116</v>
      </c>
      <c r="B1548" s="22">
        <v>557.5</v>
      </c>
    </row>
    <row r="1549" spans="1:2" x14ac:dyDescent="0.2">
      <c r="A1549" s="21">
        <v>814117</v>
      </c>
      <c r="B1549" s="22">
        <v>2</v>
      </c>
    </row>
    <row r="1550" spans="1:2" x14ac:dyDescent="0.2">
      <c r="A1550" s="21">
        <v>814129</v>
      </c>
      <c r="B1550" s="22">
        <v>189.5</v>
      </c>
    </row>
    <row r="1551" spans="1:2" x14ac:dyDescent="0.2">
      <c r="A1551" s="21">
        <v>814130</v>
      </c>
      <c r="B1551" s="22">
        <v>591.5</v>
      </c>
    </row>
    <row r="1552" spans="1:2" x14ac:dyDescent="0.2">
      <c r="A1552" s="21">
        <v>814138</v>
      </c>
      <c r="B1552" s="22">
        <v>10</v>
      </c>
    </row>
    <row r="1553" spans="1:2" x14ac:dyDescent="0.2">
      <c r="A1553" s="21">
        <v>814139</v>
      </c>
      <c r="B1553" s="22">
        <v>210</v>
      </c>
    </row>
    <row r="1554" spans="1:2" x14ac:dyDescent="0.2">
      <c r="A1554" s="21">
        <v>814140</v>
      </c>
      <c r="B1554" s="22">
        <v>462</v>
      </c>
    </row>
    <row r="1555" spans="1:2" x14ac:dyDescent="0.2">
      <c r="A1555" s="21">
        <v>814141</v>
      </c>
      <c r="B1555" s="22">
        <v>513.5</v>
      </c>
    </row>
    <row r="1556" spans="1:2" x14ac:dyDescent="0.2">
      <c r="A1556" s="21">
        <v>814151</v>
      </c>
      <c r="B1556" s="22">
        <v>31</v>
      </c>
    </row>
    <row r="1557" spans="1:2" x14ac:dyDescent="0.2">
      <c r="A1557" s="21">
        <v>814152</v>
      </c>
      <c r="B1557" s="22">
        <v>1259.5</v>
      </c>
    </row>
    <row r="1558" spans="1:2" x14ac:dyDescent="0.2">
      <c r="A1558" s="21">
        <v>814168</v>
      </c>
      <c r="B1558" s="22">
        <v>127.5</v>
      </c>
    </row>
    <row r="1559" spans="1:2" x14ac:dyDescent="0.2">
      <c r="A1559" s="21">
        <v>814176</v>
      </c>
      <c r="B1559" s="22">
        <v>35</v>
      </c>
    </row>
    <row r="1560" spans="1:2" x14ac:dyDescent="0.2">
      <c r="A1560" s="21">
        <v>814183</v>
      </c>
      <c r="B1560" s="22">
        <v>582.30000000000007</v>
      </c>
    </row>
    <row r="1561" spans="1:2" x14ac:dyDescent="0.2">
      <c r="A1561" s="21">
        <v>814184</v>
      </c>
      <c r="B1561" s="22">
        <v>0</v>
      </c>
    </row>
    <row r="1562" spans="1:2" x14ac:dyDescent="0.2">
      <c r="A1562" s="21">
        <v>814186</v>
      </c>
      <c r="B1562" s="22">
        <v>369.75</v>
      </c>
    </row>
    <row r="1563" spans="1:2" x14ac:dyDescent="0.2">
      <c r="A1563" s="21">
        <v>814187</v>
      </c>
      <c r="B1563" s="22">
        <v>136</v>
      </c>
    </row>
    <row r="1564" spans="1:2" x14ac:dyDescent="0.2">
      <c r="A1564" s="21">
        <v>814188</v>
      </c>
      <c r="B1564" s="22">
        <v>99.25</v>
      </c>
    </row>
    <row r="1565" spans="1:2" x14ac:dyDescent="0.2">
      <c r="A1565" s="21">
        <v>814214</v>
      </c>
      <c r="B1565" s="22">
        <v>161.5</v>
      </c>
    </row>
    <row r="1566" spans="1:2" x14ac:dyDescent="0.2">
      <c r="A1566" s="21">
        <v>814218</v>
      </c>
      <c r="B1566" s="22">
        <v>533.4</v>
      </c>
    </row>
    <row r="1567" spans="1:2" x14ac:dyDescent="0.2">
      <c r="A1567" s="21">
        <v>814220</v>
      </c>
      <c r="B1567" s="22">
        <v>383.25</v>
      </c>
    </row>
    <row r="1568" spans="1:2" x14ac:dyDescent="0.2">
      <c r="A1568" s="21">
        <v>814221</v>
      </c>
      <c r="B1568" s="22">
        <v>8.75</v>
      </c>
    </row>
    <row r="1569" spans="1:2" x14ac:dyDescent="0.2">
      <c r="A1569" s="21">
        <v>814222</v>
      </c>
      <c r="B1569" s="22">
        <v>28.5</v>
      </c>
    </row>
    <row r="1570" spans="1:2" x14ac:dyDescent="0.2">
      <c r="A1570" s="21">
        <v>814223</v>
      </c>
      <c r="B1570" s="22">
        <v>96.75</v>
      </c>
    </row>
    <row r="1571" spans="1:2" x14ac:dyDescent="0.2">
      <c r="A1571" s="21">
        <v>814224</v>
      </c>
      <c r="B1571" s="22">
        <v>0</v>
      </c>
    </row>
    <row r="1572" spans="1:2" x14ac:dyDescent="0.2">
      <c r="A1572" s="21">
        <v>814225</v>
      </c>
      <c r="B1572" s="22">
        <v>70.5</v>
      </c>
    </row>
    <row r="1573" spans="1:2" x14ac:dyDescent="0.2">
      <c r="A1573" s="21">
        <v>814226</v>
      </c>
      <c r="B1573" s="22">
        <v>548</v>
      </c>
    </row>
    <row r="1574" spans="1:2" x14ac:dyDescent="0.2">
      <c r="A1574" s="21">
        <v>814227</v>
      </c>
      <c r="B1574" s="22">
        <v>263.5</v>
      </c>
    </row>
    <row r="1575" spans="1:2" x14ac:dyDescent="0.2">
      <c r="A1575" s="21">
        <v>814236</v>
      </c>
      <c r="B1575" s="22">
        <v>1061.3</v>
      </c>
    </row>
    <row r="1576" spans="1:2" x14ac:dyDescent="0.2">
      <c r="A1576" s="21">
        <v>814248</v>
      </c>
      <c r="B1576" s="22">
        <v>0</v>
      </c>
    </row>
    <row r="1577" spans="1:2" x14ac:dyDescent="0.2">
      <c r="A1577" s="21">
        <v>814250</v>
      </c>
      <c r="B1577" s="22">
        <v>0</v>
      </c>
    </row>
    <row r="1578" spans="1:2" x14ac:dyDescent="0.2">
      <c r="A1578" s="21">
        <v>814253</v>
      </c>
      <c r="B1578" s="22">
        <v>0</v>
      </c>
    </row>
    <row r="1579" spans="1:2" x14ac:dyDescent="0.2">
      <c r="A1579" s="21">
        <v>814255</v>
      </c>
      <c r="B1579" s="22">
        <v>1</v>
      </c>
    </row>
    <row r="1580" spans="1:2" x14ac:dyDescent="0.2">
      <c r="A1580" s="21">
        <v>814256</v>
      </c>
      <c r="B1580" s="22">
        <v>10</v>
      </c>
    </row>
    <row r="1581" spans="1:2" x14ac:dyDescent="0.2">
      <c r="A1581" s="21">
        <v>814257</v>
      </c>
      <c r="B1581" s="22">
        <v>0</v>
      </c>
    </row>
    <row r="1582" spans="1:2" x14ac:dyDescent="0.2">
      <c r="A1582" s="21">
        <v>814259</v>
      </c>
      <c r="B1582" s="22">
        <v>133</v>
      </c>
    </row>
    <row r="1583" spans="1:2" x14ac:dyDescent="0.2">
      <c r="A1583" s="21">
        <v>814279</v>
      </c>
      <c r="B1583" s="22">
        <v>439.5</v>
      </c>
    </row>
    <row r="1584" spans="1:2" x14ac:dyDescent="0.2">
      <c r="A1584" s="21">
        <v>814280</v>
      </c>
      <c r="B1584" s="22">
        <v>297.5</v>
      </c>
    </row>
    <row r="1585" spans="1:2" x14ac:dyDescent="0.2">
      <c r="A1585" s="21">
        <v>814281</v>
      </c>
      <c r="B1585" s="22">
        <v>12</v>
      </c>
    </row>
    <row r="1586" spans="1:2" x14ac:dyDescent="0.2">
      <c r="A1586" s="21">
        <v>814284</v>
      </c>
      <c r="B1586" s="22">
        <v>178.25</v>
      </c>
    </row>
    <row r="1587" spans="1:2" x14ac:dyDescent="0.2">
      <c r="A1587" s="21">
        <v>814288</v>
      </c>
      <c r="B1587" s="22">
        <v>265.5</v>
      </c>
    </row>
    <row r="1588" spans="1:2" x14ac:dyDescent="0.2">
      <c r="A1588" s="21">
        <v>814290</v>
      </c>
      <c r="B1588" s="22">
        <v>333.25</v>
      </c>
    </row>
    <row r="1589" spans="1:2" x14ac:dyDescent="0.2">
      <c r="A1589" s="21">
        <v>814297</v>
      </c>
      <c r="B1589" s="22">
        <v>25</v>
      </c>
    </row>
    <row r="1590" spans="1:2" x14ac:dyDescent="0.2">
      <c r="A1590" s="21">
        <v>814298</v>
      </c>
      <c r="B1590" s="22">
        <v>383.5</v>
      </c>
    </row>
    <row r="1591" spans="1:2" x14ac:dyDescent="0.2">
      <c r="A1591" s="21">
        <v>814308</v>
      </c>
      <c r="B1591" s="22">
        <v>25</v>
      </c>
    </row>
    <row r="1592" spans="1:2" x14ac:dyDescent="0.2">
      <c r="A1592" s="21">
        <v>814310</v>
      </c>
      <c r="B1592" s="22">
        <v>112.5</v>
      </c>
    </row>
    <row r="1593" spans="1:2" x14ac:dyDescent="0.2">
      <c r="A1593" s="21">
        <v>814311</v>
      </c>
      <c r="B1593" s="22">
        <v>10</v>
      </c>
    </row>
    <row r="1594" spans="1:2" x14ac:dyDescent="0.2">
      <c r="A1594" s="21">
        <v>814330</v>
      </c>
      <c r="B1594" s="22">
        <v>0</v>
      </c>
    </row>
    <row r="1595" spans="1:2" x14ac:dyDescent="0.2">
      <c r="A1595" s="21">
        <v>814332</v>
      </c>
      <c r="B1595" s="22">
        <v>375</v>
      </c>
    </row>
    <row r="1596" spans="1:2" x14ac:dyDescent="0.2">
      <c r="A1596" s="21">
        <v>814346</v>
      </c>
      <c r="B1596" s="22">
        <v>315</v>
      </c>
    </row>
    <row r="1597" spans="1:2" x14ac:dyDescent="0.2">
      <c r="A1597" s="21">
        <v>814349</v>
      </c>
      <c r="B1597" s="22">
        <v>95.5</v>
      </c>
    </row>
    <row r="1598" spans="1:2" x14ac:dyDescent="0.2">
      <c r="A1598" s="21">
        <v>814350</v>
      </c>
      <c r="B1598" s="22">
        <v>528.45000000000005</v>
      </c>
    </row>
    <row r="1599" spans="1:2" x14ac:dyDescent="0.2">
      <c r="A1599" s="21">
        <v>814376</v>
      </c>
      <c r="B1599" s="22">
        <v>234</v>
      </c>
    </row>
    <row r="1600" spans="1:2" x14ac:dyDescent="0.2">
      <c r="A1600" s="21">
        <v>814377</v>
      </c>
      <c r="B1600" s="22">
        <v>1161</v>
      </c>
    </row>
    <row r="1601" spans="1:2" x14ac:dyDescent="0.2">
      <c r="A1601" s="21">
        <v>814378</v>
      </c>
      <c r="B1601" s="22">
        <v>1</v>
      </c>
    </row>
    <row r="1602" spans="1:2" x14ac:dyDescent="0.2">
      <c r="A1602" s="21">
        <v>814380</v>
      </c>
      <c r="B1602" s="22">
        <v>0</v>
      </c>
    </row>
    <row r="1603" spans="1:2" x14ac:dyDescent="0.2">
      <c r="A1603" s="21">
        <v>814381</v>
      </c>
      <c r="B1603" s="22">
        <v>0</v>
      </c>
    </row>
    <row r="1604" spans="1:2" x14ac:dyDescent="0.2">
      <c r="A1604" s="21">
        <v>814386</v>
      </c>
      <c r="B1604" s="22">
        <v>217</v>
      </c>
    </row>
    <row r="1605" spans="1:2" x14ac:dyDescent="0.2">
      <c r="A1605" s="21">
        <v>814387</v>
      </c>
      <c r="B1605" s="22">
        <v>15</v>
      </c>
    </row>
    <row r="1606" spans="1:2" x14ac:dyDescent="0.2">
      <c r="A1606" s="21">
        <v>814388</v>
      </c>
      <c r="B1606" s="22">
        <v>62.5</v>
      </c>
    </row>
    <row r="1607" spans="1:2" x14ac:dyDescent="0.2">
      <c r="A1607" s="21">
        <v>814390</v>
      </c>
      <c r="B1607" s="22">
        <v>7</v>
      </c>
    </row>
    <row r="1608" spans="1:2" x14ac:dyDescent="0.2">
      <c r="A1608" s="21">
        <v>814397</v>
      </c>
      <c r="B1608" s="22">
        <v>503.4</v>
      </c>
    </row>
    <row r="1609" spans="1:2" x14ac:dyDescent="0.2">
      <c r="A1609" s="21">
        <v>814401</v>
      </c>
      <c r="B1609" s="22">
        <v>316.5</v>
      </c>
    </row>
    <row r="1610" spans="1:2" x14ac:dyDescent="0.2">
      <c r="A1610" s="21">
        <v>814402</v>
      </c>
      <c r="B1610" s="22">
        <v>102.5</v>
      </c>
    </row>
    <row r="1611" spans="1:2" x14ac:dyDescent="0.2">
      <c r="A1611" s="21">
        <v>814414</v>
      </c>
      <c r="B1611" s="22">
        <v>351</v>
      </c>
    </row>
    <row r="1612" spans="1:2" x14ac:dyDescent="0.2">
      <c r="A1612" s="21">
        <v>814415</v>
      </c>
      <c r="B1612" s="22">
        <v>4</v>
      </c>
    </row>
    <row r="1613" spans="1:2" x14ac:dyDescent="0.2">
      <c r="A1613" s="21">
        <v>814416</v>
      </c>
      <c r="B1613" s="22">
        <v>0</v>
      </c>
    </row>
    <row r="1614" spans="1:2" x14ac:dyDescent="0.2">
      <c r="A1614" s="21">
        <v>814425</v>
      </c>
      <c r="B1614" s="22">
        <v>402</v>
      </c>
    </row>
    <row r="1615" spans="1:2" x14ac:dyDescent="0.2">
      <c r="A1615" s="21">
        <v>814431</v>
      </c>
      <c r="B1615" s="22">
        <v>0</v>
      </c>
    </row>
    <row r="1616" spans="1:2" x14ac:dyDescent="0.2">
      <c r="A1616" s="21">
        <v>814433</v>
      </c>
      <c r="B1616" s="22">
        <v>0</v>
      </c>
    </row>
    <row r="1617" spans="1:2" x14ac:dyDescent="0.2">
      <c r="A1617" s="21">
        <v>814434</v>
      </c>
      <c r="B1617" s="22">
        <v>402</v>
      </c>
    </row>
    <row r="1618" spans="1:2" x14ac:dyDescent="0.2">
      <c r="A1618" s="21">
        <v>814436</v>
      </c>
      <c r="B1618" s="22">
        <v>98.5</v>
      </c>
    </row>
    <row r="1619" spans="1:2" x14ac:dyDescent="0.2">
      <c r="A1619" s="21">
        <v>814441</v>
      </c>
      <c r="B1619" s="22">
        <v>0</v>
      </c>
    </row>
    <row r="1620" spans="1:2" x14ac:dyDescent="0.2">
      <c r="A1620" s="21">
        <v>814444</v>
      </c>
      <c r="B1620" s="22">
        <v>392</v>
      </c>
    </row>
    <row r="1621" spans="1:2" x14ac:dyDescent="0.2">
      <c r="A1621" s="21">
        <v>814445</v>
      </c>
      <c r="B1621" s="22">
        <v>541</v>
      </c>
    </row>
    <row r="1622" spans="1:2" x14ac:dyDescent="0.2">
      <c r="A1622" s="21">
        <v>814446</v>
      </c>
      <c r="B1622" s="22">
        <v>54.5</v>
      </c>
    </row>
    <row r="1623" spans="1:2" x14ac:dyDescent="0.2">
      <c r="A1623" s="21">
        <v>814447</v>
      </c>
      <c r="B1623" s="22">
        <v>100</v>
      </c>
    </row>
    <row r="1624" spans="1:2" x14ac:dyDescent="0.2">
      <c r="A1624" s="21">
        <v>814456</v>
      </c>
      <c r="B1624" s="22">
        <v>0</v>
      </c>
    </row>
    <row r="1625" spans="1:2" x14ac:dyDescent="0.2">
      <c r="A1625" s="21">
        <v>814457</v>
      </c>
      <c r="B1625" s="22">
        <v>493.5</v>
      </c>
    </row>
    <row r="1626" spans="1:2" x14ac:dyDescent="0.2">
      <c r="A1626" s="21">
        <v>814458</v>
      </c>
      <c r="B1626" s="22">
        <v>43.5</v>
      </c>
    </row>
    <row r="1627" spans="1:2" x14ac:dyDescent="0.2">
      <c r="A1627" s="21">
        <v>814459</v>
      </c>
      <c r="B1627" s="22">
        <v>509</v>
      </c>
    </row>
    <row r="1628" spans="1:2" x14ac:dyDescent="0.2">
      <c r="A1628" s="21">
        <v>814470</v>
      </c>
      <c r="B1628" s="22">
        <v>502</v>
      </c>
    </row>
    <row r="1629" spans="1:2" x14ac:dyDescent="0.2">
      <c r="A1629" s="21">
        <v>814481</v>
      </c>
      <c r="B1629" s="22">
        <v>0</v>
      </c>
    </row>
    <row r="1630" spans="1:2" x14ac:dyDescent="0.2">
      <c r="A1630" s="21">
        <v>814482</v>
      </c>
      <c r="B1630" s="22">
        <v>254</v>
      </c>
    </row>
    <row r="1631" spans="1:2" x14ac:dyDescent="0.2">
      <c r="A1631" s="21">
        <v>814483</v>
      </c>
      <c r="B1631" s="22">
        <v>35</v>
      </c>
    </row>
    <row r="1632" spans="1:2" x14ac:dyDescent="0.2">
      <c r="A1632" s="21">
        <v>814484</v>
      </c>
      <c r="B1632" s="22">
        <v>220</v>
      </c>
    </row>
    <row r="1633" spans="1:2" x14ac:dyDescent="0.2">
      <c r="A1633" s="21">
        <v>814494</v>
      </c>
      <c r="B1633" s="22">
        <v>0</v>
      </c>
    </row>
    <row r="1634" spans="1:2" x14ac:dyDescent="0.2">
      <c r="A1634" s="21">
        <v>814496</v>
      </c>
      <c r="B1634" s="22">
        <v>154.5</v>
      </c>
    </row>
    <row r="1635" spans="1:2" x14ac:dyDescent="0.2">
      <c r="A1635" s="21">
        <v>814497</v>
      </c>
      <c r="B1635" s="22">
        <v>125</v>
      </c>
    </row>
    <row r="1636" spans="1:2" x14ac:dyDescent="0.2">
      <c r="A1636" s="21">
        <v>814498</v>
      </c>
      <c r="B1636" s="22">
        <v>0</v>
      </c>
    </row>
    <row r="1637" spans="1:2" x14ac:dyDescent="0.2">
      <c r="A1637" s="21">
        <v>814499</v>
      </c>
      <c r="B1637" s="22">
        <v>616.45000000000005</v>
      </c>
    </row>
    <row r="1638" spans="1:2" x14ac:dyDescent="0.2">
      <c r="A1638" s="21">
        <v>814503</v>
      </c>
      <c r="B1638" s="22">
        <v>89.75</v>
      </c>
    </row>
    <row r="1639" spans="1:2" x14ac:dyDescent="0.2">
      <c r="A1639" s="21">
        <v>814504</v>
      </c>
      <c r="B1639" s="22">
        <v>0</v>
      </c>
    </row>
    <row r="1640" spans="1:2" x14ac:dyDescent="0.2">
      <c r="A1640" s="21">
        <v>814505</v>
      </c>
      <c r="B1640" s="22">
        <v>23</v>
      </c>
    </row>
    <row r="1641" spans="1:2" x14ac:dyDescent="0.2">
      <c r="A1641" s="21">
        <v>814506</v>
      </c>
      <c r="B1641" s="22">
        <v>358</v>
      </c>
    </row>
    <row r="1642" spans="1:2" x14ac:dyDescent="0.2">
      <c r="A1642" s="21">
        <v>814507</v>
      </c>
      <c r="B1642" s="22">
        <v>0</v>
      </c>
    </row>
    <row r="1643" spans="1:2" x14ac:dyDescent="0.2">
      <c r="A1643" s="21">
        <v>814514</v>
      </c>
      <c r="B1643" s="22">
        <v>84</v>
      </c>
    </row>
    <row r="1644" spans="1:2" x14ac:dyDescent="0.2">
      <c r="A1644" s="21">
        <v>814521</v>
      </c>
      <c r="B1644" s="22">
        <v>573.5</v>
      </c>
    </row>
    <row r="1645" spans="1:2" x14ac:dyDescent="0.2">
      <c r="A1645" s="21">
        <v>814522</v>
      </c>
      <c r="B1645" s="22">
        <v>50</v>
      </c>
    </row>
    <row r="1646" spans="1:2" x14ac:dyDescent="0.2">
      <c r="A1646" s="21">
        <v>814524</v>
      </c>
      <c r="B1646" s="22">
        <v>0</v>
      </c>
    </row>
    <row r="1647" spans="1:2" x14ac:dyDescent="0.2">
      <c r="A1647" s="21">
        <v>814528</v>
      </c>
      <c r="B1647" s="22">
        <v>1654.95</v>
      </c>
    </row>
    <row r="1648" spans="1:2" x14ac:dyDescent="0.2">
      <c r="A1648" s="21">
        <v>814530</v>
      </c>
      <c r="B1648" s="22">
        <v>7.5</v>
      </c>
    </row>
    <row r="1649" spans="1:2" x14ac:dyDescent="0.2">
      <c r="A1649" s="21">
        <v>814539</v>
      </c>
      <c r="B1649" s="22">
        <v>0</v>
      </c>
    </row>
    <row r="1650" spans="1:2" x14ac:dyDescent="0.2">
      <c r="A1650" s="21">
        <v>814540</v>
      </c>
      <c r="B1650" s="22">
        <v>408.5</v>
      </c>
    </row>
    <row r="1651" spans="1:2" x14ac:dyDescent="0.2">
      <c r="A1651" s="21">
        <v>814541</v>
      </c>
      <c r="B1651" s="22">
        <v>66</v>
      </c>
    </row>
    <row r="1652" spans="1:2" x14ac:dyDescent="0.2">
      <c r="A1652" s="21">
        <v>814545</v>
      </c>
      <c r="B1652" s="22">
        <v>117.5</v>
      </c>
    </row>
    <row r="1653" spans="1:2" x14ac:dyDescent="0.2">
      <c r="A1653" s="21">
        <v>814577</v>
      </c>
      <c r="B1653" s="22">
        <v>2.5</v>
      </c>
    </row>
    <row r="1654" spans="1:2" x14ac:dyDescent="0.2">
      <c r="A1654" s="21">
        <v>814593</v>
      </c>
      <c r="B1654" s="22">
        <v>194</v>
      </c>
    </row>
    <row r="1655" spans="1:2" x14ac:dyDescent="0.2">
      <c r="A1655" s="21">
        <v>814594</v>
      </c>
      <c r="B1655" s="22">
        <v>247</v>
      </c>
    </row>
    <row r="1656" spans="1:2" x14ac:dyDescent="0.2">
      <c r="A1656" s="21">
        <v>814595</v>
      </c>
      <c r="B1656" s="22">
        <v>142</v>
      </c>
    </row>
    <row r="1657" spans="1:2" x14ac:dyDescent="0.2">
      <c r="A1657" s="21">
        <v>814596</v>
      </c>
      <c r="B1657" s="22">
        <v>369.5</v>
      </c>
    </row>
    <row r="1658" spans="1:2" x14ac:dyDescent="0.2">
      <c r="A1658" s="21">
        <v>814602</v>
      </c>
      <c r="B1658" s="22">
        <v>404</v>
      </c>
    </row>
    <row r="1659" spans="1:2" x14ac:dyDescent="0.2">
      <c r="A1659" s="21">
        <v>814603</v>
      </c>
      <c r="B1659" s="22">
        <v>392</v>
      </c>
    </row>
    <row r="1660" spans="1:2" x14ac:dyDescent="0.2">
      <c r="A1660" s="21">
        <v>814623</v>
      </c>
      <c r="B1660" s="22">
        <v>103.5</v>
      </c>
    </row>
    <row r="1661" spans="1:2" x14ac:dyDescent="0.2">
      <c r="A1661" s="21">
        <v>814625</v>
      </c>
      <c r="B1661" s="22">
        <v>51</v>
      </c>
    </row>
    <row r="1662" spans="1:2" x14ac:dyDescent="0.2">
      <c r="A1662" s="21">
        <v>814631</v>
      </c>
      <c r="B1662" s="22">
        <v>44.5</v>
      </c>
    </row>
    <row r="1663" spans="1:2" x14ac:dyDescent="0.2">
      <c r="A1663" s="21">
        <v>814638</v>
      </c>
      <c r="B1663" s="22">
        <v>0</v>
      </c>
    </row>
    <row r="1664" spans="1:2" x14ac:dyDescent="0.2">
      <c r="A1664" s="21">
        <v>814639</v>
      </c>
      <c r="B1664" s="22">
        <v>81</v>
      </c>
    </row>
    <row r="1665" spans="1:2" x14ac:dyDescent="0.2">
      <c r="A1665" s="21">
        <v>814641</v>
      </c>
      <c r="B1665" s="22">
        <v>216.04999999999998</v>
      </c>
    </row>
    <row r="1666" spans="1:2" x14ac:dyDescent="0.2">
      <c r="A1666" s="21">
        <v>814643</v>
      </c>
      <c r="B1666" s="22">
        <v>470.75</v>
      </c>
    </row>
    <row r="1667" spans="1:2" x14ac:dyDescent="0.2">
      <c r="A1667" s="21">
        <v>814651</v>
      </c>
      <c r="B1667" s="22">
        <v>32.5</v>
      </c>
    </row>
    <row r="1668" spans="1:2" x14ac:dyDescent="0.2">
      <c r="A1668" s="21">
        <v>814655</v>
      </c>
      <c r="B1668" s="22">
        <v>38.5</v>
      </c>
    </row>
    <row r="1669" spans="1:2" x14ac:dyDescent="0.2">
      <c r="A1669" s="21">
        <v>814661</v>
      </c>
      <c r="B1669" s="22">
        <v>200</v>
      </c>
    </row>
    <row r="1670" spans="1:2" x14ac:dyDescent="0.2">
      <c r="A1670" s="21">
        <v>814665</v>
      </c>
      <c r="B1670" s="22">
        <v>0</v>
      </c>
    </row>
    <row r="1671" spans="1:2" x14ac:dyDescent="0.2">
      <c r="A1671" s="21">
        <v>814667</v>
      </c>
      <c r="B1671" s="22">
        <v>157.5</v>
      </c>
    </row>
    <row r="1672" spans="1:2" x14ac:dyDescent="0.2">
      <c r="A1672" s="21">
        <v>814668</v>
      </c>
      <c r="B1672" s="22">
        <v>20</v>
      </c>
    </row>
    <row r="1673" spans="1:2" x14ac:dyDescent="0.2">
      <c r="A1673" s="21">
        <v>814670</v>
      </c>
      <c r="B1673" s="22">
        <v>130</v>
      </c>
    </row>
    <row r="1674" spans="1:2" x14ac:dyDescent="0.2">
      <c r="A1674" s="21">
        <v>814671</v>
      </c>
      <c r="B1674" s="22">
        <v>1022.7</v>
      </c>
    </row>
    <row r="1675" spans="1:2" x14ac:dyDescent="0.2">
      <c r="A1675" s="21">
        <v>814672</v>
      </c>
      <c r="B1675" s="22">
        <v>475.5</v>
      </c>
    </row>
    <row r="1676" spans="1:2" x14ac:dyDescent="0.2">
      <c r="A1676" s="21">
        <v>814676</v>
      </c>
      <c r="B1676" s="22">
        <v>140</v>
      </c>
    </row>
    <row r="1677" spans="1:2" x14ac:dyDescent="0.2">
      <c r="A1677" s="21">
        <v>814679</v>
      </c>
      <c r="B1677" s="22">
        <v>773</v>
      </c>
    </row>
    <row r="1678" spans="1:2" x14ac:dyDescent="0.2">
      <c r="A1678" s="21">
        <v>814681</v>
      </c>
      <c r="B1678" s="22">
        <v>21.5</v>
      </c>
    </row>
    <row r="1679" spans="1:2" x14ac:dyDescent="0.2">
      <c r="A1679" s="21">
        <v>814683</v>
      </c>
      <c r="B1679" s="22">
        <v>604.5</v>
      </c>
    </row>
    <row r="1680" spans="1:2" x14ac:dyDescent="0.2">
      <c r="A1680" s="21">
        <v>814689</v>
      </c>
      <c r="B1680" s="22">
        <v>0</v>
      </c>
    </row>
    <row r="1681" spans="1:2" x14ac:dyDescent="0.2">
      <c r="A1681" s="21">
        <v>814690</v>
      </c>
      <c r="B1681" s="22">
        <v>45</v>
      </c>
    </row>
    <row r="1682" spans="1:2" x14ac:dyDescent="0.2">
      <c r="A1682" s="21">
        <v>814692</v>
      </c>
      <c r="B1682" s="22">
        <v>50</v>
      </c>
    </row>
    <row r="1683" spans="1:2" x14ac:dyDescent="0.2">
      <c r="A1683" s="21">
        <v>814693</v>
      </c>
      <c r="B1683" s="22">
        <v>48</v>
      </c>
    </row>
    <row r="1684" spans="1:2" x14ac:dyDescent="0.2">
      <c r="A1684" s="21">
        <v>814701</v>
      </c>
      <c r="B1684" s="22">
        <v>473</v>
      </c>
    </row>
    <row r="1685" spans="1:2" x14ac:dyDescent="0.2">
      <c r="A1685" s="21">
        <v>814702</v>
      </c>
      <c r="B1685" s="22">
        <v>16.5</v>
      </c>
    </row>
    <row r="1686" spans="1:2" x14ac:dyDescent="0.2">
      <c r="A1686" s="21">
        <v>814705</v>
      </c>
      <c r="B1686" s="22">
        <v>140</v>
      </c>
    </row>
    <row r="1687" spans="1:2" x14ac:dyDescent="0.2">
      <c r="A1687" s="21">
        <v>814708</v>
      </c>
      <c r="B1687" s="22">
        <v>121</v>
      </c>
    </row>
    <row r="1688" spans="1:2" x14ac:dyDescent="0.2">
      <c r="A1688" s="21">
        <v>814709</v>
      </c>
      <c r="B1688" s="22">
        <v>157.75</v>
      </c>
    </row>
    <row r="1689" spans="1:2" x14ac:dyDescent="0.2">
      <c r="A1689" s="21">
        <v>814710</v>
      </c>
      <c r="B1689" s="22">
        <v>10</v>
      </c>
    </row>
    <row r="1690" spans="1:2" x14ac:dyDescent="0.2">
      <c r="A1690" s="21">
        <v>814711</v>
      </c>
      <c r="B1690" s="22">
        <v>42</v>
      </c>
    </row>
    <row r="1691" spans="1:2" x14ac:dyDescent="0.2">
      <c r="A1691" s="21">
        <v>814723</v>
      </c>
      <c r="B1691" s="22">
        <v>197</v>
      </c>
    </row>
    <row r="1692" spans="1:2" x14ac:dyDescent="0.2">
      <c r="A1692" s="21">
        <v>814733</v>
      </c>
      <c r="B1692" s="22">
        <v>1013.5</v>
      </c>
    </row>
    <row r="1693" spans="1:2" x14ac:dyDescent="0.2">
      <c r="A1693" s="21">
        <v>814749</v>
      </c>
      <c r="B1693" s="22">
        <v>42</v>
      </c>
    </row>
    <row r="1694" spans="1:2" x14ac:dyDescent="0.2">
      <c r="A1694" s="21">
        <v>814750</v>
      </c>
      <c r="B1694" s="22">
        <v>25</v>
      </c>
    </row>
    <row r="1695" spans="1:2" x14ac:dyDescent="0.2">
      <c r="A1695" s="21">
        <v>814755</v>
      </c>
      <c r="B1695" s="22">
        <v>0</v>
      </c>
    </row>
    <row r="1696" spans="1:2" x14ac:dyDescent="0.2">
      <c r="A1696" s="21">
        <v>814756</v>
      </c>
      <c r="B1696" s="22">
        <v>805.25</v>
      </c>
    </row>
    <row r="1697" spans="1:2" x14ac:dyDescent="0.2">
      <c r="A1697" s="21">
        <v>814757</v>
      </c>
      <c r="B1697" s="22">
        <v>179.6</v>
      </c>
    </row>
    <row r="1698" spans="1:2" x14ac:dyDescent="0.2">
      <c r="A1698" s="21">
        <v>814758</v>
      </c>
      <c r="B1698" s="22">
        <v>99.5</v>
      </c>
    </row>
    <row r="1699" spans="1:2" x14ac:dyDescent="0.2">
      <c r="A1699" s="21">
        <v>814766</v>
      </c>
      <c r="B1699" s="22">
        <v>497.5</v>
      </c>
    </row>
    <row r="1700" spans="1:2" x14ac:dyDescent="0.2">
      <c r="A1700" s="21">
        <v>814767</v>
      </c>
      <c r="B1700" s="22">
        <v>392.2</v>
      </c>
    </row>
    <row r="1701" spans="1:2" x14ac:dyDescent="0.2">
      <c r="A1701" s="21">
        <v>814768</v>
      </c>
      <c r="B1701" s="22">
        <v>240.3</v>
      </c>
    </row>
    <row r="1702" spans="1:2" x14ac:dyDescent="0.2">
      <c r="A1702" s="21">
        <v>814769</v>
      </c>
      <c r="B1702" s="22">
        <v>20</v>
      </c>
    </row>
    <row r="1703" spans="1:2" x14ac:dyDescent="0.2">
      <c r="A1703" s="21">
        <v>814773</v>
      </c>
      <c r="B1703" s="22">
        <v>95</v>
      </c>
    </row>
    <row r="1704" spans="1:2" x14ac:dyDescent="0.2">
      <c r="A1704" s="21">
        <v>814776</v>
      </c>
      <c r="B1704" s="22">
        <v>652.5</v>
      </c>
    </row>
    <row r="1705" spans="1:2" x14ac:dyDescent="0.2">
      <c r="A1705" s="21">
        <v>814777</v>
      </c>
      <c r="B1705" s="22">
        <v>281.5</v>
      </c>
    </row>
    <row r="1706" spans="1:2" x14ac:dyDescent="0.2">
      <c r="A1706" s="21">
        <v>814785</v>
      </c>
      <c r="B1706" s="22">
        <v>87.5</v>
      </c>
    </row>
    <row r="1707" spans="1:2" x14ac:dyDescent="0.2">
      <c r="A1707" s="21">
        <v>814786</v>
      </c>
      <c r="B1707" s="22">
        <v>68</v>
      </c>
    </row>
    <row r="1708" spans="1:2" x14ac:dyDescent="0.2">
      <c r="A1708" s="21">
        <v>814789</v>
      </c>
      <c r="B1708" s="22">
        <v>5</v>
      </c>
    </row>
    <row r="1709" spans="1:2" x14ac:dyDescent="0.2">
      <c r="A1709" s="21">
        <v>814790</v>
      </c>
      <c r="B1709" s="22">
        <v>533.20000000000005</v>
      </c>
    </row>
    <row r="1710" spans="1:2" x14ac:dyDescent="0.2">
      <c r="A1710" s="21">
        <v>814791</v>
      </c>
      <c r="B1710" s="22">
        <v>62</v>
      </c>
    </row>
    <row r="1711" spans="1:2" x14ac:dyDescent="0.2">
      <c r="A1711" s="21">
        <v>814793</v>
      </c>
      <c r="B1711" s="22">
        <v>0</v>
      </c>
    </row>
    <row r="1712" spans="1:2" x14ac:dyDescent="0.2">
      <c r="A1712" s="21">
        <v>814794</v>
      </c>
      <c r="B1712" s="22">
        <v>73</v>
      </c>
    </row>
    <row r="1713" spans="1:2" x14ac:dyDescent="0.2">
      <c r="A1713" s="21">
        <v>814805</v>
      </c>
      <c r="B1713" s="22">
        <v>204.5</v>
      </c>
    </row>
    <row r="1714" spans="1:2" x14ac:dyDescent="0.2">
      <c r="A1714" s="21">
        <v>814806</v>
      </c>
      <c r="B1714" s="22">
        <v>0</v>
      </c>
    </row>
    <row r="1715" spans="1:2" x14ac:dyDescent="0.2">
      <c r="A1715" s="21">
        <v>814823</v>
      </c>
      <c r="B1715" s="22">
        <v>53</v>
      </c>
    </row>
    <row r="1716" spans="1:2" x14ac:dyDescent="0.2">
      <c r="A1716" s="21">
        <v>814824</v>
      </c>
      <c r="B1716" s="22">
        <v>77.5</v>
      </c>
    </row>
    <row r="1717" spans="1:2" x14ac:dyDescent="0.2">
      <c r="A1717" s="21">
        <v>814827</v>
      </c>
      <c r="B1717" s="22">
        <v>0</v>
      </c>
    </row>
    <row r="1718" spans="1:2" x14ac:dyDescent="0.2">
      <c r="A1718" s="21">
        <v>814839</v>
      </c>
      <c r="B1718" s="22">
        <v>482</v>
      </c>
    </row>
    <row r="1719" spans="1:2" x14ac:dyDescent="0.2">
      <c r="A1719" s="21">
        <v>814843</v>
      </c>
      <c r="B1719" s="22">
        <v>0</v>
      </c>
    </row>
    <row r="1720" spans="1:2" x14ac:dyDescent="0.2">
      <c r="A1720" s="21">
        <v>814845</v>
      </c>
      <c r="B1720" s="22">
        <v>10</v>
      </c>
    </row>
    <row r="1721" spans="1:2" x14ac:dyDescent="0.2">
      <c r="A1721" s="21">
        <v>814846</v>
      </c>
      <c r="B1721" s="22">
        <v>196.85</v>
      </c>
    </row>
    <row r="1722" spans="1:2" x14ac:dyDescent="0.2">
      <c r="A1722" s="21">
        <v>814850</v>
      </c>
      <c r="B1722" s="22">
        <v>186.75</v>
      </c>
    </row>
    <row r="1723" spans="1:2" x14ac:dyDescent="0.2">
      <c r="A1723" s="21">
        <v>814862</v>
      </c>
      <c r="B1723" s="22">
        <v>155</v>
      </c>
    </row>
    <row r="1724" spans="1:2" x14ac:dyDescent="0.2">
      <c r="A1724" s="21">
        <v>814866</v>
      </c>
      <c r="B1724" s="22">
        <v>1.5</v>
      </c>
    </row>
    <row r="1725" spans="1:2" x14ac:dyDescent="0.2">
      <c r="A1725" s="21">
        <v>814867</v>
      </c>
      <c r="B1725" s="22">
        <v>4</v>
      </c>
    </row>
    <row r="1726" spans="1:2" x14ac:dyDescent="0.2">
      <c r="A1726" s="21">
        <v>814868</v>
      </c>
      <c r="B1726" s="22">
        <v>279</v>
      </c>
    </row>
    <row r="1727" spans="1:2" x14ac:dyDescent="0.2">
      <c r="A1727" s="21">
        <v>814870</v>
      </c>
      <c r="B1727" s="22">
        <v>152.5</v>
      </c>
    </row>
    <row r="1728" spans="1:2" x14ac:dyDescent="0.2">
      <c r="A1728" s="21">
        <v>814871</v>
      </c>
      <c r="B1728" s="22">
        <v>102</v>
      </c>
    </row>
    <row r="1729" spans="1:2" x14ac:dyDescent="0.2">
      <c r="A1729" s="21">
        <v>814873</v>
      </c>
      <c r="B1729" s="22">
        <v>148.5</v>
      </c>
    </row>
    <row r="1730" spans="1:2" x14ac:dyDescent="0.2">
      <c r="A1730" s="21">
        <v>814874</v>
      </c>
      <c r="B1730" s="22">
        <v>72.5</v>
      </c>
    </row>
    <row r="1731" spans="1:2" x14ac:dyDescent="0.2">
      <c r="A1731" s="21">
        <v>814875</v>
      </c>
      <c r="B1731" s="22">
        <v>28</v>
      </c>
    </row>
    <row r="1732" spans="1:2" x14ac:dyDescent="0.2">
      <c r="A1732" s="21">
        <v>814876</v>
      </c>
      <c r="B1732" s="22">
        <v>65</v>
      </c>
    </row>
    <row r="1733" spans="1:2" x14ac:dyDescent="0.2">
      <c r="A1733" s="21">
        <v>814877</v>
      </c>
      <c r="B1733" s="22">
        <v>150</v>
      </c>
    </row>
    <row r="1734" spans="1:2" x14ac:dyDescent="0.2">
      <c r="A1734" s="21">
        <v>814878</v>
      </c>
      <c r="B1734" s="22">
        <v>61.5</v>
      </c>
    </row>
    <row r="1735" spans="1:2" x14ac:dyDescent="0.2">
      <c r="A1735" s="21">
        <v>814883</v>
      </c>
      <c r="B1735" s="22">
        <v>283.55</v>
      </c>
    </row>
    <row r="1736" spans="1:2" x14ac:dyDescent="0.2">
      <c r="A1736" s="21">
        <v>814886</v>
      </c>
      <c r="B1736" s="22">
        <v>430.5</v>
      </c>
    </row>
    <row r="1737" spans="1:2" x14ac:dyDescent="0.2">
      <c r="A1737" s="21">
        <v>814891</v>
      </c>
      <c r="B1737" s="22">
        <v>82.5</v>
      </c>
    </row>
    <row r="1738" spans="1:2" x14ac:dyDescent="0.2">
      <c r="A1738" s="21">
        <v>814901</v>
      </c>
      <c r="B1738" s="22">
        <v>594</v>
      </c>
    </row>
    <row r="1739" spans="1:2" x14ac:dyDescent="0.2">
      <c r="A1739" s="21">
        <v>814902</v>
      </c>
      <c r="B1739" s="22">
        <v>167</v>
      </c>
    </row>
    <row r="1740" spans="1:2" x14ac:dyDescent="0.2">
      <c r="A1740" s="21">
        <v>814903</v>
      </c>
      <c r="B1740" s="22">
        <v>86.5</v>
      </c>
    </row>
    <row r="1741" spans="1:2" x14ac:dyDescent="0.2">
      <c r="A1741" s="21">
        <v>814905</v>
      </c>
      <c r="B1741" s="22">
        <v>212.25</v>
      </c>
    </row>
    <row r="1742" spans="1:2" x14ac:dyDescent="0.2">
      <c r="A1742" s="21">
        <v>814907</v>
      </c>
      <c r="B1742" s="22">
        <v>118</v>
      </c>
    </row>
    <row r="1743" spans="1:2" x14ac:dyDescent="0.2">
      <c r="A1743" s="21">
        <v>814909</v>
      </c>
      <c r="B1743" s="22">
        <v>111</v>
      </c>
    </row>
    <row r="1744" spans="1:2" x14ac:dyDescent="0.2">
      <c r="A1744" s="21">
        <v>814910</v>
      </c>
      <c r="B1744" s="22">
        <v>212.5</v>
      </c>
    </row>
    <row r="1745" spans="1:2" x14ac:dyDescent="0.2">
      <c r="A1745" s="21">
        <v>814913</v>
      </c>
      <c r="B1745" s="22">
        <v>120</v>
      </c>
    </row>
    <row r="1746" spans="1:2" x14ac:dyDescent="0.2">
      <c r="A1746" s="21">
        <v>814914</v>
      </c>
      <c r="B1746" s="22">
        <v>465.9</v>
      </c>
    </row>
    <row r="1747" spans="1:2" x14ac:dyDescent="0.2">
      <c r="A1747" s="21">
        <v>814916</v>
      </c>
      <c r="B1747" s="22">
        <v>10</v>
      </c>
    </row>
    <row r="1748" spans="1:2" x14ac:dyDescent="0.2">
      <c r="A1748" s="21">
        <v>814917</v>
      </c>
      <c r="B1748" s="22">
        <v>0</v>
      </c>
    </row>
    <row r="1749" spans="1:2" x14ac:dyDescent="0.2">
      <c r="A1749" s="21">
        <v>814923</v>
      </c>
      <c r="B1749" s="22">
        <v>167</v>
      </c>
    </row>
    <row r="1750" spans="1:2" x14ac:dyDescent="0.2">
      <c r="A1750" s="21">
        <v>814934</v>
      </c>
      <c r="B1750" s="22">
        <v>291.5</v>
      </c>
    </row>
    <row r="1751" spans="1:2" x14ac:dyDescent="0.2">
      <c r="A1751" s="21">
        <v>814935</v>
      </c>
      <c r="B1751" s="22">
        <v>0</v>
      </c>
    </row>
    <row r="1752" spans="1:2" x14ac:dyDescent="0.2">
      <c r="A1752" s="21">
        <v>814936</v>
      </c>
      <c r="B1752" s="22">
        <v>0</v>
      </c>
    </row>
    <row r="1753" spans="1:2" x14ac:dyDescent="0.2">
      <c r="A1753" s="21">
        <v>814939</v>
      </c>
      <c r="B1753" s="22">
        <v>572.65</v>
      </c>
    </row>
    <row r="1754" spans="1:2" x14ac:dyDescent="0.2">
      <c r="A1754" s="21">
        <v>814941</v>
      </c>
      <c r="B1754" s="22">
        <v>3.5</v>
      </c>
    </row>
    <row r="1755" spans="1:2" x14ac:dyDescent="0.2">
      <c r="A1755" s="21">
        <v>814942</v>
      </c>
      <c r="B1755" s="22">
        <v>202.5</v>
      </c>
    </row>
    <row r="1756" spans="1:2" x14ac:dyDescent="0.2">
      <c r="A1756" s="21">
        <v>814955</v>
      </c>
      <c r="B1756" s="22">
        <v>5</v>
      </c>
    </row>
    <row r="1757" spans="1:2" x14ac:dyDescent="0.2">
      <c r="A1757" s="21">
        <v>814962</v>
      </c>
      <c r="B1757" s="22">
        <v>10</v>
      </c>
    </row>
    <row r="1758" spans="1:2" x14ac:dyDescent="0.2">
      <c r="A1758" s="21">
        <v>814972</v>
      </c>
      <c r="B1758" s="22">
        <v>1192.75</v>
      </c>
    </row>
    <row r="1759" spans="1:2" x14ac:dyDescent="0.2">
      <c r="A1759" s="21">
        <v>814977</v>
      </c>
      <c r="B1759" s="22">
        <v>22.25</v>
      </c>
    </row>
    <row r="1760" spans="1:2" x14ac:dyDescent="0.2">
      <c r="A1760" s="21">
        <v>814978</v>
      </c>
      <c r="B1760" s="22">
        <v>0</v>
      </c>
    </row>
    <row r="1761" spans="1:2" x14ac:dyDescent="0.2">
      <c r="A1761" s="21">
        <v>814979</v>
      </c>
      <c r="B1761" s="22">
        <v>21.25</v>
      </c>
    </row>
    <row r="1762" spans="1:2" x14ac:dyDescent="0.2">
      <c r="A1762" s="21">
        <v>814980</v>
      </c>
      <c r="B1762" s="22">
        <v>0</v>
      </c>
    </row>
    <row r="1763" spans="1:2" x14ac:dyDescent="0.2">
      <c r="A1763" s="21">
        <v>814992</v>
      </c>
      <c r="B1763" s="22">
        <v>472.25</v>
      </c>
    </row>
    <row r="1764" spans="1:2" x14ac:dyDescent="0.2">
      <c r="A1764" s="21">
        <v>814993</v>
      </c>
      <c r="B1764" s="22">
        <v>1799</v>
      </c>
    </row>
    <row r="1765" spans="1:2" x14ac:dyDescent="0.2">
      <c r="A1765" s="21">
        <v>815002</v>
      </c>
      <c r="B1765" s="22">
        <v>0</v>
      </c>
    </row>
    <row r="1766" spans="1:2" x14ac:dyDescent="0.2">
      <c r="A1766" s="21">
        <v>815016</v>
      </c>
      <c r="B1766" s="22">
        <v>120</v>
      </c>
    </row>
    <row r="1767" spans="1:2" x14ac:dyDescent="0.2">
      <c r="A1767" s="21">
        <v>815021</v>
      </c>
      <c r="B1767" s="22">
        <v>0</v>
      </c>
    </row>
    <row r="1768" spans="1:2" x14ac:dyDescent="0.2">
      <c r="A1768" s="21">
        <v>815022</v>
      </c>
      <c r="B1768" s="22">
        <v>64.5</v>
      </c>
    </row>
    <row r="1769" spans="1:2" x14ac:dyDescent="0.2">
      <c r="A1769" s="21">
        <v>815027</v>
      </c>
      <c r="B1769" s="22">
        <v>943</v>
      </c>
    </row>
    <row r="1770" spans="1:2" x14ac:dyDescent="0.2">
      <c r="A1770" s="21">
        <v>815030</v>
      </c>
      <c r="B1770" s="22">
        <v>51</v>
      </c>
    </row>
    <row r="1771" spans="1:2" x14ac:dyDescent="0.2">
      <c r="A1771" s="21">
        <v>815031</v>
      </c>
      <c r="B1771" s="22">
        <v>70</v>
      </c>
    </row>
    <row r="1772" spans="1:2" x14ac:dyDescent="0.2">
      <c r="A1772" s="21">
        <v>815046</v>
      </c>
      <c r="B1772" s="22">
        <v>0</v>
      </c>
    </row>
    <row r="1773" spans="1:2" x14ac:dyDescent="0.2">
      <c r="A1773" s="21">
        <v>815047</v>
      </c>
      <c r="B1773" s="22">
        <v>0</v>
      </c>
    </row>
    <row r="1774" spans="1:2" x14ac:dyDescent="0.2">
      <c r="A1774" s="21">
        <v>815051</v>
      </c>
      <c r="B1774" s="22">
        <v>1018.4</v>
      </c>
    </row>
    <row r="1775" spans="1:2" x14ac:dyDescent="0.2">
      <c r="A1775" s="21">
        <v>815052</v>
      </c>
      <c r="B1775" s="22">
        <v>159.5</v>
      </c>
    </row>
    <row r="1776" spans="1:2" x14ac:dyDescent="0.2">
      <c r="A1776" s="21">
        <v>815057</v>
      </c>
      <c r="B1776" s="22">
        <v>1188.25</v>
      </c>
    </row>
    <row r="1777" spans="1:2" x14ac:dyDescent="0.2">
      <c r="A1777" s="21">
        <v>815064</v>
      </c>
      <c r="B1777" s="22">
        <v>54.5</v>
      </c>
    </row>
    <row r="1778" spans="1:2" x14ac:dyDescent="0.2">
      <c r="A1778" s="21">
        <v>815066</v>
      </c>
      <c r="B1778" s="22">
        <v>0</v>
      </c>
    </row>
    <row r="1779" spans="1:2" x14ac:dyDescent="0.2">
      <c r="A1779" s="21">
        <v>815067</v>
      </c>
      <c r="B1779" s="22">
        <v>83.15</v>
      </c>
    </row>
    <row r="1780" spans="1:2" x14ac:dyDescent="0.2">
      <c r="A1780" s="21">
        <v>815068</v>
      </c>
      <c r="B1780" s="22">
        <v>102.5</v>
      </c>
    </row>
    <row r="1781" spans="1:2" x14ac:dyDescent="0.2">
      <c r="A1781" s="21">
        <v>815084</v>
      </c>
      <c r="B1781" s="22">
        <v>905.4</v>
      </c>
    </row>
    <row r="1782" spans="1:2" x14ac:dyDescent="0.2">
      <c r="A1782" s="21">
        <v>815088</v>
      </c>
      <c r="B1782" s="22">
        <v>0</v>
      </c>
    </row>
    <row r="1783" spans="1:2" x14ac:dyDescent="0.2">
      <c r="A1783" s="21">
        <v>815091</v>
      </c>
      <c r="B1783" s="22">
        <v>275.40000000000003</v>
      </c>
    </row>
    <row r="1784" spans="1:2" x14ac:dyDescent="0.2">
      <c r="A1784" s="21">
        <v>815092</v>
      </c>
      <c r="B1784" s="22">
        <v>272.14999999999998</v>
      </c>
    </row>
    <row r="1785" spans="1:2" x14ac:dyDescent="0.2">
      <c r="A1785" s="21">
        <v>815093</v>
      </c>
      <c r="B1785" s="22">
        <v>185</v>
      </c>
    </row>
    <row r="1786" spans="1:2" x14ac:dyDescent="0.2">
      <c r="A1786" s="21">
        <v>815096</v>
      </c>
      <c r="B1786" s="22">
        <v>224.29999999999998</v>
      </c>
    </row>
    <row r="1787" spans="1:2" x14ac:dyDescent="0.2">
      <c r="A1787" s="21">
        <v>815097</v>
      </c>
      <c r="B1787" s="22">
        <v>180</v>
      </c>
    </row>
    <row r="1788" spans="1:2" x14ac:dyDescent="0.2">
      <c r="A1788" s="21">
        <v>815100</v>
      </c>
      <c r="B1788" s="22">
        <v>1</v>
      </c>
    </row>
    <row r="1789" spans="1:2" x14ac:dyDescent="0.2">
      <c r="A1789" s="21">
        <v>815101</v>
      </c>
      <c r="B1789" s="22">
        <v>453</v>
      </c>
    </row>
    <row r="1790" spans="1:2" x14ac:dyDescent="0.2">
      <c r="A1790" s="21">
        <v>815102</v>
      </c>
      <c r="B1790" s="22">
        <v>36</v>
      </c>
    </row>
    <row r="1791" spans="1:2" x14ac:dyDescent="0.2">
      <c r="A1791" s="21">
        <v>815104</v>
      </c>
      <c r="B1791" s="22">
        <v>233</v>
      </c>
    </row>
    <row r="1792" spans="1:2" x14ac:dyDescent="0.2">
      <c r="A1792" s="21">
        <v>815105</v>
      </c>
      <c r="B1792" s="22">
        <v>31</v>
      </c>
    </row>
    <row r="1793" spans="1:2" x14ac:dyDescent="0.2">
      <c r="A1793" s="21">
        <v>815111</v>
      </c>
      <c r="B1793" s="22">
        <v>433.95</v>
      </c>
    </row>
    <row r="1794" spans="1:2" x14ac:dyDescent="0.2">
      <c r="A1794" s="21">
        <v>815123</v>
      </c>
      <c r="B1794" s="22">
        <v>124</v>
      </c>
    </row>
    <row r="1795" spans="1:2" x14ac:dyDescent="0.2">
      <c r="A1795" s="21">
        <v>815127</v>
      </c>
      <c r="B1795" s="22">
        <v>64.25</v>
      </c>
    </row>
    <row r="1796" spans="1:2" x14ac:dyDescent="0.2">
      <c r="A1796" s="21">
        <v>815133</v>
      </c>
      <c r="B1796" s="22">
        <v>90</v>
      </c>
    </row>
    <row r="1797" spans="1:2" x14ac:dyDescent="0.2">
      <c r="A1797" s="21">
        <v>815134</v>
      </c>
      <c r="B1797" s="22">
        <v>308.5</v>
      </c>
    </row>
    <row r="1798" spans="1:2" x14ac:dyDescent="0.2">
      <c r="A1798" s="21">
        <v>815135</v>
      </c>
      <c r="B1798" s="22">
        <v>295</v>
      </c>
    </row>
    <row r="1799" spans="1:2" x14ac:dyDescent="0.2">
      <c r="A1799" s="21">
        <v>815136</v>
      </c>
      <c r="B1799" s="22">
        <v>147.5</v>
      </c>
    </row>
    <row r="1800" spans="1:2" x14ac:dyDescent="0.2">
      <c r="A1800" s="21">
        <v>815151</v>
      </c>
      <c r="B1800" s="22">
        <v>88</v>
      </c>
    </row>
    <row r="1801" spans="1:2" x14ac:dyDescent="0.2">
      <c r="A1801" s="21">
        <v>815152</v>
      </c>
      <c r="B1801" s="22">
        <v>20</v>
      </c>
    </row>
    <row r="1802" spans="1:2" x14ac:dyDescent="0.2">
      <c r="A1802" s="21">
        <v>815155</v>
      </c>
      <c r="B1802" s="22">
        <v>207</v>
      </c>
    </row>
    <row r="1803" spans="1:2" x14ac:dyDescent="0.2">
      <c r="A1803" s="21">
        <v>815167</v>
      </c>
      <c r="B1803" s="22">
        <v>617.15</v>
      </c>
    </row>
    <row r="1804" spans="1:2" x14ac:dyDescent="0.2">
      <c r="A1804" s="21">
        <v>815168</v>
      </c>
      <c r="B1804" s="22">
        <v>301.89999999999998</v>
      </c>
    </row>
    <row r="1805" spans="1:2" x14ac:dyDescent="0.2">
      <c r="A1805" s="21">
        <v>815175</v>
      </c>
      <c r="B1805" s="22">
        <v>255</v>
      </c>
    </row>
    <row r="1806" spans="1:2" x14ac:dyDescent="0.2">
      <c r="A1806" s="21">
        <v>815176</v>
      </c>
      <c r="B1806" s="22">
        <v>0</v>
      </c>
    </row>
    <row r="1807" spans="1:2" x14ac:dyDescent="0.2">
      <c r="A1807" s="21">
        <v>815182</v>
      </c>
      <c r="B1807" s="22">
        <v>67</v>
      </c>
    </row>
    <row r="1808" spans="1:2" x14ac:dyDescent="0.2">
      <c r="A1808" s="21">
        <v>815183</v>
      </c>
      <c r="B1808" s="22">
        <v>130.75</v>
      </c>
    </row>
    <row r="1809" spans="1:2" x14ac:dyDescent="0.2">
      <c r="A1809" s="21">
        <v>815184</v>
      </c>
      <c r="B1809" s="22">
        <v>81</v>
      </c>
    </row>
    <row r="1810" spans="1:2" x14ac:dyDescent="0.2">
      <c r="A1810" s="21">
        <v>815199</v>
      </c>
      <c r="B1810" s="22">
        <v>32</v>
      </c>
    </row>
    <row r="1811" spans="1:2" x14ac:dyDescent="0.2">
      <c r="A1811" s="21">
        <v>815200</v>
      </c>
      <c r="B1811" s="22">
        <v>381</v>
      </c>
    </row>
    <row r="1812" spans="1:2" x14ac:dyDescent="0.2">
      <c r="A1812" s="21">
        <v>815202</v>
      </c>
      <c r="B1812" s="22">
        <v>215.75</v>
      </c>
    </row>
    <row r="1813" spans="1:2" x14ac:dyDescent="0.2">
      <c r="A1813" s="21">
        <v>815210</v>
      </c>
      <c r="B1813" s="22">
        <v>0</v>
      </c>
    </row>
    <row r="1814" spans="1:2" x14ac:dyDescent="0.2">
      <c r="A1814" s="21">
        <v>815211</v>
      </c>
      <c r="B1814" s="22">
        <v>1099.75</v>
      </c>
    </row>
    <row r="1815" spans="1:2" x14ac:dyDescent="0.2">
      <c r="A1815" s="21">
        <v>815218</v>
      </c>
      <c r="B1815" s="22">
        <v>233</v>
      </c>
    </row>
    <row r="1816" spans="1:2" x14ac:dyDescent="0.2">
      <c r="A1816" s="21">
        <v>815231</v>
      </c>
      <c r="B1816" s="22">
        <v>80</v>
      </c>
    </row>
    <row r="1817" spans="1:2" x14ac:dyDescent="0.2">
      <c r="A1817" s="21">
        <v>815232</v>
      </c>
      <c r="B1817" s="22">
        <v>453</v>
      </c>
    </row>
    <row r="1818" spans="1:2" x14ac:dyDescent="0.2">
      <c r="A1818" s="21">
        <v>815236</v>
      </c>
      <c r="B1818" s="22">
        <v>26</v>
      </c>
    </row>
    <row r="1819" spans="1:2" x14ac:dyDescent="0.2">
      <c r="A1819" s="21">
        <v>815237</v>
      </c>
      <c r="B1819" s="22">
        <v>165</v>
      </c>
    </row>
    <row r="1820" spans="1:2" x14ac:dyDescent="0.2">
      <c r="A1820" s="21">
        <v>815253</v>
      </c>
      <c r="B1820" s="22">
        <v>615.25</v>
      </c>
    </row>
    <row r="1821" spans="1:2" x14ac:dyDescent="0.2">
      <c r="A1821" s="21">
        <v>815254</v>
      </c>
      <c r="B1821" s="22">
        <v>373.5</v>
      </c>
    </row>
    <row r="1822" spans="1:2" x14ac:dyDescent="0.2">
      <c r="A1822" s="21">
        <v>815256</v>
      </c>
      <c r="B1822" s="22">
        <v>1213</v>
      </c>
    </row>
    <row r="1823" spans="1:2" x14ac:dyDescent="0.2">
      <c r="A1823" s="21">
        <v>815271</v>
      </c>
      <c r="B1823" s="22">
        <v>128</v>
      </c>
    </row>
    <row r="1824" spans="1:2" x14ac:dyDescent="0.2">
      <c r="A1824" s="21">
        <v>815273</v>
      </c>
      <c r="B1824" s="22">
        <v>35</v>
      </c>
    </row>
    <row r="1825" spans="1:2" x14ac:dyDescent="0.2">
      <c r="A1825" s="21">
        <v>815274</v>
      </c>
      <c r="B1825" s="22">
        <v>307.85000000000002</v>
      </c>
    </row>
    <row r="1826" spans="1:2" x14ac:dyDescent="0.2">
      <c r="A1826" s="21">
        <v>815275</v>
      </c>
      <c r="B1826" s="22">
        <v>79</v>
      </c>
    </row>
    <row r="1827" spans="1:2" x14ac:dyDescent="0.2">
      <c r="A1827" s="21">
        <v>815277</v>
      </c>
      <c r="B1827" s="22">
        <v>130</v>
      </c>
    </row>
    <row r="1828" spans="1:2" x14ac:dyDescent="0.2">
      <c r="A1828" s="21">
        <v>815278</v>
      </c>
      <c r="B1828" s="22">
        <v>124</v>
      </c>
    </row>
    <row r="1829" spans="1:2" x14ac:dyDescent="0.2">
      <c r="A1829" s="21">
        <v>815306</v>
      </c>
      <c r="B1829" s="22">
        <v>514</v>
      </c>
    </row>
    <row r="1830" spans="1:2" x14ac:dyDescent="0.2">
      <c r="A1830" s="21">
        <v>815307</v>
      </c>
      <c r="B1830" s="22">
        <v>20.3</v>
      </c>
    </row>
    <row r="1831" spans="1:2" x14ac:dyDescent="0.2">
      <c r="A1831" s="21">
        <v>815314</v>
      </c>
      <c r="B1831" s="22">
        <v>10</v>
      </c>
    </row>
    <row r="1832" spans="1:2" x14ac:dyDescent="0.2">
      <c r="A1832" s="21">
        <v>815342</v>
      </c>
      <c r="B1832" s="22">
        <v>497.75</v>
      </c>
    </row>
    <row r="1833" spans="1:2" x14ac:dyDescent="0.2">
      <c r="A1833" s="21">
        <v>815354</v>
      </c>
      <c r="B1833" s="22">
        <v>25</v>
      </c>
    </row>
    <row r="1834" spans="1:2" x14ac:dyDescent="0.2">
      <c r="A1834" s="21">
        <v>815355</v>
      </c>
      <c r="B1834" s="22">
        <v>180</v>
      </c>
    </row>
    <row r="1835" spans="1:2" x14ac:dyDescent="0.2">
      <c r="A1835" s="21">
        <v>815356</v>
      </c>
      <c r="B1835" s="22">
        <v>0</v>
      </c>
    </row>
    <row r="1836" spans="1:2" x14ac:dyDescent="0.2">
      <c r="A1836" s="21">
        <v>815393</v>
      </c>
      <c r="B1836" s="22">
        <v>592.65</v>
      </c>
    </row>
    <row r="1837" spans="1:2" x14ac:dyDescent="0.2">
      <c r="A1837" s="21">
        <v>815394</v>
      </c>
      <c r="B1837" s="22">
        <v>255</v>
      </c>
    </row>
    <row r="1838" spans="1:2" x14ac:dyDescent="0.2">
      <c r="A1838" s="21">
        <v>815395</v>
      </c>
      <c r="B1838" s="22">
        <v>7.5</v>
      </c>
    </row>
    <row r="1839" spans="1:2" x14ac:dyDescent="0.2">
      <c r="A1839" s="21">
        <v>815400</v>
      </c>
      <c r="B1839" s="22">
        <v>308.5</v>
      </c>
    </row>
    <row r="1840" spans="1:2" x14ac:dyDescent="0.2">
      <c r="A1840" s="21">
        <v>815401</v>
      </c>
      <c r="B1840" s="22">
        <v>55</v>
      </c>
    </row>
    <row r="1841" spans="1:2" x14ac:dyDescent="0.2">
      <c r="A1841" s="21">
        <v>815402</v>
      </c>
      <c r="B1841" s="22">
        <v>595</v>
      </c>
    </row>
    <row r="1842" spans="1:2" x14ac:dyDescent="0.2">
      <c r="A1842" s="21">
        <v>815408</v>
      </c>
      <c r="B1842" s="22">
        <v>170.25</v>
      </c>
    </row>
    <row r="1843" spans="1:2" x14ac:dyDescent="0.2">
      <c r="A1843" s="21">
        <v>815416</v>
      </c>
      <c r="B1843" s="22">
        <v>40</v>
      </c>
    </row>
    <row r="1844" spans="1:2" x14ac:dyDescent="0.2">
      <c r="A1844" s="21">
        <v>815417</v>
      </c>
      <c r="B1844" s="22">
        <v>0</v>
      </c>
    </row>
    <row r="1845" spans="1:2" x14ac:dyDescent="0.2">
      <c r="A1845" s="21">
        <v>815418</v>
      </c>
      <c r="B1845" s="22">
        <v>293</v>
      </c>
    </row>
    <row r="1846" spans="1:2" x14ac:dyDescent="0.2">
      <c r="A1846" s="21">
        <v>815420</v>
      </c>
      <c r="B1846" s="22">
        <v>236</v>
      </c>
    </row>
    <row r="1847" spans="1:2" x14ac:dyDescent="0.2">
      <c r="A1847" s="21">
        <v>815421</v>
      </c>
      <c r="B1847" s="22">
        <v>462</v>
      </c>
    </row>
    <row r="1848" spans="1:2" x14ac:dyDescent="0.2">
      <c r="A1848" s="21">
        <v>815422</v>
      </c>
      <c r="B1848" s="22">
        <v>466.5</v>
      </c>
    </row>
    <row r="1849" spans="1:2" x14ac:dyDescent="0.2">
      <c r="A1849" s="21">
        <v>815423</v>
      </c>
      <c r="B1849" s="22">
        <v>244.5</v>
      </c>
    </row>
    <row r="1850" spans="1:2" x14ac:dyDescent="0.2">
      <c r="A1850" s="21">
        <v>815424</v>
      </c>
      <c r="B1850" s="22">
        <v>247.5</v>
      </c>
    </row>
    <row r="1851" spans="1:2" x14ac:dyDescent="0.2">
      <c r="A1851" s="21">
        <v>815425</v>
      </c>
      <c r="B1851" s="22">
        <v>203.7</v>
      </c>
    </row>
    <row r="1852" spans="1:2" x14ac:dyDescent="0.2">
      <c r="A1852" s="21">
        <v>815426</v>
      </c>
      <c r="B1852" s="22">
        <v>41.5</v>
      </c>
    </row>
    <row r="1853" spans="1:2" x14ac:dyDescent="0.2">
      <c r="A1853" s="21">
        <v>815427</v>
      </c>
      <c r="B1853" s="22">
        <v>487</v>
      </c>
    </row>
    <row r="1854" spans="1:2" x14ac:dyDescent="0.2">
      <c r="A1854" s="21">
        <v>815428</v>
      </c>
      <c r="B1854" s="22">
        <v>220</v>
      </c>
    </row>
    <row r="1855" spans="1:2" x14ac:dyDescent="0.2">
      <c r="A1855" s="21">
        <v>815429</v>
      </c>
      <c r="B1855" s="22">
        <v>0</v>
      </c>
    </row>
    <row r="1856" spans="1:2" x14ac:dyDescent="0.2">
      <c r="A1856" s="21">
        <v>815430</v>
      </c>
      <c r="B1856" s="22">
        <v>2031.5</v>
      </c>
    </row>
    <row r="1857" spans="1:2" x14ac:dyDescent="0.2">
      <c r="A1857" s="21">
        <v>815431</v>
      </c>
      <c r="B1857" s="22">
        <v>272.5</v>
      </c>
    </row>
    <row r="1858" spans="1:2" x14ac:dyDescent="0.2">
      <c r="A1858" s="21">
        <v>815438</v>
      </c>
      <c r="B1858" s="22">
        <v>0</v>
      </c>
    </row>
    <row r="1859" spans="1:2" x14ac:dyDescent="0.2">
      <c r="A1859" s="21">
        <v>815439</v>
      </c>
      <c r="B1859" s="22">
        <v>2363.9</v>
      </c>
    </row>
    <row r="1860" spans="1:2" x14ac:dyDescent="0.2">
      <c r="A1860" s="21">
        <v>815440</v>
      </c>
      <c r="B1860" s="22">
        <v>329.5</v>
      </c>
    </row>
    <row r="1861" spans="1:2" x14ac:dyDescent="0.2">
      <c r="A1861" s="21">
        <v>815441</v>
      </c>
      <c r="B1861" s="22">
        <v>661</v>
      </c>
    </row>
    <row r="1862" spans="1:2" x14ac:dyDescent="0.2">
      <c r="A1862" s="21">
        <v>815451</v>
      </c>
      <c r="B1862" s="22">
        <v>417</v>
      </c>
    </row>
    <row r="1863" spans="1:2" x14ac:dyDescent="0.2">
      <c r="A1863" s="21">
        <v>815466</v>
      </c>
      <c r="B1863" s="22">
        <v>77.75</v>
      </c>
    </row>
    <row r="1864" spans="1:2" x14ac:dyDescent="0.2">
      <c r="A1864" s="21">
        <v>815467</v>
      </c>
      <c r="B1864" s="22">
        <v>478.25</v>
      </c>
    </row>
    <row r="1865" spans="1:2" x14ac:dyDescent="0.2">
      <c r="A1865" s="21">
        <v>815468</v>
      </c>
      <c r="B1865" s="22">
        <v>192.5</v>
      </c>
    </row>
    <row r="1866" spans="1:2" x14ac:dyDescent="0.2">
      <c r="A1866" s="21">
        <v>815469</v>
      </c>
      <c r="B1866" s="22">
        <v>105</v>
      </c>
    </row>
    <row r="1867" spans="1:2" x14ac:dyDescent="0.2">
      <c r="A1867" s="21">
        <v>815470</v>
      </c>
      <c r="B1867" s="22">
        <v>20</v>
      </c>
    </row>
    <row r="1868" spans="1:2" x14ac:dyDescent="0.2">
      <c r="A1868" s="21">
        <v>815471</v>
      </c>
      <c r="B1868" s="22">
        <v>202</v>
      </c>
    </row>
    <row r="1869" spans="1:2" x14ac:dyDescent="0.2">
      <c r="A1869" s="21">
        <v>815472</v>
      </c>
      <c r="B1869" s="22">
        <v>114.5</v>
      </c>
    </row>
    <row r="1870" spans="1:2" x14ac:dyDescent="0.2">
      <c r="A1870" s="21">
        <v>815473</v>
      </c>
      <c r="B1870" s="22">
        <v>25</v>
      </c>
    </row>
    <row r="1871" spans="1:2" x14ac:dyDescent="0.2">
      <c r="A1871" s="21">
        <v>815474</v>
      </c>
      <c r="B1871" s="22">
        <v>349</v>
      </c>
    </row>
    <row r="1872" spans="1:2" x14ac:dyDescent="0.2">
      <c r="A1872" s="21">
        <v>815479</v>
      </c>
      <c r="B1872" s="22">
        <v>5</v>
      </c>
    </row>
    <row r="1873" spans="1:2" x14ac:dyDescent="0.2">
      <c r="A1873" s="21">
        <v>815480</v>
      </c>
      <c r="B1873" s="22">
        <v>313.05</v>
      </c>
    </row>
    <row r="1874" spans="1:2" x14ac:dyDescent="0.2">
      <c r="A1874" s="21">
        <v>815481</v>
      </c>
      <c r="B1874" s="22">
        <v>35</v>
      </c>
    </row>
    <row r="1875" spans="1:2" x14ac:dyDescent="0.2">
      <c r="A1875" s="21">
        <v>815482</v>
      </c>
      <c r="B1875" s="22">
        <v>483</v>
      </c>
    </row>
    <row r="1876" spans="1:2" x14ac:dyDescent="0.2">
      <c r="A1876" s="21">
        <v>815483</v>
      </c>
      <c r="B1876" s="22">
        <v>179.5</v>
      </c>
    </row>
    <row r="1877" spans="1:2" x14ac:dyDescent="0.2">
      <c r="A1877" s="21">
        <v>815484</v>
      </c>
      <c r="B1877" s="22">
        <v>152.5</v>
      </c>
    </row>
    <row r="1878" spans="1:2" x14ac:dyDescent="0.2">
      <c r="A1878" s="21">
        <v>815485</v>
      </c>
      <c r="B1878" s="22">
        <v>70</v>
      </c>
    </row>
    <row r="1879" spans="1:2" x14ac:dyDescent="0.2">
      <c r="A1879" s="21">
        <v>815486</v>
      </c>
      <c r="B1879" s="22">
        <v>22</v>
      </c>
    </row>
    <row r="1880" spans="1:2" x14ac:dyDescent="0.2">
      <c r="A1880" s="21">
        <v>815490</v>
      </c>
      <c r="B1880" s="22">
        <v>0</v>
      </c>
    </row>
    <row r="1881" spans="1:2" x14ac:dyDescent="0.2">
      <c r="A1881" s="21">
        <v>815501</v>
      </c>
      <c r="B1881" s="22">
        <v>255</v>
      </c>
    </row>
    <row r="1882" spans="1:2" x14ac:dyDescent="0.2">
      <c r="A1882" s="21">
        <v>815502</v>
      </c>
      <c r="B1882" s="22">
        <v>47.75</v>
      </c>
    </row>
    <row r="1883" spans="1:2" x14ac:dyDescent="0.2">
      <c r="A1883" s="21">
        <v>815503</v>
      </c>
      <c r="B1883" s="22">
        <v>0</v>
      </c>
    </row>
    <row r="1884" spans="1:2" x14ac:dyDescent="0.2">
      <c r="A1884" s="21">
        <v>815507</v>
      </c>
      <c r="B1884" s="22">
        <v>211</v>
      </c>
    </row>
    <row r="1885" spans="1:2" x14ac:dyDescent="0.2">
      <c r="A1885" s="21">
        <v>815508</v>
      </c>
      <c r="B1885" s="22">
        <v>453</v>
      </c>
    </row>
    <row r="1886" spans="1:2" x14ac:dyDescent="0.2">
      <c r="A1886" s="21">
        <v>815509</v>
      </c>
      <c r="B1886" s="22">
        <v>541.5</v>
      </c>
    </row>
    <row r="1887" spans="1:2" x14ac:dyDescent="0.2">
      <c r="A1887" s="21">
        <v>815510</v>
      </c>
      <c r="B1887" s="22">
        <v>330</v>
      </c>
    </row>
    <row r="1888" spans="1:2" x14ac:dyDescent="0.2">
      <c r="A1888" s="21">
        <v>815511</v>
      </c>
      <c r="B1888" s="22">
        <v>10</v>
      </c>
    </row>
    <row r="1889" spans="1:2" x14ac:dyDescent="0.2">
      <c r="A1889" s="21">
        <v>815512</v>
      </c>
      <c r="B1889" s="22">
        <v>279.95</v>
      </c>
    </row>
    <row r="1890" spans="1:2" x14ac:dyDescent="0.2">
      <c r="A1890" s="21">
        <v>815514</v>
      </c>
      <c r="B1890" s="22">
        <v>10</v>
      </c>
    </row>
    <row r="1891" spans="1:2" x14ac:dyDescent="0.2">
      <c r="A1891" s="21">
        <v>815547</v>
      </c>
      <c r="B1891" s="22">
        <v>546</v>
      </c>
    </row>
    <row r="1892" spans="1:2" x14ac:dyDescent="0.2">
      <c r="A1892" s="21">
        <v>815557</v>
      </c>
      <c r="B1892" s="22">
        <v>55</v>
      </c>
    </row>
    <row r="1893" spans="1:2" x14ac:dyDescent="0.2">
      <c r="A1893" s="21">
        <v>815558</v>
      </c>
      <c r="B1893" s="22">
        <v>459.5</v>
      </c>
    </row>
    <row r="1894" spans="1:2" x14ac:dyDescent="0.2">
      <c r="A1894" s="21">
        <v>815567</v>
      </c>
      <c r="B1894" s="22">
        <v>42.5</v>
      </c>
    </row>
    <row r="1895" spans="1:2" x14ac:dyDescent="0.2">
      <c r="A1895" s="21">
        <v>815572</v>
      </c>
      <c r="B1895" s="22">
        <v>0</v>
      </c>
    </row>
    <row r="1896" spans="1:2" x14ac:dyDescent="0.2">
      <c r="A1896" s="21">
        <v>815573</v>
      </c>
      <c r="B1896" s="22">
        <v>10</v>
      </c>
    </row>
    <row r="1897" spans="1:2" x14ac:dyDescent="0.2">
      <c r="A1897" s="21">
        <v>815575</v>
      </c>
      <c r="B1897" s="22">
        <v>87</v>
      </c>
    </row>
    <row r="1898" spans="1:2" x14ac:dyDescent="0.2">
      <c r="A1898" s="21">
        <v>815576</v>
      </c>
      <c r="B1898" s="22">
        <v>590</v>
      </c>
    </row>
    <row r="1899" spans="1:2" x14ac:dyDescent="0.2">
      <c r="A1899" s="21">
        <v>815577</v>
      </c>
      <c r="B1899" s="22">
        <v>114.2</v>
      </c>
    </row>
    <row r="1900" spans="1:2" x14ac:dyDescent="0.2">
      <c r="A1900" s="21">
        <v>815593</v>
      </c>
      <c r="B1900" s="22">
        <v>7.5</v>
      </c>
    </row>
    <row r="1901" spans="1:2" x14ac:dyDescent="0.2">
      <c r="A1901" s="21">
        <v>815594</v>
      </c>
      <c r="B1901" s="22">
        <v>386.25</v>
      </c>
    </row>
    <row r="1902" spans="1:2" x14ac:dyDescent="0.2">
      <c r="A1902" s="21">
        <v>815595</v>
      </c>
      <c r="B1902" s="22">
        <v>162.5</v>
      </c>
    </row>
    <row r="1903" spans="1:2" x14ac:dyDescent="0.2">
      <c r="A1903" s="21">
        <v>815597</v>
      </c>
      <c r="B1903" s="22">
        <v>1071.75</v>
      </c>
    </row>
    <row r="1904" spans="1:2" x14ac:dyDescent="0.2">
      <c r="A1904" s="21">
        <v>815600</v>
      </c>
      <c r="B1904" s="22">
        <v>82</v>
      </c>
    </row>
    <row r="1905" spans="1:2" x14ac:dyDescent="0.2">
      <c r="A1905" s="21">
        <v>815601</v>
      </c>
      <c r="B1905" s="22">
        <v>223.5</v>
      </c>
    </row>
    <row r="1906" spans="1:2" x14ac:dyDescent="0.2">
      <c r="A1906" s="21">
        <v>815602</v>
      </c>
      <c r="B1906" s="22">
        <v>95.55</v>
      </c>
    </row>
    <row r="1907" spans="1:2" x14ac:dyDescent="0.2">
      <c r="A1907" s="21">
        <v>815609</v>
      </c>
      <c r="B1907" s="22">
        <v>227</v>
      </c>
    </row>
    <row r="1908" spans="1:2" x14ac:dyDescent="0.2">
      <c r="A1908" s="21">
        <v>815621</v>
      </c>
      <c r="B1908" s="22">
        <v>70</v>
      </c>
    </row>
    <row r="1909" spans="1:2" x14ac:dyDescent="0.2">
      <c r="A1909" s="21">
        <v>815630</v>
      </c>
      <c r="B1909" s="22">
        <v>50</v>
      </c>
    </row>
    <row r="1910" spans="1:2" x14ac:dyDescent="0.2">
      <c r="A1910" s="21">
        <v>815633</v>
      </c>
      <c r="B1910" s="22">
        <v>396.5</v>
      </c>
    </row>
    <row r="1911" spans="1:2" x14ac:dyDescent="0.2">
      <c r="A1911" s="21">
        <v>815634</v>
      </c>
      <c r="B1911" s="22">
        <v>354.75</v>
      </c>
    </row>
    <row r="1912" spans="1:2" x14ac:dyDescent="0.2">
      <c r="A1912" s="21">
        <v>815635</v>
      </c>
      <c r="B1912" s="22">
        <v>263.5</v>
      </c>
    </row>
    <row r="1913" spans="1:2" x14ac:dyDescent="0.2">
      <c r="A1913" s="21">
        <v>815636</v>
      </c>
      <c r="B1913" s="22">
        <v>95</v>
      </c>
    </row>
    <row r="1914" spans="1:2" x14ac:dyDescent="0.2">
      <c r="A1914" s="21">
        <v>815643</v>
      </c>
      <c r="B1914" s="22">
        <v>322.5</v>
      </c>
    </row>
    <row r="1915" spans="1:2" x14ac:dyDescent="0.2">
      <c r="A1915" s="21">
        <v>815644</v>
      </c>
      <c r="B1915" s="22">
        <v>304</v>
      </c>
    </row>
    <row r="1916" spans="1:2" x14ac:dyDescent="0.2">
      <c r="A1916" s="21">
        <v>815645</v>
      </c>
      <c r="B1916" s="22">
        <v>120</v>
      </c>
    </row>
    <row r="1917" spans="1:2" x14ac:dyDescent="0.2">
      <c r="A1917" s="21">
        <v>815646</v>
      </c>
      <c r="B1917" s="22">
        <v>95</v>
      </c>
    </row>
    <row r="1918" spans="1:2" x14ac:dyDescent="0.2">
      <c r="A1918" s="21">
        <v>815647</v>
      </c>
      <c r="B1918" s="22">
        <v>10</v>
      </c>
    </row>
    <row r="1919" spans="1:2" x14ac:dyDescent="0.2">
      <c r="A1919" s="21">
        <v>815654</v>
      </c>
      <c r="B1919" s="22">
        <v>234.5</v>
      </c>
    </row>
    <row r="1920" spans="1:2" x14ac:dyDescent="0.2">
      <c r="A1920" s="21">
        <v>815655</v>
      </c>
      <c r="B1920" s="22">
        <v>0</v>
      </c>
    </row>
    <row r="1921" spans="1:2" x14ac:dyDescent="0.2">
      <c r="A1921" s="21">
        <v>815657</v>
      </c>
      <c r="B1921" s="22">
        <v>255.5</v>
      </c>
    </row>
    <row r="1922" spans="1:2" x14ac:dyDescent="0.2">
      <c r="A1922" s="21">
        <v>815658</v>
      </c>
      <c r="B1922" s="22">
        <v>230</v>
      </c>
    </row>
    <row r="1923" spans="1:2" x14ac:dyDescent="0.2">
      <c r="A1923" s="21">
        <v>815663</v>
      </c>
      <c r="B1923" s="22">
        <v>5</v>
      </c>
    </row>
    <row r="1924" spans="1:2" x14ac:dyDescent="0.2">
      <c r="A1924" s="21">
        <v>815664</v>
      </c>
      <c r="B1924" s="22">
        <v>148</v>
      </c>
    </row>
    <row r="1925" spans="1:2" x14ac:dyDescent="0.2">
      <c r="A1925" s="21">
        <v>815665</v>
      </c>
      <c r="B1925" s="22">
        <v>125.5</v>
      </c>
    </row>
    <row r="1926" spans="1:2" x14ac:dyDescent="0.2">
      <c r="A1926" s="21">
        <v>815666</v>
      </c>
      <c r="B1926" s="22">
        <v>497.75</v>
      </c>
    </row>
    <row r="1927" spans="1:2" x14ac:dyDescent="0.2">
      <c r="A1927" s="21">
        <v>815668</v>
      </c>
      <c r="B1927" s="22">
        <v>310</v>
      </c>
    </row>
    <row r="1928" spans="1:2" x14ac:dyDescent="0.2">
      <c r="A1928" s="21">
        <v>815671</v>
      </c>
      <c r="B1928" s="22">
        <v>69</v>
      </c>
    </row>
    <row r="1929" spans="1:2" x14ac:dyDescent="0.2">
      <c r="A1929" s="21">
        <v>815672</v>
      </c>
      <c r="B1929" s="22">
        <v>224</v>
      </c>
    </row>
    <row r="1930" spans="1:2" x14ac:dyDescent="0.2">
      <c r="A1930" s="21">
        <v>815713</v>
      </c>
      <c r="B1930" s="22">
        <v>22</v>
      </c>
    </row>
    <row r="1931" spans="1:2" x14ac:dyDescent="0.2">
      <c r="A1931" s="21">
        <v>815715</v>
      </c>
      <c r="B1931" s="22">
        <v>0</v>
      </c>
    </row>
    <row r="1932" spans="1:2" x14ac:dyDescent="0.2">
      <c r="A1932" s="21">
        <v>815719</v>
      </c>
      <c r="B1932" s="22">
        <v>61</v>
      </c>
    </row>
    <row r="1933" spans="1:2" x14ac:dyDescent="0.2">
      <c r="A1933" s="21">
        <v>815720</v>
      </c>
      <c r="B1933" s="22">
        <v>264</v>
      </c>
    </row>
    <row r="1934" spans="1:2" x14ac:dyDescent="0.2">
      <c r="A1934" s="21">
        <v>815755</v>
      </c>
      <c r="B1934" s="22">
        <v>126</v>
      </c>
    </row>
    <row r="1935" spans="1:2" x14ac:dyDescent="0.2">
      <c r="A1935" s="21">
        <v>815756</v>
      </c>
      <c r="B1935" s="22">
        <v>68</v>
      </c>
    </row>
    <row r="1936" spans="1:2" x14ac:dyDescent="0.2">
      <c r="A1936" s="21">
        <v>815757</v>
      </c>
      <c r="B1936" s="22">
        <v>10</v>
      </c>
    </row>
    <row r="1937" spans="1:2" x14ac:dyDescent="0.2">
      <c r="A1937" s="21">
        <v>815773</v>
      </c>
      <c r="B1937" s="22">
        <v>100</v>
      </c>
    </row>
    <row r="1938" spans="1:2" x14ac:dyDescent="0.2">
      <c r="A1938" s="21">
        <v>815774</v>
      </c>
      <c r="B1938" s="22">
        <v>157.5</v>
      </c>
    </row>
    <row r="1939" spans="1:2" x14ac:dyDescent="0.2">
      <c r="A1939" s="21">
        <v>815777</v>
      </c>
      <c r="B1939" s="22">
        <v>48.5</v>
      </c>
    </row>
    <row r="1940" spans="1:2" x14ac:dyDescent="0.2">
      <c r="A1940" s="21">
        <v>815797</v>
      </c>
      <c r="B1940" s="22">
        <v>101</v>
      </c>
    </row>
    <row r="1941" spans="1:2" x14ac:dyDescent="0.2">
      <c r="A1941" s="21">
        <v>815798</v>
      </c>
      <c r="B1941" s="22">
        <v>455</v>
      </c>
    </row>
    <row r="1942" spans="1:2" x14ac:dyDescent="0.2">
      <c r="A1942" s="21">
        <v>815799</v>
      </c>
      <c r="B1942" s="22">
        <v>375</v>
      </c>
    </row>
    <row r="1943" spans="1:2" x14ac:dyDescent="0.2">
      <c r="A1943" s="21">
        <v>815815</v>
      </c>
      <c r="B1943" s="22">
        <v>89</v>
      </c>
    </row>
    <row r="1944" spans="1:2" x14ac:dyDescent="0.2">
      <c r="A1944" s="21">
        <v>815816</v>
      </c>
      <c r="B1944" s="22">
        <v>108</v>
      </c>
    </row>
    <row r="1945" spans="1:2" x14ac:dyDescent="0.2">
      <c r="A1945" s="21">
        <v>815817</v>
      </c>
      <c r="B1945" s="22">
        <v>57.5</v>
      </c>
    </row>
    <row r="1946" spans="1:2" x14ac:dyDescent="0.2">
      <c r="A1946" s="21">
        <v>815818</v>
      </c>
      <c r="B1946" s="22">
        <v>490</v>
      </c>
    </row>
    <row r="1947" spans="1:2" x14ac:dyDescent="0.2">
      <c r="A1947" s="21">
        <v>815819</v>
      </c>
      <c r="B1947" s="22">
        <v>5</v>
      </c>
    </row>
    <row r="1948" spans="1:2" x14ac:dyDescent="0.2">
      <c r="A1948" s="21">
        <v>815820</v>
      </c>
      <c r="B1948" s="22">
        <v>131</v>
      </c>
    </row>
    <row r="1949" spans="1:2" x14ac:dyDescent="0.2">
      <c r="A1949" s="21">
        <v>815821</v>
      </c>
      <c r="B1949" s="22">
        <v>18.5</v>
      </c>
    </row>
    <row r="1950" spans="1:2" x14ac:dyDescent="0.2">
      <c r="A1950" s="21">
        <v>815822</v>
      </c>
      <c r="B1950" s="22">
        <v>508</v>
      </c>
    </row>
    <row r="1951" spans="1:2" x14ac:dyDescent="0.2">
      <c r="A1951" s="21">
        <v>815823</v>
      </c>
      <c r="B1951" s="22">
        <v>96.5</v>
      </c>
    </row>
    <row r="1952" spans="1:2" x14ac:dyDescent="0.2">
      <c r="A1952" s="21">
        <v>815824</v>
      </c>
      <c r="B1952" s="22">
        <v>611</v>
      </c>
    </row>
    <row r="1953" spans="1:2" x14ac:dyDescent="0.2">
      <c r="A1953" s="21">
        <v>815826</v>
      </c>
      <c r="B1953" s="22">
        <v>0</v>
      </c>
    </row>
    <row r="1954" spans="1:2" x14ac:dyDescent="0.2">
      <c r="A1954" s="21">
        <v>815830</v>
      </c>
      <c r="B1954" s="22">
        <v>480</v>
      </c>
    </row>
    <row r="1955" spans="1:2" x14ac:dyDescent="0.2">
      <c r="A1955" s="21">
        <v>815831</v>
      </c>
      <c r="B1955" s="22">
        <v>113.75</v>
      </c>
    </row>
    <row r="1956" spans="1:2" x14ac:dyDescent="0.2">
      <c r="A1956" s="21">
        <v>815832</v>
      </c>
      <c r="B1956" s="22">
        <v>397</v>
      </c>
    </row>
    <row r="1957" spans="1:2" x14ac:dyDescent="0.2">
      <c r="A1957" s="21">
        <v>815834</v>
      </c>
      <c r="B1957" s="22">
        <v>180.5</v>
      </c>
    </row>
    <row r="1958" spans="1:2" x14ac:dyDescent="0.2">
      <c r="A1958" s="21">
        <v>815835</v>
      </c>
      <c r="B1958" s="22">
        <v>79</v>
      </c>
    </row>
    <row r="1959" spans="1:2" x14ac:dyDescent="0.2">
      <c r="A1959" s="21">
        <v>815836</v>
      </c>
      <c r="B1959" s="22">
        <v>5</v>
      </c>
    </row>
    <row r="1960" spans="1:2" x14ac:dyDescent="0.2">
      <c r="A1960" s="21">
        <v>815837</v>
      </c>
      <c r="B1960" s="22">
        <v>5</v>
      </c>
    </row>
    <row r="1961" spans="1:2" x14ac:dyDescent="0.2">
      <c r="A1961" s="21">
        <v>815838</v>
      </c>
      <c r="B1961" s="22">
        <v>80</v>
      </c>
    </row>
    <row r="1962" spans="1:2" x14ac:dyDescent="0.2">
      <c r="A1962" s="21">
        <v>815839</v>
      </c>
      <c r="B1962" s="22">
        <v>102.19999999999999</v>
      </c>
    </row>
    <row r="1963" spans="1:2" x14ac:dyDescent="0.2">
      <c r="A1963" s="21">
        <v>815840</v>
      </c>
      <c r="B1963" s="22">
        <v>1365.35</v>
      </c>
    </row>
    <row r="1964" spans="1:2" x14ac:dyDescent="0.2">
      <c r="A1964" s="21">
        <v>815841</v>
      </c>
      <c r="B1964" s="22">
        <v>135</v>
      </c>
    </row>
    <row r="1965" spans="1:2" x14ac:dyDescent="0.2">
      <c r="A1965" s="21">
        <v>815844</v>
      </c>
      <c r="B1965" s="22">
        <v>700</v>
      </c>
    </row>
    <row r="1966" spans="1:2" x14ac:dyDescent="0.2">
      <c r="A1966" s="21">
        <v>815845</v>
      </c>
      <c r="B1966" s="22">
        <v>113</v>
      </c>
    </row>
    <row r="1967" spans="1:2" x14ac:dyDescent="0.2">
      <c r="A1967" s="21">
        <v>815849</v>
      </c>
      <c r="B1967" s="22">
        <v>28</v>
      </c>
    </row>
    <row r="1968" spans="1:2" x14ac:dyDescent="0.2">
      <c r="A1968" s="21">
        <v>815850</v>
      </c>
      <c r="B1968" s="22">
        <v>436</v>
      </c>
    </row>
    <row r="1969" spans="1:2" x14ac:dyDescent="0.2">
      <c r="A1969" s="21">
        <v>815863</v>
      </c>
      <c r="B1969" s="22">
        <v>285</v>
      </c>
    </row>
    <row r="1970" spans="1:2" x14ac:dyDescent="0.2">
      <c r="A1970" s="21">
        <v>815864</v>
      </c>
      <c r="B1970" s="22">
        <v>117.5</v>
      </c>
    </row>
    <row r="1971" spans="1:2" x14ac:dyDescent="0.2">
      <c r="A1971" s="21">
        <v>815865</v>
      </c>
      <c r="B1971" s="22">
        <v>890</v>
      </c>
    </row>
    <row r="1972" spans="1:2" x14ac:dyDescent="0.2">
      <c r="A1972" s="21">
        <v>815866</v>
      </c>
      <c r="B1972" s="22">
        <v>95</v>
      </c>
    </row>
    <row r="1973" spans="1:2" x14ac:dyDescent="0.2">
      <c r="A1973" s="21">
        <v>815867</v>
      </c>
      <c r="B1973" s="22">
        <v>146.5</v>
      </c>
    </row>
    <row r="1974" spans="1:2" x14ac:dyDescent="0.2">
      <c r="A1974" s="21">
        <v>815868</v>
      </c>
      <c r="B1974" s="22">
        <v>267</v>
      </c>
    </row>
    <row r="1975" spans="1:2" x14ac:dyDescent="0.2">
      <c r="A1975" s="21">
        <v>815869</v>
      </c>
      <c r="B1975" s="22">
        <v>318</v>
      </c>
    </row>
    <row r="1976" spans="1:2" x14ac:dyDescent="0.2">
      <c r="A1976" s="21">
        <v>815870</v>
      </c>
      <c r="B1976" s="22">
        <v>354.3</v>
      </c>
    </row>
    <row r="1977" spans="1:2" x14ac:dyDescent="0.2">
      <c r="A1977" s="21">
        <v>815871</v>
      </c>
      <c r="B1977" s="22">
        <v>265</v>
      </c>
    </row>
    <row r="1978" spans="1:2" x14ac:dyDescent="0.2">
      <c r="A1978" s="21">
        <v>815882</v>
      </c>
      <c r="B1978" s="22">
        <v>0</v>
      </c>
    </row>
    <row r="1979" spans="1:2" x14ac:dyDescent="0.2">
      <c r="A1979" s="21">
        <v>815887</v>
      </c>
      <c r="B1979" s="22">
        <v>313.5</v>
      </c>
    </row>
    <row r="1980" spans="1:2" x14ac:dyDescent="0.2">
      <c r="A1980" s="21">
        <v>815899</v>
      </c>
      <c r="B1980" s="22">
        <v>0</v>
      </c>
    </row>
    <row r="1981" spans="1:2" x14ac:dyDescent="0.2">
      <c r="A1981" s="21">
        <v>815900</v>
      </c>
      <c r="B1981" s="22">
        <v>0</v>
      </c>
    </row>
    <row r="1982" spans="1:2" x14ac:dyDescent="0.2">
      <c r="A1982" s="21">
        <v>815901</v>
      </c>
      <c r="B1982" s="22">
        <v>0</v>
      </c>
    </row>
    <row r="1983" spans="1:2" x14ac:dyDescent="0.2">
      <c r="A1983" s="21">
        <v>815904</v>
      </c>
      <c r="B1983" s="22">
        <v>0</v>
      </c>
    </row>
    <row r="1984" spans="1:2" x14ac:dyDescent="0.2">
      <c r="A1984" s="21">
        <v>815905</v>
      </c>
      <c r="B1984" s="22">
        <v>245</v>
      </c>
    </row>
    <row r="1985" spans="1:2" x14ac:dyDescent="0.2">
      <c r="A1985" s="21">
        <v>815906</v>
      </c>
      <c r="B1985" s="22">
        <v>45</v>
      </c>
    </row>
    <row r="1986" spans="1:2" x14ac:dyDescent="0.2">
      <c r="A1986" s="21">
        <v>815907</v>
      </c>
      <c r="B1986" s="22">
        <v>550.5</v>
      </c>
    </row>
    <row r="1987" spans="1:2" x14ac:dyDescent="0.2">
      <c r="A1987" s="21">
        <v>815909</v>
      </c>
      <c r="B1987" s="22">
        <v>0</v>
      </c>
    </row>
    <row r="1988" spans="1:2" x14ac:dyDescent="0.2">
      <c r="A1988" s="21">
        <v>815924</v>
      </c>
      <c r="B1988" s="22">
        <v>233.5</v>
      </c>
    </row>
    <row r="1989" spans="1:2" x14ac:dyDescent="0.2">
      <c r="A1989" s="21">
        <v>815929</v>
      </c>
      <c r="B1989" s="22">
        <v>51.5</v>
      </c>
    </row>
    <row r="1990" spans="1:2" x14ac:dyDescent="0.2">
      <c r="A1990" s="21">
        <v>815930</v>
      </c>
      <c r="B1990" s="22">
        <v>192</v>
      </c>
    </row>
    <row r="1991" spans="1:2" x14ac:dyDescent="0.2">
      <c r="A1991" s="21">
        <v>815934</v>
      </c>
      <c r="B1991" s="22">
        <v>781</v>
      </c>
    </row>
    <row r="1992" spans="1:2" x14ac:dyDescent="0.2">
      <c r="A1992" s="21">
        <v>815935</v>
      </c>
      <c r="B1992" s="22">
        <v>630.65</v>
      </c>
    </row>
    <row r="1993" spans="1:2" x14ac:dyDescent="0.2">
      <c r="A1993" s="21">
        <v>815936</v>
      </c>
      <c r="B1993" s="22">
        <v>40</v>
      </c>
    </row>
    <row r="1994" spans="1:2" x14ac:dyDescent="0.2">
      <c r="A1994" s="21">
        <v>815938</v>
      </c>
      <c r="B1994" s="22">
        <v>808</v>
      </c>
    </row>
    <row r="1995" spans="1:2" x14ac:dyDescent="0.2">
      <c r="A1995" s="21">
        <v>815946</v>
      </c>
      <c r="B1995" s="22">
        <v>84</v>
      </c>
    </row>
    <row r="1996" spans="1:2" x14ac:dyDescent="0.2">
      <c r="A1996" s="21">
        <v>815947</v>
      </c>
      <c r="B1996" s="22">
        <v>46</v>
      </c>
    </row>
    <row r="1997" spans="1:2" x14ac:dyDescent="0.2">
      <c r="A1997" s="21">
        <v>815958</v>
      </c>
      <c r="B1997" s="22">
        <v>303</v>
      </c>
    </row>
    <row r="1998" spans="1:2" x14ac:dyDescent="0.2">
      <c r="A1998" s="21">
        <v>815959</v>
      </c>
      <c r="B1998" s="22">
        <v>10</v>
      </c>
    </row>
    <row r="1999" spans="1:2" x14ac:dyDescent="0.2">
      <c r="A1999" s="21">
        <v>815961</v>
      </c>
      <c r="B1999" s="22">
        <v>156</v>
      </c>
    </row>
    <row r="2000" spans="1:2" x14ac:dyDescent="0.2">
      <c r="A2000" s="21">
        <v>815962</v>
      </c>
      <c r="B2000" s="22">
        <v>29</v>
      </c>
    </row>
    <row r="2001" spans="1:2" x14ac:dyDescent="0.2">
      <c r="A2001" s="21">
        <v>815963</v>
      </c>
      <c r="B2001" s="22">
        <v>870.4</v>
      </c>
    </row>
    <row r="2002" spans="1:2" x14ac:dyDescent="0.2">
      <c r="A2002" s="21">
        <v>815982</v>
      </c>
      <c r="B2002" s="22">
        <v>137</v>
      </c>
    </row>
    <row r="2003" spans="1:2" x14ac:dyDescent="0.2">
      <c r="A2003" s="21">
        <v>815983</v>
      </c>
      <c r="B2003" s="22">
        <v>70</v>
      </c>
    </row>
    <row r="2004" spans="1:2" x14ac:dyDescent="0.2">
      <c r="A2004" s="21">
        <v>815984</v>
      </c>
      <c r="B2004" s="22">
        <v>157.5</v>
      </c>
    </row>
    <row r="2005" spans="1:2" x14ac:dyDescent="0.2">
      <c r="A2005" s="21">
        <v>815985</v>
      </c>
      <c r="B2005" s="22">
        <v>0</v>
      </c>
    </row>
    <row r="2006" spans="1:2" x14ac:dyDescent="0.2">
      <c r="A2006" s="21">
        <v>815986</v>
      </c>
      <c r="B2006" s="22">
        <v>184</v>
      </c>
    </row>
    <row r="2007" spans="1:2" x14ac:dyDescent="0.2">
      <c r="A2007" s="21">
        <v>815987</v>
      </c>
      <c r="B2007" s="22">
        <v>99</v>
      </c>
    </row>
    <row r="2008" spans="1:2" x14ac:dyDescent="0.2">
      <c r="A2008" s="21">
        <v>815988</v>
      </c>
      <c r="B2008" s="22">
        <v>5</v>
      </c>
    </row>
    <row r="2009" spans="1:2" x14ac:dyDescent="0.2">
      <c r="A2009" s="21">
        <v>815993</v>
      </c>
      <c r="B2009" s="22">
        <v>868.2</v>
      </c>
    </row>
    <row r="2010" spans="1:2" x14ac:dyDescent="0.2">
      <c r="A2010" s="21">
        <v>816013</v>
      </c>
      <c r="B2010" s="22">
        <v>10</v>
      </c>
    </row>
    <row r="2011" spans="1:2" x14ac:dyDescent="0.2">
      <c r="A2011" s="21">
        <v>816014</v>
      </c>
      <c r="B2011" s="22">
        <v>5</v>
      </c>
    </row>
    <row r="2012" spans="1:2" x14ac:dyDescent="0.2">
      <c r="A2012" s="21">
        <v>816015</v>
      </c>
      <c r="B2012" s="22">
        <v>275</v>
      </c>
    </row>
    <row r="2013" spans="1:2" x14ac:dyDescent="0.2">
      <c r="A2013" s="21">
        <v>816021</v>
      </c>
      <c r="B2013" s="22">
        <v>37.5</v>
      </c>
    </row>
    <row r="2014" spans="1:2" x14ac:dyDescent="0.2">
      <c r="A2014" s="21">
        <v>816022</v>
      </c>
      <c r="B2014" s="22">
        <v>0</v>
      </c>
    </row>
    <row r="2015" spans="1:2" x14ac:dyDescent="0.2">
      <c r="A2015" s="21">
        <v>816037</v>
      </c>
      <c r="B2015" s="22">
        <v>821.5</v>
      </c>
    </row>
    <row r="2016" spans="1:2" x14ac:dyDescent="0.2">
      <c r="A2016" s="21">
        <v>816038</v>
      </c>
      <c r="B2016" s="22">
        <v>127</v>
      </c>
    </row>
    <row r="2017" spans="1:2" x14ac:dyDescent="0.2">
      <c r="A2017" s="21">
        <v>816047</v>
      </c>
      <c r="B2017" s="22">
        <v>208</v>
      </c>
    </row>
    <row r="2018" spans="1:2" x14ac:dyDescent="0.2">
      <c r="A2018" s="21">
        <v>816055</v>
      </c>
      <c r="B2018" s="22">
        <v>292</v>
      </c>
    </row>
    <row r="2019" spans="1:2" x14ac:dyDescent="0.2">
      <c r="A2019" s="21">
        <v>816056</v>
      </c>
      <c r="B2019" s="22">
        <v>225</v>
      </c>
    </row>
    <row r="2020" spans="1:2" x14ac:dyDescent="0.2">
      <c r="A2020" s="21">
        <v>816088</v>
      </c>
      <c r="B2020" s="22">
        <v>0</v>
      </c>
    </row>
    <row r="2021" spans="1:2" x14ac:dyDescent="0.2">
      <c r="A2021" s="21">
        <v>816093</v>
      </c>
      <c r="B2021" s="22">
        <v>260</v>
      </c>
    </row>
    <row r="2022" spans="1:2" x14ac:dyDescent="0.2">
      <c r="A2022" s="21">
        <v>816094</v>
      </c>
      <c r="B2022" s="22">
        <v>0</v>
      </c>
    </row>
    <row r="2023" spans="1:2" x14ac:dyDescent="0.2">
      <c r="A2023" s="21">
        <v>816095</v>
      </c>
      <c r="B2023" s="22">
        <v>219</v>
      </c>
    </row>
    <row r="2024" spans="1:2" x14ac:dyDescent="0.2">
      <c r="A2024" s="21">
        <v>816096</v>
      </c>
      <c r="B2024" s="22">
        <v>0</v>
      </c>
    </row>
    <row r="2025" spans="1:2" x14ac:dyDescent="0.2">
      <c r="A2025" s="21">
        <v>816097</v>
      </c>
      <c r="B2025" s="22">
        <v>257.5</v>
      </c>
    </row>
    <row r="2026" spans="1:2" x14ac:dyDescent="0.2">
      <c r="A2026" s="21">
        <v>816098</v>
      </c>
      <c r="B2026" s="22">
        <v>0</v>
      </c>
    </row>
    <row r="2027" spans="1:2" x14ac:dyDescent="0.2">
      <c r="A2027" s="21">
        <v>816109</v>
      </c>
      <c r="B2027" s="22">
        <v>393.5</v>
      </c>
    </row>
    <row r="2028" spans="1:2" x14ac:dyDescent="0.2">
      <c r="A2028" s="21">
        <v>816111</v>
      </c>
      <c r="B2028" s="22">
        <v>6</v>
      </c>
    </row>
    <row r="2029" spans="1:2" x14ac:dyDescent="0.2">
      <c r="A2029" s="21">
        <v>816114</v>
      </c>
      <c r="B2029" s="22">
        <v>0</v>
      </c>
    </row>
    <row r="2030" spans="1:2" x14ac:dyDescent="0.2">
      <c r="A2030" s="21">
        <v>816116</v>
      </c>
      <c r="B2030" s="22">
        <v>60.5</v>
      </c>
    </row>
    <row r="2031" spans="1:2" x14ac:dyDescent="0.2">
      <c r="A2031" s="21">
        <v>816128</v>
      </c>
      <c r="B2031" s="22">
        <v>222.3</v>
      </c>
    </row>
    <row r="2032" spans="1:2" x14ac:dyDescent="0.2">
      <c r="A2032" s="21">
        <v>816129</v>
      </c>
      <c r="B2032" s="22">
        <v>278.5</v>
      </c>
    </row>
    <row r="2033" spans="1:2" x14ac:dyDescent="0.2">
      <c r="A2033" s="21">
        <v>816139</v>
      </c>
      <c r="B2033" s="22">
        <v>57.5</v>
      </c>
    </row>
    <row r="2034" spans="1:2" x14ac:dyDescent="0.2">
      <c r="A2034" s="21">
        <v>816140</v>
      </c>
      <c r="B2034" s="22">
        <v>758</v>
      </c>
    </row>
    <row r="2035" spans="1:2" x14ac:dyDescent="0.2">
      <c r="A2035" s="21">
        <v>816142</v>
      </c>
      <c r="B2035" s="22">
        <v>342</v>
      </c>
    </row>
    <row r="2036" spans="1:2" x14ac:dyDescent="0.2">
      <c r="A2036" s="21">
        <v>816144</v>
      </c>
      <c r="B2036" s="22">
        <v>348.5</v>
      </c>
    </row>
    <row r="2037" spans="1:2" x14ac:dyDescent="0.2">
      <c r="A2037" s="21">
        <v>816154</v>
      </c>
      <c r="B2037" s="22">
        <v>96.2</v>
      </c>
    </row>
    <row r="2038" spans="1:2" x14ac:dyDescent="0.2">
      <c r="A2038" s="21">
        <v>816156</v>
      </c>
      <c r="B2038" s="22">
        <v>5</v>
      </c>
    </row>
    <row r="2039" spans="1:2" x14ac:dyDescent="0.2">
      <c r="A2039" s="21">
        <v>816157</v>
      </c>
      <c r="B2039" s="22">
        <v>158</v>
      </c>
    </row>
    <row r="2040" spans="1:2" x14ac:dyDescent="0.2">
      <c r="A2040" s="21">
        <v>816167</v>
      </c>
      <c r="B2040" s="22">
        <v>88.5</v>
      </c>
    </row>
    <row r="2041" spans="1:2" x14ac:dyDescent="0.2">
      <c r="A2041" s="21">
        <v>816189</v>
      </c>
      <c r="B2041" s="22">
        <v>373</v>
      </c>
    </row>
    <row r="2042" spans="1:2" x14ac:dyDescent="0.2">
      <c r="A2042" s="21">
        <v>816210</v>
      </c>
      <c r="B2042" s="22">
        <v>61.5</v>
      </c>
    </row>
    <row r="2043" spans="1:2" x14ac:dyDescent="0.2">
      <c r="A2043" s="21">
        <v>816239</v>
      </c>
      <c r="B2043" s="22">
        <v>120</v>
      </c>
    </row>
    <row r="2044" spans="1:2" x14ac:dyDescent="0.2">
      <c r="A2044" s="21">
        <v>816240</v>
      </c>
      <c r="B2044" s="22">
        <v>602.5</v>
      </c>
    </row>
    <row r="2045" spans="1:2" x14ac:dyDescent="0.2">
      <c r="A2045" s="21">
        <v>816241</v>
      </c>
      <c r="B2045" s="22">
        <v>239.5</v>
      </c>
    </row>
    <row r="2046" spans="1:2" x14ac:dyDescent="0.2">
      <c r="A2046" s="21">
        <v>816247</v>
      </c>
      <c r="B2046" s="22">
        <v>61</v>
      </c>
    </row>
    <row r="2047" spans="1:2" x14ac:dyDescent="0.2">
      <c r="A2047" s="21">
        <v>816248</v>
      </c>
      <c r="B2047" s="22">
        <v>744.75</v>
      </c>
    </row>
    <row r="2048" spans="1:2" x14ac:dyDescent="0.2">
      <c r="A2048" s="21">
        <v>816249</v>
      </c>
      <c r="B2048" s="22">
        <v>392.35</v>
      </c>
    </row>
    <row r="2049" spans="1:2" x14ac:dyDescent="0.2">
      <c r="A2049" s="21">
        <v>816250</v>
      </c>
      <c r="B2049" s="22">
        <v>187.5</v>
      </c>
    </row>
    <row r="2050" spans="1:2" x14ac:dyDescent="0.2">
      <c r="A2050" s="21">
        <v>816251</v>
      </c>
      <c r="B2050" s="22">
        <v>147</v>
      </c>
    </row>
    <row r="2051" spans="1:2" x14ac:dyDescent="0.2">
      <c r="A2051" s="21">
        <v>816252</v>
      </c>
      <c r="B2051" s="22">
        <v>166.9</v>
      </c>
    </row>
    <row r="2052" spans="1:2" x14ac:dyDescent="0.2">
      <c r="A2052" s="21">
        <v>816253</v>
      </c>
      <c r="B2052" s="22">
        <v>37.5</v>
      </c>
    </row>
    <row r="2053" spans="1:2" x14ac:dyDescent="0.2">
      <c r="A2053" s="21">
        <v>816255</v>
      </c>
      <c r="B2053" s="22">
        <v>108</v>
      </c>
    </row>
    <row r="2054" spans="1:2" x14ac:dyDescent="0.2">
      <c r="A2054" s="21">
        <v>816256</v>
      </c>
      <c r="B2054" s="22">
        <v>89.5</v>
      </c>
    </row>
    <row r="2055" spans="1:2" x14ac:dyDescent="0.2">
      <c r="A2055" s="21">
        <v>816261</v>
      </c>
      <c r="B2055" s="22">
        <v>318.8</v>
      </c>
    </row>
    <row r="2056" spans="1:2" x14ac:dyDescent="0.2">
      <c r="A2056" s="21">
        <v>816262</v>
      </c>
      <c r="B2056" s="22">
        <v>146.5</v>
      </c>
    </row>
    <row r="2057" spans="1:2" x14ac:dyDescent="0.2">
      <c r="A2057" s="21">
        <v>816263</v>
      </c>
      <c r="B2057" s="22">
        <v>323.2</v>
      </c>
    </row>
    <row r="2058" spans="1:2" x14ac:dyDescent="0.2">
      <c r="A2058" s="21">
        <v>816270</v>
      </c>
      <c r="B2058" s="22">
        <v>275.5</v>
      </c>
    </row>
    <row r="2059" spans="1:2" x14ac:dyDescent="0.2">
      <c r="A2059" s="21">
        <v>816272</v>
      </c>
      <c r="B2059" s="22">
        <v>2.5</v>
      </c>
    </row>
    <row r="2060" spans="1:2" x14ac:dyDescent="0.2">
      <c r="A2060" s="21">
        <v>816275</v>
      </c>
      <c r="B2060" s="22">
        <v>264</v>
      </c>
    </row>
    <row r="2061" spans="1:2" x14ac:dyDescent="0.2">
      <c r="A2061" s="21">
        <v>816276</v>
      </c>
      <c r="B2061" s="22">
        <v>60</v>
      </c>
    </row>
    <row r="2062" spans="1:2" x14ac:dyDescent="0.2">
      <c r="A2062" s="21">
        <v>816289</v>
      </c>
      <c r="B2062" s="22">
        <v>286.95</v>
      </c>
    </row>
    <row r="2063" spans="1:2" x14ac:dyDescent="0.2">
      <c r="A2063" s="21">
        <v>816290</v>
      </c>
      <c r="B2063" s="22">
        <v>65.45</v>
      </c>
    </row>
    <row r="2064" spans="1:2" x14ac:dyDescent="0.2">
      <c r="A2064" s="21">
        <v>816298</v>
      </c>
      <c r="B2064" s="22">
        <v>217</v>
      </c>
    </row>
    <row r="2065" spans="1:2" x14ac:dyDescent="0.2">
      <c r="A2065" s="21">
        <v>816299</v>
      </c>
      <c r="B2065" s="22">
        <v>206.5</v>
      </c>
    </row>
    <row r="2066" spans="1:2" x14ac:dyDescent="0.2">
      <c r="A2066" s="21">
        <v>816301</v>
      </c>
      <c r="B2066" s="22">
        <v>53.5</v>
      </c>
    </row>
    <row r="2067" spans="1:2" x14ac:dyDescent="0.2">
      <c r="A2067" s="21">
        <v>816309</v>
      </c>
      <c r="B2067" s="22">
        <v>142.05000000000001</v>
      </c>
    </row>
    <row r="2068" spans="1:2" x14ac:dyDescent="0.2">
      <c r="A2068" s="21">
        <v>816314</v>
      </c>
      <c r="B2068" s="22">
        <v>9</v>
      </c>
    </row>
    <row r="2069" spans="1:2" x14ac:dyDescent="0.2">
      <c r="A2069" s="21">
        <v>816315</v>
      </c>
      <c r="B2069" s="22">
        <v>156.5</v>
      </c>
    </row>
    <row r="2070" spans="1:2" x14ac:dyDescent="0.2">
      <c r="A2070" s="21">
        <v>816324</v>
      </c>
      <c r="B2070" s="22">
        <v>32.5</v>
      </c>
    </row>
    <row r="2071" spans="1:2" x14ac:dyDescent="0.2">
      <c r="A2071" s="21">
        <v>816328</v>
      </c>
      <c r="B2071" s="22">
        <v>240</v>
      </c>
    </row>
    <row r="2072" spans="1:2" x14ac:dyDescent="0.2">
      <c r="A2072" s="21">
        <v>816329</v>
      </c>
      <c r="B2072" s="22">
        <v>523</v>
      </c>
    </row>
    <row r="2073" spans="1:2" x14ac:dyDescent="0.2">
      <c r="A2073" s="21">
        <v>816330</v>
      </c>
      <c r="B2073" s="22">
        <v>5</v>
      </c>
    </row>
    <row r="2074" spans="1:2" x14ac:dyDescent="0.2">
      <c r="A2074" s="21">
        <v>816348</v>
      </c>
      <c r="B2074" s="22">
        <v>328</v>
      </c>
    </row>
    <row r="2075" spans="1:2" x14ac:dyDescent="0.2">
      <c r="A2075" s="21">
        <v>816351</v>
      </c>
      <c r="B2075" s="22">
        <v>1116.9499999999998</v>
      </c>
    </row>
    <row r="2076" spans="1:2" x14ac:dyDescent="0.2">
      <c r="A2076" s="21">
        <v>816352</v>
      </c>
      <c r="B2076" s="22">
        <v>247.5</v>
      </c>
    </row>
    <row r="2077" spans="1:2" x14ac:dyDescent="0.2">
      <c r="A2077" s="21">
        <v>816353</v>
      </c>
      <c r="B2077" s="22">
        <v>1</v>
      </c>
    </row>
    <row r="2078" spans="1:2" x14ac:dyDescent="0.2">
      <c r="A2078" s="21">
        <v>816356</v>
      </c>
      <c r="B2078" s="22">
        <v>110</v>
      </c>
    </row>
    <row r="2079" spans="1:2" x14ac:dyDescent="0.2">
      <c r="A2079" s="21">
        <v>816363</v>
      </c>
      <c r="B2079" s="22">
        <v>240</v>
      </c>
    </row>
    <row r="2080" spans="1:2" x14ac:dyDescent="0.2">
      <c r="A2080" s="21">
        <v>816366</v>
      </c>
      <c r="B2080" s="22">
        <v>114.5</v>
      </c>
    </row>
    <row r="2081" spans="1:2" x14ac:dyDescent="0.2">
      <c r="A2081" s="21">
        <v>816367</v>
      </c>
      <c r="B2081" s="22">
        <v>12.5</v>
      </c>
    </row>
    <row r="2082" spans="1:2" x14ac:dyDescent="0.2">
      <c r="A2082" s="21">
        <v>816368</v>
      </c>
      <c r="B2082" s="22">
        <v>122.5</v>
      </c>
    </row>
    <row r="2083" spans="1:2" x14ac:dyDescent="0.2">
      <c r="A2083" s="21">
        <v>816388</v>
      </c>
      <c r="B2083" s="22">
        <v>249.5</v>
      </c>
    </row>
    <row r="2084" spans="1:2" x14ac:dyDescent="0.2">
      <c r="A2084" s="21">
        <v>816389</v>
      </c>
      <c r="B2084" s="22">
        <v>51</v>
      </c>
    </row>
    <row r="2085" spans="1:2" x14ac:dyDescent="0.2">
      <c r="A2085" s="21">
        <v>816390</v>
      </c>
      <c r="B2085" s="22">
        <v>55</v>
      </c>
    </row>
    <row r="2086" spans="1:2" x14ac:dyDescent="0.2">
      <c r="A2086" s="21">
        <v>816405</v>
      </c>
      <c r="B2086" s="22">
        <v>11.5</v>
      </c>
    </row>
    <row r="2087" spans="1:2" x14ac:dyDescent="0.2">
      <c r="A2087" s="21">
        <v>816407</v>
      </c>
      <c r="B2087" s="22">
        <v>17.5</v>
      </c>
    </row>
    <row r="2088" spans="1:2" x14ac:dyDescent="0.2">
      <c r="A2088" s="21">
        <v>816408</v>
      </c>
      <c r="B2088" s="22">
        <v>241</v>
      </c>
    </row>
    <row r="2089" spans="1:2" x14ac:dyDescent="0.2">
      <c r="A2089" s="21">
        <v>816409</v>
      </c>
      <c r="B2089" s="22">
        <v>10</v>
      </c>
    </row>
    <row r="2090" spans="1:2" x14ac:dyDescent="0.2">
      <c r="A2090" s="21">
        <v>816424</v>
      </c>
      <c r="B2090" s="22">
        <v>0</v>
      </c>
    </row>
    <row r="2091" spans="1:2" x14ac:dyDescent="0.2">
      <c r="A2091" s="21">
        <v>816425</v>
      </c>
      <c r="B2091" s="22">
        <v>416.85</v>
      </c>
    </row>
    <row r="2092" spans="1:2" x14ac:dyDescent="0.2">
      <c r="A2092" s="21">
        <v>816426</v>
      </c>
      <c r="B2092" s="22">
        <v>97</v>
      </c>
    </row>
    <row r="2093" spans="1:2" x14ac:dyDescent="0.2">
      <c r="A2093" s="21">
        <v>816427</v>
      </c>
      <c r="B2093" s="22">
        <v>256.25</v>
      </c>
    </row>
    <row r="2094" spans="1:2" x14ac:dyDescent="0.2">
      <c r="A2094" s="21">
        <v>816430</v>
      </c>
      <c r="B2094" s="22">
        <v>0</v>
      </c>
    </row>
    <row r="2095" spans="1:2" x14ac:dyDescent="0.2">
      <c r="A2095" s="21">
        <v>816435</v>
      </c>
      <c r="B2095" s="22">
        <v>10</v>
      </c>
    </row>
    <row r="2096" spans="1:2" x14ac:dyDescent="0.2">
      <c r="A2096" s="21">
        <v>816436</v>
      </c>
      <c r="B2096" s="22">
        <v>37.75</v>
      </c>
    </row>
    <row r="2097" spans="1:2" x14ac:dyDescent="0.2">
      <c r="A2097" s="21">
        <v>816437</v>
      </c>
      <c r="B2097" s="22">
        <v>0</v>
      </c>
    </row>
    <row r="2098" spans="1:2" x14ac:dyDescent="0.2">
      <c r="A2098" s="21">
        <v>816442</v>
      </c>
      <c r="B2098" s="22">
        <v>360</v>
      </c>
    </row>
    <row r="2099" spans="1:2" x14ac:dyDescent="0.2">
      <c r="A2099" s="21">
        <v>816469</v>
      </c>
      <c r="B2099" s="22">
        <v>150</v>
      </c>
    </row>
    <row r="2100" spans="1:2" x14ac:dyDescent="0.2">
      <c r="A2100" s="21">
        <v>816471</v>
      </c>
      <c r="B2100" s="22">
        <v>443.5</v>
      </c>
    </row>
    <row r="2101" spans="1:2" x14ac:dyDescent="0.2">
      <c r="A2101" s="21">
        <v>816477</v>
      </c>
      <c r="B2101" s="22">
        <v>811.5</v>
      </c>
    </row>
    <row r="2102" spans="1:2" x14ac:dyDescent="0.2">
      <c r="A2102" s="21">
        <v>816483</v>
      </c>
      <c r="B2102" s="22">
        <v>0</v>
      </c>
    </row>
    <row r="2103" spans="1:2" x14ac:dyDescent="0.2">
      <c r="A2103" s="21">
        <v>816494</v>
      </c>
      <c r="B2103" s="22">
        <v>17</v>
      </c>
    </row>
    <row r="2104" spans="1:2" x14ac:dyDescent="0.2">
      <c r="A2104" s="21">
        <v>816496</v>
      </c>
      <c r="B2104" s="22">
        <v>523</v>
      </c>
    </row>
    <row r="2105" spans="1:2" x14ac:dyDescent="0.2">
      <c r="A2105" s="21">
        <v>816497</v>
      </c>
      <c r="B2105" s="22">
        <v>195</v>
      </c>
    </row>
    <row r="2106" spans="1:2" x14ac:dyDescent="0.2">
      <c r="A2106" s="21">
        <v>816498</v>
      </c>
      <c r="B2106" s="22">
        <v>273.5</v>
      </c>
    </row>
    <row r="2107" spans="1:2" x14ac:dyDescent="0.2">
      <c r="A2107" s="21">
        <v>816499</v>
      </c>
      <c r="B2107" s="22">
        <v>62.5</v>
      </c>
    </row>
    <row r="2108" spans="1:2" x14ac:dyDescent="0.2">
      <c r="A2108" s="21">
        <v>816500</v>
      </c>
      <c r="B2108" s="22">
        <v>452</v>
      </c>
    </row>
    <row r="2109" spans="1:2" x14ac:dyDescent="0.2">
      <c r="A2109" s="21">
        <v>816501</v>
      </c>
      <c r="B2109" s="22">
        <v>0</v>
      </c>
    </row>
    <row r="2110" spans="1:2" x14ac:dyDescent="0.2">
      <c r="A2110" s="21">
        <v>816522</v>
      </c>
      <c r="B2110" s="22">
        <v>125</v>
      </c>
    </row>
    <row r="2111" spans="1:2" x14ac:dyDescent="0.2">
      <c r="A2111" s="21">
        <v>816525</v>
      </c>
      <c r="B2111" s="22">
        <v>38.5</v>
      </c>
    </row>
    <row r="2112" spans="1:2" x14ac:dyDescent="0.2">
      <c r="A2112" s="21">
        <v>816529</v>
      </c>
      <c r="B2112" s="22">
        <v>59.5</v>
      </c>
    </row>
    <row r="2113" spans="1:2" x14ac:dyDescent="0.2">
      <c r="A2113" s="21">
        <v>816534</v>
      </c>
      <c r="B2113" s="22">
        <v>729.5</v>
      </c>
    </row>
    <row r="2114" spans="1:2" x14ac:dyDescent="0.2">
      <c r="A2114" s="21">
        <v>816536</v>
      </c>
      <c r="B2114" s="22">
        <v>468.55</v>
      </c>
    </row>
    <row r="2115" spans="1:2" x14ac:dyDescent="0.2">
      <c r="A2115" s="21">
        <v>816546</v>
      </c>
      <c r="B2115" s="22">
        <v>180</v>
      </c>
    </row>
    <row r="2116" spans="1:2" x14ac:dyDescent="0.2">
      <c r="A2116" s="21">
        <v>816547</v>
      </c>
      <c r="B2116" s="22">
        <v>301</v>
      </c>
    </row>
    <row r="2117" spans="1:2" x14ac:dyDescent="0.2">
      <c r="A2117" s="21">
        <v>816551</v>
      </c>
      <c r="B2117" s="22">
        <v>0</v>
      </c>
    </row>
    <row r="2118" spans="1:2" x14ac:dyDescent="0.2">
      <c r="A2118" s="21">
        <v>816554</v>
      </c>
      <c r="B2118" s="22">
        <v>0</v>
      </c>
    </row>
    <row r="2119" spans="1:2" x14ac:dyDescent="0.2">
      <c r="A2119" s="21">
        <v>816555</v>
      </c>
      <c r="B2119" s="22">
        <v>236.5</v>
      </c>
    </row>
    <row r="2120" spans="1:2" x14ac:dyDescent="0.2">
      <c r="A2120" s="21">
        <v>816561</v>
      </c>
      <c r="B2120" s="22">
        <v>402.5</v>
      </c>
    </row>
    <row r="2121" spans="1:2" x14ac:dyDescent="0.2">
      <c r="A2121" s="21">
        <v>816566</v>
      </c>
      <c r="B2121" s="22">
        <v>172.5</v>
      </c>
    </row>
    <row r="2122" spans="1:2" x14ac:dyDescent="0.2">
      <c r="A2122" s="21">
        <v>816570</v>
      </c>
      <c r="B2122" s="22">
        <v>15</v>
      </c>
    </row>
    <row r="2123" spans="1:2" x14ac:dyDescent="0.2">
      <c r="A2123" s="21">
        <v>816574</v>
      </c>
      <c r="B2123" s="22">
        <v>114.5</v>
      </c>
    </row>
    <row r="2124" spans="1:2" x14ac:dyDescent="0.2">
      <c r="A2124" s="21">
        <v>816575</v>
      </c>
      <c r="B2124" s="22">
        <v>1004.5</v>
      </c>
    </row>
    <row r="2125" spans="1:2" x14ac:dyDescent="0.2">
      <c r="A2125" s="21">
        <v>816576</v>
      </c>
      <c r="B2125" s="22">
        <v>11.05</v>
      </c>
    </row>
    <row r="2126" spans="1:2" x14ac:dyDescent="0.2">
      <c r="A2126" s="21">
        <v>816580</v>
      </c>
      <c r="B2126" s="22">
        <v>271</v>
      </c>
    </row>
    <row r="2127" spans="1:2" x14ac:dyDescent="0.2">
      <c r="A2127" s="21">
        <v>816592</v>
      </c>
      <c r="B2127" s="22">
        <v>109</v>
      </c>
    </row>
    <row r="2128" spans="1:2" x14ac:dyDescent="0.2">
      <c r="A2128" s="21">
        <v>816594</v>
      </c>
      <c r="B2128" s="22">
        <v>15</v>
      </c>
    </row>
    <row r="2129" spans="1:2" x14ac:dyDescent="0.2">
      <c r="A2129" s="21">
        <v>816595</v>
      </c>
      <c r="B2129" s="22">
        <v>21</v>
      </c>
    </row>
    <row r="2130" spans="1:2" x14ac:dyDescent="0.2">
      <c r="A2130" s="21">
        <v>816601</v>
      </c>
      <c r="B2130" s="22">
        <v>13</v>
      </c>
    </row>
    <row r="2131" spans="1:2" x14ac:dyDescent="0.2">
      <c r="A2131" s="21">
        <v>816606</v>
      </c>
      <c r="B2131" s="22">
        <v>30</v>
      </c>
    </row>
    <row r="2132" spans="1:2" x14ac:dyDescent="0.2">
      <c r="A2132" s="21">
        <v>816625</v>
      </c>
      <c r="B2132" s="22">
        <v>80</v>
      </c>
    </row>
    <row r="2133" spans="1:2" x14ac:dyDescent="0.2">
      <c r="A2133" s="21">
        <v>816626</v>
      </c>
      <c r="B2133" s="22">
        <v>0</v>
      </c>
    </row>
    <row r="2134" spans="1:2" x14ac:dyDescent="0.2">
      <c r="A2134" s="21">
        <v>816627</v>
      </c>
      <c r="B2134" s="22">
        <v>417</v>
      </c>
    </row>
    <row r="2135" spans="1:2" x14ac:dyDescent="0.2">
      <c r="A2135" s="21">
        <v>816631</v>
      </c>
      <c r="B2135" s="22">
        <v>132.5</v>
      </c>
    </row>
    <row r="2136" spans="1:2" x14ac:dyDescent="0.2">
      <c r="A2136" s="21">
        <v>816634</v>
      </c>
      <c r="B2136" s="22">
        <v>0</v>
      </c>
    </row>
    <row r="2137" spans="1:2" x14ac:dyDescent="0.2">
      <c r="A2137" s="21">
        <v>816639</v>
      </c>
      <c r="B2137" s="22">
        <v>45</v>
      </c>
    </row>
    <row r="2138" spans="1:2" x14ac:dyDescent="0.2">
      <c r="A2138" s="21">
        <v>816642</v>
      </c>
      <c r="B2138" s="22">
        <v>81</v>
      </c>
    </row>
    <row r="2139" spans="1:2" x14ac:dyDescent="0.2">
      <c r="A2139" s="21">
        <v>816651</v>
      </c>
      <c r="B2139" s="22">
        <v>85</v>
      </c>
    </row>
    <row r="2140" spans="1:2" x14ac:dyDescent="0.2">
      <c r="A2140" s="21">
        <v>816652</v>
      </c>
      <c r="B2140" s="22">
        <v>91</v>
      </c>
    </row>
    <row r="2141" spans="1:2" x14ac:dyDescent="0.2">
      <c r="A2141" s="21">
        <v>816685</v>
      </c>
      <c r="B2141" s="22">
        <v>1205.1500000000001</v>
      </c>
    </row>
    <row r="2142" spans="1:2" x14ac:dyDescent="0.2">
      <c r="A2142" s="21">
        <v>816687</v>
      </c>
      <c r="B2142" s="22">
        <v>60</v>
      </c>
    </row>
    <row r="2143" spans="1:2" x14ac:dyDescent="0.2">
      <c r="A2143" s="21">
        <v>816689</v>
      </c>
      <c r="B2143" s="22">
        <v>149</v>
      </c>
    </row>
    <row r="2144" spans="1:2" x14ac:dyDescent="0.2">
      <c r="A2144" s="21">
        <v>816690</v>
      </c>
      <c r="B2144" s="22">
        <v>320</v>
      </c>
    </row>
    <row r="2145" spans="1:2" x14ac:dyDescent="0.2">
      <c r="A2145" s="21">
        <v>816691</v>
      </c>
      <c r="B2145" s="22">
        <v>271.5</v>
      </c>
    </row>
    <row r="2146" spans="1:2" x14ac:dyDescent="0.2">
      <c r="A2146" s="21">
        <v>816694</v>
      </c>
      <c r="B2146" s="22">
        <v>107.5</v>
      </c>
    </row>
    <row r="2147" spans="1:2" x14ac:dyDescent="0.2">
      <c r="A2147" s="21">
        <v>816705</v>
      </c>
      <c r="B2147" s="22">
        <v>312</v>
      </c>
    </row>
    <row r="2148" spans="1:2" x14ac:dyDescent="0.2">
      <c r="A2148" s="21">
        <v>816716</v>
      </c>
      <c r="B2148" s="22">
        <v>219</v>
      </c>
    </row>
    <row r="2149" spans="1:2" x14ac:dyDescent="0.2">
      <c r="A2149" s="21">
        <v>816718</v>
      </c>
      <c r="B2149" s="22">
        <v>229.5</v>
      </c>
    </row>
    <row r="2150" spans="1:2" x14ac:dyDescent="0.2">
      <c r="A2150" s="21">
        <v>816719</v>
      </c>
      <c r="B2150" s="22">
        <v>432</v>
      </c>
    </row>
    <row r="2151" spans="1:2" x14ac:dyDescent="0.2">
      <c r="A2151" s="21">
        <v>816733</v>
      </c>
      <c r="B2151" s="22">
        <v>30</v>
      </c>
    </row>
    <row r="2152" spans="1:2" x14ac:dyDescent="0.2">
      <c r="A2152" s="21">
        <v>816735</v>
      </c>
      <c r="B2152" s="22">
        <v>115</v>
      </c>
    </row>
    <row r="2153" spans="1:2" x14ac:dyDescent="0.2">
      <c r="A2153" s="21">
        <v>816736</v>
      </c>
      <c r="B2153" s="22">
        <v>397</v>
      </c>
    </row>
    <row r="2154" spans="1:2" x14ac:dyDescent="0.2">
      <c r="A2154" s="21">
        <v>816738</v>
      </c>
      <c r="B2154" s="22">
        <v>150</v>
      </c>
    </row>
    <row r="2155" spans="1:2" x14ac:dyDescent="0.2">
      <c r="A2155" s="21">
        <v>816739</v>
      </c>
      <c r="B2155" s="22">
        <v>70</v>
      </c>
    </row>
    <row r="2156" spans="1:2" x14ac:dyDescent="0.2">
      <c r="A2156" s="21">
        <v>816740</v>
      </c>
      <c r="B2156" s="22">
        <v>359</v>
      </c>
    </row>
    <row r="2157" spans="1:2" x14ac:dyDescent="0.2">
      <c r="A2157" s="21">
        <v>816742</v>
      </c>
      <c r="B2157" s="22">
        <v>54</v>
      </c>
    </row>
    <row r="2158" spans="1:2" x14ac:dyDescent="0.2">
      <c r="A2158" s="21">
        <v>816760</v>
      </c>
      <c r="B2158" s="22">
        <v>22.5</v>
      </c>
    </row>
    <row r="2159" spans="1:2" x14ac:dyDescent="0.2">
      <c r="A2159" s="21">
        <v>816764</v>
      </c>
      <c r="B2159" s="22">
        <v>608.5</v>
      </c>
    </row>
    <row r="2160" spans="1:2" x14ac:dyDescent="0.2">
      <c r="A2160" s="21">
        <v>816765</v>
      </c>
      <c r="B2160" s="22">
        <v>336.5</v>
      </c>
    </row>
    <row r="2161" spans="1:2" x14ac:dyDescent="0.2">
      <c r="A2161" s="21">
        <v>816767</v>
      </c>
      <c r="B2161" s="22">
        <v>10</v>
      </c>
    </row>
    <row r="2162" spans="1:2" x14ac:dyDescent="0.2">
      <c r="A2162" s="21">
        <v>816781</v>
      </c>
      <c r="B2162" s="22">
        <v>107.5</v>
      </c>
    </row>
    <row r="2163" spans="1:2" x14ac:dyDescent="0.2">
      <c r="A2163" s="21">
        <v>816785</v>
      </c>
      <c r="B2163" s="22">
        <v>70</v>
      </c>
    </row>
    <row r="2164" spans="1:2" x14ac:dyDescent="0.2">
      <c r="A2164" s="21">
        <v>816786</v>
      </c>
      <c r="B2164" s="22">
        <v>130</v>
      </c>
    </row>
    <row r="2165" spans="1:2" x14ac:dyDescent="0.2">
      <c r="A2165" s="21">
        <v>816787</v>
      </c>
      <c r="B2165" s="22">
        <v>0</v>
      </c>
    </row>
    <row r="2166" spans="1:2" x14ac:dyDescent="0.2">
      <c r="A2166" s="21">
        <v>816796</v>
      </c>
      <c r="B2166" s="22">
        <v>447.75</v>
      </c>
    </row>
    <row r="2167" spans="1:2" x14ac:dyDescent="0.2">
      <c r="A2167" s="21">
        <v>816829</v>
      </c>
      <c r="B2167" s="22">
        <v>192.5</v>
      </c>
    </row>
    <row r="2168" spans="1:2" x14ac:dyDescent="0.2">
      <c r="A2168" s="21">
        <v>816836</v>
      </c>
      <c r="B2168" s="22">
        <v>204.15</v>
      </c>
    </row>
    <row r="2169" spans="1:2" x14ac:dyDescent="0.2">
      <c r="A2169" s="21">
        <v>816859</v>
      </c>
      <c r="B2169" s="22">
        <v>337.5</v>
      </c>
    </row>
    <row r="2170" spans="1:2" x14ac:dyDescent="0.2">
      <c r="A2170" s="21">
        <v>816882</v>
      </c>
      <c r="B2170" s="22">
        <v>647.25</v>
      </c>
    </row>
    <row r="2171" spans="1:2" x14ac:dyDescent="0.2">
      <c r="A2171" s="21">
        <v>816895</v>
      </c>
      <c r="B2171" s="22">
        <v>255.5</v>
      </c>
    </row>
    <row r="2172" spans="1:2" x14ac:dyDescent="0.2">
      <c r="A2172" s="21">
        <v>816896</v>
      </c>
      <c r="B2172" s="22">
        <v>320</v>
      </c>
    </row>
    <row r="2173" spans="1:2" x14ac:dyDescent="0.2">
      <c r="A2173" s="21">
        <v>816897</v>
      </c>
      <c r="B2173" s="22">
        <v>577.65</v>
      </c>
    </row>
    <row r="2174" spans="1:2" x14ac:dyDescent="0.2">
      <c r="A2174" s="21">
        <v>816898</v>
      </c>
      <c r="B2174" s="22">
        <v>43.5</v>
      </c>
    </row>
    <row r="2175" spans="1:2" x14ac:dyDescent="0.2">
      <c r="A2175" s="21">
        <v>816905</v>
      </c>
      <c r="B2175" s="22">
        <v>55.5</v>
      </c>
    </row>
    <row r="2176" spans="1:2" x14ac:dyDescent="0.2">
      <c r="A2176" s="21">
        <v>816906</v>
      </c>
      <c r="B2176" s="22">
        <v>77.5</v>
      </c>
    </row>
    <row r="2177" spans="1:2" x14ac:dyDescent="0.2">
      <c r="A2177" s="21">
        <v>816917</v>
      </c>
      <c r="B2177" s="22">
        <v>0</v>
      </c>
    </row>
    <row r="2178" spans="1:2" x14ac:dyDescent="0.2">
      <c r="A2178" s="21">
        <v>816918</v>
      </c>
      <c r="B2178" s="22">
        <v>31</v>
      </c>
    </row>
    <row r="2179" spans="1:2" x14ac:dyDescent="0.2">
      <c r="A2179" s="21">
        <v>816920</v>
      </c>
      <c r="B2179" s="22">
        <v>41</v>
      </c>
    </row>
    <row r="2180" spans="1:2" x14ac:dyDescent="0.2">
      <c r="A2180" s="21">
        <v>816921</v>
      </c>
      <c r="B2180" s="22">
        <v>132.75</v>
      </c>
    </row>
    <row r="2181" spans="1:2" x14ac:dyDescent="0.2">
      <c r="A2181" s="21">
        <v>816922</v>
      </c>
      <c r="B2181" s="22">
        <v>386</v>
      </c>
    </row>
    <row r="2182" spans="1:2" x14ac:dyDescent="0.2">
      <c r="A2182" s="21">
        <v>816923</v>
      </c>
      <c r="B2182" s="22">
        <v>597.25</v>
      </c>
    </row>
    <row r="2183" spans="1:2" x14ac:dyDescent="0.2">
      <c r="A2183" s="21">
        <v>816931</v>
      </c>
      <c r="B2183" s="22">
        <v>81.599999999999994</v>
      </c>
    </row>
    <row r="2184" spans="1:2" x14ac:dyDescent="0.2">
      <c r="A2184" s="21">
        <v>816932</v>
      </c>
      <c r="B2184" s="22">
        <v>157</v>
      </c>
    </row>
    <row r="2185" spans="1:2" x14ac:dyDescent="0.2">
      <c r="A2185" s="21">
        <v>816933</v>
      </c>
      <c r="B2185" s="22">
        <v>0</v>
      </c>
    </row>
    <row r="2186" spans="1:2" x14ac:dyDescent="0.2">
      <c r="A2186" s="21">
        <v>816940</v>
      </c>
      <c r="B2186" s="22">
        <v>177.5</v>
      </c>
    </row>
    <row r="2187" spans="1:2" x14ac:dyDescent="0.2">
      <c r="A2187" s="21">
        <v>816941</v>
      </c>
      <c r="B2187" s="22">
        <v>64.5</v>
      </c>
    </row>
    <row r="2188" spans="1:2" x14ac:dyDescent="0.2">
      <c r="A2188" s="21">
        <v>816946</v>
      </c>
      <c r="B2188" s="22">
        <v>189.5</v>
      </c>
    </row>
    <row r="2189" spans="1:2" x14ac:dyDescent="0.2">
      <c r="A2189" s="21">
        <v>816947</v>
      </c>
      <c r="B2189" s="22">
        <v>75</v>
      </c>
    </row>
    <row r="2190" spans="1:2" x14ac:dyDescent="0.2">
      <c r="A2190" s="21">
        <v>816948</v>
      </c>
      <c r="B2190" s="22">
        <v>124</v>
      </c>
    </row>
    <row r="2191" spans="1:2" x14ac:dyDescent="0.2">
      <c r="A2191" s="21">
        <v>816949</v>
      </c>
      <c r="B2191" s="22">
        <v>120</v>
      </c>
    </row>
    <row r="2192" spans="1:2" x14ac:dyDescent="0.2">
      <c r="A2192" s="21">
        <v>816950</v>
      </c>
      <c r="B2192" s="22">
        <v>346</v>
      </c>
    </row>
    <row r="2193" spans="1:2" x14ac:dyDescent="0.2">
      <c r="A2193" s="21">
        <v>816970</v>
      </c>
      <c r="B2193" s="22">
        <v>259</v>
      </c>
    </row>
    <row r="2194" spans="1:2" x14ac:dyDescent="0.2">
      <c r="A2194" s="21">
        <v>816975</v>
      </c>
      <c r="B2194" s="22">
        <v>89</v>
      </c>
    </row>
    <row r="2195" spans="1:2" x14ac:dyDescent="0.2">
      <c r="A2195" s="21">
        <v>816984</v>
      </c>
      <c r="B2195" s="22">
        <v>188.9</v>
      </c>
    </row>
    <row r="2196" spans="1:2" x14ac:dyDescent="0.2">
      <c r="A2196" s="21">
        <v>816986</v>
      </c>
      <c r="B2196" s="22">
        <v>473</v>
      </c>
    </row>
    <row r="2197" spans="1:2" x14ac:dyDescent="0.2">
      <c r="A2197" s="21">
        <v>816987</v>
      </c>
      <c r="B2197" s="22">
        <v>748</v>
      </c>
    </row>
    <row r="2198" spans="1:2" x14ac:dyDescent="0.2">
      <c r="A2198" s="21">
        <v>816989</v>
      </c>
      <c r="B2198" s="22">
        <v>70</v>
      </c>
    </row>
    <row r="2199" spans="1:2" x14ac:dyDescent="0.2">
      <c r="A2199" s="21">
        <v>816991</v>
      </c>
      <c r="B2199" s="22">
        <v>58</v>
      </c>
    </row>
    <row r="2200" spans="1:2" x14ac:dyDescent="0.2">
      <c r="A2200" s="21">
        <v>816996</v>
      </c>
      <c r="B2200" s="22">
        <v>0</v>
      </c>
    </row>
    <row r="2201" spans="1:2" x14ac:dyDescent="0.2">
      <c r="A2201" s="21">
        <v>817005</v>
      </c>
      <c r="B2201" s="22">
        <v>149</v>
      </c>
    </row>
    <row r="2202" spans="1:2" x14ac:dyDescent="0.2">
      <c r="A2202" s="21">
        <v>817014</v>
      </c>
      <c r="B2202" s="22">
        <v>361</v>
      </c>
    </row>
    <row r="2203" spans="1:2" x14ac:dyDescent="0.2">
      <c r="A2203" s="21">
        <v>817029</v>
      </c>
      <c r="B2203" s="22">
        <v>10</v>
      </c>
    </row>
    <row r="2204" spans="1:2" x14ac:dyDescent="0.2">
      <c r="A2204" s="21">
        <v>817030</v>
      </c>
      <c r="B2204" s="22">
        <v>161.4</v>
      </c>
    </row>
    <row r="2205" spans="1:2" x14ac:dyDescent="0.2">
      <c r="A2205" s="21">
        <v>817031</v>
      </c>
      <c r="B2205" s="22">
        <v>241.25</v>
      </c>
    </row>
    <row r="2206" spans="1:2" x14ac:dyDescent="0.2">
      <c r="A2206" s="21">
        <v>817032</v>
      </c>
      <c r="B2206" s="22">
        <v>58</v>
      </c>
    </row>
    <row r="2207" spans="1:2" x14ac:dyDescent="0.2">
      <c r="A2207" s="21">
        <v>817038</v>
      </c>
      <c r="B2207" s="22">
        <v>693.5</v>
      </c>
    </row>
    <row r="2208" spans="1:2" x14ac:dyDescent="0.2">
      <c r="A2208" s="21">
        <v>817039</v>
      </c>
      <c r="B2208" s="22">
        <v>127.5</v>
      </c>
    </row>
    <row r="2209" spans="1:2" x14ac:dyDescent="0.2">
      <c r="A2209" s="21">
        <v>817041</v>
      </c>
      <c r="B2209" s="22">
        <v>147.5</v>
      </c>
    </row>
    <row r="2210" spans="1:2" x14ac:dyDescent="0.2">
      <c r="A2210" s="21">
        <v>817045</v>
      </c>
      <c r="B2210" s="22">
        <v>220.70000000000002</v>
      </c>
    </row>
    <row r="2211" spans="1:2" x14ac:dyDescent="0.2">
      <c r="A2211" s="21">
        <v>817046</v>
      </c>
      <c r="B2211" s="22">
        <v>174.5</v>
      </c>
    </row>
    <row r="2212" spans="1:2" x14ac:dyDescent="0.2">
      <c r="A2212" s="21">
        <v>817052</v>
      </c>
      <c r="B2212" s="22">
        <v>811.1</v>
      </c>
    </row>
    <row r="2213" spans="1:2" x14ac:dyDescent="0.2">
      <c r="A2213" s="21">
        <v>817053</v>
      </c>
      <c r="B2213" s="22">
        <v>57.5</v>
      </c>
    </row>
    <row r="2214" spans="1:2" x14ac:dyDescent="0.2">
      <c r="A2214" s="21">
        <v>817054</v>
      </c>
      <c r="B2214" s="22">
        <v>0</v>
      </c>
    </row>
    <row r="2215" spans="1:2" x14ac:dyDescent="0.2">
      <c r="A2215" s="21">
        <v>817055</v>
      </c>
      <c r="B2215" s="22">
        <v>447.5</v>
      </c>
    </row>
    <row r="2216" spans="1:2" x14ac:dyDescent="0.2">
      <c r="A2216" s="21">
        <v>817056</v>
      </c>
      <c r="B2216" s="22">
        <v>10</v>
      </c>
    </row>
    <row r="2217" spans="1:2" x14ac:dyDescent="0.2">
      <c r="A2217" s="21">
        <v>817057</v>
      </c>
      <c r="B2217" s="22">
        <v>463</v>
      </c>
    </row>
    <row r="2218" spans="1:2" x14ac:dyDescent="0.2">
      <c r="A2218" s="21">
        <v>817060</v>
      </c>
      <c r="B2218" s="22">
        <v>128.75</v>
      </c>
    </row>
    <row r="2219" spans="1:2" x14ac:dyDescent="0.2">
      <c r="A2219" s="21">
        <v>817063</v>
      </c>
      <c r="B2219" s="22">
        <v>306</v>
      </c>
    </row>
    <row r="2220" spans="1:2" x14ac:dyDescent="0.2">
      <c r="A2220" s="21">
        <v>817064</v>
      </c>
      <c r="B2220" s="22">
        <v>123.25</v>
      </c>
    </row>
    <row r="2221" spans="1:2" x14ac:dyDescent="0.2">
      <c r="A2221" s="21">
        <v>817065</v>
      </c>
      <c r="B2221" s="22">
        <v>10</v>
      </c>
    </row>
    <row r="2222" spans="1:2" x14ac:dyDescent="0.2">
      <c r="A2222" s="21">
        <v>817073</v>
      </c>
      <c r="B2222" s="22">
        <v>427</v>
      </c>
    </row>
    <row r="2223" spans="1:2" x14ac:dyDescent="0.2">
      <c r="A2223" s="21">
        <v>817074</v>
      </c>
      <c r="B2223" s="22">
        <v>20</v>
      </c>
    </row>
    <row r="2224" spans="1:2" x14ac:dyDescent="0.2">
      <c r="A2224" s="21">
        <v>817078</v>
      </c>
      <c r="B2224" s="22">
        <v>129.5</v>
      </c>
    </row>
    <row r="2225" spans="1:2" x14ac:dyDescent="0.2">
      <c r="A2225" s="21">
        <v>817081</v>
      </c>
      <c r="B2225" s="22">
        <v>114.3</v>
      </c>
    </row>
    <row r="2226" spans="1:2" x14ac:dyDescent="0.2">
      <c r="A2226" s="21">
        <v>817087</v>
      </c>
      <c r="B2226" s="22">
        <v>100</v>
      </c>
    </row>
    <row r="2227" spans="1:2" x14ac:dyDescent="0.2">
      <c r="A2227" s="21">
        <v>817093</v>
      </c>
      <c r="B2227" s="22">
        <v>647.29999999999995</v>
      </c>
    </row>
    <row r="2228" spans="1:2" x14ac:dyDescent="0.2">
      <c r="A2228" s="21">
        <v>817094</v>
      </c>
      <c r="B2228" s="22">
        <v>71.150000000000006</v>
      </c>
    </row>
    <row r="2229" spans="1:2" x14ac:dyDescent="0.2">
      <c r="A2229" s="21">
        <v>817095</v>
      </c>
      <c r="B2229" s="22">
        <v>53.5</v>
      </c>
    </row>
    <row r="2230" spans="1:2" x14ac:dyDescent="0.2">
      <c r="A2230" s="21">
        <v>817102</v>
      </c>
      <c r="B2230" s="22">
        <v>110.5</v>
      </c>
    </row>
    <row r="2231" spans="1:2" x14ac:dyDescent="0.2">
      <c r="A2231" s="21">
        <v>817103</v>
      </c>
      <c r="B2231" s="22">
        <v>202.75</v>
      </c>
    </row>
    <row r="2232" spans="1:2" x14ac:dyDescent="0.2">
      <c r="A2232" s="21">
        <v>817106</v>
      </c>
      <c r="B2232" s="22">
        <v>222</v>
      </c>
    </row>
    <row r="2233" spans="1:2" x14ac:dyDescent="0.2">
      <c r="A2233" s="21">
        <v>817108</v>
      </c>
      <c r="B2233" s="22">
        <v>531</v>
      </c>
    </row>
    <row r="2234" spans="1:2" x14ac:dyDescent="0.2">
      <c r="A2234" s="21">
        <v>817121</v>
      </c>
      <c r="B2234" s="22">
        <v>162</v>
      </c>
    </row>
    <row r="2235" spans="1:2" x14ac:dyDescent="0.2">
      <c r="A2235" s="21">
        <v>817122</v>
      </c>
      <c r="B2235" s="22">
        <v>392</v>
      </c>
    </row>
    <row r="2236" spans="1:2" x14ac:dyDescent="0.2">
      <c r="A2236" s="21">
        <v>817123</v>
      </c>
      <c r="B2236" s="22">
        <v>85</v>
      </c>
    </row>
    <row r="2237" spans="1:2" x14ac:dyDescent="0.2">
      <c r="A2237" s="21">
        <v>817124</v>
      </c>
      <c r="B2237" s="22">
        <v>7.5</v>
      </c>
    </row>
    <row r="2238" spans="1:2" x14ac:dyDescent="0.2">
      <c r="A2238" s="21">
        <v>817127</v>
      </c>
      <c r="B2238" s="22">
        <v>55</v>
      </c>
    </row>
    <row r="2239" spans="1:2" x14ac:dyDescent="0.2">
      <c r="A2239" s="21">
        <v>817136</v>
      </c>
      <c r="B2239" s="22">
        <v>1359.4</v>
      </c>
    </row>
    <row r="2240" spans="1:2" x14ac:dyDescent="0.2">
      <c r="A2240" s="21">
        <v>817143</v>
      </c>
      <c r="B2240" s="22">
        <v>15</v>
      </c>
    </row>
    <row r="2241" spans="1:2" x14ac:dyDescent="0.2">
      <c r="A2241" s="21">
        <v>817144</v>
      </c>
      <c r="B2241" s="22">
        <v>358.5</v>
      </c>
    </row>
    <row r="2242" spans="1:2" x14ac:dyDescent="0.2">
      <c r="A2242" s="21">
        <v>817146</v>
      </c>
      <c r="B2242" s="22">
        <v>243.5</v>
      </c>
    </row>
    <row r="2243" spans="1:2" x14ac:dyDescent="0.2">
      <c r="A2243" s="21">
        <v>817152</v>
      </c>
      <c r="B2243" s="22">
        <v>85.5</v>
      </c>
    </row>
    <row r="2244" spans="1:2" x14ac:dyDescent="0.2">
      <c r="A2244" s="21">
        <v>817153</v>
      </c>
      <c r="B2244" s="22">
        <v>10</v>
      </c>
    </row>
    <row r="2245" spans="1:2" x14ac:dyDescent="0.2">
      <c r="A2245" s="21">
        <v>817159</v>
      </c>
      <c r="B2245" s="22">
        <v>0</v>
      </c>
    </row>
    <row r="2246" spans="1:2" x14ac:dyDescent="0.2">
      <c r="A2246" s="21">
        <v>817163</v>
      </c>
      <c r="B2246" s="22">
        <v>384.4</v>
      </c>
    </row>
    <row r="2247" spans="1:2" x14ac:dyDescent="0.2">
      <c r="A2247" s="21">
        <v>817164</v>
      </c>
      <c r="B2247" s="22">
        <v>0</v>
      </c>
    </row>
    <row r="2248" spans="1:2" x14ac:dyDescent="0.2">
      <c r="A2248" s="21">
        <v>817165</v>
      </c>
      <c r="B2248" s="22">
        <v>47</v>
      </c>
    </row>
    <row r="2249" spans="1:2" x14ac:dyDescent="0.2">
      <c r="A2249" s="21">
        <v>817167</v>
      </c>
      <c r="B2249" s="22">
        <v>0</v>
      </c>
    </row>
    <row r="2250" spans="1:2" x14ac:dyDescent="0.2">
      <c r="A2250" s="21">
        <v>817168</v>
      </c>
      <c r="B2250" s="22">
        <v>312.5</v>
      </c>
    </row>
    <row r="2251" spans="1:2" x14ac:dyDescent="0.2">
      <c r="A2251" s="21">
        <v>817172</v>
      </c>
      <c r="B2251" s="22">
        <v>557.5</v>
      </c>
    </row>
    <row r="2252" spans="1:2" x14ac:dyDescent="0.2">
      <c r="A2252" s="21">
        <v>817176</v>
      </c>
      <c r="B2252" s="22">
        <v>10</v>
      </c>
    </row>
    <row r="2253" spans="1:2" x14ac:dyDescent="0.2">
      <c r="A2253" s="21">
        <v>817188</v>
      </c>
      <c r="B2253" s="22">
        <v>236.5</v>
      </c>
    </row>
    <row r="2254" spans="1:2" x14ac:dyDescent="0.2">
      <c r="A2254" s="21">
        <v>817189</v>
      </c>
      <c r="B2254" s="22">
        <v>641.5</v>
      </c>
    </row>
    <row r="2255" spans="1:2" x14ac:dyDescent="0.2">
      <c r="A2255" s="21">
        <v>817192</v>
      </c>
      <c r="B2255" s="22">
        <v>80</v>
      </c>
    </row>
    <row r="2256" spans="1:2" x14ac:dyDescent="0.2">
      <c r="A2256" s="21">
        <v>817193</v>
      </c>
      <c r="B2256" s="22">
        <v>40</v>
      </c>
    </row>
    <row r="2257" spans="1:2" x14ac:dyDescent="0.2">
      <c r="A2257" s="21">
        <v>817196</v>
      </c>
      <c r="B2257" s="22">
        <v>275</v>
      </c>
    </row>
    <row r="2258" spans="1:2" x14ac:dyDescent="0.2">
      <c r="A2258" s="21">
        <v>817203</v>
      </c>
      <c r="B2258" s="22">
        <v>378.4</v>
      </c>
    </row>
    <row r="2259" spans="1:2" x14ac:dyDescent="0.2">
      <c r="A2259" s="21">
        <v>817206</v>
      </c>
      <c r="B2259" s="22">
        <v>150.75</v>
      </c>
    </row>
    <row r="2260" spans="1:2" x14ac:dyDescent="0.2">
      <c r="A2260" s="21">
        <v>817208</v>
      </c>
      <c r="B2260" s="22">
        <v>95</v>
      </c>
    </row>
    <row r="2261" spans="1:2" x14ac:dyDescent="0.2">
      <c r="A2261" s="21">
        <v>817211</v>
      </c>
      <c r="B2261" s="22">
        <v>282.5</v>
      </c>
    </row>
    <row r="2262" spans="1:2" x14ac:dyDescent="0.2">
      <c r="A2262" s="21">
        <v>817212</v>
      </c>
      <c r="B2262" s="22">
        <v>327.5</v>
      </c>
    </row>
    <row r="2263" spans="1:2" x14ac:dyDescent="0.2">
      <c r="A2263" s="21">
        <v>817213</v>
      </c>
      <c r="B2263" s="22">
        <v>480.95</v>
      </c>
    </row>
    <row r="2264" spans="1:2" x14ac:dyDescent="0.2">
      <c r="A2264" s="21">
        <v>817214</v>
      </c>
      <c r="B2264" s="22">
        <v>96</v>
      </c>
    </row>
    <row r="2265" spans="1:2" x14ac:dyDescent="0.2">
      <c r="A2265" s="21">
        <v>817217</v>
      </c>
      <c r="B2265" s="22">
        <v>285</v>
      </c>
    </row>
    <row r="2266" spans="1:2" x14ac:dyDescent="0.2">
      <c r="A2266" s="21">
        <v>817218</v>
      </c>
      <c r="B2266" s="22">
        <v>290</v>
      </c>
    </row>
    <row r="2267" spans="1:2" x14ac:dyDescent="0.2">
      <c r="A2267" s="21">
        <v>817219</v>
      </c>
      <c r="B2267" s="22">
        <v>35</v>
      </c>
    </row>
    <row r="2268" spans="1:2" x14ac:dyDescent="0.2">
      <c r="A2268" s="21">
        <v>817221</v>
      </c>
      <c r="B2268" s="22">
        <v>45</v>
      </c>
    </row>
    <row r="2269" spans="1:2" x14ac:dyDescent="0.2">
      <c r="A2269" s="21">
        <v>817223</v>
      </c>
      <c r="B2269" s="22">
        <v>1476.25</v>
      </c>
    </row>
    <row r="2270" spans="1:2" x14ac:dyDescent="0.2">
      <c r="A2270" s="21">
        <v>817224</v>
      </c>
      <c r="B2270" s="22">
        <v>28</v>
      </c>
    </row>
    <row r="2271" spans="1:2" x14ac:dyDescent="0.2">
      <c r="A2271" s="21">
        <v>817225</v>
      </c>
      <c r="B2271" s="22">
        <v>260</v>
      </c>
    </row>
    <row r="2272" spans="1:2" x14ac:dyDescent="0.2">
      <c r="A2272" s="21">
        <v>817233</v>
      </c>
      <c r="B2272" s="22">
        <v>194.1</v>
      </c>
    </row>
    <row r="2273" spans="1:2" x14ac:dyDescent="0.2">
      <c r="A2273" s="21">
        <v>817235</v>
      </c>
      <c r="B2273" s="22">
        <v>35</v>
      </c>
    </row>
    <row r="2274" spans="1:2" x14ac:dyDescent="0.2">
      <c r="A2274" s="21">
        <v>817238</v>
      </c>
      <c r="B2274" s="22">
        <v>617.9</v>
      </c>
    </row>
    <row r="2275" spans="1:2" x14ac:dyDescent="0.2">
      <c r="A2275" s="21">
        <v>817239</v>
      </c>
      <c r="B2275" s="22">
        <v>55.5</v>
      </c>
    </row>
    <row r="2276" spans="1:2" x14ac:dyDescent="0.2">
      <c r="A2276" s="21">
        <v>817251</v>
      </c>
      <c r="B2276" s="22">
        <v>138.5</v>
      </c>
    </row>
    <row r="2277" spans="1:2" x14ac:dyDescent="0.2">
      <c r="A2277" s="21">
        <v>817252</v>
      </c>
      <c r="B2277" s="22">
        <v>319</v>
      </c>
    </row>
    <row r="2278" spans="1:2" x14ac:dyDescent="0.2">
      <c r="A2278" s="21">
        <v>817254</v>
      </c>
      <c r="B2278" s="22">
        <v>239.75</v>
      </c>
    </row>
    <row r="2279" spans="1:2" x14ac:dyDescent="0.2">
      <c r="A2279" s="21">
        <v>817263</v>
      </c>
      <c r="B2279" s="22">
        <v>419.5</v>
      </c>
    </row>
    <row r="2280" spans="1:2" x14ac:dyDescent="0.2">
      <c r="A2280" s="21">
        <v>817264</v>
      </c>
      <c r="B2280" s="22">
        <v>184.1</v>
      </c>
    </row>
    <row r="2281" spans="1:2" x14ac:dyDescent="0.2">
      <c r="A2281" s="21">
        <v>817268</v>
      </c>
      <c r="B2281" s="22">
        <v>478.7</v>
      </c>
    </row>
    <row r="2282" spans="1:2" x14ac:dyDescent="0.2">
      <c r="A2282" s="21">
        <v>817270</v>
      </c>
      <c r="B2282" s="22">
        <v>150</v>
      </c>
    </row>
    <row r="2283" spans="1:2" x14ac:dyDescent="0.2">
      <c r="A2283" s="21">
        <v>817271</v>
      </c>
      <c r="B2283" s="22">
        <v>0</v>
      </c>
    </row>
    <row r="2284" spans="1:2" x14ac:dyDescent="0.2">
      <c r="A2284" s="21">
        <v>817272</v>
      </c>
      <c r="B2284" s="22">
        <v>243</v>
      </c>
    </row>
    <row r="2285" spans="1:2" x14ac:dyDescent="0.2">
      <c r="A2285" s="21">
        <v>817273</v>
      </c>
      <c r="B2285" s="22">
        <v>95</v>
      </c>
    </row>
    <row r="2286" spans="1:2" x14ac:dyDescent="0.2">
      <c r="A2286" s="21">
        <v>817275</v>
      </c>
      <c r="B2286" s="22">
        <v>1029.25</v>
      </c>
    </row>
    <row r="2287" spans="1:2" x14ac:dyDescent="0.2">
      <c r="A2287" s="21">
        <v>817276</v>
      </c>
      <c r="B2287" s="22">
        <v>280.25</v>
      </c>
    </row>
    <row r="2288" spans="1:2" x14ac:dyDescent="0.2">
      <c r="A2288" s="21">
        <v>817277</v>
      </c>
      <c r="B2288" s="22">
        <v>91.65</v>
      </c>
    </row>
    <row r="2289" spans="1:2" x14ac:dyDescent="0.2">
      <c r="A2289" s="21">
        <v>817283</v>
      </c>
      <c r="B2289" s="22">
        <v>538.25</v>
      </c>
    </row>
    <row r="2290" spans="1:2" x14ac:dyDescent="0.2">
      <c r="A2290" s="21">
        <v>817298</v>
      </c>
      <c r="B2290" s="22">
        <v>170.6</v>
      </c>
    </row>
    <row r="2291" spans="1:2" x14ac:dyDescent="0.2">
      <c r="A2291" s="21">
        <v>817302</v>
      </c>
      <c r="B2291" s="22">
        <v>165</v>
      </c>
    </row>
    <row r="2292" spans="1:2" x14ac:dyDescent="0.2">
      <c r="A2292" s="21">
        <v>817308</v>
      </c>
      <c r="B2292" s="22">
        <v>0</v>
      </c>
    </row>
    <row r="2293" spans="1:2" x14ac:dyDescent="0.2">
      <c r="A2293" s="21">
        <v>817319</v>
      </c>
      <c r="B2293" s="22">
        <v>29.5</v>
      </c>
    </row>
    <row r="2294" spans="1:2" x14ac:dyDescent="0.2">
      <c r="A2294" s="21">
        <v>817320</v>
      </c>
      <c r="B2294" s="22">
        <v>322.60000000000002</v>
      </c>
    </row>
    <row r="2295" spans="1:2" x14ac:dyDescent="0.2">
      <c r="A2295" s="21">
        <v>817322</v>
      </c>
      <c r="B2295" s="22">
        <v>536.04999999999995</v>
      </c>
    </row>
    <row r="2296" spans="1:2" x14ac:dyDescent="0.2">
      <c r="A2296" s="21">
        <v>817329</v>
      </c>
      <c r="B2296" s="22">
        <v>225.25</v>
      </c>
    </row>
    <row r="2297" spans="1:2" x14ac:dyDescent="0.2">
      <c r="A2297" s="21">
        <v>817337</v>
      </c>
      <c r="B2297" s="22">
        <v>20</v>
      </c>
    </row>
    <row r="2298" spans="1:2" x14ac:dyDescent="0.2">
      <c r="A2298" s="21">
        <v>817338</v>
      </c>
      <c r="B2298" s="22">
        <v>57.5</v>
      </c>
    </row>
    <row r="2299" spans="1:2" x14ac:dyDescent="0.2">
      <c r="A2299" s="21">
        <v>817342</v>
      </c>
      <c r="B2299" s="22">
        <v>20</v>
      </c>
    </row>
    <row r="2300" spans="1:2" x14ac:dyDescent="0.2">
      <c r="A2300" s="21">
        <v>817343</v>
      </c>
      <c r="B2300" s="22">
        <v>0</v>
      </c>
    </row>
    <row r="2301" spans="1:2" x14ac:dyDescent="0.2">
      <c r="A2301" s="21">
        <v>817349</v>
      </c>
      <c r="B2301" s="22">
        <v>0</v>
      </c>
    </row>
    <row r="2302" spans="1:2" x14ac:dyDescent="0.2">
      <c r="A2302" s="21">
        <v>817350</v>
      </c>
      <c r="B2302" s="22">
        <v>35</v>
      </c>
    </row>
    <row r="2303" spans="1:2" x14ac:dyDescent="0.2">
      <c r="A2303" s="21">
        <v>817352</v>
      </c>
      <c r="B2303" s="22">
        <v>943.10000000000014</v>
      </c>
    </row>
    <row r="2304" spans="1:2" x14ac:dyDescent="0.2">
      <c r="A2304" s="21">
        <v>817364</v>
      </c>
      <c r="B2304" s="22">
        <v>594</v>
      </c>
    </row>
    <row r="2305" spans="1:2" x14ac:dyDescent="0.2">
      <c r="A2305" s="21">
        <v>817365</v>
      </c>
      <c r="B2305" s="22">
        <v>332</v>
      </c>
    </row>
    <row r="2306" spans="1:2" x14ac:dyDescent="0.2">
      <c r="A2306" s="21">
        <v>817366</v>
      </c>
      <c r="B2306" s="22">
        <v>50</v>
      </c>
    </row>
    <row r="2307" spans="1:2" x14ac:dyDescent="0.2">
      <c r="A2307" s="21">
        <v>817368</v>
      </c>
      <c r="B2307" s="22">
        <v>249.55</v>
      </c>
    </row>
    <row r="2308" spans="1:2" x14ac:dyDescent="0.2">
      <c r="A2308" s="21">
        <v>817372</v>
      </c>
      <c r="B2308" s="22">
        <v>165</v>
      </c>
    </row>
    <row r="2309" spans="1:2" x14ac:dyDescent="0.2">
      <c r="A2309" s="21">
        <v>817377</v>
      </c>
      <c r="B2309" s="22">
        <v>224</v>
      </c>
    </row>
    <row r="2310" spans="1:2" x14ac:dyDescent="0.2">
      <c r="A2310" s="21">
        <v>817382</v>
      </c>
      <c r="B2310" s="22">
        <v>5</v>
      </c>
    </row>
    <row r="2311" spans="1:2" x14ac:dyDescent="0.2">
      <c r="A2311" s="21">
        <v>817384</v>
      </c>
      <c r="B2311" s="22">
        <v>175.5</v>
      </c>
    </row>
    <row r="2312" spans="1:2" x14ac:dyDescent="0.2">
      <c r="A2312" s="21">
        <v>817386</v>
      </c>
      <c r="B2312" s="22">
        <v>14.5</v>
      </c>
    </row>
    <row r="2313" spans="1:2" x14ac:dyDescent="0.2">
      <c r="A2313" s="21">
        <v>817403</v>
      </c>
      <c r="B2313" s="22">
        <v>456.5</v>
      </c>
    </row>
    <row r="2314" spans="1:2" x14ac:dyDescent="0.2">
      <c r="A2314" s="21">
        <v>817404</v>
      </c>
      <c r="B2314" s="22">
        <v>744.6</v>
      </c>
    </row>
    <row r="2315" spans="1:2" x14ac:dyDescent="0.2">
      <c r="A2315" s="21">
        <v>817411</v>
      </c>
      <c r="B2315" s="22">
        <v>72</v>
      </c>
    </row>
    <row r="2316" spans="1:2" x14ac:dyDescent="0.2">
      <c r="A2316" s="21">
        <v>817412</v>
      </c>
      <c r="B2316" s="22">
        <v>128</v>
      </c>
    </row>
    <row r="2317" spans="1:2" x14ac:dyDescent="0.2">
      <c r="A2317" s="21">
        <v>817413</v>
      </c>
      <c r="B2317" s="22">
        <v>220</v>
      </c>
    </row>
    <row r="2318" spans="1:2" x14ac:dyDescent="0.2">
      <c r="A2318" s="21">
        <v>817417</v>
      </c>
      <c r="B2318" s="22">
        <v>20</v>
      </c>
    </row>
    <row r="2319" spans="1:2" x14ac:dyDescent="0.2">
      <c r="A2319" s="21">
        <v>817426</v>
      </c>
      <c r="B2319" s="22">
        <v>105.75</v>
      </c>
    </row>
    <row r="2320" spans="1:2" x14ac:dyDescent="0.2">
      <c r="A2320" s="21">
        <v>817427</v>
      </c>
      <c r="B2320" s="22">
        <v>174</v>
      </c>
    </row>
    <row r="2321" spans="1:2" x14ac:dyDescent="0.2">
      <c r="A2321" s="21">
        <v>817454</v>
      </c>
      <c r="B2321" s="22">
        <v>349.5</v>
      </c>
    </row>
    <row r="2322" spans="1:2" x14ac:dyDescent="0.2">
      <c r="A2322" s="21">
        <v>817459</v>
      </c>
      <c r="B2322" s="22">
        <v>246.75</v>
      </c>
    </row>
    <row r="2323" spans="1:2" x14ac:dyDescent="0.2">
      <c r="A2323" s="21">
        <v>817461</v>
      </c>
      <c r="B2323" s="22">
        <v>122</v>
      </c>
    </row>
    <row r="2324" spans="1:2" x14ac:dyDescent="0.2">
      <c r="A2324" s="21">
        <v>817480</v>
      </c>
      <c r="B2324" s="22">
        <v>149.5</v>
      </c>
    </row>
    <row r="2325" spans="1:2" x14ac:dyDescent="0.2">
      <c r="A2325" s="21">
        <v>817482</v>
      </c>
      <c r="B2325" s="22">
        <v>48</v>
      </c>
    </row>
    <row r="2326" spans="1:2" x14ac:dyDescent="0.2">
      <c r="A2326" s="21">
        <v>817489</v>
      </c>
      <c r="B2326" s="22">
        <v>180</v>
      </c>
    </row>
    <row r="2327" spans="1:2" x14ac:dyDescent="0.2">
      <c r="A2327" s="21">
        <v>817513</v>
      </c>
      <c r="B2327" s="22">
        <v>141</v>
      </c>
    </row>
    <row r="2328" spans="1:2" x14ac:dyDescent="0.2">
      <c r="A2328" s="21">
        <v>817514</v>
      </c>
      <c r="B2328" s="22">
        <v>222.25</v>
      </c>
    </row>
    <row r="2329" spans="1:2" x14ac:dyDescent="0.2">
      <c r="A2329" s="21">
        <v>817515</v>
      </c>
      <c r="B2329" s="22">
        <v>199.5</v>
      </c>
    </row>
    <row r="2330" spans="1:2" x14ac:dyDescent="0.2">
      <c r="A2330" s="21">
        <v>817542</v>
      </c>
      <c r="B2330" s="22">
        <v>114.9</v>
      </c>
    </row>
    <row r="2331" spans="1:2" x14ac:dyDescent="0.2">
      <c r="A2331" s="21">
        <v>817543</v>
      </c>
      <c r="B2331" s="22">
        <v>356.25</v>
      </c>
    </row>
    <row r="2332" spans="1:2" x14ac:dyDescent="0.2">
      <c r="A2332" s="21">
        <v>817546</v>
      </c>
      <c r="B2332" s="22">
        <v>431</v>
      </c>
    </row>
    <row r="2333" spans="1:2" x14ac:dyDescent="0.2">
      <c r="A2333" s="21">
        <v>817549</v>
      </c>
      <c r="B2333" s="22">
        <v>50</v>
      </c>
    </row>
    <row r="2334" spans="1:2" x14ac:dyDescent="0.2">
      <c r="A2334" s="21">
        <v>817585</v>
      </c>
      <c r="B2334" s="22">
        <v>157</v>
      </c>
    </row>
    <row r="2335" spans="1:2" x14ac:dyDescent="0.2">
      <c r="A2335" s="21">
        <v>817586</v>
      </c>
      <c r="B2335" s="22">
        <v>281</v>
      </c>
    </row>
    <row r="2336" spans="1:2" x14ac:dyDescent="0.2">
      <c r="A2336" s="21">
        <v>817587</v>
      </c>
      <c r="B2336" s="22">
        <v>225.5</v>
      </c>
    </row>
    <row r="2337" spans="1:2" x14ac:dyDescent="0.2">
      <c r="A2337" s="21">
        <v>817588</v>
      </c>
      <c r="B2337" s="22">
        <v>105</v>
      </c>
    </row>
    <row r="2338" spans="1:2" x14ac:dyDescent="0.2">
      <c r="A2338" s="21">
        <v>817589</v>
      </c>
      <c r="B2338" s="22">
        <v>120</v>
      </c>
    </row>
    <row r="2339" spans="1:2" x14ac:dyDescent="0.2">
      <c r="A2339" s="21">
        <v>817591</v>
      </c>
      <c r="B2339" s="22">
        <v>350.5</v>
      </c>
    </row>
    <row r="2340" spans="1:2" x14ac:dyDescent="0.2">
      <c r="A2340" s="21">
        <v>817595</v>
      </c>
      <c r="B2340" s="22">
        <v>320</v>
      </c>
    </row>
    <row r="2341" spans="1:2" x14ac:dyDescent="0.2">
      <c r="A2341" s="21">
        <v>817598</v>
      </c>
      <c r="B2341" s="22">
        <v>296</v>
      </c>
    </row>
    <row r="2342" spans="1:2" x14ac:dyDescent="0.2">
      <c r="A2342" s="21">
        <v>817606</v>
      </c>
      <c r="B2342" s="22">
        <v>348.2</v>
      </c>
    </row>
    <row r="2343" spans="1:2" x14ac:dyDescent="0.2">
      <c r="A2343" s="21">
        <v>817609</v>
      </c>
      <c r="B2343" s="22">
        <v>594.5</v>
      </c>
    </row>
    <row r="2344" spans="1:2" x14ac:dyDescent="0.2">
      <c r="A2344" s="21">
        <v>817610</v>
      </c>
      <c r="B2344" s="22">
        <v>460.25</v>
      </c>
    </row>
    <row r="2345" spans="1:2" x14ac:dyDescent="0.2">
      <c r="A2345" s="21">
        <v>817611</v>
      </c>
      <c r="B2345" s="22">
        <v>133.5</v>
      </c>
    </row>
    <row r="2346" spans="1:2" x14ac:dyDescent="0.2">
      <c r="A2346" s="21">
        <v>817614</v>
      </c>
      <c r="B2346" s="22">
        <v>219</v>
      </c>
    </row>
    <row r="2347" spans="1:2" x14ac:dyDescent="0.2">
      <c r="A2347" s="21">
        <v>817628</v>
      </c>
      <c r="B2347" s="22">
        <v>100.5</v>
      </c>
    </row>
    <row r="2348" spans="1:2" x14ac:dyDescent="0.2">
      <c r="A2348" s="21">
        <v>817630</v>
      </c>
      <c r="B2348" s="22">
        <v>10</v>
      </c>
    </row>
    <row r="2349" spans="1:2" x14ac:dyDescent="0.2">
      <c r="A2349" s="21">
        <v>817644</v>
      </c>
      <c r="B2349" s="22">
        <v>379</v>
      </c>
    </row>
    <row r="2350" spans="1:2" x14ac:dyDescent="0.2">
      <c r="A2350" s="21">
        <v>817646</v>
      </c>
      <c r="B2350" s="22">
        <v>5</v>
      </c>
    </row>
    <row r="2351" spans="1:2" x14ac:dyDescent="0.2">
      <c r="A2351" s="21">
        <v>817647</v>
      </c>
      <c r="B2351" s="22">
        <v>59.5</v>
      </c>
    </row>
    <row r="2352" spans="1:2" x14ac:dyDescent="0.2">
      <c r="A2352" s="21">
        <v>817650</v>
      </c>
      <c r="B2352" s="22">
        <v>427.5</v>
      </c>
    </row>
    <row r="2353" spans="1:2" x14ac:dyDescent="0.2">
      <c r="A2353" s="21">
        <v>817659</v>
      </c>
      <c r="B2353" s="22">
        <v>322.5</v>
      </c>
    </row>
    <row r="2354" spans="1:2" x14ac:dyDescent="0.2">
      <c r="A2354" s="21">
        <v>817665</v>
      </c>
      <c r="B2354" s="22">
        <v>194</v>
      </c>
    </row>
    <row r="2355" spans="1:2" x14ac:dyDescent="0.2">
      <c r="A2355" s="21">
        <v>817666</v>
      </c>
      <c r="B2355" s="22">
        <v>613</v>
      </c>
    </row>
    <row r="2356" spans="1:2" x14ac:dyDescent="0.2">
      <c r="A2356" s="21">
        <v>817667</v>
      </c>
      <c r="B2356" s="22">
        <v>30</v>
      </c>
    </row>
    <row r="2357" spans="1:2" x14ac:dyDescent="0.2">
      <c r="A2357" s="21">
        <v>817668</v>
      </c>
      <c r="B2357" s="22">
        <v>35</v>
      </c>
    </row>
    <row r="2358" spans="1:2" x14ac:dyDescent="0.2">
      <c r="A2358" s="21">
        <v>817677</v>
      </c>
      <c r="B2358" s="22">
        <v>175</v>
      </c>
    </row>
    <row r="2359" spans="1:2" x14ac:dyDescent="0.2">
      <c r="A2359" s="21">
        <v>817679</v>
      </c>
      <c r="B2359" s="22">
        <v>383.75</v>
      </c>
    </row>
    <row r="2360" spans="1:2" x14ac:dyDescent="0.2">
      <c r="A2360" s="21">
        <v>817684</v>
      </c>
      <c r="B2360" s="22">
        <v>70</v>
      </c>
    </row>
    <row r="2361" spans="1:2" x14ac:dyDescent="0.2">
      <c r="A2361" s="21">
        <v>817705</v>
      </c>
      <c r="B2361" s="22">
        <v>311.25</v>
      </c>
    </row>
    <row r="2362" spans="1:2" x14ac:dyDescent="0.2">
      <c r="A2362" s="21">
        <v>817709</v>
      </c>
      <c r="B2362" s="22">
        <v>270.2</v>
      </c>
    </row>
    <row r="2363" spans="1:2" x14ac:dyDescent="0.2">
      <c r="A2363" s="21">
        <v>817715</v>
      </c>
      <c r="B2363" s="22">
        <v>289</v>
      </c>
    </row>
    <row r="2364" spans="1:2" x14ac:dyDescent="0.2">
      <c r="A2364" s="21">
        <v>817730</v>
      </c>
      <c r="B2364" s="22">
        <v>198.8</v>
      </c>
    </row>
    <row r="2365" spans="1:2" x14ac:dyDescent="0.2">
      <c r="A2365" s="21">
        <v>817732</v>
      </c>
      <c r="B2365" s="22">
        <v>365.1</v>
      </c>
    </row>
    <row r="2366" spans="1:2" x14ac:dyDescent="0.2">
      <c r="A2366" s="21">
        <v>817735</v>
      </c>
      <c r="B2366" s="22">
        <v>145</v>
      </c>
    </row>
    <row r="2367" spans="1:2" x14ac:dyDescent="0.2">
      <c r="A2367" s="21">
        <v>817737</v>
      </c>
      <c r="B2367" s="22">
        <v>5</v>
      </c>
    </row>
    <row r="2368" spans="1:2" x14ac:dyDescent="0.2">
      <c r="A2368" s="21">
        <v>817739</v>
      </c>
      <c r="B2368" s="22">
        <v>855.25</v>
      </c>
    </row>
    <row r="2369" spans="1:2" x14ac:dyDescent="0.2">
      <c r="A2369" s="21">
        <v>817740</v>
      </c>
      <c r="B2369" s="22">
        <v>17.5</v>
      </c>
    </row>
    <row r="2370" spans="1:2" x14ac:dyDescent="0.2">
      <c r="A2370" s="21">
        <v>817742</v>
      </c>
      <c r="B2370" s="22">
        <v>981.7</v>
      </c>
    </row>
    <row r="2371" spans="1:2" x14ac:dyDescent="0.2">
      <c r="A2371" s="21">
        <v>817743</v>
      </c>
      <c r="B2371" s="22">
        <v>383</v>
      </c>
    </row>
    <row r="2372" spans="1:2" x14ac:dyDescent="0.2">
      <c r="A2372" s="21">
        <v>817744</v>
      </c>
      <c r="B2372" s="22">
        <v>456</v>
      </c>
    </row>
    <row r="2373" spans="1:2" x14ac:dyDescent="0.2">
      <c r="A2373" s="21">
        <v>817746</v>
      </c>
      <c r="B2373" s="22">
        <v>64</v>
      </c>
    </row>
    <row r="2374" spans="1:2" x14ac:dyDescent="0.2">
      <c r="A2374" s="21">
        <v>817757</v>
      </c>
      <c r="B2374" s="22">
        <v>284.14999999999998</v>
      </c>
    </row>
    <row r="2375" spans="1:2" x14ac:dyDescent="0.2">
      <c r="A2375" s="21">
        <v>817763</v>
      </c>
      <c r="B2375" s="22">
        <v>331.05</v>
      </c>
    </row>
    <row r="2376" spans="1:2" x14ac:dyDescent="0.2">
      <c r="A2376" s="21">
        <v>817774</v>
      </c>
      <c r="B2376" s="22">
        <v>256</v>
      </c>
    </row>
    <row r="2377" spans="1:2" x14ac:dyDescent="0.2">
      <c r="A2377" s="21">
        <v>817775</v>
      </c>
      <c r="B2377" s="22">
        <v>356.35</v>
      </c>
    </row>
    <row r="2378" spans="1:2" x14ac:dyDescent="0.2">
      <c r="A2378" s="21">
        <v>817787</v>
      </c>
      <c r="B2378" s="22">
        <v>12</v>
      </c>
    </row>
    <row r="2379" spans="1:2" x14ac:dyDescent="0.2">
      <c r="A2379" s="21">
        <v>817788</v>
      </c>
      <c r="B2379" s="22">
        <v>47.5</v>
      </c>
    </row>
    <row r="2380" spans="1:2" x14ac:dyDescent="0.2">
      <c r="A2380" s="21">
        <v>817789</v>
      </c>
      <c r="B2380" s="22">
        <v>142</v>
      </c>
    </row>
    <row r="2381" spans="1:2" x14ac:dyDescent="0.2">
      <c r="A2381" s="21">
        <v>817791</v>
      </c>
      <c r="B2381" s="22">
        <v>46.5</v>
      </c>
    </row>
    <row r="2382" spans="1:2" x14ac:dyDescent="0.2">
      <c r="A2382" s="21">
        <v>817792</v>
      </c>
      <c r="B2382" s="22">
        <v>311.75</v>
      </c>
    </row>
    <row r="2383" spans="1:2" x14ac:dyDescent="0.2">
      <c r="A2383" s="21">
        <v>817794</v>
      </c>
      <c r="B2383" s="22">
        <v>155</v>
      </c>
    </row>
    <row r="2384" spans="1:2" x14ac:dyDescent="0.2">
      <c r="A2384" s="21">
        <v>817795</v>
      </c>
      <c r="B2384" s="22">
        <v>136.5</v>
      </c>
    </row>
    <row r="2385" spans="1:2" x14ac:dyDescent="0.2">
      <c r="A2385" s="21">
        <v>817796</v>
      </c>
      <c r="B2385" s="22">
        <v>613.5</v>
      </c>
    </row>
    <row r="2386" spans="1:2" x14ac:dyDescent="0.2">
      <c r="A2386" s="21">
        <v>817797</v>
      </c>
      <c r="B2386" s="22">
        <v>268</v>
      </c>
    </row>
    <row r="2387" spans="1:2" x14ac:dyDescent="0.2">
      <c r="A2387" s="21">
        <v>817799</v>
      </c>
      <c r="B2387" s="22">
        <v>662</v>
      </c>
    </row>
    <row r="2388" spans="1:2" x14ac:dyDescent="0.2">
      <c r="A2388" s="21">
        <v>817809</v>
      </c>
      <c r="B2388" s="22">
        <v>929.75</v>
      </c>
    </row>
    <row r="2389" spans="1:2" x14ac:dyDescent="0.2">
      <c r="A2389" s="21">
        <v>817811</v>
      </c>
      <c r="B2389" s="22">
        <v>51</v>
      </c>
    </row>
    <row r="2390" spans="1:2" x14ac:dyDescent="0.2">
      <c r="A2390" s="21">
        <v>817812</v>
      </c>
      <c r="B2390" s="22">
        <v>282</v>
      </c>
    </row>
    <row r="2391" spans="1:2" x14ac:dyDescent="0.2">
      <c r="A2391" s="21">
        <v>817813</v>
      </c>
      <c r="B2391" s="22">
        <v>60</v>
      </c>
    </row>
    <row r="2392" spans="1:2" x14ac:dyDescent="0.2">
      <c r="A2392" s="21">
        <v>817814</v>
      </c>
      <c r="B2392" s="22">
        <v>65</v>
      </c>
    </row>
    <row r="2393" spans="1:2" x14ac:dyDescent="0.2">
      <c r="A2393" s="21">
        <v>817819</v>
      </c>
      <c r="B2393" s="22">
        <v>330</v>
      </c>
    </row>
    <row r="2394" spans="1:2" x14ac:dyDescent="0.2">
      <c r="A2394" s="21">
        <v>817820</v>
      </c>
      <c r="B2394" s="22">
        <v>77</v>
      </c>
    </row>
    <row r="2395" spans="1:2" x14ac:dyDescent="0.2">
      <c r="A2395" s="21">
        <v>817831</v>
      </c>
      <c r="B2395" s="22">
        <v>290</v>
      </c>
    </row>
    <row r="2396" spans="1:2" x14ac:dyDescent="0.2">
      <c r="A2396" s="21">
        <v>817833</v>
      </c>
      <c r="B2396" s="22">
        <v>56.75</v>
      </c>
    </row>
    <row r="2397" spans="1:2" x14ac:dyDescent="0.2">
      <c r="A2397" s="21">
        <v>817834</v>
      </c>
      <c r="B2397" s="22">
        <v>382.6</v>
      </c>
    </row>
    <row r="2398" spans="1:2" x14ac:dyDescent="0.2">
      <c r="A2398" s="21">
        <v>817835</v>
      </c>
      <c r="B2398" s="22">
        <v>492.7</v>
      </c>
    </row>
    <row r="2399" spans="1:2" x14ac:dyDescent="0.2">
      <c r="A2399" s="21">
        <v>817838</v>
      </c>
      <c r="B2399" s="22">
        <v>230</v>
      </c>
    </row>
    <row r="2400" spans="1:2" x14ac:dyDescent="0.2">
      <c r="A2400" s="21">
        <v>817839</v>
      </c>
      <c r="B2400" s="22">
        <v>150</v>
      </c>
    </row>
    <row r="2401" spans="1:2" x14ac:dyDescent="0.2">
      <c r="A2401" s="21">
        <v>817847</v>
      </c>
      <c r="B2401" s="22">
        <v>0</v>
      </c>
    </row>
    <row r="2402" spans="1:2" x14ac:dyDescent="0.2">
      <c r="A2402" s="21">
        <v>817848</v>
      </c>
      <c r="B2402" s="22">
        <v>290</v>
      </c>
    </row>
    <row r="2403" spans="1:2" x14ac:dyDescent="0.2">
      <c r="A2403" s="21">
        <v>817858</v>
      </c>
      <c r="B2403" s="22">
        <v>574.15</v>
      </c>
    </row>
    <row r="2404" spans="1:2" x14ac:dyDescent="0.2">
      <c r="A2404" s="21">
        <v>817864</v>
      </c>
      <c r="B2404" s="22">
        <v>86</v>
      </c>
    </row>
    <row r="2405" spans="1:2" x14ac:dyDescent="0.2">
      <c r="A2405" s="21">
        <v>817866</v>
      </c>
      <c r="B2405" s="22">
        <v>0</v>
      </c>
    </row>
    <row r="2406" spans="1:2" x14ac:dyDescent="0.2">
      <c r="A2406" s="21">
        <v>817868</v>
      </c>
      <c r="B2406" s="22">
        <v>222.05</v>
      </c>
    </row>
    <row r="2407" spans="1:2" x14ac:dyDescent="0.2">
      <c r="A2407" s="21">
        <v>817870</v>
      </c>
      <c r="B2407" s="22">
        <v>1000</v>
      </c>
    </row>
    <row r="2408" spans="1:2" x14ac:dyDescent="0.2">
      <c r="A2408" s="21">
        <v>817871</v>
      </c>
      <c r="B2408" s="22">
        <v>21</v>
      </c>
    </row>
    <row r="2409" spans="1:2" x14ac:dyDescent="0.2">
      <c r="A2409" s="21">
        <v>817872</v>
      </c>
      <c r="B2409" s="22">
        <v>45</v>
      </c>
    </row>
    <row r="2410" spans="1:2" x14ac:dyDescent="0.2">
      <c r="A2410" s="21">
        <v>817876</v>
      </c>
      <c r="B2410" s="22">
        <v>148</v>
      </c>
    </row>
    <row r="2411" spans="1:2" x14ac:dyDescent="0.2">
      <c r="A2411" s="21">
        <v>817878</v>
      </c>
      <c r="B2411" s="22">
        <v>334</v>
      </c>
    </row>
    <row r="2412" spans="1:2" x14ac:dyDescent="0.2">
      <c r="A2412" s="21">
        <v>817880</v>
      </c>
      <c r="B2412" s="22">
        <v>67.5</v>
      </c>
    </row>
    <row r="2413" spans="1:2" x14ac:dyDescent="0.2">
      <c r="A2413" s="21">
        <v>817881</v>
      </c>
      <c r="B2413" s="22">
        <v>315</v>
      </c>
    </row>
    <row r="2414" spans="1:2" x14ac:dyDescent="0.2">
      <c r="A2414" s="21">
        <v>817882</v>
      </c>
      <c r="B2414" s="22">
        <v>145</v>
      </c>
    </row>
    <row r="2415" spans="1:2" x14ac:dyDescent="0.2">
      <c r="A2415" s="21">
        <v>817887</v>
      </c>
      <c r="B2415" s="22">
        <v>55</v>
      </c>
    </row>
    <row r="2416" spans="1:2" x14ac:dyDescent="0.2">
      <c r="A2416" s="21">
        <v>817891</v>
      </c>
      <c r="B2416" s="22">
        <v>10</v>
      </c>
    </row>
    <row r="2417" spans="1:2" x14ac:dyDescent="0.2">
      <c r="A2417" s="21">
        <v>817894</v>
      </c>
      <c r="B2417" s="22">
        <v>184</v>
      </c>
    </row>
    <row r="2418" spans="1:2" x14ac:dyDescent="0.2">
      <c r="A2418" s="21">
        <v>817900</v>
      </c>
      <c r="B2418" s="22">
        <v>0</v>
      </c>
    </row>
    <row r="2419" spans="1:2" x14ac:dyDescent="0.2">
      <c r="A2419" s="21">
        <v>817901</v>
      </c>
      <c r="B2419" s="22">
        <v>90</v>
      </c>
    </row>
    <row r="2420" spans="1:2" x14ac:dyDescent="0.2">
      <c r="A2420" s="21">
        <v>817902</v>
      </c>
      <c r="B2420" s="22">
        <v>105</v>
      </c>
    </row>
    <row r="2421" spans="1:2" x14ac:dyDescent="0.2">
      <c r="A2421" s="21">
        <v>817905</v>
      </c>
      <c r="B2421" s="22">
        <v>283</v>
      </c>
    </row>
    <row r="2422" spans="1:2" x14ac:dyDescent="0.2">
      <c r="A2422" s="21">
        <v>817913</v>
      </c>
      <c r="B2422" s="22">
        <v>201.5</v>
      </c>
    </row>
    <row r="2423" spans="1:2" x14ac:dyDescent="0.2">
      <c r="A2423" s="21">
        <v>817914</v>
      </c>
      <c r="B2423" s="22">
        <v>643.70000000000005</v>
      </c>
    </row>
    <row r="2424" spans="1:2" x14ac:dyDescent="0.2">
      <c r="A2424" s="21">
        <v>817915</v>
      </c>
      <c r="B2424" s="22">
        <v>413</v>
      </c>
    </row>
    <row r="2425" spans="1:2" x14ac:dyDescent="0.2">
      <c r="A2425" s="21">
        <v>817916</v>
      </c>
      <c r="B2425" s="22">
        <v>181.55</v>
      </c>
    </row>
    <row r="2426" spans="1:2" x14ac:dyDescent="0.2">
      <c r="A2426" s="21">
        <v>817917</v>
      </c>
      <c r="B2426" s="22">
        <v>385</v>
      </c>
    </row>
    <row r="2427" spans="1:2" x14ac:dyDescent="0.2">
      <c r="A2427" s="21">
        <v>817933</v>
      </c>
      <c r="B2427" s="22">
        <v>448.75</v>
      </c>
    </row>
    <row r="2428" spans="1:2" x14ac:dyDescent="0.2">
      <c r="A2428" s="21">
        <v>817934</v>
      </c>
      <c r="B2428" s="22">
        <v>5</v>
      </c>
    </row>
    <row r="2429" spans="1:2" x14ac:dyDescent="0.2">
      <c r="A2429" s="21">
        <v>817940</v>
      </c>
      <c r="B2429" s="22">
        <v>162</v>
      </c>
    </row>
    <row r="2430" spans="1:2" x14ac:dyDescent="0.2">
      <c r="A2430" s="21">
        <v>817941</v>
      </c>
      <c r="B2430" s="22">
        <v>103</v>
      </c>
    </row>
    <row r="2431" spans="1:2" x14ac:dyDescent="0.2">
      <c r="A2431" s="21">
        <v>817943</v>
      </c>
      <c r="B2431" s="22">
        <v>659.25</v>
      </c>
    </row>
    <row r="2432" spans="1:2" x14ac:dyDescent="0.2">
      <c r="A2432" s="21">
        <v>817945</v>
      </c>
      <c r="B2432" s="22">
        <v>195.75</v>
      </c>
    </row>
    <row r="2433" spans="1:2" x14ac:dyDescent="0.2">
      <c r="A2433" s="21">
        <v>817947</v>
      </c>
      <c r="B2433" s="22">
        <v>293.35000000000002</v>
      </c>
    </row>
    <row r="2434" spans="1:2" x14ac:dyDescent="0.2">
      <c r="A2434" s="21">
        <v>817958</v>
      </c>
      <c r="B2434" s="22">
        <v>60.5</v>
      </c>
    </row>
    <row r="2435" spans="1:2" x14ac:dyDescent="0.2">
      <c r="A2435" s="21">
        <v>817961</v>
      </c>
      <c r="B2435" s="22">
        <v>5</v>
      </c>
    </row>
    <row r="2436" spans="1:2" x14ac:dyDescent="0.2">
      <c r="A2436" s="21">
        <v>817972</v>
      </c>
      <c r="B2436" s="22">
        <v>73.5</v>
      </c>
    </row>
    <row r="2437" spans="1:2" x14ac:dyDescent="0.2">
      <c r="A2437" s="21">
        <v>817976</v>
      </c>
      <c r="B2437" s="22">
        <v>1198.0999999999999</v>
      </c>
    </row>
    <row r="2438" spans="1:2" x14ac:dyDescent="0.2">
      <c r="A2438" s="21">
        <v>817977</v>
      </c>
      <c r="B2438" s="22">
        <v>91.5</v>
      </c>
    </row>
    <row r="2439" spans="1:2" x14ac:dyDescent="0.2">
      <c r="A2439" s="21">
        <v>817978</v>
      </c>
      <c r="B2439" s="22">
        <v>12.5</v>
      </c>
    </row>
    <row r="2440" spans="1:2" x14ac:dyDescent="0.2">
      <c r="A2440" s="21">
        <v>817979</v>
      </c>
      <c r="B2440" s="22">
        <v>62</v>
      </c>
    </row>
    <row r="2441" spans="1:2" x14ac:dyDescent="0.2">
      <c r="A2441" s="21">
        <v>817980</v>
      </c>
      <c r="B2441" s="22">
        <v>192.14999999999998</v>
      </c>
    </row>
    <row r="2442" spans="1:2" x14ac:dyDescent="0.2">
      <c r="A2442" s="21">
        <v>817989</v>
      </c>
      <c r="B2442" s="22">
        <v>20.5</v>
      </c>
    </row>
    <row r="2443" spans="1:2" x14ac:dyDescent="0.2">
      <c r="A2443" s="21">
        <v>818004</v>
      </c>
      <c r="B2443" s="22">
        <v>695.4</v>
      </c>
    </row>
    <row r="2444" spans="1:2" x14ac:dyDescent="0.2">
      <c r="A2444" s="21">
        <v>818017</v>
      </c>
      <c r="B2444" s="22">
        <v>196.2</v>
      </c>
    </row>
    <row r="2445" spans="1:2" x14ac:dyDescent="0.2">
      <c r="A2445" s="21">
        <v>818018</v>
      </c>
      <c r="B2445" s="22">
        <v>119.44999999999999</v>
      </c>
    </row>
    <row r="2446" spans="1:2" x14ac:dyDescent="0.2">
      <c r="A2446" s="21">
        <v>818021</v>
      </c>
      <c r="B2446" s="22">
        <v>298.75</v>
      </c>
    </row>
    <row r="2447" spans="1:2" x14ac:dyDescent="0.2">
      <c r="A2447" s="21">
        <v>818023</v>
      </c>
      <c r="B2447" s="22">
        <v>333.25</v>
      </c>
    </row>
    <row r="2448" spans="1:2" x14ac:dyDescent="0.2">
      <c r="A2448" s="21">
        <v>818043</v>
      </c>
      <c r="B2448" s="22">
        <v>310</v>
      </c>
    </row>
    <row r="2449" spans="1:2" x14ac:dyDescent="0.2">
      <c r="A2449" s="21">
        <v>818063</v>
      </c>
      <c r="B2449" s="22">
        <v>136.5</v>
      </c>
    </row>
    <row r="2450" spans="1:2" x14ac:dyDescent="0.2">
      <c r="A2450" s="21">
        <v>818066</v>
      </c>
      <c r="B2450" s="22">
        <v>335</v>
      </c>
    </row>
    <row r="2451" spans="1:2" x14ac:dyDescent="0.2">
      <c r="A2451" s="21">
        <v>818071</v>
      </c>
      <c r="B2451" s="22">
        <v>51</v>
      </c>
    </row>
    <row r="2452" spans="1:2" x14ac:dyDescent="0.2">
      <c r="A2452" s="21">
        <v>818073</v>
      </c>
      <c r="B2452" s="22">
        <v>290</v>
      </c>
    </row>
    <row r="2453" spans="1:2" x14ac:dyDescent="0.2">
      <c r="A2453" s="21">
        <v>818077</v>
      </c>
      <c r="B2453" s="22">
        <v>283.05</v>
      </c>
    </row>
    <row r="2454" spans="1:2" x14ac:dyDescent="0.2">
      <c r="A2454" s="21">
        <v>818098</v>
      </c>
      <c r="B2454" s="22">
        <v>27.5</v>
      </c>
    </row>
    <row r="2455" spans="1:2" x14ac:dyDescent="0.2">
      <c r="A2455" s="21">
        <v>818099</v>
      </c>
      <c r="B2455" s="22">
        <v>149</v>
      </c>
    </row>
    <row r="2456" spans="1:2" x14ac:dyDescent="0.2">
      <c r="A2456" s="21">
        <v>818100</v>
      </c>
      <c r="B2456" s="22">
        <v>59.5</v>
      </c>
    </row>
    <row r="2457" spans="1:2" x14ac:dyDescent="0.2">
      <c r="A2457" s="21">
        <v>818101</v>
      </c>
      <c r="B2457" s="22">
        <v>1064.75</v>
      </c>
    </row>
    <row r="2458" spans="1:2" x14ac:dyDescent="0.2">
      <c r="A2458" s="21">
        <v>818102</v>
      </c>
      <c r="B2458" s="22">
        <v>159.5</v>
      </c>
    </row>
    <row r="2459" spans="1:2" x14ac:dyDescent="0.2">
      <c r="A2459" s="21">
        <v>818124</v>
      </c>
      <c r="B2459" s="22">
        <v>592.35</v>
      </c>
    </row>
    <row r="2460" spans="1:2" x14ac:dyDescent="0.2">
      <c r="A2460" s="21">
        <v>818131</v>
      </c>
      <c r="B2460" s="22">
        <v>320.3</v>
      </c>
    </row>
    <row r="2461" spans="1:2" x14ac:dyDescent="0.2">
      <c r="A2461" s="21">
        <v>818132</v>
      </c>
      <c r="B2461" s="22">
        <v>345</v>
      </c>
    </row>
    <row r="2462" spans="1:2" x14ac:dyDescent="0.2">
      <c r="A2462" s="21">
        <v>818133</v>
      </c>
      <c r="B2462" s="22">
        <v>369.75</v>
      </c>
    </row>
    <row r="2463" spans="1:2" x14ac:dyDescent="0.2">
      <c r="A2463" s="21">
        <v>818134</v>
      </c>
      <c r="B2463" s="22">
        <v>70</v>
      </c>
    </row>
    <row r="2464" spans="1:2" x14ac:dyDescent="0.2">
      <c r="A2464" s="21">
        <v>818135</v>
      </c>
      <c r="B2464" s="22">
        <v>332</v>
      </c>
    </row>
    <row r="2465" spans="1:2" x14ac:dyDescent="0.2">
      <c r="A2465" s="21">
        <v>818136</v>
      </c>
      <c r="B2465" s="22">
        <v>69.5</v>
      </c>
    </row>
    <row r="2466" spans="1:2" x14ac:dyDescent="0.2">
      <c r="A2466" s="21">
        <v>818137</v>
      </c>
      <c r="B2466" s="22">
        <v>218.25</v>
      </c>
    </row>
    <row r="2467" spans="1:2" x14ac:dyDescent="0.2">
      <c r="A2467" s="21">
        <v>818140</v>
      </c>
      <c r="B2467" s="22">
        <v>162.5</v>
      </c>
    </row>
    <row r="2468" spans="1:2" x14ac:dyDescent="0.2">
      <c r="A2468" s="21">
        <v>818141</v>
      </c>
      <c r="B2468" s="22">
        <v>274.5</v>
      </c>
    </row>
    <row r="2469" spans="1:2" x14ac:dyDescent="0.2">
      <c r="A2469" s="21">
        <v>818142</v>
      </c>
      <c r="B2469" s="22">
        <v>252.5</v>
      </c>
    </row>
    <row r="2470" spans="1:2" x14ac:dyDescent="0.2">
      <c r="A2470" s="21">
        <v>818153</v>
      </c>
      <c r="B2470" s="22">
        <v>12.5</v>
      </c>
    </row>
    <row r="2471" spans="1:2" x14ac:dyDescent="0.2">
      <c r="A2471" s="21">
        <v>818155</v>
      </c>
      <c r="B2471" s="22">
        <v>844.9</v>
      </c>
    </row>
    <row r="2472" spans="1:2" x14ac:dyDescent="0.2">
      <c r="A2472" s="21">
        <v>818156</v>
      </c>
      <c r="B2472" s="22">
        <v>103</v>
      </c>
    </row>
    <row r="2473" spans="1:2" x14ac:dyDescent="0.2">
      <c r="A2473" s="21">
        <v>818159</v>
      </c>
      <c r="B2473" s="22">
        <v>279</v>
      </c>
    </row>
    <row r="2474" spans="1:2" x14ac:dyDescent="0.2">
      <c r="A2474" s="21">
        <v>818161</v>
      </c>
      <c r="B2474" s="22">
        <v>473</v>
      </c>
    </row>
    <row r="2475" spans="1:2" x14ac:dyDescent="0.2">
      <c r="A2475" s="21">
        <v>818163</v>
      </c>
      <c r="B2475" s="22">
        <v>995.7</v>
      </c>
    </row>
    <row r="2476" spans="1:2" x14ac:dyDescent="0.2">
      <c r="A2476" s="21">
        <v>818164</v>
      </c>
      <c r="B2476" s="22">
        <v>507</v>
      </c>
    </row>
    <row r="2477" spans="1:2" x14ac:dyDescent="0.2">
      <c r="A2477" s="21">
        <v>818177</v>
      </c>
      <c r="B2477" s="22">
        <v>105</v>
      </c>
    </row>
    <row r="2478" spans="1:2" x14ac:dyDescent="0.2">
      <c r="A2478" s="21">
        <v>818181</v>
      </c>
      <c r="B2478" s="22">
        <v>618</v>
      </c>
    </row>
    <row r="2479" spans="1:2" x14ac:dyDescent="0.2">
      <c r="A2479" s="21">
        <v>818192</v>
      </c>
      <c r="B2479" s="22">
        <v>105</v>
      </c>
    </row>
    <row r="2480" spans="1:2" x14ac:dyDescent="0.2">
      <c r="A2480" s="21">
        <v>818193</v>
      </c>
      <c r="B2480" s="22">
        <v>302.89999999999998</v>
      </c>
    </row>
    <row r="2481" spans="1:2" x14ac:dyDescent="0.2">
      <c r="A2481" s="21">
        <v>818194</v>
      </c>
      <c r="B2481" s="22">
        <v>342.1</v>
      </c>
    </row>
    <row r="2482" spans="1:2" x14ac:dyDescent="0.2">
      <c r="A2482" s="21">
        <v>818201</v>
      </c>
      <c r="B2482" s="22">
        <v>14</v>
      </c>
    </row>
    <row r="2483" spans="1:2" x14ac:dyDescent="0.2">
      <c r="A2483" s="21">
        <v>818207</v>
      </c>
      <c r="B2483" s="22">
        <v>22</v>
      </c>
    </row>
    <row r="2484" spans="1:2" x14ac:dyDescent="0.2">
      <c r="A2484" s="21">
        <v>818212</v>
      </c>
      <c r="B2484" s="22">
        <v>94.5</v>
      </c>
    </row>
    <row r="2485" spans="1:2" x14ac:dyDescent="0.2">
      <c r="A2485" s="21">
        <v>818213</v>
      </c>
      <c r="B2485" s="22">
        <v>328.15</v>
      </c>
    </row>
    <row r="2486" spans="1:2" x14ac:dyDescent="0.2">
      <c r="A2486" s="21">
        <v>818214</v>
      </c>
      <c r="B2486" s="22">
        <v>446.55</v>
      </c>
    </row>
    <row r="2487" spans="1:2" x14ac:dyDescent="0.2">
      <c r="A2487" s="21">
        <v>818216</v>
      </c>
      <c r="B2487" s="22">
        <v>320.5</v>
      </c>
    </row>
    <row r="2488" spans="1:2" x14ac:dyDescent="0.2">
      <c r="A2488" s="21">
        <v>818217</v>
      </c>
      <c r="B2488" s="22">
        <v>46</v>
      </c>
    </row>
    <row r="2489" spans="1:2" x14ac:dyDescent="0.2">
      <c r="A2489" s="21">
        <v>818218</v>
      </c>
      <c r="B2489" s="22">
        <v>169</v>
      </c>
    </row>
    <row r="2490" spans="1:2" x14ac:dyDescent="0.2">
      <c r="A2490" s="21">
        <v>818221</v>
      </c>
      <c r="B2490" s="22">
        <v>90</v>
      </c>
    </row>
    <row r="2491" spans="1:2" x14ac:dyDescent="0.2">
      <c r="A2491" s="21">
        <v>818227</v>
      </c>
      <c r="B2491" s="22">
        <v>82.5</v>
      </c>
    </row>
    <row r="2492" spans="1:2" x14ac:dyDescent="0.2">
      <c r="A2492" s="21">
        <v>818232</v>
      </c>
      <c r="B2492" s="22">
        <v>65</v>
      </c>
    </row>
    <row r="2493" spans="1:2" x14ac:dyDescent="0.2">
      <c r="A2493" s="21">
        <v>818235</v>
      </c>
      <c r="B2493" s="22">
        <v>157</v>
      </c>
    </row>
    <row r="2494" spans="1:2" x14ac:dyDescent="0.2">
      <c r="A2494" s="21">
        <v>818237</v>
      </c>
      <c r="B2494" s="22">
        <v>83.5</v>
      </c>
    </row>
    <row r="2495" spans="1:2" x14ac:dyDescent="0.2">
      <c r="A2495" s="21">
        <v>818238</v>
      </c>
      <c r="B2495" s="22">
        <v>495</v>
      </c>
    </row>
    <row r="2496" spans="1:2" x14ac:dyDescent="0.2">
      <c r="A2496" s="21">
        <v>818239</v>
      </c>
      <c r="B2496" s="22">
        <v>58</v>
      </c>
    </row>
    <row r="2497" spans="1:2" x14ac:dyDescent="0.2">
      <c r="A2497" s="21">
        <v>818240</v>
      </c>
      <c r="B2497" s="22">
        <v>399.5</v>
      </c>
    </row>
    <row r="2498" spans="1:2" x14ac:dyDescent="0.2">
      <c r="A2498" s="21">
        <v>818250</v>
      </c>
      <c r="B2498" s="22">
        <v>249.5</v>
      </c>
    </row>
    <row r="2499" spans="1:2" x14ac:dyDescent="0.2">
      <c r="A2499" s="21">
        <v>818251</v>
      </c>
      <c r="B2499" s="22">
        <v>140</v>
      </c>
    </row>
    <row r="2500" spans="1:2" x14ac:dyDescent="0.2">
      <c r="A2500" s="21">
        <v>818252</v>
      </c>
      <c r="B2500" s="22">
        <v>273</v>
      </c>
    </row>
    <row r="2501" spans="1:2" x14ac:dyDescent="0.2">
      <c r="A2501" s="21">
        <v>818254</v>
      </c>
      <c r="B2501" s="22">
        <v>442</v>
      </c>
    </row>
    <row r="2502" spans="1:2" x14ac:dyDescent="0.2">
      <c r="A2502" s="21">
        <v>818255</v>
      </c>
      <c r="B2502" s="22">
        <v>98.15</v>
      </c>
    </row>
    <row r="2503" spans="1:2" x14ac:dyDescent="0.2">
      <c r="A2503" s="21">
        <v>818256</v>
      </c>
      <c r="B2503" s="22">
        <v>214.75</v>
      </c>
    </row>
    <row r="2504" spans="1:2" x14ac:dyDescent="0.2">
      <c r="A2504" s="21">
        <v>818257</v>
      </c>
      <c r="B2504" s="22">
        <v>241.65</v>
      </c>
    </row>
    <row r="2505" spans="1:2" x14ac:dyDescent="0.2">
      <c r="A2505" s="21">
        <v>818259</v>
      </c>
      <c r="B2505" s="22">
        <v>404</v>
      </c>
    </row>
    <row r="2506" spans="1:2" x14ac:dyDescent="0.2">
      <c r="A2506" s="21">
        <v>818261</v>
      </c>
      <c r="B2506" s="22">
        <v>70</v>
      </c>
    </row>
    <row r="2507" spans="1:2" x14ac:dyDescent="0.2">
      <c r="A2507" s="21">
        <v>818263</v>
      </c>
      <c r="B2507" s="22">
        <v>190</v>
      </c>
    </row>
    <row r="2508" spans="1:2" x14ac:dyDescent="0.2">
      <c r="A2508" s="21">
        <v>818277</v>
      </c>
      <c r="B2508" s="22">
        <v>15.75</v>
      </c>
    </row>
    <row r="2509" spans="1:2" x14ac:dyDescent="0.2">
      <c r="A2509" s="21">
        <v>818279</v>
      </c>
      <c r="B2509" s="22">
        <v>294</v>
      </c>
    </row>
    <row r="2510" spans="1:2" x14ac:dyDescent="0.2">
      <c r="A2510" s="21">
        <v>818280</v>
      </c>
      <c r="B2510" s="22">
        <v>935</v>
      </c>
    </row>
    <row r="2511" spans="1:2" x14ac:dyDescent="0.2">
      <c r="A2511" s="21">
        <v>818286</v>
      </c>
      <c r="B2511" s="22">
        <v>180</v>
      </c>
    </row>
    <row r="2512" spans="1:2" x14ac:dyDescent="0.2">
      <c r="A2512" s="21">
        <v>818287</v>
      </c>
      <c r="B2512" s="22">
        <v>45</v>
      </c>
    </row>
    <row r="2513" spans="1:2" x14ac:dyDescent="0.2">
      <c r="A2513" s="21">
        <v>818288</v>
      </c>
      <c r="B2513" s="22">
        <v>201</v>
      </c>
    </row>
    <row r="2514" spans="1:2" x14ac:dyDescent="0.2">
      <c r="A2514" s="21">
        <v>818290</v>
      </c>
      <c r="B2514" s="22">
        <v>192.5</v>
      </c>
    </row>
    <row r="2515" spans="1:2" x14ac:dyDescent="0.2">
      <c r="A2515" s="21">
        <v>818292</v>
      </c>
      <c r="B2515" s="22">
        <v>190</v>
      </c>
    </row>
    <row r="2516" spans="1:2" x14ac:dyDescent="0.2">
      <c r="A2516" s="21">
        <v>818293</v>
      </c>
      <c r="B2516" s="22">
        <v>95</v>
      </c>
    </row>
    <row r="2517" spans="1:2" x14ac:dyDescent="0.2">
      <c r="A2517" s="21">
        <v>818294</v>
      </c>
      <c r="B2517" s="22">
        <v>80</v>
      </c>
    </row>
    <row r="2518" spans="1:2" x14ac:dyDescent="0.2">
      <c r="A2518" s="21">
        <v>818295</v>
      </c>
      <c r="B2518" s="22">
        <v>78.5</v>
      </c>
    </row>
    <row r="2519" spans="1:2" x14ac:dyDescent="0.2">
      <c r="A2519" s="21">
        <v>818306</v>
      </c>
      <c r="B2519" s="22">
        <v>693.35</v>
      </c>
    </row>
    <row r="2520" spans="1:2" x14ac:dyDescent="0.2">
      <c r="A2520" s="21">
        <v>818307</v>
      </c>
      <c r="B2520" s="22">
        <v>205.5</v>
      </c>
    </row>
    <row r="2521" spans="1:2" x14ac:dyDescent="0.2">
      <c r="A2521" s="21">
        <v>818317</v>
      </c>
      <c r="B2521" s="22">
        <v>306</v>
      </c>
    </row>
    <row r="2522" spans="1:2" x14ac:dyDescent="0.2">
      <c r="A2522" s="21">
        <v>818324</v>
      </c>
      <c r="B2522" s="22">
        <v>128</v>
      </c>
    </row>
    <row r="2523" spans="1:2" x14ac:dyDescent="0.2">
      <c r="A2523" s="21">
        <v>818325</v>
      </c>
      <c r="B2523" s="22">
        <v>30</v>
      </c>
    </row>
    <row r="2524" spans="1:2" x14ac:dyDescent="0.2">
      <c r="A2524" s="21">
        <v>818326</v>
      </c>
      <c r="B2524" s="22">
        <v>75</v>
      </c>
    </row>
    <row r="2525" spans="1:2" x14ac:dyDescent="0.2">
      <c r="A2525" s="21">
        <v>818328</v>
      </c>
      <c r="B2525" s="22">
        <v>382.5</v>
      </c>
    </row>
    <row r="2526" spans="1:2" x14ac:dyDescent="0.2">
      <c r="A2526" s="21">
        <v>818329</v>
      </c>
      <c r="B2526" s="22">
        <v>106.05</v>
      </c>
    </row>
    <row r="2527" spans="1:2" x14ac:dyDescent="0.2">
      <c r="A2527" s="21">
        <v>818340</v>
      </c>
      <c r="B2527" s="22">
        <v>320</v>
      </c>
    </row>
    <row r="2528" spans="1:2" x14ac:dyDescent="0.2">
      <c r="A2528" s="21">
        <v>818341</v>
      </c>
      <c r="B2528" s="22">
        <v>257.5</v>
      </c>
    </row>
    <row r="2529" spans="1:2" x14ac:dyDescent="0.2">
      <c r="A2529" s="21">
        <v>818342</v>
      </c>
      <c r="B2529" s="22">
        <v>200</v>
      </c>
    </row>
    <row r="2530" spans="1:2" x14ac:dyDescent="0.2">
      <c r="A2530" s="21">
        <v>818343</v>
      </c>
      <c r="B2530" s="22">
        <v>70.5</v>
      </c>
    </row>
    <row r="2531" spans="1:2" x14ac:dyDescent="0.2">
      <c r="A2531" s="21">
        <v>818344</v>
      </c>
      <c r="B2531" s="22">
        <v>135.5</v>
      </c>
    </row>
    <row r="2532" spans="1:2" x14ac:dyDescent="0.2">
      <c r="A2532" s="21">
        <v>818345</v>
      </c>
      <c r="B2532" s="22">
        <v>160</v>
      </c>
    </row>
    <row r="2533" spans="1:2" x14ac:dyDescent="0.2">
      <c r="A2533" s="21">
        <v>818347</v>
      </c>
      <c r="B2533" s="22">
        <v>148.25</v>
      </c>
    </row>
    <row r="2534" spans="1:2" x14ac:dyDescent="0.2">
      <c r="A2534" s="21">
        <v>818354</v>
      </c>
      <c r="B2534" s="22">
        <v>427.2</v>
      </c>
    </row>
    <row r="2535" spans="1:2" x14ac:dyDescent="0.2">
      <c r="A2535" s="21">
        <v>818357</v>
      </c>
      <c r="B2535" s="22">
        <v>67.5</v>
      </c>
    </row>
    <row r="2536" spans="1:2" x14ac:dyDescent="0.2">
      <c r="A2536" s="21">
        <v>818372</v>
      </c>
      <c r="B2536" s="22">
        <v>176.65</v>
      </c>
    </row>
    <row r="2537" spans="1:2" x14ac:dyDescent="0.2">
      <c r="A2537" s="21">
        <v>818375</v>
      </c>
      <c r="B2537" s="22">
        <v>10</v>
      </c>
    </row>
    <row r="2538" spans="1:2" x14ac:dyDescent="0.2">
      <c r="A2538" s="21">
        <v>818376</v>
      </c>
      <c r="B2538" s="22">
        <v>75</v>
      </c>
    </row>
    <row r="2539" spans="1:2" x14ac:dyDescent="0.2">
      <c r="A2539" s="21">
        <v>818391</v>
      </c>
      <c r="B2539" s="22">
        <v>264.5</v>
      </c>
    </row>
    <row r="2540" spans="1:2" x14ac:dyDescent="0.2">
      <c r="A2540" s="21">
        <v>818392</v>
      </c>
      <c r="B2540" s="22">
        <v>30</v>
      </c>
    </row>
    <row r="2541" spans="1:2" x14ac:dyDescent="0.2">
      <c r="A2541" s="21">
        <v>818393</v>
      </c>
      <c r="B2541" s="22">
        <v>75.25</v>
      </c>
    </row>
    <row r="2542" spans="1:2" x14ac:dyDescent="0.2">
      <c r="A2542" s="21">
        <v>818394</v>
      </c>
      <c r="B2542" s="22">
        <v>286.39999999999998</v>
      </c>
    </row>
    <row r="2543" spans="1:2" x14ac:dyDescent="0.2">
      <c r="A2543" s="21">
        <v>818395</v>
      </c>
      <c r="B2543" s="22">
        <v>130.5</v>
      </c>
    </row>
    <row r="2544" spans="1:2" x14ac:dyDescent="0.2">
      <c r="A2544" s="21">
        <v>818404</v>
      </c>
      <c r="B2544" s="22">
        <v>22.5</v>
      </c>
    </row>
    <row r="2545" spans="1:2" x14ac:dyDescent="0.2">
      <c r="A2545" s="21">
        <v>818405</v>
      </c>
      <c r="B2545" s="22">
        <v>5</v>
      </c>
    </row>
    <row r="2546" spans="1:2" x14ac:dyDescent="0.2">
      <c r="A2546" s="21">
        <v>818406</v>
      </c>
      <c r="B2546" s="22">
        <v>230</v>
      </c>
    </row>
    <row r="2547" spans="1:2" x14ac:dyDescent="0.2">
      <c r="A2547" s="21">
        <v>818407</v>
      </c>
      <c r="B2547" s="22">
        <v>240.25</v>
      </c>
    </row>
    <row r="2548" spans="1:2" x14ac:dyDescent="0.2">
      <c r="A2548" s="21">
        <v>818408</v>
      </c>
      <c r="B2548" s="22">
        <v>290.35000000000002</v>
      </c>
    </row>
    <row r="2549" spans="1:2" x14ac:dyDescent="0.2">
      <c r="A2549" s="21">
        <v>818409</v>
      </c>
      <c r="B2549" s="22">
        <v>432.5</v>
      </c>
    </row>
    <row r="2550" spans="1:2" x14ac:dyDescent="0.2">
      <c r="A2550" s="21">
        <v>818410</v>
      </c>
      <c r="B2550" s="22">
        <v>62</v>
      </c>
    </row>
    <row r="2551" spans="1:2" x14ac:dyDescent="0.2">
      <c r="A2551" s="21">
        <v>818411</v>
      </c>
      <c r="B2551" s="22">
        <v>40</v>
      </c>
    </row>
    <row r="2552" spans="1:2" x14ac:dyDescent="0.2">
      <c r="A2552" s="21">
        <v>818412</v>
      </c>
      <c r="B2552" s="22">
        <v>350.99999999999994</v>
      </c>
    </row>
    <row r="2553" spans="1:2" x14ac:dyDescent="0.2">
      <c r="A2553" s="21">
        <v>818414</v>
      </c>
      <c r="B2553" s="22">
        <v>62.5</v>
      </c>
    </row>
    <row r="2554" spans="1:2" x14ac:dyDescent="0.2">
      <c r="A2554" s="21">
        <v>818415</v>
      </c>
      <c r="B2554" s="22">
        <v>30</v>
      </c>
    </row>
    <row r="2555" spans="1:2" x14ac:dyDescent="0.2">
      <c r="A2555" s="21">
        <v>818417</v>
      </c>
      <c r="B2555" s="22">
        <v>70</v>
      </c>
    </row>
    <row r="2556" spans="1:2" x14ac:dyDescent="0.2">
      <c r="A2556" s="21">
        <v>818418</v>
      </c>
      <c r="B2556" s="22">
        <v>43</v>
      </c>
    </row>
    <row r="2557" spans="1:2" x14ac:dyDescent="0.2">
      <c r="A2557" s="21">
        <v>818423</v>
      </c>
      <c r="B2557" s="22">
        <v>131</v>
      </c>
    </row>
    <row r="2558" spans="1:2" x14ac:dyDescent="0.2">
      <c r="A2558" s="21">
        <v>818426</v>
      </c>
      <c r="B2558" s="22">
        <v>35.5</v>
      </c>
    </row>
    <row r="2559" spans="1:2" x14ac:dyDescent="0.2">
      <c r="A2559" s="21">
        <v>818429</v>
      </c>
      <c r="B2559" s="22">
        <v>156.75</v>
      </c>
    </row>
    <row r="2560" spans="1:2" x14ac:dyDescent="0.2">
      <c r="A2560" s="21">
        <v>818437</v>
      </c>
      <c r="B2560" s="22">
        <v>289.5</v>
      </c>
    </row>
    <row r="2561" spans="1:2" x14ac:dyDescent="0.2">
      <c r="A2561" s="21">
        <v>818440</v>
      </c>
      <c r="B2561" s="22">
        <v>464</v>
      </c>
    </row>
    <row r="2562" spans="1:2" x14ac:dyDescent="0.2">
      <c r="A2562" s="21">
        <v>818441</v>
      </c>
      <c r="B2562" s="22">
        <v>949</v>
      </c>
    </row>
    <row r="2563" spans="1:2" x14ac:dyDescent="0.2">
      <c r="A2563" s="21">
        <v>818460</v>
      </c>
      <c r="B2563" s="22">
        <v>25</v>
      </c>
    </row>
    <row r="2564" spans="1:2" x14ac:dyDescent="0.2">
      <c r="A2564" s="21">
        <v>818465</v>
      </c>
      <c r="B2564" s="22">
        <v>295.5</v>
      </c>
    </row>
    <row r="2565" spans="1:2" x14ac:dyDescent="0.2">
      <c r="A2565" s="21">
        <v>818466</v>
      </c>
      <c r="B2565" s="22">
        <v>498.75</v>
      </c>
    </row>
    <row r="2566" spans="1:2" x14ac:dyDescent="0.2">
      <c r="A2566" s="21">
        <v>818468</v>
      </c>
      <c r="B2566" s="22">
        <v>74</v>
      </c>
    </row>
    <row r="2567" spans="1:2" x14ac:dyDescent="0.2">
      <c r="A2567" s="21">
        <v>818469</v>
      </c>
      <c r="B2567" s="22">
        <v>31</v>
      </c>
    </row>
    <row r="2568" spans="1:2" x14ac:dyDescent="0.2">
      <c r="A2568" s="21">
        <v>818477</v>
      </c>
      <c r="B2568" s="22">
        <v>279</v>
      </c>
    </row>
    <row r="2569" spans="1:2" x14ac:dyDescent="0.2">
      <c r="A2569" s="21">
        <v>818478</v>
      </c>
      <c r="B2569" s="22">
        <v>102.5</v>
      </c>
    </row>
    <row r="2570" spans="1:2" x14ac:dyDescent="0.2">
      <c r="A2570" s="21">
        <v>818482</v>
      </c>
      <c r="B2570" s="22">
        <v>85</v>
      </c>
    </row>
    <row r="2571" spans="1:2" x14ac:dyDescent="0.2">
      <c r="A2571" s="21">
        <v>818483</v>
      </c>
      <c r="B2571" s="22">
        <v>764.75</v>
      </c>
    </row>
    <row r="2572" spans="1:2" x14ac:dyDescent="0.2">
      <c r="A2572" s="21">
        <v>818484</v>
      </c>
      <c r="B2572" s="22">
        <v>45</v>
      </c>
    </row>
    <row r="2573" spans="1:2" x14ac:dyDescent="0.2">
      <c r="A2573" s="21">
        <v>818485</v>
      </c>
      <c r="B2573" s="22">
        <v>175.4</v>
      </c>
    </row>
    <row r="2574" spans="1:2" x14ac:dyDescent="0.2">
      <c r="A2574" s="21">
        <v>818487</v>
      </c>
      <c r="B2574" s="22">
        <v>428.8</v>
      </c>
    </row>
    <row r="2575" spans="1:2" x14ac:dyDescent="0.2">
      <c r="A2575" s="21">
        <v>818499</v>
      </c>
      <c r="B2575" s="22">
        <v>82</v>
      </c>
    </row>
    <row r="2576" spans="1:2" x14ac:dyDescent="0.2">
      <c r="A2576" s="21">
        <v>818506</v>
      </c>
      <c r="B2576" s="22">
        <v>21.85</v>
      </c>
    </row>
    <row r="2577" spans="1:2" x14ac:dyDescent="0.2">
      <c r="A2577" s="21">
        <v>818507</v>
      </c>
      <c r="B2577" s="22">
        <v>80.25</v>
      </c>
    </row>
    <row r="2578" spans="1:2" x14ac:dyDescent="0.2">
      <c r="A2578" s="21">
        <v>818511</v>
      </c>
      <c r="B2578" s="22">
        <v>122</v>
      </c>
    </row>
    <row r="2579" spans="1:2" x14ac:dyDescent="0.2">
      <c r="A2579" s="21">
        <v>818513</v>
      </c>
      <c r="B2579" s="22">
        <v>287</v>
      </c>
    </row>
    <row r="2580" spans="1:2" x14ac:dyDescent="0.2">
      <c r="A2580" s="21">
        <v>818514</v>
      </c>
      <c r="B2580" s="22">
        <v>331.5</v>
      </c>
    </row>
    <row r="2581" spans="1:2" x14ac:dyDescent="0.2">
      <c r="A2581" s="21">
        <v>818515</v>
      </c>
      <c r="B2581" s="22">
        <v>112</v>
      </c>
    </row>
    <row r="2582" spans="1:2" x14ac:dyDescent="0.2">
      <c r="A2582" s="21">
        <v>818521</v>
      </c>
      <c r="B2582" s="22">
        <v>349</v>
      </c>
    </row>
    <row r="2583" spans="1:2" x14ac:dyDescent="0.2">
      <c r="A2583" s="21">
        <v>818522</v>
      </c>
      <c r="B2583" s="22">
        <v>230</v>
      </c>
    </row>
    <row r="2584" spans="1:2" x14ac:dyDescent="0.2">
      <c r="A2584" s="21">
        <v>818523</v>
      </c>
      <c r="B2584" s="22">
        <v>155</v>
      </c>
    </row>
    <row r="2585" spans="1:2" x14ac:dyDescent="0.2">
      <c r="A2585" s="21">
        <v>818530</v>
      </c>
      <c r="B2585" s="22">
        <v>227.85</v>
      </c>
    </row>
    <row r="2586" spans="1:2" x14ac:dyDescent="0.2">
      <c r="A2586" s="21">
        <v>818537</v>
      </c>
      <c r="B2586" s="22">
        <v>75</v>
      </c>
    </row>
    <row r="2587" spans="1:2" x14ac:dyDescent="0.2">
      <c r="A2587" s="21">
        <v>818539</v>
      </c>
      <c r="B2587" s="22">
        <v>100</v>
      </c>
    </row>
    <row r="2588" spans="1:2" x14ac:dyDescent="0.2">
      <c r="A2588" s="21">
        <v>818540</v>
      </c>
      <c r="B2588" s="22">
        <v>12.5</v>
      </c>
    </row>
    <row r="2589" spans="1:2" x14ac:dyDescent="0.2">
      <c r="A2589" s="21">
        <v>818541</v>
      </c>
      <c r="B2589" s="22">
        <v>120.5</v>
      </c>
    </row>
    <row r="2590" spans="1:2" x14ac:dyDescent="0.2">
      <c r="A2590" s="21">
        <v>818554</v>
      </c>
      <c r="B2590" s="22">
        <v>65</v>
      </c>
    </row>
    <row r="2591" spans="1:2" x14ac:dyDescent="0.2">
      <c r="A2591" s="21">
        <v>818555</v>
      </c>
      <c r="B2591" s="22">
        <v>833.5</v>
      </c>
    </row>
    <row r="2592" spans="1:2" x14ac:dyDescent="0.2">
      <c r="A2592" s="21">
        <v>818556</v>
      </c>
      <c r="B2592" s="22">
        <v>50</v>
      </c>
    </row>
    <row r="2593" spans="1:2" x14ac:dyDescent="0.2">
      <c r="A2593" s="21">
        <v>818557</v>
      </c>
      <c r="B2593" s="22">
        <v>86.95</v>
      </c>
    </row>
    <row r="2594" spans="1:2" x14ac:dyDescent="0.2">
      <c r="A2594" s="21">
        <v>818566</v>
      </c>
      <c r="B2594" s="22">
        <v>817.5</v>
      </c>
    </row>
    <row r="2595" spans="1:2" x14ac:dyDescent="0.2">
      <c r="A2595" s="21">
        <v>818583</v>
      </c>
      <c r="B2595" s="22">
        <v>493</v>
      </c>
    </row>
    <row r="2596" spans="1:2" x14ac:dyDescent="0.2">
      <c r="A2596" s="21">
        <v>818585</v>
      </c>
      <c r="B2596" s="22">
        <v>506.45</v>
      </c>
    </row>
    <row r="2597" spans="1:2" x14ac:dyDescent="0.2">
      <c r="A2597" s="21">
        <v>818586</v>
      </c>
      <c r="B2597" s="22">
        <v>122.4</v>
      </c>
    </row>
    <row r="2598" spans="1:2" x14ac:dyDescent="0.2">
      <c r="A2598" s="21">
        <v>818587</v>
      </c>
      <c r="B2598" s="22">
        <v>86</v>
      </c>
    </row>
    <row r="2599" spans="1:2" x14ac:dyDescent="0.2">
      <c r="A2599" s="21">
        <v>818588</v>
      </c>
      <c r="B2599" s="22">
        <v>196.5</v>
      </c>
    </row>
    <row r="2600" spans="1:2" x14ac:dyDescent="0.2">
      <c r="A2600" s="21">
        <v>818589</v>
      </c>
      <c r="B2600" s="22">
        <v>32</v>
      </c>
    </row>
    <row r="2601" spans="1:2" x14ac:dyDescent="0.2">
      <c r="A2601" s="21">
        <v>818592</v>
      </c>
      <c r="B2601" s="22">
        <v>836.5</v>
      </c>
    </row>
    <row r="2602" spans="1:2" x14ac:dyDescent="0.2">
      <c r="A2602" s="21">
        <v>818594</v>
      </c>
      <c r="B2602" s="22">
        <v>130</v>
      </c>
    </row>
    <row r="2603" spans="1:2" x14ac:dyDescent="0.2">
      <c r="A2603" s="21">
        <v>818595</v>
      </c>
      <c r="B2603" s="22">
        <v>327</v>
      </c>
    </row>
    <row r="2604" spans="1:2" x14ac:dyDescent="0.2">
      <c r="A2604" s="21">
        <v>818599</v>
      </c>
      <c r="B2604" s="22">
        <v>10</v>
      </c>
    </row>
    <row r="2605" spans="1:2" x14ac:dyDescent="0.2">
      <c r="A2605" s="21">
        <v>818600</v>
      </c>
      <c r="B2605" s="22">
        <v>295</v>
      </c>
    </row>
    <row r="2606" spans="1:2" x14ac:dyDescent="0.2">
      <c r="A2606" s="21">
        <v>818601</v>
      </c>
      <c r="B2606" s="22">
        <v>207</v>
      </c>
    </row>
    <row r="2607" spans="1:2" x14ac:dyDescent="0.2">
      <c r="A2607" s="21">
        <v>818602</v>
      </c>
      <c r="B2607" s="22">
        <v>608.4</v>
      </c>
    </row>
    <row r="2608" spans="1:2" x14ac:dyDescent="0.2">
      <c r="A2608" s="21">
        <v>818607</v>
      </c>
      <c r="B2608" s="22">
        <v>743.5</v>
      </c>
    </row>
    <row r="2609" spans="1:2" x14ac:dyDescent="0.2">
      <c r="A2609" s="21">
        <v>818608</v>
      </c>
      <c r="B2609" s="22">
        <v>542.5</v>
      </c>
    </row>
    <row r="2610" spans="1:2" x14ac:dyDescent="0.2">
      <c r="A2610" s="21">
        <v>818611</v>
      </c>
      <c r="B2610" s="22">
        <v>96.5</v>
      </c>
    </row>
    <row r="2611" spans="1:2" x14ac:dyDescent="0.2">
      <c r="A2611" s="21">
        <v>818621</v>
      </c>
      <c r="B2611" s="22">
        <v>44</v>
      </c>
    </row>
    <row r="2612" spans="1:2" x14ac:dyDescent="0.2">
      <c r="A2612" s="21">
        <v>818622</v>
      </c>
      <c r="B2612" s="22">
        <v>684.5</v>
      </c>
    </row>
    <row r="2613" spans="1:2" x14ac:dyDescent="0.2">
      <c r="A2613" s="21">
        <v>818623</v>
      </c>
      <c r="B2613" s="22">
        <v>151</v>
      </c>
    </row>
    <row r="2614" spans="1:2" x14ac:dyDescent="0.2">
      <c r="A2614" s="21">
        <v>818634</v>
      </c>
      <c r="B2614" s="22">
        <v>200</v>
      </c>
    </row>
    <row r="2615" spans="1:2" x14ac:dyDescent="0.2">
      <c r="A2615" s="21">
        <v>818635</v>
      </c>
      <c r="B2615" s="22">
        <v>142.5</v>
      </c>
    </row>
    <row r="2616" spans="1:2" x14ac:dyDescent="0.2">
      <c r="A2616" s="21">
        <v>818636</v>
      </c>
      <c r="B2616" s="22">
        <v>166</v>
      </c>
    </row>
    <row r="2617" spans="1:2" x14ac:dyDescent="0.2">
      <c r="A2617" s="21">
        <v>818637</v>
      </c>
      <c r="B2617" s="22">
        <v>660.5</v>
      </c>
    </row>
    <row r="2618" spans="1:2" x14ac:dyDescent="0.2">
      <c r="A2618" s="21">
        <v>818649</v>
      </c>
      <c r="B2618" s="22">
        <v>140</v>
      </c>
    </row>
    <row r="2619" spans="1:2" x14ac:dyDescent="0.2">
      <c r="A2619" s="21">
        <v>818653</v>
      </c>
      <c r="B2619" s="22">
        <v>198</v>
      </c>
    </row>
    <row r="2620" spans="1:2" x14ac:dyDescent="0.2">
      <c r="A2620" s="21">
        <v>818656</v>
      </c>
      <c r="B2620" s="22">
        <v>395.05</v>
      </c>
    </row>
    <row r="2621" spans="1:2" x14ac:dyDescent="0.2">
      <c r="A2621" s="21">
        <v>818661</v>
      </c>
      <c r="B2621" s="22">
        <v>1422.2</v>
      </c>
    </row>
    <row r="2622" spans="1:2" x14ac:dyDescent="0.2">
      <c r="A2622" s="21">
        <v>818662</v>
      </c>
      <c r="B2622" s="22">
        <v>257.5</v>
      </c>
    </row>
    <row r="2623" spans="1:2" x14ac:dyDescent="0.2">
      <c r="A2623" s="21">
        <v>818663</v>
      </c>
      <c r="B2623" s="22">
        <v>54</v>
      </c>
    </row>
    <row r="2624" spans="1:2" x14ac:dyDescent="0.2">
      <c r="A2624" s="21">
        <v>818670</v>
      </c>
      <c r="B2624" s="22">
        <v>91</v>
      </c>
    </row>
    <row r="2625" spans="1:2" x14ac:dyDescent="0.2">
      <c r="A2625" s="21">
        <v>818675</v>
      </c>
      <c r="B2625" s="22">
        <v>135.25</v>
      </c>
    </row>
    <row r="2626" spans="1:2" x14ac:dyDescent="0.2">
      <c r="A2626" s="21">
        <v>818677</v>
      </c>
      <c r="B2626" s="22">
        <v>71</v>
      </c>
    </row>
    <row r="2627" spans="1:2" x14ac:dyDescent="0.2">
      <c r="A2627" s="21">
        <v>818684</v>
      </c>
      <c r="B2627" s="22">
        <v>151</v>
      </c>
    </row>
    <row r="2628" spans="1:2" x14ac:dyDescent="0.2">
      <c r="A2628" s="21">
        <v>818702</v>
      </c>
      <c r="B2628" s="22">
        <v>336.45</v>
      </c>
    </row>
    <row r="2629" spans="1:2" x14ac:dyDescent="0.2">
      <c r="A2629" s="21">
        <v>818709</v>
      </c>
      <c r="B2629" s="22">
        <v>596.4</v>
      </c>
    </row>
    <row r="2630" spans="1:2" x14ac:dyDescent="0.2">
      <c r="A2630" s="21">
        <v>818710</v>
      </c>
      <c r="B2630" s="22">
        <v>62.75</v>
      </c>
    </row>
    <row r="2631" spans="1:2" x14ac:dyDescent="0.2">
      <c r="A2631" s="21">
        <v>818718</v>
      </c>
      <c r="B2631" s="22">
        <v>317.5</v>
      </c>
    </row>
    <row r="2632" spans="1:2" x14ac:dyDescent="0.2">
      <c r="A2632" s="21">
        <v>818726</v>
      </c>
      <c r="B2632" s="22">
        <v>138.5</v>
      </c>
    </row>
    <row r="2633" spans="1:2" x14ac:dyDescent="0.2">
      <c r="A2633" s="21">
        <v>818730</v>
      </c>
      <c r="B2633" s="22">
        <v>80</v>
      </c>
    </row>
    <row r="2634" spans="1:2" x14ac:dyDescent="0.2">
      <c r="A2634" s="21">
        <v>818731</v>
      </c>
      <c r="B2634" s="22">
        <v>280.7</v>
      </c>
    </row>
    <row r="2635" spans="1:2" x14ac:dyDescent="0.2">
      <c r="A2635" s="21">
        <v>818736</v>
      </c>
      <c r="B2635" s="22">
        <v>114.5</v>
      </c>
    </row>
    <row r="2636" spans="1:2" x14ac:dyDescent="0.2">
      <c r="A2636" s="21">
        <v>818744</v>
      </c>
      <c r="B2636" s="22">
        <v>289</v>
      </c>
    </row>
    <row r="2637" spans="1:2" x14ac:dyDescent="0.2">
      <c r="A2637" s="21">
        <v>818748</v>
      </c>
      <c r="B2637" s="22">
        <v>170.25</v>
      </c>
    </row>
    <row r="2638" spans="1:2" x14ac:dyDescent="0.2">
      <c r="A2638" s="21">
        <v>818749</v>
      </c>
      <c r="B2638" s="22">
        <v>109</v>
      </c>
    </row>
    <row r="2639" spans="1:2" x14ac:dyDescent="0.2">
      <c r="A2639" s="21">
        <v>818750</v>
      </c>
      <c r="B2639" s="22">
        <v>108</v>
      </c>
    </row>
    <row r="2640" spans="1:2" x14ac:dyDescent="0.2">
      <c r="A2640" s="21">
        <v>818765</v>
      </c>
      <c r="B2640" s="22">
        <v>253.2</v>
      </c>
    </row>
    <row r="2641" spans="1:2" x14ac:dyDescent="0.2">
      <c r="A2641" s="21">
        <v>818771</v>
      </c>
      <c r="B2641" s="22">
        <v>542</v>
      </c>
    </row>
    <row r="2642" spans="1:2" x14ac:dyDescent="0.2">
      <c r="A2642" s="21">
        <v>818782</v>
      </c>
      <c r="B2642" s="22">
        <v>20</v>
      </c>
    </row>
    <row r="2643" spans="1:2" x14ac:dyDescent="0.2">
      <c r="A2643" s="21">
        <v>818790</v>
      </c>
      <c r="B2643" s="22">
        <v>269.35000000000002</v>
      </c>
    </row>
    <row r="2644" spans="1:2" x14ac:dyDescent="0.2">
      <c r="A2644" s="21">
        <v>818805</v>
      </c>
      <c r="B2644" s="22">
        <v>85</v>
      </c>
    </row>
    <row r="2645" spans="1:2" x14ac:dyDescent="0.2">
      <c r="A2645" s="21">
        <v>818806</v>
      </c>
      <c r="B2645" s="22">
        <v>160</v>
      </c>
    </row>
    <row r="2646" spans="1:2" x14ac:dyDescent="0.2">
      <c r="A2646" s="21">
        <v>818808</v>
      </c>
      <c r="B2646" s="22">
        <v>330</v>
      </c>
    </row>
    <row r="2647" spans="1:2" x14ac:dyDescent="0.2">
      <c r="A2647" s="21">
        <v>818809</v>
      </c>
      <c r="B2647" s="22">
        <v>66</v>
      </c>
    </row>
    <row r="2648" spans="1:2" x14ac:dyDescent="0.2">
      <c r="A2648" s="21">
        <v>818810</v>
      </c>
      <c r="B2648" s="22">
        <v>42.5</v>
      </c>
    </row>
    <row r="2649" spans="1:2" x14ac:dyDescent="0.2">
      <c r="A2649" s="21">
        <v>818811</v>
      </c>
      <c r="B2649" s="22">
        <v>296.5</v>
      </c>
    </row>
    <row r="2650" spans="1:2" x14ac:dyDescent="0.2">
      <c r="A2650" s="21">
        <v>818812</v>
      </c>
      <c r="B2650" s="22">
        <v>1125.5</v>
      </c>
    </row>
    <row r="2651" spans="1:2" x14ac:dyDescent="0.2">
      <c r="A2651" s="21">
        <v>818815</v>
      </c>
      <c r="B2651" s="22">
        <v>102.5</v>
      </c>
    </row>
    <row r="2652" spans="1:2" x14ac:dyDescent="0.2">
      <c r="A2652" s="21">
        <v>818816</v>
      </c>
      <c r="B2652" s="22">
        <v>160</v>
      </c>
    </row>
    <row r="2653" spans="1:2" x14ac:dyDescent="0.2">
      <c r="A2653" s="21">
        <v>818837</v>
      </c>
      <c r="B2653" s="22">
        <v>112</v>
      </c>
    </row>
    <row r="2654" spans="1:2" x14ac:dyDescent="0.2">
      <c r="A2654" s="21">
        <v>818838</v>
      </c>
      <c r="B2654" s="22">
        <v>124.75</v>
      </c>
    </row>
    <row r="2655" spans="1:2" x14ac:dyDescent="0.2">
      <c r="A2655" s="21">
        <v>818839</v>
      </c>
      <c r="B2655" s="22">
        <v>135</v>
      </c>
    </row>
    <row r="2656" spans="1:2" x14ac:dyDescent="0.2">
      <c r="A2656" s="21">
        <v>818840</v>
      </c>
      <c r="B2656" s="22">
        <v>40</v>
      </c>
    </row>
    <row r="2657" spans="1:2" x14ac:dyDescent="0.2">
      <c r="A2657" s="21">
        <v>818846</v>
      </c>
      <c r="B2657" s="22">
        <v>200</v>
      </c>
    </row>
    <row r="2658" spans="1:2" x14ac:dyDescent="0.2">
      <c r="A2658" s="21">
        <v>818847</v>
      </c>
      <c r="B2658" s="22">
        <v>399.3</v>
      </c>
    </row>
    <row r="2659" spans="1:2" x14ac:dyDescent="0.2">
      <c r="A2659" s="21">
        <v>818848</v>
      </c>
      <c r="B2659" s="22">
        <v>100.75</v>
      </c>
    </row>
    <row r="2660" spans="1:2" x14ac:dyDescent="0.2">
      <c r="A2660" s="21">
        <v>818849</v>
      </c>
      <c r="B2660" s="22">
        <v>490.75</v>
      </c>
    </row>
    <row r="2661" spans="1:2" x14ac:dyDescent="0.2">
      <c r="A2661" s="21">
        <v>818850</v>
      </c>
      <c r="B2661" s="22">
        <v>91.5</v>
      </c>
    </row>
    <row r="2662" spans="1:2" x14ac:dyDescent="0.2">
      <c r="A2662" s="21">
        <v>818851</v>
      </c>
      <c r="B2662" s="22">
        <v>379</v>
      </c>
    </row>
    <row r="2663" spans="1:2" x14ac:dyDescent="0.2">
      <c r="A2663" s="21">
        <v>818858</v>
      </c>
      <c r="B2663" s="22">
        <v>295.3</v>
      </c>
    </row>
    <row r="2664" spans="1:2" x14ac:dyDescent="0.2">
      <c r="A2664" s="21">
        <v>818861</v>
      </c>
      <c r="B2664" s="22">
        <v>293</v>
      </c>
    </row>
    <row r="2665" spans="1:2" x14ac:dyDescent="0.2">
      <c r="A2665" s="21">
        <v>818867</v>
      </c>
      <c r="B2665" s="22">
        <v>174.5</v>
      </c>
    </row>
    <row r="2666" spans="1:2" x14ac:dyDescent="0.2">
      <c r="A2666" s="21">
        <v>818870</v>
      </c>
      <c r="B2666" s="22">
        <v>72</v>
      </c>
    </row>
    <row r="2667" spans="1:2" x14ac:dyDescent="0.2">
      <c r="A2667" s="21">
        <v>818878</v>
      </c>
      <c r="B2667" s="22">
        <v>481.75</v>
      </c>
    </row>
    <row r="2668" spans="1:2" x14ac:dyDescent="0.2">
      <c r="A2668" s="21">
        <v>818883</v>
      </c>
      <c r="B2668" s="22">
        <v>184.15</v>
      </c>
    </row>
    <row r="2669" spans="1:2" x14ac:dyDescent="0.2">
      <c r="A2669" s="21">
        <v>818884</v>
      </c>
      <c r="B2669" s="22">
        <v>376.75</v>
      </c>
    </row>
    <row r="2670" spans="1:2" x14ac:dyDescent="0.2">
      <c r="A2670" s="21">
        <v>818892</v>
      </c>
      <c r="B2670" s="22">
        <v>70</v>
      </c>
    </row>
    <row r="2671" spans="1:2" x14ac:dyDescent="0.2">
      <c r="A2671" s="21">
        <v>818899</v>
      </c>
      <c r="B2671" s="22">
        <v>405.5</v>
      </c>
    </row>
    <row r="2672" spans="1:2" x14ac:dyDescent="0.2">
      <c r="A2672" s="21">
        <v>818901</v>
      </c>
      <c r="B2672" s="22">
        <v>114</v>
      </c>
    </row>
    <row r="2673" spans="1:2" x14ac:dyDescent="0.2">
      <c r="A2673" s="21">
        <v>818902</v>
      </c>
      <c r="B2673" s="22">
        <v>840.5</v>
      </c>
    </row>
    <row r="2674" spans="1:2" x14ac:dyDescent="0.2">
      <c r="A2674" s="21">
        <v>818907</v>
      </c>
      <c r="B2674" s="22">
        <v>10</v>
      </c>
    </row>
    <row r="2675" spans="1:2" x14ac:dyDescent="0.2">
      <c r="A2675" s="21">
        <v>818908</v>
      </c>
      <c r="B2675" s="22">
        <v>142</v>
      </c>
    </row>
    <row r="2676" spans="1:2" x14ac:dyDescent="0.2">
      <c r="A2676" s="21">
        <v>818909</v>
      </c>
      <c r="B2676" s="22">
        <v>485.1</v>
      </c>
    </row>
    <row r="2677" spans="1:2" x14ac:dyDescent="0.2">
      <c r="A2677" s="21">
        <v>818910</v>
      </c>
      <c r="B2677" s="22">
        <v>398.5</v>
      </c>
    </row>
    <row r="2678" spans="1:2" x14ac:dyDescent="0.2">
      <c r="A2678" s="21">
        <v>818912</v>
      </c>
      <c r="B2678" s="22">
        <v>27</v>
      </c>
    </row>
    <row r="2679" spans="1:2" x14ac:dyDescent="0.2">
      <c r="A2679" s="21">
        <v>818913</v>
      </c>
      <c r="B2679" s="22">
        <v>41</v>
      </c>
    </row>
    <row r="2680" spans="1:2" x14ac:dyDescent="0.2">
      <c r="A2680" s="21">
        <v>818943</v>
      </c>
      <c r="B2680" s="22">
        <v>259.25</v>
      </c>
    </row>
    <row r="2681" spans="1:2" x14ac:dyDescent="0.2">
      <c r="A2681" s="21">
        <v>818945</v>
      </c>
      <c r="B2681" s="22">
        <v>792.8</v>
      </c>
    </row>
    <row r="2682" spans="1:2" x14ac:dyDescent="0.2">
      <c r="A2682" s="21">
        <v>818946</v>
      </c>
      <c r="B2682" s="22">
        <v>369</v>
      </c>
    </row>
    <row r="2683" spans="1:2" x14ac:dyDescent="0.2">
      <c r="A2683" s="21">
        <v>818958</v>
      </c>
      <c r="B2683" s="22">
        <v>264.14999999999998</v>
      </c>
    </row>
    <row r="2684" spans="1:2" x14ac:dyDescent="0.2">
      <c r="A2684" s="21">
        <v>818959</v>
      </c>
      <c r="B2684" s="22">
        <v>185.5</v>
      </c>
    </row>
    <row r="2685" spans="1:2" x14ac:dyDescent="0.2">
      <c r="A2685" s="21">
        <v>818966</v>
      </c>
      <c r="B2685" s="22">
        <v>252.55</v>
      </c>
    </row>
    <row r="2686" spans="1:2" x14ac:dyDescent="0.2">
      <c r="A2686" s="21">
        <v>818969</v>
      </c>
      <c r="B2686" s="22">
        <v>67</v>
      </c>
    </row>
    <row r="2687" spans="1:2" x14ac:dyDescent="0.2">
      <c r="A2687" s="21">
        <v>818970</v>
      </c>
      <c r="B2687" s="22">
        <v>240</v>
      </c>
    </row>
    <row r="2688" spans="1:2" x14ac:dyDescent="0.2">
      <c r="A2688" s="21">
        <v>818973</v>
      </c>
      <c r="B2688" s="22">
        <v>154.80000000000001</v>
      </c>
    </row>
    <row r="2689" spans="1:2" x14ac:dyDescent="0.2">
      <c r="A2689" s="21">
        <v>818974</v>
      </c>
      <c r="B2689" s="22">
        <v>187.25</v>
      </c>
    </row>
    <row r="2690" spans="1:2" x14ac:dyDescent="0.2">
      <c r="A2690" s="21">
        <v>818983</v>
      </c>
      <c r="B2690" s="22">
        <v>513.75</v>
      </c>
    </row>
    <row r="2691" spans="1:2" x14ac:dyDescent="0.2">
      <c r="A2691" s="21">
        <v>818986</v>
      </c>
      <c r="B2691" s="22">
        <v>52.5</v>
      </c>
    </row>
    <row r="2692" spans="1:2" x14ac:dyDescent="0.2">
      <c r="A2692" s="21">
        <v>818996</v>
      </c>
      <c r="B2692" s="22">
        <v>92.75</v>
      </c>
    </row>
    <row r="2693" spans="1:2" x14ac:dyDescent="0.2">
      <c r="A2693" s="21">
        <v>818997</v>
      </c>
      <c r="B2693" s="22">
        <v>266.5</v>
      </c>
    </row>
    <row r="2694" spans="1:2" x14ac:dyDescent="0.2">
      <c r="A2694" s="21">
        <v>818998</v>
      </c>
      <c r="B2694" s="22">
        <v>130</v>
      </c>
    </row>
    <row r="2695" spans="1:2" x14ac:dyDescent="0.2">
      <c r="A2695" s="21">
        <v>819004</v>
      </c>
      <c r="B2695" s="22">
        <v>81.5</v>
      </c>
    </row>
    <row r="2696" spans="1:2" x14ac:dyDescent="0.2">
      <c r="A2696" s="21">
        <v>819023</v>
      </c>
      <c r="B2696" s="22">
        <v>720.5</v>
      </c>
    </row>
    <row r="2697" spans="1:2" x14ac:dyDescent="0.2">
      <c r="A2697" s="21">
        <v>819025</v>
      </c>
      <c r="B2697" s="22">
        <v>249.2</v>
      </c>
    </row>
    <row r="2698" spans="1:2" x14ac:dyDescent="0.2">
      <c r="A2698" s="21">
        <v>819045</v>
      </c>
      <c r="B2698" s="22">
        <v>456.25</v>
      </c>
    </row>
    <row r="2699" spans="1:2" x14ac:dyDescent="0.2">
      <c r="A2699" s="21">
        <v>819046</v>
      </c>
      <c r="B2699" s="22">
        <v>51</v>
      </c>
    </row>
    <row r="2700" spans="1:2" x14ac:dyDescent="0.2">
      <c r="A2700" s="21">
        <v>819047</v>
      </c>
      <c r="B2700" s="22">
        <v>48.4</v>
      </c>
    </row>
    <row r="2701" spans="1:2" x14ac:dyDescent="0.2">
      <c r="A2701" s="21">
        <v>819055</v>
      </c>
      <c r="B2701" s="22">
        <v>305</v>
      </c>
    </row>
    <row r="2702" spans="1:2" x14ac:dyDescent="0.2">
      <c r="A2702" s="21">
        <v>819056</v>
      </c>
      <c r="B2702" s="22">
        <v>245</v>
      </c>
    </row>
    <row r="2703" spans="1:2" x14ac:dyDescent="0.2">
      <c r="A2703" s="21">
        <v>819063</v>
      </c>
      <c r="B2703" s="22">
        <v>35</v>
      </c>
    </row>
    <row r="2704" spans="1:2" x14ac:dyDescent="0.2">
      <c r="A2704" s="21">
        <v>819066</v>
      </c>
      <c r="B2704" s="22">
        <v>47.5</v>
      </c>
    </row>
    <row r="2705" spans="1:2" x14ac:dyDescent="0.2">
      <c r="A2705" s="21">
        <v>819089</v>
      </c>
      <c r="B2705" s="22">
        <v>236.25</v>
      </c>
    </row>
    <row r="2706" spans="1:2" x14ac:dyDescent="0.2">
      <c r="A2706" s="21">
        <v>819102</v>
      </c>
      <c r="B2706" s="22">
        <v>121</v>
      </c>
    </row>
    <row r="2707" spans="1:2" x14ac:dyDescent="0.2">
      <c r="A2707" s="21">
        <v>819131</v>
      </c>
      <c r="B2707" s="22">
        <v>40</v>
      </c>
    </row>
    <row r="2708" spans="1:2" x14ac:dyDescent="0.2">
      <c r="A2708" s="21">
        <v>819133</v>
      </c>
      <c r="B2708" s="22">
        <v>142.75</v>
      </c>
    </row>
    <row r="2709" spans="1:2" x14ac:dyDescent="0.2">
      <c r="A2709" s="21">
        <v>819134</v>
      </c>
      <c r="B2709" s="22">
        <v>137.25</v>
      </c>
    </row>
    <row r="2710" spans="1:2" x14ac:dyDescent="0.2">
      <c r="A2710" s="21">
        <v>819136</v>
      </c>
      <c r="B2710" s="22">
        <v>352</v>
      </c>
    </row>
    <row r="2711" spans="1:2" x14ac:dyDescent="0.2">
      <c r="A2711" s="21">
        <v>819150</v>
      </c>
      <c r="B2711" s="22">
        <v>80</v>
      </c>
    </row>
    <row r="2712" spans="1:2" x14ac:dyDescent="0.2">
      <c r="A2712" s="21">
        <v>819152</v>
      </c>
      <c r="B2712" s="22">
        <v>10</v>
      </c>
    </row>
    <row r="2713" spans="1:2" x14ac:dyDescent="0.2">
      <c r="A2713" s="21">
        <v>819153</v>
      </c>
      <c r="B2713" s="22">
        <v>51.5</v>
      </c>
    </row>
    <row r="2714" spans="1:2" x14ac:dyDescent="0.2">
      <c r="A2714" s="21">
        <v>819165</v>
      </c>
      <c r="B2714" s="22">
        <v>177</v>
      </c>
    </row>
    <row r="2715" spans="1:2" x14ac:dyDescent="0.2">
      <c r="A2715" s="21">
        <v>819168</v>
      </c>
      <c r="B2715" s="22">
        <v>99</v>
      </c>
    </row>
    <row r="2716" spans="1:2" x14ac:dyDescent="0.2">
      <c r="A2716" s="21">
        <v>819178</v>
      </c>
      <c r="B2716" s="22">
        <v>393.84999999999997</v>
      </c>
    </row>
    <row r="2717" spans="1:2" x14ac:dyDescent="0.2">
      <c r="A2717" s="21">
        <v>819180</v>
      </c>
      <c r="B2717" s="22">
        <v>270.39999999999998</v>
      </c>
    </row>
    <row r="2718" spans="1:2" x14ac:dyDescent="0.2">
      <c r="A2718" s="21">
        <v>819182</v>
      </c>
      <c r="B2718" s="22">
        <v>457.9</v>
      </c>
    </row>
    <row r="2719" spans="1:2" x14ac:dyDescent="0.2">
      <c r="A2719" s="21">
        <v>819183</v>
      </c>
      <c r="B2719" s="22">
        <v>502.8</v>
      </c>
    </row>
    <row r="2720" spans="1:2" x14ac:dyDescent="0.2">
      <c r="A2720" s="21">
        <v>819197</v>
      </c>
      <c r="B2720" s="22">
        <v>70</v>
      </c>
    </row>
    <row r="2721" spans="1:2" x14ac:dyDescent="0.2">
      <c r="A2721" s="21">
        <v>819218</v>
      </c>
      <c r="B2721" s="22">
        <v>70</v>
      </c>
    </row>
    <row r="2722" spans="1:2" x14ac:dyDescent="0.2">
      <c r="A2722" s="21">
        <v>819219</v>
      </c>
      <c r="B2722" s="22">
        <v>139.5</v>
      </c>
    </row>
    <row r="2723" spans="1:2" x14ac:dyDescent="0.2">
      <c r="A2723" s="21">
        <v>819222</v>
      </c>
      <c r="B2723" s="22">
        <v>206.5</v>
      </c>
    </row>
    <row r="2724" spans="1:2" x14ac:dyDescent="0.2">
      <c r="A2724" s="21">
        <v>819227</v>
      </c>
      <c r="B2724" s="22">
        <v>80.75</v>
      </c>
    </row>
    <row r="2725" spans="1:2" x14ac:dyDescent="0.2">
      <c r="A2725" s="21">
        <v>819232</v>
      </c>
      <c r="B2725" s="22">
        <v>10</v>
      </c>
    </row>
    <row r="2726" spans="1:2" x14ac:dyDescent="0.2">
      <c r="A2726" s="21">
        <v>819239</v>
      </c>
      <c r="B2726" s="22">
        <v>96.5</v>
      </c>
    </row>
    <row r="2727" spans="1:2" x14ac:dyDescent="0.2">
      <c r="A2727" s="21">
        <v>819240</v>
      </c>
      <c r="B2727" s="22">
        <v>218.5</v>
      </c>
    </row>
    <row r="2728" spans="1:2" x14ac:dyDescent="0.2">
      <c r="A2728" s="21">
        <v>819242</v>
      </c>
      <c r="B2728" s="22">
        <v>455</v>
      </c>
    </row>
    <row r="2729" spans="1:2" x14ac:dyDescent="0.2">
      <c r="A2729" s="21">
        <v>819248</v>
      </c>
      <c r="B2729" s="22">
        <v>130.44999999999999</v>
      </c>
    </row>
    <row r="2730" spans="1:2" x14ac:dyDescent="0.2">
      <c r="A2730" s="21">
        <v>819249</v>
      </c>
      <c r="B2730" s="22">
        <v>344.3</v>
      </c>
    </row>
    <row r="2731" spans="1:2" x14ac:dyDescent="0.2">
      <c r="A2731" s="21">
        <v>819253</v>
      </c>
      <c r="B2731" s="22">
        <v>27.5</v>
      </c>
    </row>
    <row r="2732" spans="1:2" x14ac:dyDescent="0.2">
      <c r="A2732" s="21">
        <v>819259</v>
      </c>
      <c r="B2732" s="22">
        <v>299.5</v>
      </c>
    </row>
    <row r="2733" spans="1:2" x14ac:dyDescent="0.2">
      <c r="A2733" s="21">
        <v>819273</v>
      </c>
      <c r="B2733" s="22">
        <v>137</v>
      </c>
    </row>
    <row r="2734" spans="1:2" x14ac:dyDescent="0.2">
      <c r="A2734" s="21">
        <v>819319</v>
      </c>
      <c r="B2734" s="22">
        <v>338</v>
      </c>
    </row>
    <row r="2735" spans="1:2" x14ac:dyDescent="0.2">
      <c r="A2735" s="21">
        <v>819325</v>
      </c>
      <c r="B2735" s="22">
        <v>81</v>
      </c>
    </row>
    <row r="2736" spans="1:2" x14ac:dyDescent="0.2">
      <c r="A2736" s="21">
        <v>819326</v>
      </c>
      <c r="B2736" s="22">
        <v>344.5</v>
      </c>
    </row>
    <row r="2737" spans="1:2" x14ac:dyDescent="0.2">
      <c r="A2737" s="21">
        <v>819328</v>
      </c>
      <c r="B2737" s="22">
        <v>103.05</v>
      </c>
    </row>
    <row r="2738" spans="1:2" x14ac:dyDescent="0.2">
      <c r="A2738" s="21">
        <v>819329</v>
      </c>
      <c r="B2738" s="22">
        <v>111.75</v>
      </c>
    </row>
    <row r="2739" spans="1:2" x14ac:dyDescent="0.2">
      <c r="A2739" s="21">
        <v>819331</v>
      </c>
      <c r="B2739" s="22">
        <v>235.70000000000002</v>
      </c>
    </row>
    <row r="2740" spans="1:2" x14ac:dyDescent="0.2">
      <c r="A2740" s="21">
        <v>819337</v>
      </c>
      <c r="B2740" s="22">
        <v>178.25</v>
      </c>
    </row>
    <row r="2741" spans="1:2" x14ac:dyDescent="0.2">
      <c r="A2741" s="21">
        <v>819350</v>
      </c>
      <c r="B2741" s="22">
        <v>431.4</v>
      </c>
    </row>
    <row r="2742" spans="1:2" x14ac:dyDescent="0.2">
      <c r="A2742" s="21">
        <v>819351</v>
      </c>
      <c r="B2742" s="22">
        <v>90</v>
      </c>
    </row>
    <row r="2743" spans="1:2" x14ac:dyDescent="0.2">
      <c r="A2743" s="21">
        <v>819356</v>
      </c>
      <c r="B2743" s="22">
        <v>90</v>
      </c>
    </row>
    <row r="2744" spans="1:2" x14ac:dyDescent="0.2">
      <c r="A2744" s="21">
        <v>819371</v>
      </c>
      <c r="B2744" s="22">
        <v>295</v>
      </c>
    </row>
    <row r="2745" spans="1:2" x14ac:dyDescent="0.2">
      <c r="A2745" s="21">
        <v>819375</v>
      </c>
      <c r="B2745" s="22">
        <v>111.75</v>
      </c>
    </row>
    <row r="2746" spans="1:2" x14ac:dyDescent="0.2">
      <c r="A2746" s="21">
        <v>819388</v>
      </c>
      <c r="B2746" s="22">
        <v>134</v>
      </c>
    </row>
    <row r="2747" spans="1:2" x14ac:dyDescent="0.2">
      <c r="A2747" s="21">
        <v>819390</v>
      </c>
      <c r="B2747" s="22">
        <v>225</v>
      </c>
    </row>
    <row r="2748" spans="1:2" x14ac:dyDescent="0.2">
      <c r="A2748" s="21">
        <v>819391</v>
      </c>
      <c r="B2748" s="22">
        <v>54</v>
      </c>
    </row>
    <row r="2749" spans="1:2" x14ac:dyDescent="0.2">
      <c r="A2749" s="21">
        <v>819392</v>
      </c>
      <c r="B2749" s="22">
        <v>272</v>
      </c>
    </row>
    <row r="2750" spans="1:2" x14ac:dyDescent="0.2">
      <c r="A2750" s="21">
        <v>819394</v>
      </c>
      <c r="B2750" s="22">
        <v>564</v>
      </c>
    </row>
    <row r="2751" spans="1:2" x14ac:dyDescent="0.2">
      <c r="A2751" s="21">
        <v>819398</v>
      </c>
      <c r="B2751" s="22">
        <v>402</v>
      </c>
    </row>
    <row r="2752" spans="1:2" x14ac:dyDescent="0.2">
      <c r="A2752" s="21">
        <v>819401</v>
      </c>
      <c r="B2752" s="22">
        <v>70</v>
      </c>
    </row>
    <row r="2753" spans="1:2" x14ac:dyDescent="0.2">
      <c r="A2753" s="21">
        <v>819406</v>
      </c>
      <c r="B2753" s="22">
        <v>149.5</v>
      </c>
    </row>
    <row r="2754" spans="1:2" x14ac:dyDescent="0.2">
      <c r="A2754" s="21">
        <v>819420</v>
      </c>
      <c r="B2754" s="22">
        <v>177.5</v>
      </c>
    </row>
    <row r="2755" spans="1:2" x14ac:dyDescent="0.2">
      <c r="A2755" s="21">
        <v>819421</v>
      </c>
      <c r="B2755" s="22">
        <v>65</v>
      </c>
    </row>
    <row r="2756" spans="1:2" x14ac:dyDescent="0.2">
      <c r="A2756" s="21">
        <v>819422</v>
      </c>
      <c r="B2756" s="22">
        <v>55</v>
      </c>
    </row>
    <row r="2757" spans="1:2" x14ac:dyDescent="0.2">
      <c r="A2757" s="21">
        <v>819423</v>
      </c>
      <c r="B2757" s="22">
        <v>224.75</v>
      </c>
    </row>
    <row r="2758" spans="1:2" x14ac:dyDescent="0.2">
      <c r="A2758" s="21">
        <v>819425</v>
      </c>
      <c r="B2758" s="22">
        <v>15</v>
      </c>
    </row>
    <row r="2759" spans="1:2" x14ac:dyDescent="0.2">
      <c r="A2759" s="21">
        <v>819426</v>
      </c>
      <c r="B2759" s="22">
        <v>62.5</v>
      </c>
    </row>
    <row r="2760" spans="1:2" x14ac:dyDescent="0.2">
      <c r="A2760" s="21">
        <v>819428</v>
      </c>
      <c r="B2760" s="22">
        <v>55.5</v>
      </c>
    </row>
    <row r="2761" spans="1:2" x14ac:dyDescent="0.2">
      <c r="A2761" s="21">
        <v>819429</v>
      </c>
      <c r="B2761" s="22">
        <v>40</v>
      </c>
    </row>
    <row r="2762" spans="1:2" x14ac:dyDescent="0.2">
      <c r="A2762" s="21">
        <v>819430</v>
      </c>
      <c r="B2762" s="22">
        <v>187</v>
      </c>
    </row>
    <row r="2763" spans="1:2" x14ac:dyDescent="0.2">
      <c r="A2763" s="21">
        <v>819431</v>
      </c>
      <c r="B2763" s="22">
        <v>10.5</v>
      </c>
    </row>
    <row r="2764" spans="1:2" x14ac:dyDescent="0.2">
      <c r="A2764" s="21">
        <v>819439</v>
      </c>
      <c r="B2764" s="22">
        <v>160</v>
      </c>
    </row>
    <row r="2765" spans="1:2" x14ac:dyDescent="0.2">
      <c r="A2765" s="21">
        <v>819440</v>
      </c>
      <c r="B2765" s="22">
        <v>327.95</v>
      </c>
    </row>
    <row r="2766" spans="1:2" x14ac:dyDescent="0.2">
      <c r="A2766" s="21">
        <v>819441</v>
      </c>
      <c r="B2766" s="22">
        <v>143</v>
      </c>
    </row>
    <row r="2767" spans="1:2" x14ac:dyDescent="0.2">
      <c r="A2767" s="21">
        <v>819442</v>
      </c>
      <c r="B2767" s="22">
        <v>5</v>
      </c>
    </row>
    <row r="2768" spans="1:2" x14ac:dyDescent="0.2">
      <c r="A2768" s="21">
        <v>819444</v>
      </c>
      <c r="B2768" s="22">
        <v>102.5</v>
      </c>
    </row>
    <row r="2769" spans="1:2" x14ac:dyDescent="0.2">
      <c r="A2769" s="21">
        <v>819446</v>
      </c>
      <c r="B2769" s="22">
        <v>236.45</v>
      </c>
    </row>
    <row r="2770" spans="1:2" x14ac:dyDescent="0.2">
      <c r="A2770" s="21">
        <v>819448</v>
      </c>
      <c r="B2770" s="22">
        <v>112</v>
      </c>
    </row>
    <row r="2771" spans="1:2" x14ac:dyDescent="0.2">
      <c r="A2771" s="21">
        <v>819449</v>
      </c>
      <c r="B2771" s="22">
        <v>62</v>
      </c>
    </row>
    <row r="2772" spans="1:2" x14ac:dyDescent="0.2">
      <c r="A2772" s="21">
        <v>819450</v>
      </c>
      <c r="B2772" s="22">
        <v>60</v>
      </c>
    </row>
    <row r="2773" spans="1:2" x14ac:dyDescent="0.2">
      <c r="A2773" s="21">
        <v>819453</v>
      </c>
      <c r="B2773" s="22">
        <v>598</v>
      </c>
    </row>
    <row r="2774" spans="1:2" x14ac:dyDescent="0.2">
      <c r="A2774" s="21">
        <v>819466</v>
      </c>
      <c r="B2774" s="22">
        <v>61</v>
      </c>
    </row>
    <row r="2775" spans="1:2" x14ac:dyDescent="0.2">
      <c r="A2775" s="21">
        <v>819468</v>
      </c>
      <c r="B2775" s="22">
        <v>180</v>
      </c>
    </row>
    <row r="2776" spans="1:2" x14ac:dyDescent="0.2">
      <c r="A2776" s="21">
        <v>819470</v>
      </c>
      <c r="B2776" s="22">
        <v>75</v>
      </c>
    </row>
    <row r="2777" spans="1:2" x14ac:dyDescent="0.2">
      <c r="A2777" s="21">
        <v>819471</v>
      </c>
      <c r="B2777" s="22">
        <v>466.5</v>
      </c>
    </row>
    <row r="2778" spans="1:2" x14ac:dyDescent="0.2">
      <c r="A2778" s="21">
        <v>819473</v>
      </c>
      <c r="B2778" s="22">
        <v>221.75</v>
      </c>
    </row>
    <row r="2779" spans="1:2" x14ac:dyDescent="0.2">
      <c r="A2779" s="21">
        <v>819474</v>
      </c>
      <c r="B2779" s="22">
        <v>353.5</v>
      </c>
    </row>
    <row r="2780" spans="1:2" x14ac:dyDescent="0.2">
      <c r="A2780" s="21">
        <v>819476</v>
      </c>
      <c r="B2780" s="22">
        <v>123</v>
      </c>
    </row>
    <row r="2781" spans="1:2" x14ac:dyDescent="0.2">
      <c r="A2781" s="21">
        <v>819490</v>
      </c>
      <c r="B2781" s="22">
        <v>176</v>
      </c>
    </row>
    <row r="2782" spans="1:2" x14ac:dyDescent="0.2">
      <c r="A2782" s="21">
        <v>819493</v>
      </c>
      <c r="B2782" s="22">
        <v>37.5</v>
      </c>
    </row>
    <row r="2783" spans="1:2" x14ac:dyDescent="0.2">
      <c r="A2783" s="21">
        <v>819503</v>
      </c>
      <c r="B2783" s="22">
        <v>50</v>
      </c>
    </row>
    <row r="2784" spans="1:2" x14ac:dyDescent="0.2">
      <c r="A2784" s="21">
        <v>819526</v>
      </c>
      <c r="B2784" s="22">
        <v>38</v>
      </c>
    </row>
    <row r="2785" spans="1:2" x14ac:dyDescent="0.2">
      <c r="A2785" s="21">
        <v>819532</v>
      </c>
      <c r="B2785" s="22">
        <v>68.650000000000006</v>
      </c>
    </row>
    <row r="2786" spans="1:2" x14ac:dyDescent="0.2">
      <c r="A2786" s="21">
        <v>819533</v>
      </c>
      <c r="B2786" s="22">
        <v>329</v>
      </c>
    </row>
    <row r="2787" spans="1:2" x14ac:dyDescent="0.2">
      <c r="A2787" s="21">
        <v>819535</v>
      </c>
      <c r="B2787" s="22">
        <v>130</v>
      </c>
    </row>
    <row r="2788" spans="1:2" x14ac:dyDescent="0.2">
      <c r="A2788" s="21">
        <v>819538</v>
      </c>
      <c r="B2788" s="22">
        <v>72</v>
      </c>
    </row>
    <row r="2789" spans="1:2" x14ac:dyDescent="0.2">
      <c r="A2789" s="21">
        <v>819544</v>
      </c>
      <c r="B2789" s="22">
        <v>82.75</v>
      </c>
    </row>
    <row r="2790" spans="1:2" x14ac:dyDescent="0.2">
      <c r="A2790" s="21">
        <v>819545</v>
      </c>
      <c r="B2790" s="22">
        <v>25</v>
      </c>
    </row>
    <row r="2791" spans="1:2" x14ac:dyDescent="0.2">
      <c r="A2791" s="21">
        <v>819568</v>
      </c>
      <c r="B2791" s="22">
        <v>530.25</v>
      </c>
    </row>
    <row r="2792" spans="1:2" x14ac:dyDescent="0.2">
      <c r="A2792" s="21">
        <v>819569</v>
      </c>
      <c r="B2792" s="22">
        <v>62.5</v>
      </c>
    </row>
    <row r="2793" spans="1:2" x14ac:dyDescent="0.2">
      <c r="A2793" s="21">
        <v>819589</v>
      </c>
      <c r="B2793" s="22">
        <v>465.3</v>
      </c>
    </row>
    <row r="2794" spans="1:2" x14ac:dyDescent="0.2">
      <c r="A2794" s="21">
        <v>819590</v>
      </c>
      <c r="B2794" s="22">
        <v>27.5</v>
      </c>
    </row>
    <row r="2795" spans="1:2" x14ac:dyDescent="0.2">
      <c r="A2795" s="21">
        <v>819591</v>
      </c>
      <c r="B2795" s="22">
        <v>143.30000000000001</v>
      </c>
    </row>
    <row r="2796" spans="1:2" x14ac:dyDescent="0.2">
      <c r="A2796" s="21">
        <v>819594</v>
      </c>
      <c r="B2796" s="22">
        <v>63.75</v>
      </c>
    </row>
    <row r="2797" spans="1:2" x14ac:dyDescent="0.2">
      <c r="A2797" s="21">
        <v>819605</v>
      </c>
      <c r="B2797" s="22">
        <v>116.5</v>
      </c>
    </row>
    <row r="2798" spans="1:2" x14ac:dyDescent="0.2">
      <c r="A2798" s="21">
        <v>819607</v>
      </c>
      <c r="B2798" s="22">
        <v>100</v>
      </c>
    </row>
    <row r="2799" spans="1:2" x14ac:dyDescent="0.2">
      <c r="A2799" s="21">
        <v>819608</v>
      </c>
      <c r="B2799" s="22">
        <v>222</v>
      </c>
    </row>
    <row r="2800" spans="1:2" x14ac:dyDescent="0.2">
      <c r="A2800" s="21">
        <v>819624</v>
      </c>
      <c r="B2800" s="22">
        <v>420</v>
      </c>
    </row>
    <row r="2801" spans="1:2" x14ac:dyDescent="0.2">
      <c r="A2801" s="21">
        <v>819625</v>
      </c>
      <c r="B2801" s="22">
        <v>20</v>
      </c>
    </row>
    <row r="2802" spans="1:2" x14ac:dyDescent="0.2">
      <c r="A2802" s="21">
        <v>819626</v>
      </c>
      <c r="B2802" s="22">
        <v>57.45</v>
      </c>
    </row>
    <row r="2803" spans="1:2" x14ac:dyDescent="0.2">
      <c r="A2803" s="21">
        <v>819629</v>
      </c>
      <c r="B2803" s="22">
        <v>74</v>
      </c>
    </row>
    <row r="2804" spans="1:2" x14ac:dyDescent="0.2">
      <c r="A2804" s="21">
        <v>819676</v>
      </c>
      <c r="B2804" s="22">
        <v>113</v>
      </c>
    </row>
    <row r="2805" spans="1:2" x14ac:dyDescent="0.2">
      <c r="A2805" s="21">
        <v>819681</v>
      </c>
      <c r="B2805" s="22">
        <v>107</v>
      </c>
    </row>
    <row r="2806" spans="1:2" x14ac:dyDescent="0.2">
      <c r="A2806" s="21">
        <v>819682</v>
      </c>
      <c r="B2806" s="22">
        <v>95</v>
      </c>
    </row>
    <row r="2807" spans="1:2" x14ac:dyDescent="0.2">
      <c r="A2807" s="21">
        <v>819684</v>
      </c>
      <c r="B2807" s="22">
        <v>75.5</v>
      </c>
    </row>
    <row r="2808" spans="1:2" x14ac:dyDescent="0.2">
      <c r="A2808" s="21">
        <v>819685</v>
      </c>
      <c r="B2808" s="22">
        <v>97.5</v>
      </c>
    </row>
    <row r="2809" spans="1:2" x14ac:dyDescent="0.2">
      <c r="A2809" s="21">
        <v>819688</v>
      </c>
      <c r="B2809" s="22">
        <v>102.5</v>
      </c>
    </row>
    <row r="2810" spans="1:2" x14ac:dyDescent="0.2">
      <c r="A2810" s="21">
        <v>819698</v>
      </c>
      <c r="B2810" s="22">
        <v>10</v>
      </c>
    </row>
    <row r="2811" spans="1:2" x14ac:dyDescent="0.2">
      <c r="A2811" s="21">
        <v>819702</v>
      </c>
      <c r="B2811" s="22">
        <v>95</v>
      </c>
    </row>
    <row r="2812" spans="1:2" x14ac:dyDescent="0.2">
      <c r="A2812" s="21">
        <v>819710</v>
      </c>
      <c r="B2812" s="22">
        <v>362</v>
      </c>
    </row>
    <row r="2813" spans="1:2" x14ac:dyDescent="0.2">
      <c r="A2813" s="21">
        <v>819712</v>
      </c>
      <c r="B2813" s="22">
        <v>178</v>
      </c>
    </row>
    <row r="2814" spans="1:2" x14ac:dyDescent="0.2">
      <c r="A2814" s="21">
        <v>819742</v>
      </c>
      <c r="B2814" s="22">
        <v>15</v>
      </c>
    </row>
    <row r="2815" spans="1:2" x14ac:dyDescent="0.2">
      <c r="A2815" s="21">
        <v>819743</v>
      </c>
      <c r="B2815" s="22">
        <v>130</v>
      </c>
    </row>
    <row r="2816" spans="1:2" x14ac:dyDescent="0.2">
      <c r="A2816" s="21">
        <v>819744</v>
      </c>
      <c r="B2816" s="22">
        <v>130</v>
      </c>
    </row>
    <row r="2817" spans="1:2" x14ac:dyDescent="0.2">
      <c r="A2817" s="21">
        <v>819745</v>
      </c>
      <c r="B2817" s="22">
        <v>192.5</v>
      </c>
    </row>
    <row r="2818" spans="1:2" x14ac:dyDescent="0.2">
      <c r="A2818" s="21">
        <v>819771</v>
      </c>
      <c r="B2818" s="22">
        <v>164</v>
      </c>
    </row>
    <row r="2819" spans="1:2" x14ac:dyDescent="0.2">
      <c r="A2819" s="21">
        <v>819783</v>
      </c>
      <c r="B2819" s="22">
        <v>166</v>
      </c>
    </row>
    <row r="2820" spans="1:2" x14ac:dyDescent="0.2">
      <c r="A2820" s="21">
        <v>819785</v>
      </c>
      <c r="B2820" s="22">
        <v>217</v>
      </c>
    </row>
    <row r="2821" spans="1:2" x14ac:dyDescent="0.2">
      <c r="A2821" s="21">
        <v>819792</v>
      </c>
      <c r="B2821" s="22">
        <v>38</v>
      </c>
    </row>
    <row r="2822" spans="1:2" x14ac:dyDescent="0.2">
      <c r="A2822" s="21">
        <v>819795</v>
      </c>
      <c r="B2822" s="22">
        <v>96.5</v>
      </c>
    </row>
    <row r="2823" spans="1:2" x14ac:dyDescent="0.2">
      <c r="A2823" s="21">
        <v>819800</v>
      </c>
      <c r="B2823" s="22">
        <v>50</v>
      </c>
    </row>
    <row r="2824" spans="1:2" x14ac:dyDescent="0.2">
      <c r="A2824" s="21">
        <v>819812</v>
      </c>
      <c r="B2824" s="22">
        <v>64.5</v>
      </c>
    </row>
    <row r="2825" spans="1:2" x14ac:dyDescent="0.2">
      <c r="A2825" s="21">
        <v>819813</v>
      </c>
      <c r="B2825" s="22">
        <v>518.20000000000005</v>
      </c>
    </row>
    <row r="2826" spans="1:2" x14ac:dyDescent="0.2">
      <c r="A2826" s="21">
        <v>819814</v>
      </c>
      <c r="B2826" s="22">
        <v>95</v>
      </c>
    </row>
    <row r="2827" spans="1:2" x14ac:dyDescent="0.2">
      <c r="A2827" s="21">
        <v>819815</v>
      </c>
      <c r="B2827" s="22">
        <v>87.5</v>
      </c>
    </row>
    <row r="2828" spans="1:2" x14ac:dyDescent="0.2">
      <c r="A2828" s="21">
        <v>819816</v>
      </c>
      <c r="B2828" s="22">
        <v>319.5</v>
      </c>
    </row>
    <row r="2829" spans="1:2" x14ac:dyDescent="0.2">
      <c r="A2829" s="21">
        <v>819817</v>
      </c>
      <c r="B2829" s="22">
        <v>48.5</v>
      </c>
    </row>
    <row r="2830" spans="1:2" x14ac:dyDescent="0.2">
      <c r="A2830" s="21">
        <v>819820</v>
      </c>
      <c r="B2830" s="22">
        <v>383</v>
      </c>
    </row>
    <row r="2831" spans="1:2" x14ac:dyDescent="0.2">
      <c r="A2831" s="21">
        <v>819832</v>
      </c>
      <c r="B2831" s="22">
        <v>84.25</v>
      </c>
    </row>
    <row r="2832" spans="1:2" x14ac:dyDescent="0.2">
      <c r="A2832" s="21">
        <v>819848</v>
      </c>
      <c r="B2832" s="22">
        <v>177</v>
      </c>
    </row>
    <row r="2833" spans="1:2" x14ac:dyDescent="0.2">
      <c r="A2833" s="21">
        <v>819852</v>
      </c>
      <c r="B2833" s="22">
        <v>132.5</v>
      </c>
    </row>
    <row r="2834" spans="1:2" x14ac:dyDescent="0.2">
      <c r="A2834" s="21">
        <v>819853</v>
      </c>
      <c r="B2834" s="22">
        <v>400.8</v>
      </c>
    </row>
    <row r="2835" spans="1:2" x14ac:dyDescent="0.2">
      <c r="A2835" s="21">
        <v>819860</v>
      </c>
      <c r="B2835" s="22">
        <v>389</v>
      </c>
    </row>
    <row r="2836" spans="1:2" x14ac:dyDescent="0.2">
      <c r="A2836" s="21">
        <v>819866</v>
      </c>
      <c r="B2836" s="22">
        <v>348.5</v>
      </c>
    </row>
    <row r="2837" spans="1:2" x14ac:dyDescent="0.2">
      <c r="A2837" s="21">
        <v>819901</v>
      </c>
      <c r="B2837" s="22">
        <v>57.5</v>
      </c>
    </row>
    <row r="2838" spans="1:2" x14ac:dyDescent="0.2">
      <c r="A2838" s="21">
        <v>819910</v>
      </c>
      <c r="B2838" s="22">
        <v>1188.8</v>
      </c>
    </row>
    <row r="2839" spans="1:2" x14ac:dyDescent="0.2">
      <c r="A2839" s="21">
        <v>819912</v>
      </c>
      <c r="B2839" s="22">
        <v>290.35000000000002</v>
      </c>
    </row>
    <row r="2840" spans="1:2" x14ac:dyDescent="0.2">
      <c r="A2840" s="21">
        <v>819913</v>
      </c>
      <c r="B2840" s="22">
        <v>78.5</v>
      </c>
    </row>
    <row r="2841" spans="1:2" x14ac:dyDescent="0.2">
      <c r="A2841" s="21">
        <v>819915</v>
      </c>
      <c r="B2841" s="22">
        <v>80.400000000000006</v>
      </c>
    </row>
    <row r="2842" spans="1:2" x14ac:dyDescent="0.2">
      <c r="A2842" s="21">
        <v>819916</v>
      </c>
      <c r="B2842" s="22">
        <v>86.75</v>
      </c>
    </row>
    <row r="2843" spans="1:2" x14ac:dyDescent="0.2">
      <c r="A2843" s="21">
        <v>819919</v>
      </c>
      <c r="B2843" s="22">
        <v>102</v>
      </c>
    </row>
    <row r="2844" spans="1:2" x14ac:dyDescent="0.2">
      <c r="A2844" s="21">
        <v>819939</v>
      </c>
      <c r="B2844" s="22">
        <v>25</v>
      </c>
    </row>
    <row r="2845" spans="1:2" x14ac:dyDescent="0.2">
      <c r="A2845" s="21">
        <v>819949</v>
      </c>
      <c r="B2845" s="22">
        <v>57.5</v>
      </c>
    </row>
    <row r="2846" spans="1:2" x14ac:dyDescent="0.2">
      <c r="A2846" s="21">
        <v>819950</v>
      </c>
      <c r="B2846" s="22">
        <v>4</v>
      </c>
    </row>
    <row r="2847" spans="1:2" x14ac:dyDescent="0.2">
      <c r="A2847" s="21">
        <v>819953</v>
      </c>
      <c r="B2847" s="22">
        <v>184.5</v>
      </c>
    </row>
    <row r="2848" spans="1:2" x14ac:dyDescent="0.2">
      <c r="A2848" s="21">
        <v>819982</v>
      </c>
      <c r="B2848" s="22">
        <v>125</v>
      </c>
    </row>
    <row r="2849" spans="1:2" x14ac:dyDescent="0.2">
      <c r="A2849" s="21">
        <v>819983</v>
      </c>
      <c r="B2849" s="22">
        <v>123</v>
      </c>
    </row>
    <row r="2850" spans="1:2" x14ac:dyDescent="0.2">
      <c r="A2850" s="21">
        <v>819984</v>
      </c>
      <c r="B2850" s="22">
        <v>318</v>
      </c>
    </row>
    <row r="2851" spans="1:2" x14ac:dyDescent="0.2">
      <c r="A2851" s="21">
        <v>819986</v>
      </c>
      <c r="B2851" s="22">
        <v>65</v>
      </c>
    </row>
    <row r="2852" spans="1:2" x14ac:dyDescent="0.2">
      <c r="A2852" s="21">
        <v>820003</v>
      </c>
      <c r="B2852" s="22">
        <v>97.5</v>
      </c>
    </row>
    <row r="2853" spans="1:2" x14ac:dyDescent="0.2">
      <c r="A2853" s="21">
        <v>820008</v>
      </c>
      <c r="B2853" s="22">
        <v>100.5</v>
      </c>
    </row>
    <row r="2854" spans="1:2" x14ac:dyDescent="0.2">
      <c r="A2854" s="21">
        <v>820014</v>
      </c>
      <c r="B2854" s="22">
        <v>95.25</v>
      </c>
    </row>
    <row r="2855" spans="1:2" x14ac:dyDescent="0.2">
      <c r="A2855" s="21">
        <v>820028</v>
      </c>
      <c r="B2855" s="22">
        <v>180.25</v>
      </c>
    </row>
    <row r="2856" spans="1:2" x14ac:dyDescent="0.2">
      <c r="A2856" s="21">
        <v>820030</v>
      </c>
      <c r="B2856" s="22">
        <v>148.5</v>
      </c>
    </row>
    <row r="2857" spans="1:2" x14ac:dyDescent="0.2">
      <c r="A2857" s="21">
        <v>820031</v>
      </c>
      <c r="B2857" s="22">
        <v>89.65</v>
      </c>
    </row>
    <row r="2858" spans="1:2" x14ac:dyDescent="0.2">
      <c r="A2858" s="21">
        <v>820032</v>
      </c>
      <c r="B2858" s="22">
        <v>99.75</v>
      </c>
    </row>
    <row r="2859" spans="1:2" x14ac:dyDescent="0.2">
      <c r="A2859" s="21">
        <v>820033</v>
      </c>
      <c r="B2859" s="22">
        <v>60.75</v>
      </c>
    </row>
    <row r="2860" spans="1:2" x14ac:dyDescent="0.2">
      <c r="A2860" s="21">
        <v>820034</v>
      </c>
      <c r="B2860" s="22">
        <v>113</v>
      </c>
    </row>
    <row r="2861" spans="1:2" x14ac:dyDescent="0.2">
      <c r="A2861" s="21">
        <v>820038</v>
      </c>
      <c r="B2861" s="22">
        <v>195</v>
      </c>
    </row>
    <row r="2862" spans="1:2" x14ac:dyDescent="0.2">
      <c r="A2862" s="21">
        <v>820040</v>
      </c>
      <c r="B2862" s="22">
        <v>142</v>
      </c>
    </row>
    <row r="2863" spans="1:2" x14ac:dyDescent="0.2">
      <c r="A2863" s="21">
        <v>820047</v>
      </c>
      <c r="B2863" s="22">
        <v>30</v>
      </c>
    </row>
    <row r="2864" spans="1:2" x14ac:dyDescent="0.2">
      <c r="A2864" s="21">
        <v>820048</v>
      </c>
      <c r="B2864" s="22">
        <v>17.5</v>
      </c>
    </row>
    <row r="2865" spans="1:2" x14ac:dyDescent="0.2">
      <c r="A2865" s="21">
        <v>820072</v>
      </c>
      <c r="B2865" s="22">
        <v>308.25</v>
      </c>
    </row>
    <row r="2866" spans="1:2" x14ac:dyDescent="0.2">
      <c r="A2866" s="21">
        <v>820073</v>
      </c>
      <c r="B2866" s="22">
        <v>20</v>
      </c>
    </row>
    <row r="2867" spans="1:2" x14ac:dyDescent="0.2">
      <c r="A2867" s="21">
        <v>820075</v>
      </c>
      <c r="B2867" s="22">
        <v>89.85</v>
      </c>
    </row>
    <row r="2868" spans="1:2" x14ac:dyDescent="0.2">
      <c r="A2868" s="21">
        <v>820080</v>
      </c>
      <c r="B2868" s="22">
        <v>60</v>
      </c>
    </row>
    <row r="2869" spans="1:2" x14ac:dyDescent="0.2">
      <c r="A2869" s="21">
        <v>820081</v>
      </c>
      <c r="B2869" s="22">
        <v>120</v>
      </c>
    </row>
    <row r="2870" spans="1:2" x14ac:dyDescent="0.2">
      <c r="A2870" s="21">
        <v>820085</v>
      </c>
      <c r="B2870" s="22">
        <v>127</v>
      </c>
    </row>
    <row r="2871" spans="1:2" x14ac:dyDescent="0.2">
      <c r="A2871" s="21">
        <v>820086</v>
      </c>
      <c r="B2871" s="22">
        <v>453</v>
      </c>
    </row>
    <row r="2872" spans="1:2" x14ac:dyDescent="0.2">
      <c r="A2872" s="21">
        <v>820087</v>
      </c>
      <c r="B2872" s="22">
        <v>300</v>
      </c>
    </row>
    <row r="2873" spans="1:2" x14ac:dyDescent="0.2">
      <c r="A2873" s="21">
        <v>820088</v>
      </c>
      <c r="B2873" s="22">
        <v>175</v>
      </c>
    </row>
    <row r="2874" spans="1:2" x14ac:dyDescent="0.2">
      <c r="A2874" s="21">
        <v>820090</v>
      </c>
      <c r="B2874" s="22">
        <v>371.6</v>
      </c>
    </row>
    <row r="2875" spans="1:2" x14ac:dyDescent="0.2">
      <c r="A2875" s="21">
        <v>820091</v>
      </c>
      <c r="B2875" s="22">
        <v>2211.9</v>
      </c>
    </row>
    <row r="2876" spans="1:2" x14ac:dyDescent="0.2">
      <c r="A2876" s="21">
        <v>820092</v>
      </c>
      <c r="B2876" s="22">
        <v>165.5</v>
      </c>
    </row>
    <row r="2877" spans="1:2" x14ac:dyDescent="0.2">
      <c r="A2877" s="21">
        <v>820094</v>
      </c>
      <c r="B2877" s="22">
        <v>25</v>
      </c>
    </row>
    <row r="2878" spans="1:2" x14ac:dyDescent="0.2">
      <c r="A2878" s="21">
        <v>820096</v>
      </c>
      <c r="B2878" s="22">
        <v>655</v>
      </c>
    </row>
    <row r="2879" spans="1:2" x14ac:dyDescent="0.2">
      <c r="A2879" s="21">
        <v>820135</v>
      </c>
      <c r="B2879" s="22">
        <v>33.5</v>
      </c>
    </row>
    <row r="2880" spans="1:2" x14ac:dyDescent="0.2">
      <c r="A2880" s="21">
        <v>820136</v>
      </c>
      <c r="B2880" s="22">
        <v>148.05000000000001</v>
      </c>
    </row>
    <row r="2881" spans="1:2" x14ac:dyDescent="0.2">
      <c r="A2881" s="21">
        <v>820137</v>
      </c>
      <c r="B2881" s="22">
        <v>10</v>
      </c>
    </row>
    <row r="2882" spans="1:2" x14ac:dyDescent="0.2">
      <c r="A2882" s="21">
        <v>820138</v>
      </c>
      <c r="B2882" s="22">
        <v>105</v>
      </c>
    </row>
    <row r="2883" spans="1:2" x14ac:dyDescent="0.2">
      <c r="A2883" s="21">
        <v>820140</v>
      </c>
      <c r="B2883" s="22">
        <v>182</v>
      </c>
    </row>
    <row r="2884" spans="1:2" x14ac:dyDescent="0.2">
      <c r="A2884" s="21">
        <v>820149</v>
      </c>
      <c r="B2884" s="22">
        <v>218.5</v>
      </c>
    </row>
    <row r="2885" spans="1:2" x14ac:dyDescent="0.2">
      <c r="A2885" s="21">
        <v>820157</v>
      </c>
      <c r="B2885" s="22">
        <v>95.75</v>
      </c>
    </row>
    <row r="2886" spans="1:2" x14ac:dyDescent="0.2">
      <c r="A2886" s="21">
        <v>820181</v>
      </c>
      <c r="B2886" s="22">
        <v>28.5</v>
      </c>
    </row>
    <row r="2887" spans="1:2" x14ac:dyDescent="0.2">
      <c r="A2887" s="21">
        <v>820182</v>
      </c>
      <c r="B2887" s="22">
        <v>29.5</v>
      </c>
    </row>
    <row r="2888" spans="1:2" x14ac:dyDescent="0.2">
      <c r="A2888" s="21">
        <v>820183</v>
      </c>
      <c r="B2888" s="22">
        <v>49.3</v>
      </c>
    </row>
    <row r="2889" spans="1:2" x14ac:dyDescent="0.2">
      <c r="A2889" s="21">
        <v>820186</v>
      </c>
      <c r="B2889" s="22">
        <v>116.5</v>
      </c>
    </row>
    <row r="2890" spans="1:2" x14ac:dyDescent="0.2">
      <c r="A2890" s="21">
        <v>820197</v>
      </c>
      <c r="B2890" s="22">
        <v>649.5</v>
      </c>
    </row>
    <row r="2891" spans="1:2" x14ac:dyDescent="0.2">
      <c r="A2891" s="21">
        <v>820198</v>
      </c>
      <c r="B2891" s="22">
        <v>55</v>
      </c>
    </row>
    <row r="2892" spans="1:2" x14ac:dyDescent="0.2">
      <c r="A2892" s="21">
        <v>820199</v>
      </c>
      <c r="B2892" s="22">
        <v>49</v>
      </c>
    </row>
    <row r="2893" spans="1:2" x14ac:dyDescent="0.2">
      <c r="A2893" s="21">
        <v>820200</v>
      </c>
      <c r="B2893" s="22">
        <v>60</v>
      </c>
    </row>
    <row r="2894" spans="1:2" x14ac:dyDescent="0.2">
      <c r="A2894" s="21">
        <v>820201</v>
      </c>
      <c r="B2894" s="22">
        <v>144</v>
      </c>
    </row>
    <row r="2895" spans="1:2" x14ac:dyDescent="0.2">
      <c r="A2895" s="21">
        <v>820202</v>
      </c>
      <c r="B2895" s="22">
        <v>50</v>
      </c>
    </row>
    <row r="2896" spans="1:2" x14ac:dyDescent="0.2">
      <c r="A2896" s="21">
        <v>820203</v>
      </c>
      <c r="B2896" s="22">
        <v>92.5</v>
      </c>
    </row>
    <row r="2897" spans="1:2" x14ac:dyDescent="0.2">
      <c r="A2897" s="21">
        <v>820208</v>
      </c>
      <c r="B2897" s="22">
        <v>140.5</v>
      </c>
    </row>
    <row r="2898" spans="1:2" x14ac:dyDescent="0.2">
      <c r="A2898" s="21">
        <v>820209</v>
      </c>
      <c r="B2898" s="22">
        <v>102.5</v>
      </c>
    </row>
    <row r="2899" spans="1:2" x14ac:dyDescent="0.2">
      <c r="A2899" s="21">
        <v>820211</v>
      </c>
      <c r="B2899" s="22">
        <v>30</v>
      </c>
    </row>
    <row r="2900" spans="1:2" x14ac:dyDescent="0.2">
      <c r="A2900" s="21">
        <v>820222</v>
      </c>
      <c r="B2900" s="22">
        <v>40</v>
      </c>
    </row>
    <row r="2901" spans="1:2" x14ac:dyDescent="0.2">
      <c r="A2901" s="21">
        <v>820223</v>
      </c>
      <c r="B2901" s="22">
        <v>84.5</v>
      </c>
    </row>
    <row r="2902" spans="1:2" x14ac:dyDescent="0.2">
      <c r="A2902" s="21">
        <v>820229</v>
      </c>
      <c r="B2902" s="22">
        <v>55</v>
      </c>
    </row>
    <row r="2903" spans="1:2" x14ac:dyDescent="0.2">
      <c r="A2903" s="21">
        <v>820254</v>
      </c>
      <c r="B2903" s="22">
        <v>50</v>
      </c>
    </row>
    <row r="2904" spans="1:2" x14ac:dyDescent="0.2">
      <c r="A2904" s="21">
        <v>820257</v>
      </c>
      <c r="B2904" s="22">
        <v>185.75</v>
      </c>
    </row>
    <row r="2905" spans="1:2" x14ac:dyDescent="0.2">
      <c r="A2905" s="21">
        <v>820263</v>
      </c>
      <c r="B2905" s="22">
        <v>211</v>
      </c>
    </row>
    <row r="2906" spans="1:2" x14ac:dyDescent="0.2">
      <c r="A2906" s="21">
        <v>820265</v>
      </c>
      <c r="B2906" s="22">
        <v>57</v>
      </c>
    </row>
    <row r="2907" spans="1:2" x14ac:dyDescent="0.2">
      <c r="A2907" s="21">
        <v>820266</v>
      </c>
      <c r="B2907" s="22">
        <v>120.25</v>
      </c>
    </row>
    <row r="2908" spans="1:2" x14ac:dyDescent="0.2">
      <c r="A2908" s="21">
        <v>820271</v>
      </c>
      <c r="B2908" s="22">
        <v>42.5</v>
      </c>
    </row>
    <row r="2909" spans="1:2" x14ac:dyDescent="0.2">
      <c r="A2909" s="21">
        <v>820284</v>
      </c>
      <c r="B2909" s="22">
        <v>89.45</v>
      </c>
    </row>
    <row r="2910" spans="1:2" x14ac:dyDescent="0.2">
      <c r="A2910" s="21">
        <v>820285</v>
      </c>
      <c r="B2910" s="22">
        <v>55</v>
      </c>
    </row>
    <row r="2911" spans="1:2" x14ac:dyDescent="0.2">
      <c r="A2911" s="21">
        <v>820286</v>
      </c>
      <c r="B2911" s="22">
        <v>321</v>
      </c>
    </row>
    <row r="2912" spans="1:2" x14ac:dyDescent="0.2">
      <c r="A2912" s="21">
        <v>820287</v>
      </c>
      <c r="B2912" s="22">
        <v>366</v>
      </c>
    </row>
    <row r="2913" spans="1:2" x14ac:dyDescent="0.2">
      <c r="A2913" s="21">
        <v>820288</v>
      </c>
      <c r="B2913" s="22">
        <v>25</v>
      </c>
    </row>
    <row r="2914" spans="1:2" x14ac:dyDescent="0.2">
      <c r="A2914" s="21">
        <v>820296</v>
      </c>
      <c r="B2914" s="22">
        <v>85.5</v>
      </c>
    </row>
    <row r="2915" spans="1:2" x14ac:dyDescent="0.2">
      <c r="A2915" s="21">
        <v>820318</v>
      </c>
      <c r="B2915" s="22">
        <v>91.5</v>
      </c>
    </row>
    <row r="2916" spans="1:2" x14ac:dyDescent="0.2">
      <c r="A2916" s="21">
        <v>820336</v>
      </c>
      <c r="B2916" s="22">
        <v>16.5</v>
      </c>
    </row>
    <row r="2917" spans="1:2" x14ac:dyDescent="0.2">
      <c r="A2917" s="21">
        <v>820361</v>
      </c>
      <c r="B2917" s="22">
        <v>8</v>
      </c>
    </row>
    <row r="2918" spans="1:2" x14ac:dyDescent="0.2">
      <c r="A2918" s="21">
        <v>820366</v>
      </c>
      <c r="B2918" s="22">
        <v>68.5</v>
      </c>
    </row>
    <row r="2919" spans="1:2" x14ac:dyDescent="0.2">
      <c r="A2919" s="21">
        <v>820367</v>
      </c>
      <c r="B2919" s="22">
        <v>28</v>
      </c>
    </row>
    <row r="2920" spans="1:2" x14ac:dyDescent="0.2">
      <c r="A2920" s="21">
        <v>820377</v>
      </c>
      <c r="B2920" s="22">
        <v>264</v>
      </c>
    </row>
    <row r="2921" spans="1:2" x14ac:dyDescent="0.2">
      <c r="A2921" s="21">
        <v>820380</v>
      </c>
      <c r="B2921" s="22">
        <v>444.45</v>
      </c>
    </row>
    <row r="2922" spans="1:2" x14ac:dyDescent="0.2">
      <c r="A2922" s="21">
        <v>820392</v>
      </c>
      <c r="B2922" s="22">
        <v>100</v>
      </c>
    </row>
    <row r="2923" spans="1:2" x14ac:dyDescent="0.2">
      <c r="A2923" s="21">
        <v>820393</v>
      </c>
      <c r="B2923" s="22">
        <v>98</v>
      </c>
    </row>
    <row r="2924" spans="1:2" x14ac:dyDescent="0.2">
      <c r="A2924" s="21">
        <v>820395</v>
      </c>
      <c r="B2924" s="22">
        <v>47.5</v>
      </c>
    </row>
    <row r="2925" spans="1:2" x14ac:dyDescent="0.2">
      <c r="A2925" s="21">
        <v>820399</v>
      </c>
      <c r="B2925" s="22">
        <v>79</v>
      </c>
    </row>
    <row r="2926" spans="1:2" x14ac:dyDescent="0.2">
      <c r="A2926" s="21">
        <v>820400</v>
      </c>
      <c r="B2926" s="22">
        <v>231</v>
      </c>
    </row>
    <row r="2927" spans="1:2" x14ac:dyDescent="0.2">
      <c r="A2927" s="21">
        <v>820402</v>
      </c>
      <c r="B2927" s="22">
        <v>81</v>
      </c>
    </row>
    <row r="2928" spans="1:2" x14ac:dyDescent="0.2">
      <c r="A2928" s="21">
        <v>820411</v>
      </c>
      <c r="B2928" s="22">
        <v>240</v>
      </c>
    </row>
    <row r="2929" spans="1:2" x14ac:dyDescent="0.2">
      <c r="A2929" s="21">
        <v>820412</v>
      </c>
      <c r="B2929" s="22">
        <v>131</v>
      </c>
    </row>
    <row r="2930" spans="1:2" x14ac:dyDescent="0.2">
      <c r="A2930" s="21">
        <v>820413</v>
      </c>
      <c r="B2930" s="22">
        <v>220</v>
      </c>
    </row>
    <row r="2931" spans="1:2" x14ac:dyDescent="0.2">
      <c r="A2931" s="21">
        <v>820420</v>
      </c>
      <c r="B2931" s="22">
        <v>105</v>
      </c>
    </row>
    <row r="2932" spans="1:2" x14ac:dyDescent="0.2">
      <c r="A2932" s="21">
        <v>820421</v>
      </c>
      <c r="B2932" s="22">
        <v>473.5</v>
      </c>
    </row>
    <row r="2933" spans="1:2" x14ac:dyDescent="0.2">
      <c r="A2933" s="21">
        <v>820422</v>
      </c>
      <c r="B2933" s="22">
        <v>143</v>
      </c>
    </row>
    <row r="2934" spans="1:2" x14ac:dyDescent="0.2">
      <c r="A2934" s="21">
        <v>820425</v>
      </c>
      <c r="B2934" s="22">
        <v>145</v>
      </c>
    </row>
    <row r="2935" spans="1:2" x14ac:dyDescent="0.2">
      <c r="A2935" s="21">
        <v>820427</v>
      </c>
      <c r="B2935" s="22">
        <v>35</v>
      </c>
    </row>
    <row r="2936" spans="1:2" x14ac:dyDescent="0.2">
      <c r="A2936" s="21">
        <v>820428</v>
      </c>
      <c r="B2936" s="22">
        <v>133</v>
      </c>
    </row>
    <row r="2937" spans="1:2" x14ac:dyDescent="0.2">
      <c r="A2937" s="21">
        <v>820429</v>
      </c>
      <c r="B2937" s="22">
        <v>154.6</v>
      </c>
    </row>
    <row r="2938" spans="1:2" x14ac:dyDescent="0.2">
      <c r="A2938" s="21">
        <v>820431</v>
      </c>
      <c r="B2938" s="22">
        <v>54</v>
      </c>
    </row>
    <row r="2939" spans="1:2" x14ac:dyDescent="0.2">
      <c r="A2939" s="21">
        <v>820439</v>
      </c>
      <c r="B2939" s="22">
        <v>57.5</v>
      </c>
    </row>
    <row r="2940" spans="1:2" x14ac:dyDescent="0.2">
      <c r="A2940" s="21">
        <v>820444</v>
      </c>
      <c r="B2940" s="22">
        <v>74.75</v>
      </c>
    </row>
    <row r="2941" spans="1:2" x14ac:dyDescent="0.2">
      <c r="A2941" s="21">
        <v>820456</v>
      </c>
      <c r="B2941" s="22">
        <v>88</v>
      </c>
    </row>
    <row r="2942" spans="1:2" x14ac:dyDescent="0.2">
      <c r="A2942" s="21">
        <v>820457</v>
      </c>
      <c r="B2942" s="22">
        <v>42</v>
      </c>
    </row>
    <row r="2943" spans="1:2" x14ac:dyDescent="0.2">
      <c r="A2943" s="21">
        <v>820460</v>
      </c>
      <c r="B2943" s="22">
        <v>262.95</v>
      </c>
    </row>
    <row r="2944" spans="1:2" x14ac:dyDescent="0.2">
      <c r="A2944" s="21">
        <v>820482</v>
      </c>
      <c r="B2944" s="22">
        <v>80</v>
      </c>
    </row>
    <row r="2945" spans="1:2" x14ac:dyDescent="0.2">
      <c r="A2945" s="21">
        <v>820483</v>
      </c>
      <c r="B2945" s="22">
        <v>75</v>
      </c>
    </row>
    <row r="2946" spans="1:2" x14ac:dyDescent="0.2">
      <c r="A2946" s="21">
        <v>820484</v>
      </c>
      <c r="B2946" s="22">
        <v>43</v>
      </c>
    </row>
    <row r="2947" spans="1:2" x14ac:dyDescent="0.2">
      <c r="A2947" s="21">
        <v>820486</v>
      </c>
      <c r="B2947" s="22">
        <v>48.5</v>
      </c>
    </row>
    <row r="2948" spans="1:2" x14ac:dyDescent="0.2">
      <c r="A2948" s="21">
        <v>820492</v>
      </c>
      <c r="B2948" s="22">
        <v>327.8</v>
      </c>
    </row>
    <row r="2949" spans="1:2" x14ac:dyDescent="0.2">
      <c r="A2949" s="21">
        <v>820498</v>
      </c>
      <c r="B2949" s="22">
        <v>328.75</v>
      </c>
    </row>
    <row r="2950" spans="1:2" x14ac:dyDescent="0.2">
      <c r="A2950" s="21">
        <v>820499</v>
      </c>
      <c r="B2950" s="22">
        <v>15</v>
      </c>
    </row>
    <row r="2951" spans="1:2" x14ac:dyDescent="0.2">
      <c r="A2951" s="21">
        <v>820505</v>
      </c>
      <c r="B2951" s="22">
        <v>364</v>
      </c>
    </row>
    <row r="2952" spans="1:2" x14ac:dyDescent="0.2">
      <c r="A2952" s="21">
        <v>820506</v>
      </c>
      <c r="B2952" s="22">
        <v>50.5</v>
      </c>
    </row>
    <row r="2953" spans="1:2" x14ac:dyDescent="0.2">
      <c r="A2953" s="21">
        <v>820508</v>
      </c>
      <c r="B2953" s="22">
        <v>33</v>
      </c>
    </row>
    <row r="2954" spans="1:2" x14ac:dyDescent="0.2">
      <c r="A2954" s="21">
        <v>820509</v>
      </c>
      <c r="B2954" s="22">
        <v>5</v>
      </c>
    </row>
    <row r="2955" spans="1:2" x14ac:dyDescent="0.2">
      <c r="A2955" s="21">
        <v>820510</v>
      </c>
      <c r="B2955" s="22">
        <v>25.5</v>
      </c>
    </row>
    <row r="2956" spans="1:2" x14ac:dyDescent="0.2">
      <c r="A2956" s="21">
        <v>820511</v>
      </c>
      <c r="B2956" s="22">
        <v>90</v>
      </c>
    </row>
    <row r="2957" spans="1:2" x14ac:dyDescent="0.2">
      <c r="A2957" s="21">
        <v>820512</v>
      </c>
      <c r="B2957" s="22">
        <v>35</v>
      </c>
    </row>
    <row r="2958" spans="1:2" x14ac:dyDescent="0.2">
      <c r="A2958" s="21">
        <v>820513</v>
      </c>
      <c r="B2958" s="22">
        <v>60.5</v>
      </c>
    </row>
    <row r="2959" spans="1:2" x14ac:dyDescent="0.2">
      <c r="A2959" s="21">
        <v>820515</v>
      </c>
      <c r="B2959" s="22">
        <v>135</v>
      </c>
    </row>
    <row r="2960" spans="1:2" x14ac:dyDescent="0.2">
      <c r="A2960" s="21">
        <v>820516</v>
      </c>
      <c r="B2960" s="22">
        <v>96.25</v>
      </c>
    </row>
    <row r="2961" spans="1:2" x14ac:dyDescent="0.2">
      <c r="A2961" s="21">
        <v>820523</v>
      </c>
      <c r="B2961" s="22">
        <v>29</v>
      </c>
    </row>
    <row r="2962" spans="1:2" x14ac:dyDescent="0.2">
      <c r="A2962" s="21">
        <v>820530</v>
      </c>
      <c r="B2962" s="22">
        <v>203</v>
      </c>
    </row>
    <row r="2963" spans="1:2" x14ac:dyDescent="0.2">
      <c r="A2963" s="21">
        <v>820534</v>
      </c>
      <c r="B2963" s="22">
        <v>25</v>
      </c>
    </row>
    <row r="2964" spans="1:2" x14ac:dyDescent="0.2">
      <c r="A2964" s="21">
        <v>820535</v>
      </c>
      <c r="B2964" s="22">
        <v>85.5</v>
      </c>
    </row>
    <row r="2965" spans="1:2" x14ac:dyDescent="0.2">
      <c r="A2965" s="21">
        <v>820539</v>
      </c>
      <c r="B2965" s="22">
        <v>120</v>
      </c>
    </row>
    <row r="2966" spans="1:2" x14ac:dyDescent="0.2">
      <c r="A2966" s="21">
        <v>820540</v>
      </c>
      <c r="B2966" s="22">
        <v>101</v>
      </c>
    </row>
    <row r="2967" spans="1:2" x14ac:dyDescent="0.2">
      <c r="A2967" s="21">
        <v>820544</v>
      </c>
      <c r="B2967" s="22">
        <v>110.5</v>
      </c>
    </row>
    <row r="2968" spans="1:2" x14ac:dyDescent="0.2">
      <c r="A2968" s="21">
        <v>820545</v>
      </c>
      <c r="B2968" s="22">
        <v>96.5</v>
      </c>
    </row>
    <row r="2969" spans="1:2" x14ac:dyDescent="0.2">
      <c r="A2969" s="21">
        <v>820552</v>
      </c>
      <c r="B2969" s="22">
        <v>32</v>
      </c>
    </row>
    <row r="2970" spans="1:2" x14ac:dyDescent="0.2">
      <c r="A2970" s="21">
        <v>820558</v>
      </c>
      <c r="B2970" s="22">
        <v>35</v>
      </c>
    </row>
    <row r="2971" spans="1:2" x14ac:dyDescent="0.2">
      <c r="A2971" s="21">
        <v>820559</v>
      </c>
      <c r="B2971" s="22">
        <v>118.8</v>
      </c>
    </row>
    <row r="2972" spans="1:2" x14ac:dyDescent="0.2">
      <c r="A2972" s="21">
        <v>820566</v>
      </c>
      <c r="B2972" s="22">
        <v>123</v>
      </c>
    </row>
    <row r="2973" spans="1:2" x14ac:dyDescent="0.2">
      <c r="A2973" s="21">
        <v>820567</v>
      </c>
      <c r="B2973" s="22">
        <v>26</v>
      </c>
    </row>
    <row r="2974" spans="1:2" x14ac:dyDescent="0.2">
      <c r="A2974" s="21">
        <v>820568</v>
      </c>
      <c r="B2974" s="22">
        <v>45</v>
      </c>
    </row>
    <row r="2975" spans="1:2" x14ac:dyDescent="0.2">
      <c r="A2975" s="21">
        <v>820574</v>
      </c>
      <c r="B2975" s="22">
        <v>296</v>
      </c>
    </row>
    <row r="2976" spans="1:2" x14ac:dyDescent="0.2">
      <c r="A2976" s="21">
        <v>820575</v>
      </c>
      <c r="B2976" s="22">
        <v>553</v>
      </c>
    </row>
    <row r="2977" spans="1:2" x14ac:dyDescent="0.2">
      <c r="A2977" s="21">
        <v>820576</v>
      </c>
      <c r="B2977" s="22">
        <v>40</v>
      </c>
    </row>
    <row r="2978" spans="1:2" x14ac:dyDescent="0.2">
      <c r="A2978" s="21">
        <v>820577</v>
      </c>
      <c r="B2978" s="22">
        <v>30.5</v>
      </c>
    </row>
    <row r="2979" spans="1:2" x14ac:dyDescent="0.2">
      <c r="A2979" s="21">
        <v>820578</v>
      </c>
      <c r="B2979" s="22">
        <v>30.5</v>
      </c>
    </row>
    <row r="2980" spans="1:2" x14ac:dyDescent="0.2">
      <c r="A2980" s="21">
        <v>820583</v>
      </c>
      <c r="B2980" s="22">
        <v>73.5</v>
      </c>
    </row>
    <row r="2981" spans="1:2" x14ac:dyDescent="0.2">
      <c r="A2981" s="21">
        <v>820585</v>
      </c>
      <c r="B2981" s="22">
        <v>62</v>
      </c>
    </row>
    <row r="2982" spans="1:2" x14ac:dyDescent="0.2">
      <c r="A2982" s="21">
        <v>820587</v>
      </c>
      <c r="B2982" s="22">
        <v>88</v>
      </c>
    </row>
    <row r="2983" spans="1:2" x14ac:dyDescent="0.2">
      <c r="A2983" s="21">
        <v>820588</v>
      </c>
      <c r="B2983" s="22">
        <v>100</v>
      </c>
    </row>
    <row r="2984" spans="1:2" x14ac:dyDescent="0.2">
      <c r="A2984" s="21">
        <v>820589</v>
      </c>
      <c r="B2984" s="22">
        <v>75</v>
      </c>
    </row>
    <row r="2985" spans="1:2" x14ac:dyDescent="0.2">
      <c r="A2985" s="21">
        <v>820591</v>
      </c>
      <c r="B2985" s="22">
        <v>54.5</v>
      </c>
    </row>
    <row r="2986" spans="1:2" x14ac:dyDescent="0.2">
      <c r="A2986" s="21">
        <v>820593</v>
      </c>
      <c r="B2986" s="22">
        <v>81.5</v>
      </c>
    </row>
    <row r="2987" spans="1:2" x14ac:dyDescent="0.2">
      <c r="A2987" s="21">
        <v>820599</v>
      </c>
      <c r="B2987" s="22">
        <v>47</v>
      </c>
    </row>
    <row r="2988" spans="1:2" x14ac:dyDescent="0.2">
      <c r="A2988" s="21">
        <v>820600</v>
      </c>
      <c r="B2988" s="22">
        <v>75</v>
      </c>
    </row>
    <row r="2989" spans="1:2" x14ac:dyDescent="0.2">
      <c r="A2989" s="21">
        <v>820601</v>
      </c>
      <c r="B2989" s="22">
        <v>32</v>
      </c>
    </row>
    <row r="2990" spans="1:2" x14ac:dyDescent="0.2">
      <c r="A2990" s="21">
        <v>820602</v>
      </c>
      <c r="B2990" s="22">
        <v>200.5</v>
      </c>
    </row>
    <row r="2991" spans="1:2" x14ac:dyDescent="0.2">
      <c r="A2991" s="21">
        <v>820603</v>
      </c>
      <c r="B2991" s="22">
        <v>41</v>
      </c>
    </row>
    <row r="2992" spans="1:2" x14ac:dyDescent="0.2">
      <c r="A2992" s="21">
        <v>820604</v>
      </c>
      <c r="B2992" s="22">
        <v>110</v>
      </c>
    </row>
    <row r="2993" spans="1:2" x14ac:dyDescent="0.2">
      <c r="A2993" s="21">
        <v>820605</v>
      </c>
      <c r="B2993" s="22">
        <v>66</v>
      </c>
    </row>
    <row r="2994" spans="1:2" x14ac:dyDescent="0.2">
      <c r="A2994" s="21">
        <v>820606</v>
      </c>
      <c r="B2994" s="22">
        <v>40</v>
      </c>
    </row>
    <row r="2995" spans="1:2" x14ac:dyDescent="0.2">
      <c r="A2995" s="21">
        <v>820607</v>
      </c>
      <c r="B2995" s="22">
        <v>37</v>
      </c>
    </row>
    <row r="2996" spans="1:2" x14ac:dyDescent="0.2">
      <c r="A2996" s="21">
        <v>820608</v>
      </c>
      <c r="B2996" s="22">
        <v>30</v>
      </c>
    </row>
    <row r="2997" spans="1:2" x14ac:dyDescent="0.2">
      <c r="A2997" s="21">
        <v>820609</v>
      </c>
      <c r="B2997" s="22">
        <v>111</v>
      </c>
    </row>
    <row r="2998" spans="1:2" x14ac:dyDescent="0.2">
      <c r="A2998" s="21">
        <v>820612</v>
      </c>
      <c r="B2998" s="22">
        <v>30</v>
      </c>
    </row>
    <row r="2999" spans="1:2" x14ac:dyDescent="0.2">
      <c r="A2999" s="21">
        <v>820614</v>
      </c>
      <c r="B2999" s="22">
        <v>141.5</v>
      </c>
    </row>
    <row r="3000" spans="1:2" x14ac:dyDescent="0.2">
      <c r="A3000" s="21">
        <v>820615</v>
      </c>
      <c r="B3000" s="22">
        <v>198</v>
      </c>
    </row>
    <row r="3001" spans="1:2" x14ac:dyDescent="0.2">
      <c r="A3001" s="21">
        <v>820618</v>
      </c>
      <c r="B3001" s="22">
        <v>73.150000000000006</v>
      </c>
    </row>
    <row r="3002" spans="1:2" x14ac:dyDescent="0.2">
      <c r="A3002" s="21">
        <v>820621</v>
      </c>
      <c r="B3002" s="22">
        <v>63</v>
      </c>
    </row>
    <row r="3003" spans="1:2" x14ac:dyDescent="0.2">
      <c r="A3003" s="21">
        <v>820622</v>
      </c>
      <c r="B3003" s="22">
        <v>65</v>
      </c>
    </row>
    <row r="3004" spans="1:2" x14ac:dyDescent="0.2">
      <c r="A3004" s="21">
        <v>820623</v>
      </c>
      <c r="B3004" s="22">
        <v>70</v>
      </c>
    </row>
    <row r="3005" spans="1:2" x14ac:dyDescent="0.2">
      <c r="A3005" s="21">
        <v>820625</v>
      </c>
      <c r="B3005" s="22">
        <v>55.5</v>
      </c>
    </row>
    <row r="3006" spans="1:2" x14ac:dyDescent="0.2">
      <c r="A3006" s="21">
        <v>820626</v>
      </c>
      <c r="B3006" s="22">
        <v>44</v>
      </c>
    </row>
    <row r="3007" spans="1:2" x14ac:dyDescent="0.2">
      <c r="A3007" s="21">
        <v>820627</v>
      </c>
      <c r="B3007" s="22">
        <v>25</v>
      </c>
    </row>
    <row r="3008" spans="1:2" x14ac:dyDescent="0.2">
      <c r="A3008" s="21">
        <v>820629</v>
      </c>
      <c r="B3008" s="22">
        <v>268.8</v>
      </c>
    </row>
    <row r="3009" spans="1:2" x14ac:dyDescent="0.2">
      <c r="A3009" s="21">
        <v>820631</v>
      </c>
      <c r="B3009" s="22">
        <v>42.5</v>
      </c>
    </row>
    <row r="3010" spans="1:2" x14ac:dyDescent="0.2">
      <c r="A3010" s="21">
        <v>820634</v>
      </c>
      <c r="B3010" s="22">
        <v>15</v>
      </c>
    </row>
    <row r="3011" spans="1:2" x14ac:dyDescent="0.2">
      <c r="A3011" s="21">
        <v>820639</v>
      </c>
      <c r="B3011" s="22">
        <v>75</v>
      </c>
    </row>
    <row r="3012" spans="1:2" x14ac:dyDescent="0.2">
      <c r="A3012" s="21">
        <v>820640</v>
      </c>
      <c r="B3012" s="22">
        <v>237.4</v>
      </c>
    </row>
    <row r="3013" spans="1:2" x14ac:dyDescent="0.2">
      <c r="A3013" s="21">
        <v>820641</v>
      </c>
      <c r="B3013" s="22">
        <v>283.35000000000002</v>
      </c>
    </row>
    <row r="3014" spans="1:2" x14ac:dyDescent="0.2">
      <c r="A3014" s="21">
        <v>820642</v>
      </c>
      <c r="B3014" s="22">
        <v>30</v>
      </c>
    </row>
    <row r="3015" spans="1:2" x14ac:dyDescent="0.2">
      <c r="A3015" s="21">
        <v>820650</v>
      </c>
      <c r="B3015" s="22">
        <v>43</v>
      </c>
    </row>
    <row r="3016" spans="1:2" x14ac:dyDescent="0.2">
      <c r="A3016" s="21">
        <v>820651</v>
      </c>
      <c r="B3016" s="22">
        <v>83</v>
      </c>
    </row>
    <row r="3017" spans="1:2" x14ac:dyDescent="0.2">
      <c r="A3017" s="21">
        <v>820652</v>
      </c>
      <c r="B3017" s="22">
        <v>188.75</v>
      </c>
    </row>
    <row r="3018" spans="1:2" x14ac:dyDescent="0.2">
      <c r="A3018" s="21">
        <v>820663</v>
      </c>
      <c r="B3018" s="22">
        <v>153</v>
      </c>
    </row>
    <row r="3019" spans="1:2" x14ac:dyDescent="0.2">
      <c r="A3019" s="21">
        <v>820664</v>
      </c>
      <c r="B3019" s="22">
        <v>70</v>
      </c>
    </row>
    <row r="3020" spans="1:2" x14ac:dyDescent="0.2">
      <c r="A3020" s="21">
        <v>820667</v>
      </c>
      <c r="B3020" s="22">
        <v>60</v>
      </c>
    </row>
    <row r="3021" spans="1:2" x14ac:dyDescent="0.2">
      <c r="A3021" s="21">
        <v>820668</v>
      </c>
      <c r="B3021" s="22">
        <v>289</v>
      </c>
    </row>
    <row r="3022" spans="1:2" x14ac:dyDescent="0.2">
      <c r="A3022" s="21">
        <v>820672</v>
      </c>
      <c r="B3022" s="22">
        <v>25</v>
      </c>
    </row>
    <row r="3023" spans="1:2" x14ac:dyDescent="0.2">
      <c r="A3023" s="21">
        <v>820673</v>
      </c>
      <c r="B3023" s="22">
        <v>30</v>
      </c>
    </row>
    <row r="3024" spans="1:2" x14ac:dyDescent="0.2">
      <c r="A3024" s="21">
        <v>820677</v>
      </c>
      <c r="B3024" s="22">
        <v>51</v>
      </c>
    </row>
    <row r="3025" spans="1:2" x14ac:dyDescent="0.2">
      <c r="A3025" s="21">
        <v>820695</v>
      </c>
      <c r="B3025" s="22">
        <v>155</v>
      </c>
    </row>
    <row r="3026" spans="1:2" x14ac:dyDescent="0.2">
      <c r="A3026" s="21">
        <v>820700</v>
      </c>
      <c r="B3026" s="22">
        <v>12.5</v>
      </c>
    </row>
    <row r="3027" spans="1:2" x14ac:dyDescent="0.2">
      <c r="A3027" s="21">
        <v>820701</v>
      </c>
      <c r="B3027" s="22">
        <v>177.5</v>
      </c>
    </row>
    <row r="3028" spans="1:2" x14ac:dyDescent="0.2">
      <c r="A3028" s="21">
        <v>820702</v>
      </c>
      <c r="B3028" s="22">
        <v>55.5</v>
      </c>
    </row>
    <row r="3029" spans="1:2" x14ac:dyDescent="0.2">
      <c r="A3029" s="21">
        <v>820704</v>
      </c>
      <c r="B3029" s="22">
        <v>575.45000000000005</v>
      </c>
    </row>
    <row r="3030" spans="1:2" x14ac:dyDescent="0.2">
      <c r="A3030" s="21">
        <v>820705</v>
      </c>
      <c r="B3030" s="22">
        <v>70</v>
      </c>
    </row>
    <row r="3031" spans="1:2" x14ac:dyDescent="0.2">
      <c r="A3031" s="21">
        <v>820706</v>
      </c>
      <c r="B3031" s="22">
        <v>30</v>
      </c>
    </row>
    <row r="3032" spans="1:2" x14ac:dyDescent="0.2">
      <c r="A3032" s="21">
        <v>820707</v>
      </c>
      <c r="B3032" s="22">
        <v>40</v>
      </c>
    </row>
    <row r="3033" spans="1:2" x14ac:dyDescent="0.2">
      <c r="A3033" s="21">
        <v>820715</v>
      </c>
      <c r="B3033" s="22">
        <v>45</v>
      </c>
    </row>
    <row r="3034" spans="1:2" x14ac:dyDescent="0.2">
      <c r="A3034" s="21">
        <v>820716</v>
      </c>
      <c r="B3034" s="22">
        <v>8.5</v>
      </c>
    </row>
    <row r="3035" spans="1:2" x14ac:dyDescent="0.2">
      <c r="A3035" s="21">
        <v>820736</v>
      </c>
      <c r="B3035" s="22">
        <v>78.400000000000006</v>
      </c>
    </row>
    <row r="3036" spans="1:2" x14ac:dyDescent="0.2">
      <c r="A3036" s="21">
        <v>820740</v>
      </c>
      <c r="B3036" s="22">
        <v>286</v>
      </c>
    </row>
    <row r="3037" spans="1:2" x14ac:dyDescent="0.2">
      <c r="A3037" s="21">
        <v>820749</v>
      </c>
      <c r="B3037" s="22">
        <v>40</v>
      </c>
    </row>
    <row r="3038" spans="1:2" x14ac:dyDescent="0.2">
      <c r="A3038" s="21">
        <v>820755</v>
      </c>
      <c r="B3038" s="22">
        <v>53</v>
      </c>
    </row>
    <row r="3039" spans="1:2" x14ac:dyDescent="0.2">
      <c r="A3039" s="21">
        <v>820756</v>
      </c>
      <c r="B3039" s="22">
        <v>51</v>
      </c>
    </row>
    <row r="3040" spans="1:2" x14ac:dyDescent="0.2">
      <c r="A3040" s="21">
        <v>820759</v>
      </c>
      <c r="B3040" s="22">
        <v>69</v>
      </c>
    </row>
    <row r="3041" spans="1:2" x14ac:dyDescent="0.2">
      <c r="A3041" s="21">
        <v>820760</v>
      </c>
      <c r="B3041" s="22">
        <v>85</v>
      </c>
    </row>
    <row r="3042" spans="1:2" x14ac:dyDescent="0.2">
      <c r="A3042" s="21">
        <v>820763</v>
      </c>
      <c r="B3042" s="22">
        <v>72</v>
      </c>
    </row>
    <row r="3043" spans="1:2" x14ac:dyDescent="0.2">
      <c r="A3043" s="21">
        <v>820776</v>
      </c>
      <c r="B3043" s="22">
        <v>113.65</v>
      </c>
    </row>
    <row r="3044" spans="1:2" x14ac:dyDescent="0.2">
      <c r="A3044" s="21">
        <v>820778</v>
      </c>
      <c r="B3044" s="22">
        <v>174.9</v>
      </c>
    </row>
    <row r="3045" spans="1:2" x14ac:dyDescent="0.2">
      <c r="A3045" s="21">
        <v>820780</v>
      </c>
      <c r="B3045" s="22">
        <v>40</v>
      </c>
    </row>
    <row r="3046" spans="1:2" x14ac:dyDescent="0.2">
      <c r="A3046" s="21">
        <v>820781</v>
      </c>
      <c r="B3046" s="22">
        <v>45</v>
      </c>
    </row>
    <row r="3047" spans="1:2" x14ac:dyDescent="0.2">
      <c r="A3047" s="21">
        <v>820782</v>
      </c>
      <c r="B3047" s="22">
        <v>167.75</v>
      </c>
    </row>
    <row r="3048" spans="1:2" x14ac:dyDescent="0.2">
      <c r="A3048" s="21">
        <v>820784</v>
      </c>
      <c r="B3048" s="22">
        <v>74.5</v>
      </c>
    </row>
    <row r="3049" spans="1:2" x14ac:dyDescent="0.2">
      <c r="A3049" s="21">
        <v>820805</v>
      </c>
      <c r="B3049" s="22">
        <v>67.5</v>
      </c>
    </row>
    <row r="3050" spans="1:2" x14ac:dyDescent="0.2">
      <c r="A3050" s="21">
        <v>820807</v>
      </c>
      <c r="B3050" s="22">
        <v>41</v>
      </c>
    </row>
    <row r="3051" spans="1:2" x14ac:dyDescent="0.2">
      <c r="A3051" s="21">
        <v>820810</v>
      </c>
      <c r="B3051" s="22">
        <v>137.5</v>
      </c>
    </row>
    <row r="3052" spans="1:2" x14ac:dyDescent="0.2">
      <c r="A3052" s="21">
        <v>820811</v>
      </c>
      <c r="B3052" s="22">
        <v>34</v>
      </c>
    </row>
    <row r="3053" spans="1:2" x14ac:dyDescent="0.2">
      <c r="A3053" s="21">
        <v>820812</v>
      </c>
      <c r="B3053" s="22">
        <v>20</v>
      </c>
    </row>
    <row r="3054" spans="1:2" x14ac:dyDescent="0.2">
      <c r="A3054" s="21">
        <v>820813</v>
      </c>
      <c r="B3054" s="22">
        <v>70</v>
      </c>
    </row>
    <row r="3055" spans="1:2" x14ac:dyDescent="0.2">
      <c r="A3055" s="21">
        <v>820814</v>
      </c>
      <c r="B3055" s="22">
        <v>65</v>
      </c>
    </row>
    <row r="3056" spans="1:2" x14ac:dyDescent="0.2">
      <c r="A3056" s="21">
        <v>820835</v>
      </c>
      <c r="B3056" s="22">
        <v>67</v>
      </c>
    </row>
    <row r="3057" spans="1:2" x14ac:dyDescent="0.2">
      <c r="A3057" s="21">
        <v>820860</v>
      </c>
      <c r="B3057" s="22">
        <v>171</v>
      </c>
    </row>
    <row r="3058" spans="1:2" x14ac:dyDescent="0.2">
      <c r="A3058" s="21">
        <v>820862</v>
      </c>
      <c r="B3058" s="22">
        <v>10</v>
      </c>
    </row>
    <row r="3059" spans="1:2" x14ac:dyDescent="0.2">
      <c r="A3059" s="21">
        <v>820863</v>
      </c>
      <c r="B3059" s="22">
        <v>230.35</v>
      </c>
    </row>
    <row r="3060" spans="1:2" x14ac:dyDescent="0.2">
      <c r="A3060" s="21">
        <v>820865</v>
      </c>
      <c r="B3060" s="22">
        <v>25</v>
      </c>
    </row>
    <row r="3061" spans="1:2" x14ac:dyDescent="0.2">
      <c r="A3061" s="21">
        <v>820866</v>
      </c>
      <c r="B3061" s="22">
        <v>30</v>
      </c>
    </row>
    <row r="3062" spans="1:2" x14ac:dyDescent="0.2">
      <c r="A3062" s="21">
        <v>820877</v>
      </c>
      <c r="B3062" s="22">
        <v>18.5</v>
      </c>
    </row>
    <row r="3063" spans="1:2" x14ac:dyDescent="0.2">
      <c r="A3063" s="21">
        <v>820878</v>
      </c>
      <c r="B3063" s="22">
        <v>22.5</v>
      </c>
    </row>
    <row r="3064" spans="1:2" x14ac:dyDescent="0.2">
      <c r="A3064" s="21">
        <v>820879</v>
      </c>
      <c r="B3064" s="22">
        <v>17.5</v>
      </c>
    </row>
    <row r="3065" spans="1:2" x14ac:dyDescent="0.2">
      <c r="A3065" s="21">
        <v>820882</v>
      </c>
      <c r="B3065" s="22">
        <v>83</v>
      </c>
    </row>
    <row r="3066" spans="1:2" x14ac:dyDescent="0.2">
      <c r="A3066" s="21">
        <v>820883</v>
      </c>
      <c r="B3066" s="22">
        <v>30</v>
      </c>
    </row>
    <row r="3067" spans="1:2" x14ac:dyDescent="0.2">
      <c r="A3067" s="21">
        <v>820884</v>
      </c>
      <c r="B3067" s="22">
        <v>25</v>
      </c>
    </row>
    <row r="3068" spans="1:2" x14ac:dyDescent="0.2">
      <c r="A3068" s="21">
        <v>820901</v>
      </c>
      <c r="B3068" s="22">
        <v>105</v>
      </c>
    </row>
    <row r="3069" spans="1:2" x14ac:dyDescent="0.2">
      <c r="A3069" s="21">
        <v>820902</v>
      </c>
      <c r="B3069" s="22">
        <v>99.75</v>
      </c>
    </row>
    <row r="3070" spans="1:2" x14ac:dyDescent="0.2">
      <c r="A3070" s="21">
        <v>820903</v>
      </c>
      <c r="B3070" s="22">
        <v>35</v>
      </c>
    </row>
    <row r="3071" spans="1:2" x14ac:dyDescent="0.2">
      <c r="A3071" s="21">
        <v>820905</v>
      </c>
      <c r="B3071" s="22">
        <v>85.75</v>
      </c>
    </row>
    <row r="3072" spans="1:2" x14ac:dyDescent="0.2">
      <c r="A3072" s="21">
        <v>820907</v>
      </c>
      <c r="B3072" s="22">
        <v>10</v>
      </c>
    </row>
    <row r="3073" spans="1:2" x14ac:dyDescent="0.2">
      <c r="A3073" s="21">
        <v>820912</v>
      </c>
      <c r="B3073" s="22">
        <v>74</v>
      </c>
    </row>
    <row r="3074" spans="1:2" x14ac:dyDescent="0.2">
      <c r="A3074" s="21">
        <v>820914</v>
      </c>
      <c r="B3074" s="22">
        <v>105</v>
      </c>
    </row>
    <row r="3075" spans="1:2" x14ac:dyDescent="0.2">
      <c r="A3075" s="21">
        <v>820916</v>
      </c>
      <c r="B3075" s="22">
        <v>70</v>
      </c>
    </row>
    <row r="3076" spans="1:2" x14ac:dyDescent="0.2">
      <c r="A3076" s="21">
        <v>820917</v>
      </c>
      <c r="B3076" s="22">
        <v>107.7</v>
      </c>
    </row>
    <row r="3077" spans="1:2" x14ac:dyDescent="0.2">
      <c r="A3077" s="21">
        <v>820918</v>
      </c>
      <c r="B3077" s="22">
        <v>22.5</v>
      </c>
    </row>
    <row r="3078" spans="1:2" x14ac:dyDescent="0.2">
      <c r="A3078" s="21">
        <v>820925</v>
      </c>
      <c r="B3078" s="22">
        <v>115</v>
      </c>
    </row>
    <row r="3079" spans="1:2" x14ac:dyDescent="0.2">
      <c r="A3079" s="21">
        <v>820926</v>
      </c>
      <c r="B3079" s="22">
        <v>32.5</v>
      </c>
    </row>
    <row r="3080" spans="1:2" x14ac:dyDescent="0.2">
      <c r="A3080" s="21">
        <v>820927</v>
      </c>
      <c r="B3080" s="22">
        <v>30</v>
      </c>
    </row>
    <row r="3081" spans="1:2" x14ac:dyDescent="0.2">
      <c r="A3081" s="21">
        <v>820928</v>
      </c>
      <c r="B3081" s="22">
        <v>85</v>
      </c>
    </row>
    <row r="3082" spans="1:2" x14ac:dyDescent="0.2">
      <c r="A3082" s="21">
        <v>820939</v>
      </c>
      <c r="B3082" s="22">
        <v>96</v>
      </c>
    </row>
    <row r="3083" spans="1:2" x14ac:dyDescent="0.2">
      <c r="A3083" s="21">
        <v>820941</v>
      </c>
      <c r="B3083" s="22">
        <v>55</v>
      </c>
    </row>
    <row r="3084" spans="1:2" x14ac:dyDescent="0.2">
      <c r="A3084" s="21">
        <v>820953</v>
      </c>
      <c r="B3084" s="22">
        <v>133.25</v>
      </c>
    </row>
    <row r="3085" spans="1:2" x14ac:dyDescent="0.2">
      <c r="A3085" s="21">
        <v>820972</v>
      </c>
      <c r="B3085" s="22">
        <v>61.05</v>
      </c>
    </row>
    <row r="3086" spans="1:2" x14ac:dyDescent="0.2">
      <c r="A3086" s="21">
        <v>820992</v>
      </c>
      <c r="B3086" s="22">
        <v>34.5</v>
      </c>
    </row>
    <row r="3087" spans="1:2" x14ac:dyDescent="0.2">
      <c r="A3087" s="21">
        <v>820993</v>
      </c>
      <c r="B3087" s="22">
        <v>86</v>
      </c>
    </row>
    <row r="3088" spans="1:2" x14ac:dyDescent="0.2">
      <c r="A3088" s="21">
        <v>820994</v>
      </c>
      <c r="B3088" s="22">
        <v>64.5</v>
      </c>
    </row>
    <row r="3089" spans="1:2" x14ac:dyDescent="0.2">
      <c r="A3089" s="21">
        <v>821004</v>
      </c>
      <c r="B3089" s="22">
        <v>55</v>
      </c>
    </row>
    <row r="3090" spans="1:2" x14ac:dyDescent="0.2">
      <c r="A3090" s="21">
        <v>821006</v>
      </c>
      <c r="B3090" s="22">
        <v>56</v>
      </c>
    </row>
    <row r="3091" spans="1:2" x14ac:dyDescent="0.2">
      <c r="A3091" s="21">
        <v>821007</v>
      </c>
      <c r="B3091" s="22">
        <v>97</v>
      </c>
    </row>
    <row r="3092" spans="1:2" x14ac:dyDescent="0.2">
      <c r="A3092" s="21">
        <v>821008</v>
      </c>
      <c r="B3092" s="22">
        <v>304.5</v>
      </c>
    </row>
    <row r="3093" spans="1:2" x14ac:dyDescent="0.2">
      <c r="A3093" s="21">
        <v>821009</v>
      </c>
      <c r="B3093" s="22">
        <v>65</v>
      </c>
    </row>
    <row r="3094" spans="1:2" x14ac:dyDescent="0.2">
      <c r="A3094" s="21">
        <v>821019</v>
      </c>
      <c r="B3094" s="22">
        <v>85</v>
      </c>
    </row>
    <row r="3095" spans="1:2" x14ac:dyDescent="0.2">
      <c r="A3095" s="21">
        <v>821020</v>
      </c>
      <c r="B3095" s="22">
        <v>18</v>
      </c>
    </row>
    <row r="3096" spans="1:2" x14ac:dyDescent="0.2">
      <c r="A3096" s="21">
        <v>821021</v>
      </c>
      <c r="B3096" s="22">
        <v>45</v>
      </c>
    </row>
    <row r="3097" spans="1:2" x14ac:dyDescent="0.2">
      <c r="A3097" s="21">
        <v>821022</v>
      </c>
      <c r="B3097" s="22">
        <v>423.5</v>
      </c>
    </row>
    <row r="3098" spans="1:2" x14ac:dyDescent="0.2">
      <c r="A3098" s="21">
        <v>821023</v>
      </c>
      <c r="B3098" s="22">
        <v>18</v>
      </c>
    </row>
    <row r="3099" spans="1:2" x14ac:dyDescent="0.2">
      <c r="A3099" s="21">
        <v>821034</v>
      </c>
      <c r="B3099" s="22">
        <v>15</v>
      </c>
    </row>
    <row r="3100" spans="1:2" x14ac:dyDescent="0.2">
      <c r="A3100" s="21">
        <v>821035</v>
      </c>
      <c r="B3100" s="22">
        <v>759.5</v>
      </c>
    </row>
    <row r="3101" spans="1:2" x14ac:dyDescent="0.2">
      <c r="A3101" s="21">
        <v>821037</v>
      </c>
      <c r="B3101" s="22">
        <v>92.25</v>
      </c>
    </row>
    <row r="3102" spans="1:2" x14ac:dyDescent="0.2">
      <c r="A3102" s="21">
        <v>821056</v>
      </c>
      <c r="B3102" s="22">
        <v>35</v>
      </c>
    </row>
    <row r="3103" spans="1:2" x14ac:dyDescent="0.2">
      <c r="A3103" s="21">
        <v>821057</v>
      </c>
      <c r="B3103" s="22">
        <v>40</v>
      </c>
    </row>
    <row r="3104" spans="1:2" x14ac:dyDescent="0.2">
      <c r="A3104" s="21">
        <v>821058</v>
      </c>
      <c r="B3104" s="22">
        <v>30</v>
      </c>
    </row>
    <row r="3105" spans="1:2" x14ac:dyDescent="0.2">
      <c r="A3105" s="21">
        <v>821059</v>
      </c>
      <c r="B3105" s="22">
        <v>35</v>
      </c>
    </row>
    <row r="3106" spans="1:2" x14ac:dyDescent="0.2">
      <c r="A3106" s="21">
        <v>821061</v>
      </c>
      <c r="B3106" s="22">
        <v>35</v>
      </c>
    </row>
    <row r="3107" spans="1:2" x14ac:dyDescent="0.2">
      <c r="A3107" s="21">
        <v>821062</v>
      </c>
      <c r="B3107" s="22">
        <v>30</v>
      </c>
    </row>
    <row r="3108" spans="1:2" x14ac:dyDescent="0.2">
      <c r="A3108" s="21">
        <v>821065</v>
      </c>
      <c r="B3108" s="22">
        <v>20</v>
      </c>
    </row>
    <row r="3109" spans="1:2" x14ac:dyDescent="0.2">
      <c r="A3109" s="21">
        <v>821067</v>
      </c>
      <c r="B3109" s="22">
        <v>50</v>
      </c>
    </row>
    <row r="3110" spans="1:2" x14ac:dyDescent="0.2">
      <c r="A3110" s="21">
        <v>821074</v>
      </c>
      <c r="B3110" s="22">
        <v>37</v>
      </c>
    </row>
    <row r="3111" spans="1:2" x14ac:dyDescent="0.2">
      <c r="A3111" s="21">
        <v>821083</v>
      </c>
      <c r="B3111" s="22">
        <v>22.5</v>
      </c>
    </row>
    <row r="3112" spans="1:2" x14ac:dyDescent="0.2">
      <c r="A3112" s="21">
        <v>821085</v>
      </c>
      <c r="B3112" s="22">
        <v>45</v>
      </c>
    </row>
    <row r="3113" spans="1:2" x14ac:dyDescent="0.2">
      <c r="A3113" s="21">
        <v>821086</v>
      </c>
      <c r="B3113" s="22">
        <v>77.05</v>
      </c>
    </row>
    <row r="3114" spans="1:2" x14ac:dyDescent="0.2">
      <c r="A3114" s="21">
        <v>821095</v>
      </c>
      <c r="B3114" s="22">
        <v>40</v>
      </c>
    </row>
    <row r="3115" spans="1:2" x14ac:dyDescent="0.2">
      <c r="A3115" s="21">
        <v>821098</v>
      </c>
      <c r="B3115" s="22">
        <v>161</v>
      </c>
    </row>
    <row r="3116" spans="1:2" x14ac:dyDescent="0.2">
      <c r="A3116" s="21">
        <v>821100</v>
      </c>
      <c r="B3116" s="22">
        <v>46</v>
      </c>
    </row>
    <row r="3117" spans="1:2" x14ac:dyDescent="0.2">
      <c r="A3117" s="21">
        <v>821101</v>
      </c>
      <c r="B3117" s="22">
        <v>30</v>
      </c>
    </row>
    <row r="3118" spans="1:2" x14ac:dyDescent="0.2">
      <c r="A3118" s="21">
        <v>821112</v>
      </c>
      <c r="B3118" s="22">
        <v>31</v>
      </c>
    </row>
    <row r="3119" spans="1:2" x14ac:dyDescent="0.2">
      <c r="A3119" s="21">
        <v>821115</v>
      </c>
      <c r="B3119" s="22">
        <v>65</v>
      </c>
    </row>
    <row r="3120" spans="1:2" x14ac:dyDescent="0.2">
      <c r="A3120" s="21">
        <v>821120</v>
      </c>
      <c r="B3120" s="22">
        <v>80</v>
      </c>
    </row>
    <row r="3121" spans="1:2" x14ac:dyDescent="0.2">
      <c r="A3121" s="21">
        <v>821121</v>
      </c>
      <c r="B3121" s="22">
        <v>40</v>
      </c>
    </row>
    <row r="3122" spans="1:2" x14ac:dyDescent="0.2">
      <c r="A3122" s="21">
        <v>821143</v>
      </c>
      <c r="B3122" s="22">
        <v>49</v>
      </c>
    </row>
    <row r="3123" spans="1:2" x14ac:dyDescent="0.2">
      <c r="A3123" s="21">
        <v>821147</v>
      </c>
      <c r="B3123" s="22">
        <v>55</v>
      </c>
    </row>
    <row r="3124" spans="1:2" x14ac:dyDescent="0.2">
      <c r="A3124" s="21">
        <v>821151</v>
      </c>
      <c r="B3124" s="22">
        <v>150</v>
      </c>
    </row>
    <row r="3125" spans="1:2" x14ac:dyDescent="0.2">
      <c r="A3125" s="21">
        <v>821152</v>
      </c>
      <c r="B3125" s="22">
        <v>50</v>
      </c>
    </row>
    <row r="3126" spans="1:2" x14ac:dyDescent="0.2">
      <c r="A3126" s="21">
        <v>821160</v>
      </c>
      <c r="B3126" s="22">
        <v>43.5</v>
      </c>
    </row>
    <row r="3127" spans="1:2" x14ac:dyDescent="0.2">
      <c r="A3127" s="21">
        <v>821170</v>
      </c>
      <c r="B3127" s="22">
        <v>50</v>
      </c>
    </row>
    <row r="3128" spans="1:2" x14ac:dyDescent="0.2">
      <c r="A3128" s="21">
        <v>821184</v>
      </c>
      <c r="B3128" s="22">
        <v>402</v>
      </c>
    </row>
    <row r="3129" spans="1:2" x14ac:dyDescent="0.2">
      <c r="A3129" s="21">
        <v>821185</v>
      </c>
      <c r="B3129" s="22">
        <v>316.25</v>
      </c>
    </row>
    <row r="3130" spans="1:2" x14ac:dyDescent="0.2">
      <c r="A3130" s="21">
        <v>821200</v>
      </c>
      <c r="B3130" s="22">
        <v>30</v>
      </c>
    </row>
    <row r="3131" spans="1:2" x14ac:dyDescent="0.2">
      <c r="A3131" s="21">
        <v>821201</v>
      </c>
      <c r="B3131" s="22">
        <v>35</v>
      </c>
    </row>
    <row r="3132" spans="1:2" x14ac:dyDescent="0.2">
      <c r="A3132" s="21">
        <v>821202</v>
      </c>
      <c r="B3132" s="22">
        <v>40</v>
      </c>
    </row>
    <row r="3133" spans="1:2" x14ac:dyDescent="0.2">
      <c r="A3133" s="21">
        <v>821203</v>
      </c>
      <c r="B3133" s="22">
        <v>30</v>
      </c>
    </row>
    <row r="3134" spans="1:2" x14ac:dyDescent="0.2">
      <c r="A3134" s="21">
        <v>821204</v>
      </c>
      <c r="B3134" s="22">
        <v>35</v>
      </c>
    </row>
    <row r="3135" spans="1:2" x14ac:dyDescent="0.2">
      <c r="A3135" s="21">
        <v>821207</v>
      </c>
      <c r="B3135" s="22">
        <v>78</v>
      </c>
    </row>
    <row r="3136" spans="1:2" x14ac:dyDescent="0.2">
      <c r="A3136" s="21">
        <v>821218</v>
      </c>
      <c r="B3136" s="22">
        <v>40</v>
      </c>
    </row>
    <row r="3137" spans="1:2" x14ac:dyDescent="0.2">
      <c r="A3137" s="21">
        <v>821229</v>
      </c>
      <c r="B3137" s="22">
        <v>26.5</v>
      </c>
    </row>
    <row r="3138" spans="1:2" x14ac:dyDescent="0.2">
      <c r="A3138" s="21">
        <v>821234</v>
      </c>
      <c r="B3138" s="22">
        <v>80</v>
      </c>
    </row>
    <row r="3139" spans="1:2" x14ac:dyDescent="0.2">
      <c r="A3139" s="21">
        <v>821250</v>
      </c>
      <c r="B3139" s="22">
        <v>35</v>
      </c>
    </row>
    <row r="3140" spans="1:2" x14ac:dyDescent="0.2">
      <c r="A3140" s="21">
        <v>821263</v>
      </c>
      <c r="B3140" s="22">
        <v>35</v>
      </c>
    </row>
    <row r="3141" spans="1:2" x14ac:dyDescent="0.2">
      <c r="A3141" s="21">
        <v>821265</v>
      </c>
      <c r="B3141" s="22">
        <v>85</v>
      </c>
    </row>
    <row r="3142" spans="1:2" x14ac:dyDescent="0.2">
      <c r="A3142" s="21">
        <v>821266</v>
      </c>
      <c r="B3142" s="22">
        <v>85.75</v>
      </c>
    </row>
    <row r="3143" spans="1:2" x14ac:dyDescent="0.2">
      <c r="A3143" s="21">
        <v>821267</v>
      </c>
      <c r="B3143" s="22">
        <v>50</v>
      </c>
    </row>
    <row r="3144" spans="1:2" x14ac:dyDescent="0.2">
      <c r="A3144" s="21">
        <v>821272</v>
      </c>
      <c r="B3144" s="22">
        <v>92.5</v>
      </c>
    </row>
    <row r="3145" spans="1:2" x14ac:dyDescent="0.2">
      <c r="A3145" s="21">
        <v>821274</v>
      </c>
      <c r="B3145" s="22">
        <v>50</v>
      </c>
    </row>
    <row r="3146" spans="1:2" x14ac:dyDescent="0.2">
      <c r="A3146" s="21">
        <v>821276</v>
      </c>
      <c r="B3146" s="22">
        <v>85</v>
      </c>
    </row>
    <row r="3147" spans="1:2" x14ac:dyDescent="0.2">
      <c r="A3147" s="21">
        <v>821284</v>
      </c>
      <c r="B3147" s="22">
        <v>67</v>
      </c>
    </row>
    <row r="3148" spans="1:2" x14ac:dyDescent="0.2">
      <c r="A3148" s="21">
        <v>821285</v>
      </c>
      <c r="B3148" s="22">
        <v>65</v>
      </c>
    </row>
    <row r="3149" spans="1:2" x14ac:dyDescent="0.2">
      <c r="A3149" s="21">
        <v>821286</v>
      </c>
      <c r="B3149" s="22">
        <v>32.5</v>
      </c>
    </row>
    <row r="3150" spans="1:2" x14ac:dyDescent="0.2">
      <c r="A3150" s="21">
        <v>821287</v>
      </c>
      <c r="B3150" s="22">
        <v>50</v>
      </c>
    </row>
    <row r="3151" spans="1:2" x14ac:dyDescent="0.2">
      <c r="A3151" s="21">
        <v>821294</v>
      </c>
      <c r="B3151" s="22">
        <v>45</v>
      </c>
    </row>
    <row r="3152" spans="1:2" x14ac:dyDescent="0.2">
      <c r="A3152" s="21">
        <v>821295</v>
      </c>
      <c r="B3152" s="22">
        <v>40</v>
      </c>
    </row>
    <row r="3153" spans="1:2" x14ac:dyDescent="0.2">
      <c r="A3153" s="21">
        <v>821325</v>
      </c>
      <c r="B3153" s="22">
        <v>25</v>
      </c>
    </row>
    <row r="3154" spans="1:2" x14ac:dyDescent="0.2">
      <c r="A3154" s="21">
        <v>821329</v>
      </c>
      <c r="B3154" s="22">
        <v>60</v>
      </c>
    </row>
    <row r="3155" spans="1:2" x14ac:dyDescent="0.2">
      <c r="A3155" s="21">
        <v>821332</v>
      </c>
      <c r="B3155" s="22">
        <v>27</v>
      </c>
    </row>
    <row r="3156" spans="1:2" x14ac:dyDescent="0.2">
      <c r="A3156" s="21">
        <v>821343</v>
      </c>
      <c r="B3156" s="22">
        <v>30</v>
      </c>
    </row>
    <row r="3157" spans="1:2" x14ac:dyDescent="0.2">
      <c r="A3157" s="21">
        <v>821349</v>
      </c>
      <c r="B3157" s="22">
        <v>55.5</v>
      </c>
    </row>
    <row r="3158" spans="1:2" x14ac:dyDescent="0.2">
      <c r="A3158" s="21">
        <v>821352</v>
      </c>
      <c r="B3158" s="22">
        <v>30</v>
      </c>
    </row>
    <row r="3159" spans="1:2" x14ac:dyDescent="0.2">
      <c r="A3159" s="21">
        <v>821380</v>
      </c>
      <c r="B3159" s="22">
        <v>35</v>
      </c>
    </row>
    <row r="3160" spans="1:2" x14ac:dyDescent="0.2">
      <c r="A3160" s="21">
        <v>821381</v>
      </c>
      <c r="B3160" s="22">
        <v>17.5</v>
      </c>
    </row>
    <row r="3161" spans="1:2" x14ac:dyDescent="0.2">
      <c r="A3161" s="21">
        <v>821394</v>
      </c>
      <c r="B3161" s="22">
        <v>20</v>
      </c>
    </row>
    <row r="3162" spans="1:2" x14ac:dyDescent="0.2">
      <c r="A3162" s="21">
        <v>821457</v>
      </c>
      <c r="B3162" s="22">
        <v>16</v>
      </c>
    </row>
    <row r="3163" spans="1:2" x14ac:dyDescent="0.2">
      <c r="A3163" s="21">
        <v>821463</v>
      </c>
      <c r="B3163" s="22">
        <v>25</v>
      </c>
    </row>
    <row r="3164" spans="1:2" x14ac:dyDescent="0.2">
      <c r="A3164" s="21">
        <v>821479</v>
      </c>
      <c r="B3164" s="22">
        <v>35</v>
      </c>
    </row>
    <row r="3165" spans="1:2" x14ac:dyDescent="0.2">
      <c r="A3165" s="21" t="s">
        <v>633</v>
      </c>
      <c r="B3165" s="22">
        <v>720991.25000000116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7"/>
  <sheetViews>
    <sheetView tabSelected="1" workbookViewId="0">
      <pane xSplit="1" ySplit="2" topLeftCell="Z3" activePane="bottomRight" state="frozen"/>
      <selection pane="topRight" activeCell="B1" sqref="B1"/>
      <selection pane="bottomLeft" activeCell="A3" sqref="A3"/>
      <selection pane="bottomRight" activeCell="AL3" sqref="AL3"/>
    </sheetView>
  </sheetViews>
  <sheetFormatPr defaultRowHeight="12.75" x14ac:dyDescent="0.2"/>
  <cols>
    <col min="1" max="1" width="13.140625" style="1" bestFit="1" customWidth="1"/>
    <col min="2" max="2" width="13.7109375" style="13" customWidth="1"/>
    <col min="3" max="3" width="32.42578125" style="13" bestFit="1" customWidth="1"/>
    <col min="4" max="4" width="21.28515625" style="13" customWidth="1"/>
    <col min="5" max="5" width="34.5703125" style="1" bestFit="1" customWidth="1"/>
    <col min="6" max="6" width="8.42578125" style="3" bestFit="1" customWidth="1"/>
    <col min="7" max="7" width="8.42578125" style="3" customWidth="1"/>
    <col min="8" max="8" width="10.28515625" style="3" customWidth="1"/>
    <col min="9" max="9" width="13.28515625" style="3" customWidth="1"/>
    <col min="10" max="10" width="8.140625" style="3" customWidth="1"/>
    <col min="11" max="11" width="10.28515625" style="3" customWidth="1"/>
    <col min="12" max="12" width="13.28515625" style="3" customWidth="1"/>
    <col min="13" max="13" width="8.140625" style="3" customWidth="1"/>
    <col min="14" max="32" width="10.28515625" style="3" customWidth="1"/>
    <col min="33" max="33" width="10.5703125" style="3" bestFit="1" customWidth="1"/>
    <col min="34" max="34" width="8.140625" style="3" customWidth="1"/>
    <col min="35" max="35" width="10.28515625" style="3" customWidth="1"/>
    <col min="36" max="37" width="16" style="1" bestFit="1" customWidth="1"/>
    <col min="38" max="38" width="10.42578125" style="1" bestFit="1" customWidth="1"/>
    <col min="39" max="39" width="10.140625" style="2" bestFit="1" customWidth="1"/>
    <col min="40" max="16384" width="9.140625" style="1"/>
  </cols>
  <sheetData>
    <row r="1" spans="1:39" ht="13.5" customHeight="1" x14ac:dyDescent="0.2">
      <c r="A1" s="18"/>
      <c r="B1" s="14"/>
      <c r="C1" s="14"/>
      <c r="D1" s="14"/>
      <c r="E1" s="18"/>
      <c r="F1" s="36" t="s">
        <v>527</v>
      </c>
      <c r="G1" s="36"/>
      <c r="H1" s="36"/>
      <c r="I1" s="36" t="s">
        <v>528</v>
      </c>
      <c r="J1" s="36"/>
      <c r="K1" s="36"/>
      <c r="L1" s="36" t="s">
        <v>549</v>
      </c>
      <c r="M1" s="36"/>
      <c r="N1" s="36"/>
      <c r="O1" s="37" t="s">
        <v>575</v>
      </c>
      <c r="P1" s="37"/>
      <c r="Q1" s="37"/>
      <c r="R1" s="37" t="s">
        <v>583</v>
      </c>
      <c r="S1" s="37"/>
      <c r="T1" s="37"/>
      <c r="U1" s="37" t="s">
        <v>610</v>
      </c>
      <c r="V1" s="37"/>
      <c r="W1" s="37"/>
      <c r="X1" s="37" t="s">
        <v>622</v>
      </c>
      <c r="Y1" s="37"/>
      <c r="Z1" s="37"/>
      <c r="AA1" s="37" t="s">
        <v>626</v>
      </c>
      <c r="AB1" s="37"/>
      <c r="AC1" s="37"/>
      <c r="AD1" s="37" t="s">
        <v>645</v>
      </c>
      <c r="AE1" s="37"/>
      <c r="AF1" s="37"/>
      <c r="AG1" s="36" t="s">
        <v>322</v>
      </c>
      <c r="AH1" s="36"/>
      <c r="AI1" s="36"/>
      <c r="AJ1" s="18"/>
      <c r="AK1" s="18"/>
      <c r="AL1" s="18"/>
      <c r="AM1" s="19"/>
    </row>
    <row r="2" spans="1:39" x14ac:dyDescent="0.2">
      <c r="A2" s="23" t="s">
        <v>321</v>
      </c>
      <c r="B2" s="23" t="s">
        <v>500</v>
      </c>
      <c r="C2" s="23" t="s">
        <v>464</v>
      </c>
      <c r="D2" s="23" t="s">
        <v>311</v>
      </c>
      <c r="E2" s="23" t="s">
        <v>312</v>
      </c>
      <c r="F2" s="24" t="s">
        <v>496</v>
      </c>
      <c r="G2" s="24" t="s">
        <v>554</v>
      </c>
      <c r="H2" s="24" t="s">
        <v>555</v>
      </c>
      <c r="I2" s="24" t="s">
        <v>496</v>
      </c>
      <c r="J2" s="24" t="s">
        <v>554</v>
      </c>
      <c r="K2" s="24" t="s">
        <v>555</v>
      </c>
      <c r="L2" s="24" t="s">
        <v>496</v>
      </c>
      <c r="M2" s="24" t="s">
        <v>554</v>
      </c>
      <c r="N2" s="24" t="s">
        <v>555</v>
      </c>
      <c r="O2" s="24" t="s">
        <v>496</v>
      </c>
      <c r="P2" s="24" t="s">
        <v>554</v>
      </c>
      <c r="Q2" s="24" t="s">
        <v>555</v>
      </c>
      <c r="R2" s="24" t="s">
        <v>496</v>
      </c>
      <c r="S2" s="24" t="s">
        <v>554</v>
      </c>
      <c r="T2" s="24" t="s">
        <v>555</v>
      </c>
      <c r="U2" s="24" t="s">
        <v>496</v>
      </c>
      <c r="V2" s="24" t="s">
        <v>554</v>
      </c>
      <c r="W2" s="24" t="s">
        <v>555</v>
      </c>
      <c r="X2" s="24" t="s">
        <v>496</v>
      </c>
      <c r="Y2" s="24" t="s">
        <v>554</v>
      </c>
      <c r="Z2" s="24" t="s">
        <v>555</v>
      </c>
      <c r="AA2" s="24" t="s">
        <v>496</v>
      </c>
      <c r="AB2" s="24" t="s">
        <v>554</v>
      </c>
      <c r="AC2" s="24" t="s">
        <v>555</v>
      </c>
      <c r="AD2" s="24" t="s">
        <v>496</v>
      </c>
      <c r="AE2" s="24" t="s">
        <v>554</v>
      </c>
      <c r="AF2" s="24" t="s">
        <v>555</v>
      </c>
      <c r="AG2" s="24" t="s">
        <v>496</v>
      </c>
      <c r="AH2" s="24" t="s">
        <v>554</v>
      </c>
      <c r="AI2" s="24" t="s">
        <v>555</v>
      </c>
      <c r="AJ2" s="25" t="s">
        <v>313</v>
      </c>
      <c r="AK2" s="25" t="s">
        <v>314</v>
      </c>
      <c r="AL2" s="25" t="s">
        <v>315</v>
      </c>
      <c r="AM2" s="25" t="s">
        <v>316</v>
      </c>
    </row>
    <row r="3" spans="1:39" x14ac:dyDescent="0.2">
      <c r="A3" s="15" t="str">
        <f t="shared" ref="A3:A66" si="0">B3&amp;D3</f>
        <v>804178119046</v>
      </c>
      <c r="B3" s="15">
        <v>804178</v>
      </c>
      <c r="C3" s="15" t="s">
        <v>31</v>
      </c>
      <c r="D3" s="15">
        <v>119046</v>
      </c>
      <c r="E3" s="15" t="s">
        <v>13</v>
      </c>
      <c r="F3" s="26">
        <v>0</v>
      </c>
      <c r="G3" s="26">
        <v>0</v>
      </c>
      <c r="H3" s="26">
        <v>0</v>
      </c>
      <c r="I3" s="26">
        <v>20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7">
        <v>10</v>
      </c>
      <c r="P3" s="27">
        <v>9</v>
      </c>
      <c r="Q3" s="27">
        <v>0</v>
      </c>
      <c r="R3" s="27">
        <v>20</v>
      </c>
      <c r="S3" s="27">
        <v>0</v>
      </c>
      <c r="T3" s="27">
        <v>0</v>
      </c>
      <c r="U3" s="27">
        <v>0</v>
      </c>
      <c r="V3" s="27">
        <v>0</v>
      </c>
      <c r="W3" s="27">
        <v>0</v>
      </c>
      <c r="X3" s="27">
        <v>0</v>
      </c>
      <c r="Y3" s="27">
        <v>0</v>
      </c>
      <c r="Z3" s="27">
        <v>0</v>
      </c>
      <c r="AA3" s="27">
        <v>75</v>
      </c>
      <c r="AB3" s="27">
        <v>0</v>
      </c>
      <c r="AC3" s="27">
        <v>0</v>
      </c>
      <c r="AD3" s="27">
        <v>40</v>
      </c>
      <c r="AE3" s="27">
        <v>0</v>
      </c>
      <c r="AF3" s="27">
        <v>5</v>
      </c>
      <c r="AG3" s="26">
        <f t="shared" ref="AG3:AG44" si="1">SUMIF($F$2:$AF$2,"Total",F3:AF3)</f>
        <v>165</v>
      </c>
      <c r="AH3" s="26">
        <f t="shared" ref="AH3:AH44" si="2">SUMIF($F$2:$AF$2,"WS",F3:AF3)</f>
        <v>9</v>
      </c>
      <c r="AI3" s="26">
        <f t="shared" ref="AI3:AI44" si="3">SUMIF($F$2:$AF$2,"PPCSS",F3:AF3)</f>
        <v>5</v>
      </c>
      <c r="AJ3" s="15" t="s">
        <v>11</v>
      </c>
      <c r="AK3" s="15" t="s">
        <v>11</v>
      </c>
      <c r="AL3" s="15" t="s">
        <v>317</v>
      </c>
      <c r="AM3" s="19">
        <v>42227</v>
      </c>
    </row>
    <row r="4" spans="1:39" x14ac:dyDescent="0.2">
      <c r="A4" s="15" t="str">
        <f t="shared" si="0"/>
        <v>804286119046</v>
      </c>
      <c r="B4" s="32">
        <v>804286</v>
      </c>
      <c r="C4" s="32" t="s">
        <v>14</v>
      </c>
      <c r="D4" s="17">
        <v>119046</v>
      </c>
      <c r="E4" s="15" t="s">
        <v>13</v>
      </c>
      <c r="F4" s="26">
        <v>61.5</v>
      </c>
      <c r="G4" s="26">
        <v>0</v>
      </c>
      <c r="H4" s="26">
        <v>0</v>
      </c>
      <c r="I4" s="26">
        <v>20</v>
      </c>
      <c r="J4" s="26">
        <v>0</v>
      </c>
      <c r="K4" s="26">
        <v>0</v>
      </c>
      <c r="L4" s="26">
        <v>76</v>
      </c>
      <c r="M4" s="26">
        <v>0</v>
      </c>
      <c r="N4" s="26">
        <v>0</v>
      </c>
      <c r="O4" s="27">
        <v>35</v>
      </c>
      <c r="P4" s="27">
        <v>0</v>
      </c>
      <c r="Q4" s="27">
        <v>10</v>
      </c>
      <c r="R4" s="27">
        <v>20</v>
      </c>
      <c r="S4" s="27">
        <v>0</v>
      </c>
      <c r="T4" s="27">
        <v>0</v>
      </c>
      <c r="U4" s="27">
        <v>45</v>
      </c>
      <c r="V4" s="27">
        <v>0</v>
      </c>
      <c r="W4" s="27">
        <v>0</v>
      </c>
      <c r="X4" s="27">
        <v>42</v>
      </c>
      <c r="Y4" s="27">
        <v>0</v>
      </c>
      <c r="Z4" s="27">
        <v>0</v>
      </c>
      <c r="AA4" s="27">
        <v>31</v>
      </c>
      <c r="AB4" s="27">
        <v>0</v>
      </c>
      <c r="AC4" s="27">
        <v>0</v>
      </c>
      <c r="AD4" s="27">
        <v>70</v>
      </c>
      <c r="AE4" s="27">
        <v>0</v>
      </c>
      <c r="AF4" s="27">
        <v>0</v>
      </c>
      <c r="AG4" s="26">
        <f t="shared" si="1"/>
        <v>400.5</v>
      </c>
      <c r="AH4" s="26">
        <f t="shared" si="2"/>
        <v>0</v>
      </c>
      <c r="AI4" s="26">
        <f t="shared" si="3"/>
        <v>10</v>
      </c>
      <c r="AJ4" s="15" t="s">
        <v>11</v>
      </c>
      <c r="AK4" s="15" t="s">
        <v>11</v>
      </c>
      <c r="AL4" s="15" t="s">
        <v>317</v>
      </c>
      <c r="AM4" s="19">
        <v>42262</v>
      </c>
    </row>
    <row r="5" spans="1:39" x14ac:dyDescent="0.2">
      <c r="A5" s="15" t="str">
        <f t="shared" si="0"/>
        <v>804980171880</v>
      </c>
      <c r="B5" s="32">
        <v>804980</v>
      </c>
      <c r="C5" s="32" t="s">
        <v>229</v>
      </c>
      <c r="D5" s="17">
        <v>171880</v>
      </c>
      <c r="E5" s="15" t="s">
        <v>228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6">
        <f t="shared" si="1"/>
        <v>0</v>
      </c>
      <c r="AH5" s="26">
        <f t="shared" si="2"/>
        <v>0</v>
      </c>
      <c r="AI5" s="26">
        <f t="shared" si="3"/>
        <v>0</v>
      </c>
      <c r="AJ5" s="15" t="s">
        <v>11</v>
      </c>
      <c r="AK5" s="15" t="s">
        <v>11</v>
      </c>
      <c r="AL5" s="15" t="s">
        <v>317</v>
      </c>
      <c r="AM5" s="19">
        <v>42485</v>
      </c>
    </row>
    <row r="6" spans="1:39" x14ac:dyDescent="0.2">
      <c r="A6" s="15" t="str">
        <f t="shared" si="0"/>
        <v>806430175288</v>
      </c>
      <c r="B6" s="32">
        <v>806430</v>
      </c>
      <c r="C6" s="32" t="s">
        <v>278</v>
      </c>
      <c r="D6" s="15">
        <v>175288</v>
      </c>
      <c r="E6" s="15" t="s">
        <v>58</v>
      </c>
      <c r="F6" s="26">
        <v>30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6">
        <f t="shared" si="1"/>
        <v>30</v>
      </c>
      <c r="AH6" s="26">
        <f t="shared" si="2"/>
        <v>0</v>
      </c>
      <c r="AI6" s="26">
        <f t="shared" si="3"/>
        <v>0</v>
      </c>
      <c r="AJ6" s="15" t="s">
        <v>11</v>
      </c>
      <c r="AK6" s="15" t="s">
        <v>11</v>
      </c>
      <c r="AL6" s="15" t="s">
        <v>317</v>
      </c>
      <c r="AM6" s="19">
        <v>42892</v>
      </c>
    </row>
    <row r="7" spans="1:39" x14ac:dyDescent="0.2">
      <c r="A7" s="15" t="str">
        <f t="shared" si="0"/>
        <v>806430210619</v>
      </c>
      <c r="B7" s="14">
        <v>806430</v>
      </c>
      <c r="C7" s="14" t="s">
        <v>278</v>
      </c>
      <c r="D7" s="16">
        <v>210619</v>
      </c>
      <c r="E7" s="18" t="s">
        <v>469</v>
      </c>
      <c r="F7" s="26">
        <v>0</v>
      </c>
      <c r="G7" s="26">
        <v>0</v>
      </c>
      <c r="H7" s="26">
        <v>0</v>
      </c>
      <c r="I7" s="26">
        <v>50</v>
      </c>
      <c r="J7" s="26">
        <v>0</v>
      </c>
      <c r="K7" s="26">
        <v>0</v>
      </c>
      <c r="L7" s="26">
        <v>105</v>
      </c>
      <c r="M7" s="26">
        <v>0</v>
      </c>
      <c r="N7" s="26">
        <v>0</v>
      </c>
      <c r="O7" s="27">
        <v>85</v>
      </c>
      <c r="P7" s="27">
        <v>0</v>
      </c>
      <c r="Q7" s="27">
        <v>0</v>
      </c>
      <c r="R7" s="27">
        <v>90</v>
      </c>
      <c r="S7" s="27">
        <v>0</v>
      </c>
      <c r="T7" s="27">
        <v>0</v>
      </c>
      <c r="U7" s="27">
        <v>82</v>
      </c>
      <c r="V7" s="27">
        <v>0</v>
      </c>
      <c r="W7" s="27">
        <v>22</v>
      </c>
      <c r="X7" s="27">
        <v>43.5</v>
      </c>
      <c r="Y7" s="27">
        <v>36</v>
      </c>
      <c r="Z7" s="27">
        <v>0</v>
      </c>
      <c r="AA7" s="27">
        <v>55.55</v>
      </c>
      <c r="AB7" s="27">
        <v>0</v>
      </c>
      <c r="AC7" s="27">
        <v>0</v>
      </c>
      <c r="AD7" s="27">
        <v>83.25</v>
      </c>
      <c r="AE7" s="27">
        <v>0</v>
      </c>
      <c r="AF7" s="27">
        <v>50</v>
      </c>
      <c r="AG7" s="26">
        <f t="shared" si="1"/>
        <v>594.29999999999995</v>
      </c>
      <c r="AH7" s="26">
        <f t="shared" si="2"/>
        <v>36</v>
      </c>
      <c r="AI7" s="26">
        <f t="shared" si="3"/>
        <v>72</v>
      </c>
      <c r="AJ7" s="15" t="s">
        <v>11</v>
      </c>
      <c r="AK7" s="15" t="s">
        <v>11</v>
      </c>
      <c r="AL7" s="15" t="s">
        <v>317</v>
      </c>
      <c r="AM7" s="19">
        <v>42892</v>
      </c>
    </row>
    <row r="8" spans="1:39" x14ac:dyDescent="0.2">
      <c r="A8" s="15" t="str">
        <f t="shared" si="0"/>
        <v>806431149765</v>
      </c>
      <c r="B8" s="32">
        <v>806431</v>
      </c>
      <c r="C8" s="32" t="s">
        <v>42</v>
      </c>
      <c r="D8" s="17">
        <v>149765</v>
      </c>
      <c r="E8" s="15" t="s">
        <v>112</v>
      </c>
      <c r="F8" s="26">
        <v>20</v>
      </c>
      <c r="G8" s="26">
        <v>0</v>
      </c>
      <c r="H8" s="26">
        <v>0</v>
      </c>
      <c r="I8" s="26">
        <v>20</v>
      </c>
      <c r="J8" s="26">
        <v>0</v>
      </c>
      <c r="K8" s="26">
        <v>0</v>
      </c>
      <c r="L8" s="26">
        <v>30</v>
      </c>
      <c r="M8" s="26">
        <v>0</v>
      </c>
      <c r="N8" s="26">
        <v>0</v>
      </c>
      <c r="O8" s="27">
        <v>20</v>
      </c>
      <c r="P8" s="27">
        <v>0</v>
      </c>
      <c r="Q8" s="27">
        <v>0</v>
      </c>
      <c r="R8" s="27">
        <v>20</v>
      </c>
      <c r="S8" s="27">
        <v>0</v>
      </c>
      <c r="T8" s="27">
        <v>0</v>
      </c>
      <c r="U8" s="27">
        <v>15</v>
      </c>
      <c r="V8" s="27">
        <v>0</v>
      </c>
      <c r="W8" s="27">
        <v>0</v>
      </c>
      <c r="X8" s="27">
        <v>10</v>
      </c>
      <c r="Y8" s="27">
        <v>0</v>
      </c>
      <c r="Z8" s="27">
        <v>0</v>
      </c>
      <c r="AA8" s="27">
        <v>10</v>
      </c>
      <c r="AB8" s="27">
        <v>0</v>
      </c>
      <c r="AC8" s="27">
        <v>0</v>
      </c>
      <c r="AD8" s="27">
        <v>20</v>
      </c>
      <c r="AE8" s="27">
        <v>0</v>
      </c>
      <c r="AF8" s="27">
        <v>0</v>
      </c>
      <c r="AG8" s="26">
        <f t="shared" si="1"/>
        <v>165</v>
      </c>
      <c r="AH8" s="26">
        <f t="shared" si="2"/>
        <v>0</v>
      </c>
      <c r="AI8" s="26">
        <f t="shared" si="3"/>
        <v>0</v>
      </c>
      <c r="AJ8" s="15" t="s">
        <v>11</v>
      </c>
      <c r="AK8" s="15" t="s">
        <v>11</v>
      </c>
      <c r="AL8" s="15" t="s">
        <v>317</v>
      </c>
      <c r="AM8" s="19">
        <v>42892</v>
      </c>
    </row>
    <row r="9" spans="1:39" x14ac:dyDescent="0.2">
      <c r="A9" s="15" t="str">
        <f t="shared" si="0"/>
        <v>806484148557</v>
      </c>
      <c r="B9" s="32">
        <v>806484</v>
      </c>
      <c r="C9" s="32" t="s">
        <v>256</v>
      </c>
      <c r="D9" s="17">
        <v>148557</v>
      </c>
      <c r="E9" s="15" t="s">
        <v>10</v>
      </c>
      <c r="F9" s="26">
        <v>81.5</v>
      </c>
      <c r="G9" s="26">
        <v>0</v>
      </c>
      <c r="H9" s="26">
        <v>0</v>
      </c>
      <c r="I9" s="26">
        <v>61.5</v>
      </c>
      <c r="J9" s="26">
        <v>0</v>
      </c>
      <c r="K9" s="26">
        <v>0</v>
      </c>
      <c r="L9" s="26">
        <v>91.5</v>
      </c>
      <c r="M9" s="26">
        <v>3</v>
      </c>
      <c r="N9" s="26">
        <v>0</v>
      </c>
      <c r="O9" s="27">
        <v>67.8</v>
      </c>
      <c r="P9" s="27">
        <v>19</v>
      </c>
      <c r="Q9" s="27">
        <v>0</v>
      </c>
      <c r="R9" s="27">
        <v>29</v>
      </c>
      <c r="S9" s="27">
        <v>0</v>
      </c>
      <c r="T9" s="27">
        <v>0</v>
      </c>
      <c r="U9" s="27">
        <v>68</v>
      </c>
      <c r="V9" s="27">
        <v>0</v>
      </c>
      <c r="W9" s="27">
        <v>0</v>
      </c>
      <c r="X9" s="27">
        <v>36.5</v>
      </c>
      <c r="Y9" s="27">
        <v>0</v>
      </c>
      <c r="Z9" s="27">
        <v>0</v>
      </c>
      <c r="AA9" s="27">
        <v>108</v>
      </c>
      <c r="AB9" s="27">
        <v>6</v>
      </c>
      <c r="AC9" s="27">
        <v>0</v>
      </c>
      <c r="AD9" s="27">
        <v>187</v>
      </c>
      <c r="AE9" s="27">
        <v>16.5</v>
      </c>
      <c r="AF9" s="27">
        <v>0</v>
      </c>
      <c r="AG9" s="26">
        <f t="shared" si="1"/>
        <v>730.8</v>
      </c>
      <c r="AH9" s="26">
        <f t="shared" si="2"/>
        <v>44.5</v>
      </c>
      <c r="AI9" s="26">
        <f t="shared" si="3"/>
        <v>0</v>
      </c>
      <c r="AJ9" s="15" t="s">
        <v>11</v>
      </c>
      <c r="AK9" s="15" t="s">
        <v>11</v>
      </c>
      <c r="AL9" s="15" t="s">
        <v>317</v>
      </c>
      <c r="AM9" s="19">
        <v>42906</v>
      </c>
    </row>
    <row r="10" spans="1:39" x14ac:dyDescent="0.2">
      <c r="A10" s="15" t="str">
        <f t="shared" si="0"/>
        <v>806487149765</v>
      </c>
      <c r="B10" s="32">
        <v>806487</v>
      </c>
      <c r="C10" s="32" t="s">
        <v>258</v>
      </c>
      <c r="D10" s="15">
        <v>149765</v>
      </c>
      <c r="E10" s="15" t="s">
        <v>112</v>
      </c>
      <c r="F10" s="26">
        <v>70</v>
      </c>
      <c r="G10" s="26">
        <v>0</v>
      </c>
      <c r="H10" s="26">
        <v>0</v>
      </c>
      <c r="I10" s="26">
        <v>60</v>
      </c>
      <c r="J10" s="26">
        <v>0</v>
      </c>
      <c r="K10" s="26">
        <v>0</v>
      </c>
      <c r="L10" s="26">
        <v>50</v>
      </c>
      <c r="M10" s="26">
        <v>0</v>
      </c>
      <c r="N10" s="26">
        <v>0</v>
      </c>
      <c r="O10" s="27">
        <v>45</v>
      </c>
      <c r="P10" s="27">
        <v>0</v>
      </c>
      <c r="Q10" s="27">
        <v>0</v>
      </c>
      <c r="R10" s="27">
        <v>30</v>
      </c>
      <c r="S10" s="27">
        <v>0</v>
      </c>
      <c r="T10" s="27">
        <v>10</v>
      </c>
      <c r="U10" s="27">
        <v>27.5</v>
      </c>
      <c r="V10" s="27">
        <v>0</v>
      </c>
      <c r="W10" s="27">
        <v>0</v>
      </c>
      <c r="X10" s="27">
        <v>14.85</v>
      </c>
      <c r="Y10" s="27">
        <v>4.8499999999999996</v>
      </c>
      <c r="Z10" s="27">
        <v>0</v>
      </c>
      <c r="AA10" s="27">
        <v>20</v>
      </c>
      <c r="AB10" s="27">
        <v>0</v>
      </c>
      <c r="AC10" s="27">
        <v>0</v>
      </c>
      <c r="AD10" s="27">
        <v>85</v>
      </c>
      <c r="AE10" s="27">
        <v>0</v>
      </c>
      <c r="AF10" s="27">
        <v>0</v>
      </c>
      <c r="AG10" s="26">
        <f t="shared" si="1"/>
        <v>402.35</v>
      </c>
      <c r="AH10" s="26">
        <f t="shared" si="2"/>
        <v>4.8499999999999996</v>
      </c>
      <c r="AI10" s="26">
        <f t="shared" si="3"/>
        <v>10</v>
      </c>
      <c r="AJ10" s="15" t="s">
        <v>11</v>
      </c>
      <c r="AK10" s="15" t="s">
        <v>11</v>
      </c>
      <c r="AL10" s="15" t="s">
        <v>317</v>
      </c>
      <c r="AM10" s="19">
        <v>42906</v>
      </c>
    </row>
    <row r="11" spans="1:39" x14ac:dyDescent="0.2">
      <c r="A11" s="15" t="str">
        <f t="shared" si="0"/>
        <v>806615149765</v>
      </c>
      <c r="B11" s="32">
        <v>806615</v>
      </c>
      <c r="C11" s="32" t="s">
        <v>261</v>
      </c>
      <c r="D11" s="17">
        <v>149765</v>
      </c>
      <c r="E11" s="15" t="s">
        <v>112</v>
      </c>
      <c r="F11" s="26">
        <v>20</v>
      </c>
      <c r="G11" s="26">
        <v>0</v>
      </c>
      <c r="H11" s="26">
        <v>0</v>
      </c>
      <c r="I11" s="26">
        <v>10</v>
      </c>
      <c r="J11" s="26">
        <v>0</v>
      </c>
      <c r="K11" s="26">
        <v>0</v>
      </c>
      <c r="L11" s="26">
        <v>20</v>
      </c>
      <c r="M11" s="26">
        <v>0</v>
      </c>
      <c r="N11" s="26">
        <v>0</v>
      </c>
      <c r="O11" s="27">
        <v>10</v>
      </c>
      <c r="P11" s="27">
        <v>0</v>
      </c>
      <c r="Q11" s="27">
        <v>0</v>
      </c>
      <c r="R11" s="27">
        <v>30</v>
      </c>
      <c r="S11" s="27">
        <v>0</v>
      </c>
      <c r="T11" s="27">
        <v>0</v>
      </c>
      <c r="U11" s="27">
        <v>7.5</v>
      </c>
      <c r="V11" s="27">
        <v>0</v>
      </c>
      <c r="W11" s="27">
        <v>0</v>
      </c>
      <c r="X11" s="27">
        <v>15.1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20</v>
      </c>
      <c r="AE11" s="27">
        <v>0</v>
      </c>
      <c r="AF11" s="27">
        <v>0</v>
      </c>
      <c r="AG11" s="26">
        <f t="shared" si="1"/>
        <v>132.6</v>
      </c>
      <c r="AH11" s="26">
        <f t="shared" si="2"/>
        <v>0</v>
      </c>
      <c r="AI11" s="26">
        <f t="shared" si="3"/>
        <v>0</v>
      </c>
      <c r="AJ11" s="15" t="s">
        <v>11</v>
      </c>
      <c r="AK11" s="15" t="s">
        <v>11</v>
      </c>
      <c r="AL11" s="15" t="s">
        <v>317</v>
      </c>
      <c r="AM11" s="19">
        <v>42935</v>
      </c>
    </row>
    <row r="12" spans="1:39" x14ac:dyDescent="0.2">
      <c r="A12" s="15" t="str">
        <f t="shared" si="0"/>
        <v>806689149765</v>
      </c>
      <c r="B12" s="32">
        <v>806689</v>
      </c>
      <c r="C12" s="32" t="s">
        <v>264</v>
      </c>
      <c r="D12" s="17">
        <v>149765</v>
      </c>
      <c r="E12" s="15" t="s">
        <v>112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0</v>
      </c>
      <c r="U12" s="27">
        <v>0</v>
      </c>
      <c r="V12" s="27">
        <v>0</v>
      </c>
      <c r="W12" s="27">
        <v>0</v>
      </c>
      <c r="X12" s="27">
        <v>0</v>
      </c>
      <c r="Y12" s="27">
        <v>0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6">
        <f t="shared" si="1"/>
        <v>0</v>
      </c>
      <c r="AH12" s="26">
        <f t="shared" si="2"/>
        <v>0</v>
      </c>
      <c r="AI12" s="26">
        <f t="shared" si="3"/>
        <v>0</v>
      </c>
      <c r="AJ12" s="15" t="s">
        <v>11</v>
      </c>
      <c r="AK12" s="15" t="s">
        <v>11</v>
      </c>
      <c r="AL12" s="15" t="s">
        <v>317</v>
      </c>
      <c r="AM12" s="19">
        <v>42958</v>
      </c>
    </row>
    <row r="13" spans="1:39" x14ac:dyDescent="0.2">
      <c r="A13" s="15" t="str">
        <f t="shared" si="0"/>
        <v>806720172252</v>
      </c>
      <c r="B13" s="32">
        <v>806720</v>
      </c>
      <c r="C13" s="32" t="s">
        <v>83</v>
      </c>
      <c r="D13" s="17">
        <v>172252</v>
      </c>
      <c r="E13" s="15" t="s">
        <v>82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  <c r="Z13" s="27">
        <v>0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6">
        <f t="shared" si="1"/>
        <v>0</v>
      </c>
      <c r="AH13" s="26">
        <f t="shared" si="2"/>
        <v>0</v>
      </c>
      <c r="AI13" s="26">
        <f t="shared" si="3"/>
        <v>0</v>
      </c>
      <c r="AJ13" s="15" t="s">
        <v>11</v>
      </c>
      <c r="AK13" s="15" t="s">
        <v>11</v>
      </c>
      <c r="AL13" s="15" t="s">
        <v>317</v>
      </c>
      <c r="AM13" s="19">
        <v>42964</v>
      </c>
    </row>
    <row r="14" spans="1:39" x14ac:dyDescent="0.2">
      <c r="A14" s="15" t="str">
        <f t="shared" si="0"/>
        <v>806721140927</v>
      </c>
      <c r="B14" s="32">
        <v>806721</v>
      </c>
      <c r="C14" s="32" t="s">
        <v>288</v>
      </c>
      <c r="D14" s="17">
        <v>140927</v>
      </c>
      <c r="E14" s="15" t="s">
        <v>34</v>
      </c>
      <c r="F14" s="26">
        <v>50</v>
      </c>
      <c r="G14" s="26">
        <v>0</v>
      </c>
      <c r="H14" s="26">
        <v>0</v>
      </c>
      <c r="I14" s="26">
        <v>40</v>
      </c>
      <c r="J14" s="26">
        <v>0</v>
      </c>
      <c r="K14" s="26">
        <v>0</v>
      </c>
      <c r="L14" s="26">
        <v>30</v>
      </c>
      <c r="M14" s="26">
        <v>0</v>
      </c>
      <c r="N14" s="26">
        <v>0</v>
      </c>
      <c r="O14" s="27">
        <v>55</v>
      </c>
      <c r="P14" s="27">
        <v>0</v>
      </c>
      <c r="Q14" s="27">
        <v>0</v>
      </c>
      <c r="R14" s="27">
        <v>52</v>
      </c>
      <c r="S14" s="27">
        <v>0</v>
      </c>
      <c r="T14" s="27">
        <v>0</v>
      </c>
      <c r="U14" s="27">
        <v>59</v>
      </c>
      <c r="V14" s="27">
        <v>0</v>
      </c>
      <c r="W14" s="27">
        <v>0</v>
      </c>
      <c r="X14" s="27">
        <v>50.6</v>
      </c>
      <c r="Y14" s="27">
        <v>9.6</v>
      </c>
      <c r="Z14" s="27">
        <v>7.5</v>
      </c>
      <c r="AA14" s="27">
        <v>32.5</v>
      </c>
      <c r="AB14" s="27">
        <v>0</v>
      </c>
      <c r="AC14" s="27">
        <v>7.5</v>
      </c>
      <c r="AD14" s="27">
        <v>70</v>
      </c>
      <c r="AE14" s="27">
        <v>0</v>
      </c>
      <c r="AF14" s="27">
        <v>0</v>
      </c>
      <c r="AG14" s="26">
        <f t="shared" si="1"/>
        <v>439.1</v>
      </c>
      <c r="AH14" s="26">
        <f t="shared" si="2"/>
        <v>9.6</v>
      </c>
      <c r="AI14" s="26">
        <f t="shared" si="3"/>
        <v>15</v>
      </c>
      <c r="AJ14" s="15" t="s">
        <v>11</v>
      </c>
      <c r="AK14" s="15" t="s">
        <v>11</v>
      </c>
      <c r="AL14" s="15" t="s">
        <v>317</v>
      </c>
      <c r="AM14" s="19">
        <v>42964</v>
      </c>
    </row>
    <row r="15" spans="1:39" x14ac:dyDescent="0.2">
      <c r="A15" s="15" t="str">
        <f t="shared" si="0"/>
        <v>806871119046</v>
      </c>
      <c r="B15" s="32">
        <v>806871</v>
      </c>
      <c r="C15" s="32" t="s">
        <v>73</v>
      </c>
      <c r="D15" s="17">
        <v>119046</v>
      </c>
      <c r="E15" s="15" t="s">
        <v>13</v>
      </c>
      <c r="F15" s="26">
        <v>42</v>
      </c>
      <c r="G15" s="26">
        <v>0</v>
      </c>
      <c r="H15" s="26">
        <v>0</v>
      </c>
      <c r="I15" s="26">
        <v>20</v>
      </c>
      <c r="J15" s="26">
        <v>0</v>
      </c>
      <c r="K15" s="26">
        <v>0</v>
      </c>
      <c r="L15" s="26">
        <v>110.5</v>
      </c>
      <c r="M15" s="26">
        <v>0</v>
      </c>
      <c r="N15" s="26">
        <v>0</v>
      </c>
      <c r="O15" s="27">
        <v>45</v>
      </c>
      <c r="P15" s="27">
        <v>0</v>
      </c>
      <c r="Q15" s="27">
        <v>0</v>
      </c>
      <c r="R15" s="27">
        <v>85</v>
      </c>
      <c r="S15" s="27">
        <v>0</v>
      </c>
      <c r="T15" s="27">
        <v>0</v>
      </c>
      <c r="U15" s="27">
        <v>20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25</v>
      </c>
      <c r="AB15" s="27">
        <v>0</v>
      </c>
      <c r="AC15" s="27">
        <v>0</v>
      </c>
      <c r="AD15" s="27">
        <v>94.5</v>
      </c>
      <c r="AE15" s="27">
        <v>0</v>
      </c>
      <c r="AF15" s="27">
        <v>15</v>
      </c>
      <c r="AG15" s="26">
        <f t="shared" si="1"/>
        <v>442</v>
      </c>
      <c r="AH15" s="26">
        <f t="shared" si="2"/>
        <v>0</v>
      </c>
      <c r="AI15" s="26">
        <f t="shared" si="3"/>
        <v>15</v>
      </c>
      <c r="AJ15" s="15" t="s">
        <v>11</v>
      </c>
      <c r="AK15" s="15" t="s">
        <v>11</v>
      </c>
      <c r="AL15" s="15" t="s">
        <v>317</v>
      </c>
      <c r="AM15" s="19">
        <v>42989</v>
      </c>
    </row>
    <row r="16" spans="1:39" x14ac:dyDescent="0.2">
      <c r="A16" s="15" t="str">
        <f t="shared" si="0"/>
        <v>807201149765</v>
      </c>
      <c r="B16" s="32">
        <v>807201</v>
      </c>
      <c r="C16" s="32" t="s">
        <v>260</v>
      </c>
      <c r="D16" s="17">
        <v>149765</v>
      </c>
      <c r="E16" s="15" t="s">
        <v>112</v>
      </c>
      <c r="F16" s="26">
        <v>0</v>
      </c>
      <c r="G16" s="26">
        <v>0</v>
      </c>
      <c r="H16" s="26">
        <v>0</v>
      </c>
      <c r="I16" s="26">
        <v>10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7">
        <v>15</v>
      </c>
      <c r="P16" s="27">
        <v>0</v>
      </c>
      <c r="Q16" s="27">
        <v>0</v>
      </c>
      <c r="R16" s="27">
        <v>10</v>
      </c>
      <c r="S16" s="27">
        <v>0</v>
      </c>
      <c r="T16" s="27">
        <v>0</v>
      </c>
      <c r="U16" s="27">
        <v>15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10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6">
        <f t="shared" si="1"/>
        <v>60</v>
      </c>
      <c r="AH16" s="26">
        <f t="shared" si="2"/>
        <v>0</v>
      </c>
      <c r="AI16" s="26">
        <f t="shared" si="3"/>
        <v>0</v>
      </c>
      <c r="AJ16" s="15" t="s">
        <v>11</v>
      </c>
      <c r="AK16" s="15" t="s">
        <v>11</v>
      </c>
      <c r="AL16" s="15" t="s">
        <v>317</v>
      </c>
      <c r="AM16" s="19">
        <v>43427</v>
      </c>
    </row>
    <row r="17" spans="1:39" x14ac:dyDescent="0.2">
      <c r="A17" s="15" t="str">
        <f t="shared" si="0"/>
        <v>807929175288</v>
      </c>
      <c r="B17" s="32">
        <v>807929</v>
      </c>
      <c r="C17" s="32" t="s">
        <v>279</v>
      </c>
      <c r="D17" s="15">
        <v>175288</v>
      </c>
      <c r="E17" s="15" t="s">
        <v>58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6">
        <f t="shared" si="1"/>
        <v>0</v>
      </c>
      <c r="AH17" s="26">
        <f t="shared" si="2"/>
        <v>0</v>
      </c>
      <c r="AI17" s="26">
        <f t="shared" si="3"/>
        <v>0</v>
      </c>
      <c r="AJ17" s="15" t="s">
        <v>11</v>
      </c>
      <c r="AK17" s="15" t="s">
        <v>11</v>
      </c>
      <c r="AL17" s="15" t="s">
        <v>317</v>
      </c>
      <c r="AM17" s="19">
        <v>43122</v>
      </c>
    </row>
    <row r="18" spans="1:39" x14ac:dyDescent="0.2">
      <c r="A18" s="15" t="str">
        <f t="shared" si="0"/>
        <v>807929210619</v>
      </c>
      <c r="B18" s="14">
        <v>807929</v>
      </c>
      <c r="C18" s="14" t="s">
        <v>279</v>
      </c>
      <c r="D18" s="16">
        <v>210619</v>
      </c>
      <c r="E18" s="18" t="s">
        <v>469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20</v>
      </c>
      <c r="M18" s="26">
        <v>0</v>
      </c>
      <c r="N18" s="26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20</v>
      </c>
      <c r="Y18" s="27">
        <v>0</v>
      </c>
      <c r="Z18" s="27">
        <v>0</v>
      </c>
      <c r="AA18" s="27">
        <v>30</v>
      </c>
      <c r="AB18" s="27">
        <v>0</v>
      </c>
      <c r="AC18" s="27">
        <v>0</v>
      </c>
      <c r="AD18" s="27">
        <v>30</v>
      </c>
      <c r="AE18" s="27">
        <v>10</v>
      </c>
      <c r="AF18" s="27">
        <v>0</v>
      </c>
      <c r="AG18" s="26">
        <f t="shared" si="1"/>
        <v>100</v>
      </c>
      <c r="AH18" s="26">
        <f t="shared" si="2"/>
        <v>10</v>
      </c>
      <c r="AI18" s="26">
        <f t="shared" si="3"/>
        <v>0</v>
      </c>
      <c r="AJ18" s="15" t="s">
        <v>11</v>
      </c>
      <c r="AK18" s="15" t="s">
        <v>11</v>
      </c>
      <c r="AL18" s="15" t="s">
        <v>317</v>
      </c>
      <c r="AM18" s="19">
        <v>43122</v>
      </c>
    </row>
    <row r="19" spans="1:39" x14ac:dyDescent="0.2">
      <c r="A19" s="15" t="str">
        <f t="shared" si="0"/>
        <v>808275143509</v>
      </c>
      <c r="B19" s="32">
        <v>808275</v>
      </c>
      <c r="C19" s="32" t="s">
        <v>236</v>
      </c>
      <c r="D19" s="17">
        <v>143509</v>
      </c>
      <c r="E19" s="15" t="s">
        <v>37</v>
      </c>
      <c r="F19" s="26">
        <v>10</v>
      </c>
      <c r="G19" s="26">
        <v>0</v>
      </c>
      <c r="H19" s="26">
        <v>0</v>
      </c>
      <c r="I19" s="26">
        <v>30</v>
      </c>
      <c r="J19" s="26">
        <v>0</v>
      </c>
      <c r="K19" s="26">
        <v>0</v>
      </c>
      <c r="L19" s="26">
        <v>43.4</v>
      </c>
      <c r="M19" s="26">
        <v>0</v>
      </c>
      <c r="N19" s="26">
        <v>0</v>
      </c>
      <c r="O19" s="27">
        <v>40</v>
      </c>
      <c r="P19" s="27">
        <v>0</v>
      </c>
      <c r="Q19" s="27">
        <v>0</v>
      </c>
      <c r="R19" s="27">
        <v>20</v>
      </c>
      <c r="S19" s="27">
        <v>0</v>
      </c>
      <c r="T19" s="27">
        <v>0</v>
      </c>
      <c r="U19" s="27">
        <v>66.5</v>
      </c>
      <c r="V19" s="27">
        <v>0</v>
      </c>
      <c r="W19" s="27">
        <v>0</v>
      </c>
      <c r="X19" s="27">
        <v>75.3</v>
      </c>
      <c r="Y19" s="27">
        <v>0</v>
      </c>
      <c r="Z19" s="27">
        <v>12.75</v>
      </c>
      <c r="AA19" s="27">
        <v>42.5</v>
      </c>
      <c r="AB19" s="27">
        <v>0</v>
      </c>
      <c r="AC19" s="27">
        <v>0</v>
      </c>
      <c r="AD19" s="27">
        <v>66.099999999999994</v>
      </c>
      <c r="AE19" s="27">
        <v>0</v>
      </c>
      <c r="AF19" s="27">
        <v>11.1</v>
      </c>
      <c r="AG19" s="26">
        <f t="shared" si="1"/>
        <v>393.79999999999995</v>
      </c>
      <c r="AH19" s="26">
        <f t="shared" si="2"/>
        <v>0</v>
      </c>
      <c r="AI19" s="26">
        <f t="shared" si="3"/>
        <v>23.85</v>
      </c>
      <c r="AJ19" s="15" t="s">
        <v>11</v>
      </c>
      <c r="AK19" s="15" t="s">
        <v>11</v>
      </c>
      <c r="AL19" s="15" t="s">
        <v>317</v>
      </c>
      <c r="AM19" s="19">
        <v>43217</v>
      </c>
    </row>
    <row r="20" spans="1:39" x14ac:dyDescent="0.2">
      <c r="A20" s="15" t="str">
        <f t="shared" si="0"/>
        <v>808547143509</v>
      </c>
      <c r="B20" s="32">
        <v>808547</v>
      </c>
      <c r="C20" s="32" t="s">
        <v>290</v>
      </c>
      <c r="D20" s="17">
        <v>143509</v>
      </c>
      <c r="E20" s="15" t="s">
        <v>37</v>
      </c>
      <c r="F20" s="26">
        <v>40</v>
      </c>
      <c r="G20" s="26">
        <v>0</v>
      </c>
      <c r="H20" s="26">
        <v>0</v>
      </c>
      <c r="I20" s="26">
        <v>20</v>
      </c>
      <c r="J20" s="26">
        <v>0</v>
      </c>
      <c r="K20" s="26">
        <v>0</v>
      </c>
      <c r="L20" s="26">
        <v>40</v>
      </c>
      <c r="M20" s="26">
        <v>0</v>
      </c>
      <c r="N20" s="26">
        <v>0</v>
      </c>
      <c r="O20" s="27">
        <v>10</v>
      </c>
      <c r="P20" s="27">
        <v>0</v>
      </c>
      <c r="Q20" s="27">
        <v>0</v>
      </c>
      <c r="R20" s="27">
        <v>20</v>
      </c>
      <c r="S20" s="27">
        <v>0</v>
      </c>
      <c r="T20" s="27">
        <v>0</v>
      </c>
      <c r="U20" s="27">
        <v>37</v>
      </c>
      <c r="V20" s="27">
        <v>0</v>
      </c>
      <c r="W20" s="27">
        <v>0</v>
      </c>
      <c r="X20" s="27">
        <v>19.95</v>
      </c>
      <c r="Y20" s="27">
        <v>0</v>
      </c>
      <c r="Z20" s="27">
        <v>9.9499999999999993</v>
      </c>
      <c r="AA20" s="27">
        <v>17.5</v>
      </c>
      <c r="AB20" s="27">
        <v>0</v>
      </c>
      <c r="AC20" s="27">
        <v>0</v>
      </c>
      <c r="AD20" s="27">
        <v>40</v>
      </c>
      <c r="AE20" s="27">
        <v>0</v>
      </c>
      <c r="AF20" s="27">
        <v>0</v>
      </c>
      <c r="AG20" s="26">
        <f t="shared" si="1"/>
        <v>244.45</v>
      </c>
      <c r="AH20" s="26">
        <f t="shared" si="2"/>
        <v>0</v>
      </c>
      <c r="AI20" s="26">
        <f t="shared" si="3"/>
        <v>9.9499999999999993</v>
      </c>
      <c r="AJ20" s="15" t="s">
        <v>11</v>
      </c>
      <c r="AK20" s="15" t="s">
        <v>11</v>
      </c>
      <c r="AL20" s="15" t="s">
        <v>317</v>
      </c>
      <c r="AM20" s="19">
        <v>43260</v>
      </c>
    </row>
    <row r="21" spans="1:39" x14ac:dyDescent="0.2">
      <c r="A21" s="15" t="str">
        <f t="shared" si="0"/>
        <v>809466119046</v>
      </c>
      <c r="B21" s="32">
        <v>809466</v>
      </c>
      <c r="C21" s="32" t="s">
        <v>49</v>
      </c>
      <c r="D21" s="17">
        <v>119046</v>
      </c>
      <c r="E21" s="15" t="s">
        <v>13</v>
      </c>
      <c r="F21" s="26">
        <v>50</v>
      </c>
      <c r="G21" s="26">
        <v>0</v>
      </c>
      <c r="H21" s="26">
        <v>0</v>
      </c>
      <c r="I21" s="26">
        <v>40</v>
      </c>
      <c r="J21" s="26">
        <v>0</v>
      </c>
      <c r="K21" s="26">
        <v>0</v>
      </c>
      <c r="L21" s="26">
        <v>80</v>
      </c>
      <c r="M21" s="26">
        <v>0</v>
      </c>
      <c r="N21" s="26">
        <v>0</v>
      </c>
      <c r="O21" s="27">
        <v>50</v>
      </c>
      <c r="P21" s="27">
        <v>0</v>
      </c>
      <c r="Q21" s="27">
        <v>0</v>
      </c>
      <c r="R21" s="27">
        <v>40</v>
      </c>
      <c r="S21" s="27">
        <v>0</v>
      </c>
      <c r="T21" s="27">
        <v>0</v>
      </c>
      <c r="U21" s="27">
        <v>0</v>
      </c>
      <c r="V21" s="27">
        <v>0</v>
      </c>
      <c r="W21" s="27">
        <v>0</v>
      </c>
      <c r="X21" s="27">
        <v>25</v>
      </c>
      <c r="Y21" s="27">
        <v>0</v>
      </c>
      <c r="Z21" s="27">
        <v>0</v>
      </c>
      <c r="AA21" s="27">
        <v>30</v>
      </c>
      <c r="AB21" s="27">
        <v>0</v>
      </c>
      <c r="AC21" s="27">
        <v>0</v>
      </c>
      <c r="AD21" s="27">
        <v>90</v>
      </c>
      <c r="AE21" s="27">
        <v>0</v>
      </c>
      <c r="AF21" s="27">
        <v>0</v>
      </c>
      <c r="AG21" s="26">
        <f t="shared" si="1"/>
        <v>405</v>
      </c>
      <c r="AH21" s="26">
        <f t="shared" si="2"/>
        <v>0</v>
      </c>
      <c r="AI21" s="26">
        <f t="shared" si="3"/>
        <v>0</v>
      </c>
      <c r="AJ21" s="15" t="s">
        <v>11</v>
      </c>
      <c r="AK21" s="15" t="s">
        <v>11</v>
      </c>
      <c r="AL21" s="15" t="s">
        <v>317</v>
      </c>
      <c r="AM21" s="19">
        <v>43587</v>
      </c>
    </row>
    <row r="22" spans="1:39" x14ac:dyDescent="0.2">
      <c r="A22" s="15" t="str">
        <f t="shared" si="0"/>
        <v>809467175288</v>
      </c>
      <c r="B22" s="32">
        <v>809467</v>
      </c>
      <c r="C22" s="32" t="s">
        <v>219</v>
      </c>
      <c r="D22" s="17">
        <v>175288</v>
      </c>
      <c r="E22" s="15" t="s">
        <v>58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6">
        <f t="shared" si="1"/>
        <v>0</v>
      </c>
      <c r="AH22" s="26">
        <f t="shared" si="2"/>
        <v>0</v>
      </c>
      <c r="AI22" s="26">
        <f t="shared" si="3"/>
        <v>0</v>
      </c>
      <c r="AJ22" s="15" t="s">
        <v>11</v>
      </c>
      <c r="AK22" s="15" t="s">
        <v>11</v>
      </c>
      <c r="AL22" s="15" t="s">
        <v>317</v>
      </c>
      <c r="AM22" s="19">
        <v>43587</v>
      </c>
    </row>
    <row r="23" spans="1:39" x14ac:dyDescent="0.2">
      <c r="A23" s="15" t="str">
        <f t="shared" si="0"/>
        <v>809467210619</v>
      </c>
      <c r="B23" s="14">
        <v>809467</v>
      </c>
      <c r="C23" s="14" t="s">
        <v>219</v>
      </c>
      <c r="D23" s="16">
        <v>210619</v>
      </c>
      <c r="E23" s="18" t="s">
        <v>469</v>
      </c>
      <c r="F23" s="26">
        <v>0</v>
      </c>
      <c r="G23" s="26">
        <v>0</v>
      </c>
      <c r="H23" s="26">
        <v>0</v>
      </c>
      <c r="I23" s="26">
        <v>40</v>
      </c>
      <c r="J23" s="26">
        <v>0</v>
      </c>
      <c r="K23" s="26">
        <v>0</v>
      </c>
      <c r="L23" s="26">
        <v>55</v>
      </c>
      <c r="M23" s="26">
        <v>0</v>
      </c>
      <c r="N23" s="26">
        <v>0</v>
      </c>
      <c r="O23" s="27">
        <v>0</v>
      </c>
      <c r="P23" s="27">
        <v>0</v>
      </c>
      <c r="Q23" s="27">
        <v>0</v>
      </c>
      <c r="R23" s="27">
        <v>10</v>
      </c>
      <c r="S23" s="27">
        <v>0</v>
      </c>
      <c r="T23" s="27">
        <v>0</v>
      </c>
      <c r="U23" s="27">
        <v>35</v>
      </c>
      <c r="V23" s="27">
        <v>0</v>
      </c>
      <c r="W23" s="27">
        <v>0</v>
      </c>
      <c r="X23" s="27">
        <v>10</v>
      </c>
      <c r="Y23" s="27">
        <v>0</v>
      </c>
      <c r="Z23" s="27">
        <v>0</v>
      </c>
      <c r="AA23" s="27">
        <v>20</v>
      </c>
      <c r="AB23" s="27">
        <v>0</v>
      </c>
      <c r="AC23" s="27">
        <v>0</v>
      </c>
      <c r="AD23" s="27">
        <v>30</v>
      </c>
      <c r="AE23" s="27">
        <v>0</v>
      </c>
      <c r="AF23" s="27">
        <v>0</v>
      </c>
      <c r="AG23" s="26">
        <f t="shared" si="1"/>
        <v>200</v>
      </c>
      <c r="AH23" s="26">
        <f t="shared" si="2"/>
        <v>0</v>
      </c>
      <c r="AI23" s="26">
        <f t="shared" si="3"/>
        <v>0</v>
      </c>
      <c r="AJ23" s="15" t="s">
        <v>11</v>
      </c>
      <c r="AK23" s="15" t="s">
        <v>11</v>
      </c>
      <c r="AL23" s="15" t="s">
        <v>317</v>
      </c>
      <c r="AM23" s="19">
        <v>43587</v>
      </c>
    </row>
    <row r="24" spans="1:39" x14ac:dyDescent="0.2">
      <c r="A24" s="15" t="str">
        <f t="shared" si="0"/>
        <v>809507172712</v>
      </c>
      <c r="B24" s="32">
        <v>809507</v>
      </c>
      <c r="C24" s="32" t="s">
        <v>247</v>
      </c>
      <c r="D24" s="17">
        <v>172712</v>
      </c>
      <c r="E24" s="15" t="s">
        <v>246</v>
      </c>
      <c r="F24" s="26">
        <v>20</v>
      </c>
      <c r="G24" s="26">
        <v>0</v>
      </c>
      <c r="H24" s="26">
        <v>0</v>
      </c>
      <c r="I24" s="26">
        <v>26</v>
      </c>
      <c r="J24" s="26">
        <v>0</v>
      </c>
      <c r="K24" s="26">
        <v>0</v>
      </c>
      <c r="L24" s="26">
        <v>44</v>
      </c>
      <c r="M24" s="26">
        <v>0</v>
      </c>
      <c r="N24" s="26">
        <v>5</v>
      </c>
      <c r="O24" s="27">
        <v>34</v>
      </c>
      <c r="P24" s="27">
        <v>0</v>
      </c>
      <c r="Q24" s="27">
        <v>9</v>
      </c>
      <c r="R24" s="27">
        <v>46.5</v>
      </c>
      <c r="S24" s="27">
        <v>0</v>
      </c>
      <c r="T24" s="27">
        <v>0</v>
      </c>
      <c r="U24" s="27">
        <v>50.5</v>
      </c>
      <c r="V24" s="27">
        <v>0</v>
      </c>
      <c r="W24" s="27">
        <v>6</v>
      </c>
      <c r="X24" s="27">
        <v>45</v>
      </c>
      <c r="Y24" s="27">
        <v>0</v>
      </c>
      <c r="Z24" s="27">
        <v>7</v>
      </c>
      <c r="AA24" s="27">
        <v>73.25</v>
      </c>
      <c r="AB24" s="27">
        <v>0</v>
      </c>
      <c r="AC24" s="27">
        <v>15.25</v>
      </c>
      <c r="AD24" s="27">
        <v>20</v>
      </c>
      <c r="AE24" s="27">
        <v>0</v>
      </c>
      <c r="AF24" s="27">
        <v>0</v>
      </c>
      <c r="AG24" s="26">
        <f t="shared" si="1"/>
        <v>359.25</v>
      </c>
      <c r="AH24" s="26">
        <f t="shared" si="2"/>
        <v>0</v>
      </c>
      <c r="AI24" s="26">
        <f t="shared" si="3"/>
        <v>42.25</v>
      </c>
      <c r="AJ24" s="15" t="s">
        <v>11</v>
      </c>
      <c r="AK24" s="15" t="s">
        <v>11</v>
      </c>
      <c r="AL24" s="15" t="s">
        <v>317</v>
      </c>
      <c r="AM24" s="19">
        <v>43593</v>
      </c>
    </row>
    <row r="25" spans="1:39" x14ac:dyDescent="0.2">
      <c r="A25" s="15" t="str">
        <f t="shared" si="0"/>
        <v>809569171880</v>
      </c>
      <c r="B25" s="15">
        <v>809569</v>
      </c>
      <c r="C25" s="15" t="s">
        <v>323</v>
      </c>
      <c r="D25" s="15">
        <v>171880</v>
      </c>
      <c r="E25" s="15" t="s">
        <v>228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6">
        <f t="shared" si="1"/>
        <v>0</v>
      </c>
      <c r="AH25" s="26">
        <f t="shared" si="2"/>
        <v>0</v>
      </c>
      <c r="AI25" s="26">
        <f t="shared" si="3"/>
        <v>0</v>
      </c>
      <c r="AJ25" s="15" t="s">
        <v>11</v>
      </c>
      <c r="AK25" s="15" t="s">
        <v>11</v>
      </c>
      <c r="AL25" s="15" t="s">
        <v>317</v>
      </c>
      <c r="AM25" s="19">
        <v>43602</v>
      </c>
    </row>
    <row r="26" spans="1:39" x14ac:dyDescent="0.2">
      <c r="A26" s="15" t="str">
        <f t="shared" si="0"/>
        <v>809785149765</v>
      </c>
      <c r="B26" s="32">
        <v>809785</v>
      </c>
      <c r="C26" s="32" t="s">
        <v>113</v>
      </c>
      <c r="D26" s="17">
        <v>149765</v>
      </c>
      <c r="E26" s="15" t="s">
        <v>112</v>
      </c>
      <c r="F26" s="26">
        <v>0</v>
      </c>
      <c r="G26" s="26">
        <v>0</v>
      </c>
      <c r="H26" s="26">
        <v>0</v>
      </c>
      <c r="I26" s="26">
        <v>90</v>
      </c>
      <c r="J26" s="26">
        <v>0</v>
      </c>
      <c r="K26" s="26">
        <v>0</v>
      </c>
      <c r="L26" s="26">
        <v>157</v>
      </c>
      <c r="M26" s="26">
        <v>0</v>
      </c>
      <c r="N26" s="26">
        <v>0</v>
      </c>
      <c r="O26" s="27">
        <v>104.3</v>
      </c>
      <c r="P26" s="27">
        <v>0</v>
      </c>
      <c r="Q26" s="27">
        <v>0</v>
      </c>
      <c r="R26" s="27">
        <v>62.5</v>
      </c>
      <c r="S26" s="27">
        <v>0</v>
      </c>
      <c r="T26" s="27">
        <v>0</v>
      </c>
      <c r="U26" s="27">
        <v>90</v>
      </c>
      <c r="V26" s="27">
        <v>0</v>
      </c>
      <c r="W26" s="27">
        <v>10</v>
      </c>
      <c r="X26" s="27">
        <v>78</v>
      </c>
      <c r="Y26" s="27">
        <v>0</v>
      </c>
      <c r="Z26" s="27">
        <v>12</v>
      </c>
      <c r="AA26" s="27">
        <v>50</v>
      </c>
      <c r="AB26" s="27">
        <v>0</v>
      </c>
      <c r="AC26" s="27">
        <v>0</v>
      </c>
      <c r="AD26" s="27">
        <v>121.5</v>
      </c>
      <c r="AE26" s="27">
        <v>0</v>
      </c>
      <c r="AF26" s="27">
        <v>41.5</v>
      </c>
      <c r="AG26" s="26">
        <f t="shared" si="1"/>
        <v>753.3</v>
      </c>
      <c r="AH26" s="26">
        <f t="shared" si="2"/>
        <v>0</v>
      </c>
      <c r="AI26" s="26">
        <f t="shared" si="3"/>
        <v>63.5</v>
      </c>
      <c r="AJ26" s="15" t="s">
        <v>11</v>
      </c>
      <c r="AK26" s="15" t="s">
        <v>11</v>
      </c>
      <c r="AL26" s="15" t="s">
        <v>317</v>
      </c>
      <c r="AM26" s="19">
        <v>43640</v>
      </c>
    </row>
    <row r="27" spans="1:39" x14ac:dyDescent="0.2">
      <c r="A27" s="15" t="str">
        <f t="shared" si="0"/>
        <v>810055175288</v>
      </c>
      <c r="B27" s="32">
        <v>810055</v>
      </c>
      <c r="C27" s="32" t="s">
        <v>186</v>
      </c>
      <c r="D27" s="17">
        <v>175288</v>
      </c>
      <c r="E27" s="15" t="s">
        <v>58</v>
      </c>
      <c r="F27" s="26">
        <v>133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6">
        <f t="shared" si="1"/>
        <v>133</v>
      </c>
      <c r="AH27" s="26">
        <f t="shared" si="2"/>
        <v>0</v>
      </c>
      <c r="AI27" s="26">
        <f t="shared" si="3"/>
        <v>0</v>
      </c>
      <c r="AJ27" s="15" t="s">
        <v>11</v>
      </c>
      <c r="AK27" s="15" t="s">
        <v>11</v>
      </c>
      <c r="AL27" s="15" t="s">
        <v>317</v>
      </c>
      <c r="AM27" s="19">
        <v>43673</v>
      </c>
    </row>
    <row r="28" spans="1:39" x14ac:dyDescent="0.2">
      <c r="A28" s="15" t="str">
        <f t="shared" si="0"/>
        <v>810120148557</v>
      </c>
      <c r="B28" s="32">
        <v>810120</v>
      </c>
      <c r="C28" s="32" t="s">
        <v>211</v>
      </c>
      <c r="D28" s="17">
        <v>148557</v>
      </c>
      <c r="E28" s="15" t="s">
        <v>10</v>
      </c>
      <c r="F28" s="26">
        <v>88.5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93.5</v>
      </c>
      <c r="M28" s="26">
        <v>0</v>
      </c>
      <c r="N28" s="26">
        <v>0</v>
      </c>
      <c r="O28" s="27">
        <v>0</v>
      </c>
      <c r="P28" s="27">
        <v>0</v>
      </c>
      <c r="Q28" s="27">
        <v>0</v>
      </c>
      <c r="R28" s="27">
        <v>20</v>
      </c>
      <c r="S28" s="27">
        <v>0</v>
      </c>
      <c r="T28" s="27">
        <v>0</v>
      </c>
      <c r="U28" s="27">
        <v>40</v>
      </c>
      <c r="V28" s="27">
        <v>0</v>
      </c>
      <c r="W28" s="27">
        <v>0</v>
      </c>
      <c r="X28" s="27">
        <v>72</v>
      </c>
      <c r="Y28" s="27">
        <v>0</v>
      </c>
      <c r="Z28" s="27">
        <v>0</v>
      </c>
      <c r="AA28" s="27">
        <v>75</v>
      </c>
      <c r="AB28" s="27">
        <v>2.5</v>
      </c>
      <c r="AC28" s="27">
        <v>0</v>
      </c>
      <c r="AD28" s="27">
        <v>224.85</v>
      </c>
      <c r="AE28" s="27">
        <v>0</v>
      </c>
      <c r="AF28" s="27">
        <v>0</v>
      </c>
      <c r="AG28" s="26">
        <f t="shared" si="1"/>
        <v>613.85</v>
      </c>
      <c r="AH28" s="26">
        <f t="shared" si="2"/>
        <v>2.5</v>
      </c>
      <c r="AI28" s="26">
        <f t="shared" si="3"/>
        <v>0</v>
      </c>
      <c r="AJ28" s="15" t="s">
        <v>11</v>
      </c>
      <c r="AK28" s="15" t="s">
        <v>11</v>
      </c>
      <c r="AL28" s="15" t="s">
        <v>317</v>
      </c>
      <c r="AM28" s="19">
        <v>43678</v>
      </c>
    </row>
    <row r="29" spans="1:39" x14ac:dyDescent="0.2">
      <c r="A29" s="15" t="str">
        <f t="shared" si="0"/>
        <v>810324175288</v>
      </c>
      <c r="B29" s="32">
        <v>810324</v>
      </c>
      <c r="C29" s="32" t="s">
        <v>266</v>
      </c>
      <c r="D29" s="15">
        <v>175288</v>
      </c>
      <c r="E29" s="15" t="s">
        <v>58</v>
      </c>
      <c r="F29" s="26">
        <v>20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6">
        <f t="shared" si="1"/>
        <v>20</v>
      </c>
      <c r="AH29" s="26">
        <f t="shared" si="2"/>
        <v>0</v>
      </c>
      <c r="AI29" s="26">
        <f t="shared" si="3"/>
        <v>0</v>
      </c>
      <c r="AJ29" s="15" t="s">
        <v>11</v>
      </c>
      <c r="AK29" s="15" t="s">
        <v>11</v>
      </c>
      <c r="AL29" s="15" t="s">
        <v>317</v>
      </c>
      <c r="AM29" s="19">
        <v>43700</v>
      </c>
    </row>
    <row r="30" spans="1:39" x14ac:dyDescent="0.2">
      <c r="A30" s="15" t="str">
        <f t="shared" si="0"/>
        <v>810324210619</v>
      </c>
      <c r="B30" s="14">
        <v>810324</v>
      </c>
      <c r="C30" s="14" t="s">
        <v>266</v>
      </c>
      <c r="D30" s="16">
        <v>210619</v>
      </c>
      <c r="E30" s="18" t="s">
        <v>469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7">
        <v>40</v>
      </c>
      <c r="P30" s="27">
        <v>0</v>
      </c>
      <c r="Q30" s="27">
        <v>0</v>
      </c>
      <c r="R30" s="27">
        <v>15</v>
      </c>
      <c r="S30" s="27">
        <v>0</v>
      </c>
      <c r="T30" s="27">
        <v>0</v>
      </c>
      <c r="U30" s="27">
        <v>40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20</v>
      </c>
      <c r="AE30" s="27">
        <v>0</v>
      </c>
      <c r="AF30" s="27">
        <v>20</v>
      </c>
      <c r="AG30" s="26">
        <f t="shared" si="1"/>
        <v>115</v>
      </c>
      <c r="AH30" s="26">
        <f t="shared" si="2"/>
        <v>0</v>
      </c>
      <c r="AI30" s="26">
        <f t="shared" si="3"/>
        <v>20</v>
      </c>
      <c r="AJ30" s="15" t="s">
        <v>11</v>
      </c>
      <c r="AK30" s="15" t="s">
        <v>11</v>
      </c>
      <c r="AL30" s="15" t="s">
        <v>317</v>
      </c>
      <c r="AM30" s="19">
        <v>43700</v>
      </c>
    </row>
    <row r="31" spans="1:39" x14ac:dyDescent="0.2">
      <c r="A31" s="15" t="str">
        <f t="shared" si="0"/>
        <v>810435178661</v>
      </c>
      <c r="B31" s="32">
        <v>810435</v>
      </c>
      <c r="C31" s="32" t="s">
        <v>131</v>
      </c>
      <c r="D31" s="17">
        <v>178661</v>
      </c>
      <c r="E31" s="15" t="s">
        <v>28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20</v>
      </c>
      <c r="M31" s="26">
        <v>0</v>
      </c>
      <c r="N31" s="26">
        <v>0</v>
      </c>
      <c r="O31" s="27">
        <v>25</v>
      </c>
      <c r="P31" s="27">
        <v>10</v>
      </c>
      <c r="Q31" s="27">
        <v>0</v>
      </c>
      <c r="R31" s="27">
        <v>10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10</v>
      </c>
      <c r="Y31" s="27">
        <v>0</v>
      </c>
      <c r="Z31" s="27">
        <v>0</v>
      </c>
      <c r="AA31" s="27">
        <v>10</v>
      </c>
      <c r="AB31" s="27">
        <v>0</v>
      </c>
      <c r="AC31" s="27">
        <v>0</v>
      </c>
      <c r="AD31" s="27">
        <v>30</v>
      </c>
      <c r="AE31" s="27">
        <v>0</v>
      </c>
      <c r="AF31" s="27">
        <v>0</v>
      </c>
      <c r="AG31" s="26">
        <f t="shared" si="1"/>
        <v>105</v>
      </c>
      <c r="AH31" s="26">
        <f t="shared" si="2"/>
        <v>10</v>
      </c>
      <c r="AI31" s="26">
        <f t="shared" si="3"/>
        <v>0</v>
      </c>
      <c r="AJ31" s="15" t="s">
        <v>11</v>
      </c>
      <c r="AK31" s="15" t="s">
        <v>11</v>
      </c>
      <c r="AL31" s="15" t="s">
        <v>317</v>
      </c>
      <c r="AM31" s="19">
        <v>43711</v>
      </c>
    </row>
    <row r="32" spans="1:39" x14ac:dyDescent="0.2">
      <c r="A32" s="15" t="str">
        <f t="shared" si="0"/>
        <v>810595176641</v>
      </c>
      <c r="B32" s="32">
        <v>810595</v>
      </c>
      <c r="C32" s="32" t="s">
        <v>277</v>
      </c>
      <c r="D32" s="17">
        <v>176641</v>
      </c>
      <c r="E32" s="15" t="s">
        <v>40</v>
      </c>
      <c r="F32" s="26">
        <v>40</v>
      </c>
      <c r="G32" s="26">
        <v>0</v>
      </c>
      <c r="H32" s="26">
        <v>0</v>
      </c>
      <c r="I32" s="26">
        <v>13.5</v>
      </c>
      <c r="J32" s="26">
        <v>0</v>
      </c>
      <c r="K32" s="26">
        <v>0</v>
      </c>
      <c r="L32" s="26">
        <v>47.5</v>
      </c>
      <c r="M32" s="26">
        <v>0</v>
      </c>
      <c r="N32" s="26">
        <v>0</v>
      </c>
      <c r="O32" s="27">
        <v>45.6</v>
      </c>
      <c r="P32" s="27">
        <v>0</v>
      </c>
      <c r="Q32" s="27">
        <v>0</v>
      </c>
      <c r="R32" s="27">
        <v>7.5</v>
      </c>
      <c r="S32" s="27">
        <v>0</v>
      </c>
      <c r="T32" s="27">
        <v>0</v>
      </c>
      <c r="U32" s="27">
        <v>30.05</v>
      </c>
      <c r="V32" s="27">
        <v>0</v>
      </c>
      <c r="W32" s="27">
        <v>0</v>
      </c>
      <c r="X32" s="27">
        <v>17.5</v>
      </c>
      <c r="Y32" s="27">
        <v>7.5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6">
        <f t="shared" si="1"/>
        <v>201.65</v>
      </c>
      <c r="AH32" s="26">
        <f t="shared" si="2"/>
        <v>7.5</v>
      </c>
      <c r="AI32" s="26">
        <f t="shared" si="3"/>
        <v>0</v>
      </c>
      <c r="AJ32" s="15" t="s">
        <v>11</v>
      </c>
      <c r="AK32" s="15" t="s">
        <v>11</v>
      </c>
      <c r="AL32" s="15" t="s">
        <v>317</v>
      </c>
      <c r="AM32" s="19">
        <v>43743</v>
      </c>
    </row>
    <row r="33" spans="1:39" x14ac:dyDescent="0.2">
      <c r="A33" s="15" t="str">
        <f t="shared" si="0"/>
        <v>810648140481</v>
      </c>
      <c r="B33" s="32">
        <v>810648</v>
      </c>
      <c r="C33" s="32" t="s">
        <v>293</v>
      </c>
      <c r="D33" s="17">
        <v>140481</v>
      </c>
      <c r="E33" s="15" t="s">
        <v>35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7">
        <v>0</v>
      </c>
      <c r="P33" s="27">
        <v>0</v>
      </c>
      <c r="Q33" s="27">
        <v>0</v>
      </c>
      <c r="R33" s="27">
        <v>5</v>
      </c>
      <c r="S33" s="27">
        <v>0</v>
      </c>
      <c r="T33" s="27">
        <v>0</v>
      </c>
      <c r="U33" s="27">
        <v>6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6">
        <f t="shared" si="1"/>
        <v>11</v>
      </c>
      <c r="AH33" s="26">
        <f t="shared" si="2"/>
        <v>0</v>
      </c>
      <c r="AI33" s="26">
        <f t="shared" si="3"/>
        <v>0</v>
      </c>
      <c r="AJ33" s="15" t="s">
        <v>11</v>
      </c>
      <c r="AK33" s="15" t="s">
        <v>11</v>
      </c>
      <c r="AL33" s="15" t="s">
        <v>317</v>
      </c>
      <c r="AM33" s="19">
        <v>43754</v>
      </c>
    </row>
    <row r="34" spans="1:39" x14ac:dyDescent="0.2">
      <c r="A34" s="15" t="str">
        <f t="shared" si="0"/>
        <v>810683178661</v>
      </c>
      <c r="B34" s="32">
        <v>810683</v>
      </c>
      <c r="C34" s="32" t="s">
        <v>133</v>
      </c>
      <c r="D34" s="17">
        <v>178661</v>
      </c>
      <c r="E34" s="15" t="s">
        <v>28</v>
      </c>
      <c r="F34" s="26">
        <v>30</v>
      </c>
      <c r="G34" s="26">
        <v>0</v>
      </c>
      <c r="H34" s="26">
        <v>0</v>
      </c>
      <c r="I34" s="26">
        <v>20</v>
      </c>
      <c r="J34" s="26">
        <v>0</v>
      </c>
      <c r="K34" s="26">
        <v>0</v>
      </c>
      <c r="L34" s="26">
        <v>114</v>
      </c>
      <c r="M34" s="26">
        <v>0</v>
      </c>
      <c r="N34" s="26">
        <v>10</v>
      </c>
      <c r="O34" s="27">
        <v>82</v>
      </c>
      <c r="P34" s="27">
        <v>0</v>
      </c>
      <c r="Q34" s="27">
        <v>0</v>
      </c>
      <c r="R34" s="27">
        <v>51.8</v>
      </c>
      <c r="S34" s="27">
        <v>0</v>
      </c>
      <c r="T34" s="27">
        <v>0</v>
      </c>
      <c r="U34" s="27">
        <v>84</v>
      </c>
      <c r="V34" s="27">
        <v>0</v>
      </c>
      <c r="W34" s="27">
        <v>27.5</v>
      </c>
      <c r="X34" s="27">
        <v>60</v>
      </c>
      <c r="Y34" s="27">
        <v>0</v>
      </c>
      <c r="Z34" s="27">
        <v>0</v>
      </c>
      <c r="AA34" s="27">
        <v>70.5</v>
      </c>
      <c r="AB34" s="27">
        <v>6</v>
      </c>
      <c r="AC34" s="27">
        <v>10</v>
      </c>
      <c r="AD34" s="27">
        <v>87</v>
      </c>
      <c r="AE34" s="27">
        <v>0</v>
      </c>
      <c r="AF34" s="27">
        <v>0</v>
      </c>
      <c r="AG34" s="26">
        <f t="shared" si="1"/>
        <v>599.29999999999995</v>
      </c>
      <c r="AH34" s="26">
        <f t="shared" si="2"/>
        <v>6</v>
      </c>
      <c r="AI34" s="26">
        <f t="shared" si="3"/>
        <v>47.5</v>
      </c>
      <c r="AJ34" s="15" t="s">
        <v>11</v>
      </c>
      <c r="AK34" s="15" t="s">
        <v>11</v>
      </c>
      <c r="AL34" s="15" t="s">
        <v>317</v>
      </c>
      <c r="AM34" s="19">
        <v>43761</v>
      </c>
    </row>
    <row r="35" spans="1:39" x14ac:dyDescent="0.2">
      <c r="A35" s="15" t="str">
        <f t="shared" si="0"/>
        <v>810686178661</v>
      </c>
      <c r="B35" s="32">
        <v>810686</v>
      </c>
      <c r="C35" s="32" t="s">
        <v>132</v>
      </c>
      <c r="D35" s="17">
        <v>178661</v>
      </c>
      <c r="E35" s="15" t="s">
        <v>28</v>
      </c>
      <c r="F35" s="26">
        <v>52</v>
      </c>
      <c r="G35" s="26">
        <v>0</v>
      </c>
      <c r="H35" s="26">
        <v>0</v>
      </c>
      <c r="I35" s="26">
        <v>30</v>
      </c>
      <c r="J35" s="26">
        <v>0</v>
      </c>
      <c r="K35" s="26">
        <v>0</v>
      </c>
      <c r="L35" s="26">
        <v>20</v>
      </c>
      <c r="M35" s="26">
        <v>0</v>
      </c>
      <c r="N35" s="26">
        <v>0</v>
      </c>
      <c r="O35" s="27">
        <v>45</v>
      </c>
      <c r="P35" s="27">
        <v>0</v>
      </c>
      <c r="Q35" s="27">
        <v>0</v>
      </c>
      <c r="R35" s="27">
        <v>62</v>
      </c>
      <c r="S35" s="27">
        <v>0</v>
      </c>
      <c r="T35" s="27">
        <v>0</v>
      </c>
      <c r="U35" s="27">
        <v>47.5</v>
      </c>
      <c r="V35" s="27">
        <v>0</v>
      </c>
      <c r="W35" s="27">
        <v>7.5</v>
      </c>
      <c r="X35" s="27">
        <v>67</v>
      </c>
      <c r="Y35" s="27">
        <v>0</v>
      </c>
      <c r="Z35" s="27">
        <v>0</v>
      </c>
      <c r="AA35" s="27">
        <v>37.5</v>
      </c>
      <c r="AB35" s="27">
        <v>0</v>
      </c>
      <c r="AC35" s="27">
        <v>10</v>
      </c>
      <c r="AD35" s="27">
        <v>70</v>
      </c>
      <c r="AE35" s="27">
        <v>0</v>
      </c>
      <c r="AF35" s="27">
        <v>0</v>
      </c>
      <c r="AG35" s="26">
        <f t="shared" si="1"/>
        <v>431</v>
      </c>
      <c r="AH35" s="26">
        <f t="shared" si="2"/>
        <v>0</v>
      </c>
      <c r="AI35" s="26">
        <f t="shared" si="3"/>
        <v>17.5</v>
      </c>
      <c r="AJ35" s="15" t="s">
        <v>11</v>
      </c>
      <c r="AK35" s="15" t="s">
        <v>11</v>
      </c>
      <c r="AL35" s="15" t="s">
        <v>317</v>
      </c>
      <c r="AM35" s="19">
        <v>43761</v>
      </c>
    </row>
    <row r="36" spans="1:39" x14ac:dyDescent="0.2">
      <c r="A36" s="15" t="str">
        <f t="shared" si="0"/>
        <v>810922175288</v>
      </c>
      <c r="B36" s="32">
        <v>810922</v>
      </c>
      <c r="C36" s="32" t="s">
        <v>187</v>
      </c>
      <c r="D36" s="17">
        <v>175288</v>
      </c>
      <c r="E36" s="15" t="s">
        <v>58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6">
        <f t="shared" si="1"/>
        <v>0</v>
      </c>
      <c r="AH36" s="26">
        <f t="shared" si="2"/>
        <v>0</v>
      </c>
      <c r="AI36" s="26">
        <f t="shared" si="3"/>
        <v>0</v>
      </c>
      <c r="AJ36" s="15" t="s">
        <v>11</v>
      </c>
      <c r="AK36" s="15" t="s">
        <v>11</v>
      </c>
      <c r="AL36" s="15" t="s">
        <v>317</v>
      </c>
      <c r="AM36" s="19">
        <v>43805</v>
      </c>
    </row>
    <row r="37" spans="1:39" x14ac:dyDescent="0.2">
      <c r="A37" s="15" t="str">
        <f t="shared" si="0"/>
        <v>811091140481</v>
      </c>
      <c r="B37" s="32">
        <v>811091</v>
      </c>
      <c r="C37" s="32" t="s">
        <v>302</v>
      </c>
      <c r="D37" s="17">
        <v>140481</v>
      </c>
      <c r="E37" s="15" t="s">
        <v>35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10</v>
      </c>
      <c r="M37" s="26">
        <v>0</v>
      </c>
      <c r="N37" s="26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10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6">
        <f t="shared" si="1"/>
        <v>20</v>
      </c>
      <c r="AH37" s="26">
        <f t="shared" si="2"/>
        <v>0</v>
      </c>
      <c r="AI37" s="26">
        <f t="shared" si="3"/>
        <v>0</v>
      </c>
      <c r="AJ37" s="15" t="s">
        <v>11</v>
      </c>
      <c r="AK37" s="15" t="s">
        <v>11</v>
      </c>
      <c r="AL37" s="15" t="s">
        <v>317</v>
      </c>
      <c r="AM37" s="19">
        <v>43826</v>
      </c>
    </row>
    <row r="38" spans="1:39" x14ac:dyDescent="0.2">
      <c r="A38" s="15" t="str">
        <f t="shared" si="0"/>
        <v>811092176641</v>
      </c>
      <c r="B38" s="32">
        <v>811092</v>
      </c>
      <c r="C38" s="32" t="s">
        <v>41</v>
      </c>
      <c r="D38" s="17">
        <v>176641</v>
      </c>
      <c r="E38" s="15" t="s">
        <v>40</v>
      </c>
      <c r="F38" s="26">
        <v>70</v>
      </c>
      <c r="G38" s="26">
        <v>0</v>
      </c>
      <c r="H38" s="26">
        <v>0</v>
      </c>
      <c r="I38" s="26">
        <v>66.900000000000006</v>
      </c>
      <c r="J38" s="26">
        <v>0</v>
      </c>
      <c r="K38" s="26">
        <v>0</v>
      </c>
      <c r="L38" s="26">
        <v>43.5</v>
      </c>
      <c r="M38" s="26">
        <v>0</v>
      </c>
      <c r="N38" s="26">
        <v>0</v>
      </c>
      <c r="O38" s="27">
        <v>61.5</v>
      </c>
      <c r="P38" s="27">
        <v>0</v>
      </c>
      <c r="Q38" s="27">
        <v>0</v>
      </c>
      <c r="R38" s="27">
        <v>13.5</v>
      </c>
      <c r="S38" s="27">
        <v>0</v>
      </c>
      <c r="T38" s="27">
        <v>0</v>
      </c>
      <c r="U38" s="27">
        <v>22</v>
      </c>
      <c r="V38" s="27">
        <v>0</v>
      </c>
      <c r="W38" s="27">
        <v>0</v>
      </c>
      <c r="X38" s="27">
        <v>20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7.5</v>
      </c>
      <c r="AE38" s="27">
        <v>0</v>
      </c>
      <c r="AF38" s="27">
        <v>0</v>
      </c>
      <c r="AG38" s="26">
        <f t="shared" si="1"/>
        <v>304.89999999999998</v>
      </c>
      <c r="AH38" s="26">
        <f t="shared" si="2"/>
        <v>0</v>
      </c>
      <c r="AI38" s="26">
        <f t="shared" si="3"/>
        <v>0</v>
      </c>
      <c r="AJ38" s="15" t="s">
        <v>11</v>
      </c>
      <c r="AK38" s="15" t="s">
        <v>11</v>
      </c>
      <c r="AL38" s="15" t="s">
        <v>317</v>
      </c>
      <c r="AM38" s="19">
        <v>43826</v>
      </c>
    </row>
    <row r="39" spans="1:39" x14ac:dyDescent="0.2">
      <c r="A39" s="15" t="str">
        <f t="shared" si="0"/>
        <v>811135175288</v>
      </c>
      <c r="B39" s="32">
        <v>811135</v>
      </c>
      <c r="C39" s="32" t="s">
        <v>188</v>
      </c>
      <c r="D39" s="17">
        <v>175288</v>
      </c>
      <c r="E39" s="15" t="s">
        <v>58</v>
      </c>
      <c r="F39" s="26">
        <v>50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7">
        <v>0</v>
      </c>
      <c r="P39" s="27">
        <v>0</v>
      </c>
      <c r="Q39" s="27">
        <v>0</v>
      </c>
      <c r="R39" s="27">
        <v>0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  <c r="X39" s="27">
        <v>0</v>
      </c>
      <c r="Y39" s="27">
        <v>0</v>
      </c>
      <c r="Z39" s="27">
        <v>0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6">
        <f t="shared" si="1"/>
        <v>50</v>
      </c>
      <c r="AH39" s="26">
        <f t="shared" si="2"/>
        <v>0</v>
      </c>
      <c r="AI39" s="26">
        <f t="shared" si="3"/>
        <v>0</v>
      </c>
      <c r="AJ39" s="15" t="s">
        <v>11</v>
      </c>
      <c r="AK39" s="15" t="s">
        <v>11</v>
      </c>
      <c r="AL39" s="15" t="s">
        <v>317</v>
      </c>
      <c r="AM39" s="19">
        <v>43829</v>
      </c>
    </row>
    <row r="40" spans="1:39" x14ac:dyDescent="0.2">
      <c r="A40" s="15" t="str">
        <f t="shared" si="0"/>
        <v>811422175288</v>
      </c>
      <c r="B40" s="32">
        <v>811422</v>
      </c>
      <c r="C40" s="32" t="s">
        <v>30</v>
      </c>
      <c r="D40" s="17">
        <v>175288</v>
      </c>
      <c r="E40" s="15" t="s">
        <v>58</v>
      </c>
      <c r="F40" s="26">
        <v>55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6">
        <f t="shared" si="1"/>
        <v>55</v>
      </c>
      <c r="AH40" s="26">
        <f t="shared" si="2"/>
        <v>0</v>
      </c>
      <c r="AI40" s="26">
        <f t="shared" si="3"/>
        <v>0</v>
      </c>
      <c r="AJ40" s="15" t="s">
        <v>11</v>
      </c>
      <c r="AK40" s="15" t="s">
        <v>11</v>
      </c>
      <c r="AL40" s="15" t="s">
        <v>317</v>
      </c>
      <c r="AM40" s="19">
        <v>43866</v>
      </c>
    </row>
    <row r="41" spans="1:39" x14ac:dyDescent="0.2">
      <c r="A41" s="15" t="str">
        <f t="shared" si="0"/>
        <v>811522175288</v>
      </c>
      <c r="B41" s="32">
        <v>811522</v>
      </c>
      <c r="C41" s="32" t="s">
        <v>465</v>
      </c>
      <c r="D41" s="15">
        <v>175288</v>
      </c>
      <c r="E41" s="15" t="s">
        <v>58</v>
      </c>
      <c r="F41" s="26">
        <v>100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7">
        <v>0</v>
      </c>
      <c r="P41" s="27">
        <v>0</v>
      </c>
      <c r="Q41" s="27">
        <v>0</v>
      </c>
      <c r="R41" s="27">
        <v>0</v>
      </c>
      <c r="S41" s="27">
        <v>0</v>
      </c>
      <c r="T41" s="27">
        <v>0</v>
      </c>
      <c r="U41" s="27">
        <v>0</v>
      </c>
      <c r="V41" s="27">
        <v>0</v>
      </c>
      <c r="W41" s="27">
        <v>0</v>
      </c>
      <c r="X41" s="27">
        <v>0</v>
      </c>
      <c r="Y41" s="27">
        <v>0</v>
      </c>
      <c r="Z41" s="27">
        <v>0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6">
        <f t="shared" si="1"/>
        <v>100</v>
      </c>
      <c r="AH41" s="26">
        <f t="shared" si="2"/>
        <v>0</v>
      </c>
      <c r="AI41" s="26">
        <f t="shared" si="3"/>
        <v>0</v>
      </c>
      <c r="AJ41" s="15" t="s">
        <v>11</v>
      </c>
      <c r="AK41" s="15" t="s">
        <v>11</v>
      </c>
      <c r="AL41" s="15" t="s">
        <v>317</v>
      </c>
      <c r="AM41" s="19">
        <v>43878</v>
      </c>
    </row>
    <row r="42" spans="1:39" x14ac:dyDescent="0.2">
      <c r="A42" s="15" t="str">
        <f t="shared" si="0"/>
        <v>811630140481</v>
      </c>
      <c r="B42" s="32">
        <v>811630</v>
      </c>
      <c r="C42" s="32" t="s">
        <v>301</v>
      </c>
      <c r="D42" s="17">
        <v>140481</v>
      </c>
      <c r="E42" s="15" t="s">
        <v>35</v>
      </c>
      <c r="F42" s="26">
        <v>37</v>
      </c>
      <c r="G42" s="26">
        <v>0</v>
      </c>
      <c r="H42" s="26">
        <v>0</v>
      </c>
      <c r="I42" s="26">
        <v>30</v>
      </c>
      <c r="J42" s="26">
        <v>0</v>
      </c>
      <c r="K42" s="26">
        <v>0</v>
      </c>
      <c r="L42" s="26">
        <v>30</v>
      </c>
      <c r="M42" s="26">
        <v>0</v>
      </c>
      <c r="N42" s="26">
        <v>0</v>
      </c>
      <c r="O42" s="27">
        <v>36.799999999999997</v>
      </c>
      <c r="P42" s="27">
        <v>0</v>
      </c>
      <c r="Q42" s="27">
        <v>0</v>
      </c>
      <c r="R42" s="27">
        <v>31</v>
      </c>
      <c r="S42" s="27">
        <v>0</v>
      </c>
      <c r="T42" s="27">
        <v>0</v>
      </c>
      <c r="U42" s="27">
        <v>38</v>
      </c>
      <c r="V42" s="27">
        <v>0</v>
      </c>
      <c r="W42" s="27">
        <v>0</v>
      </c>
      <c r="X42" s="27">
        <v>47</v>
      </c>
      <c r="Y42" s="27">
        <v>0</v>
      </c>
      <c r="Z42" s="27">
        <v>0</v>
      </c>
      <c r="AA42" s="27">
        <v>45</v>
      </c>
      <c r="AB42" s="27">
        <v>0</v>
      </c>
      <c r="AC42" s="27">
        <v>5</v>
      </c>
      <c r="AD42" s="27">
        <v>55</v>
      </c>
      <c r="AE42" s="27">
        <v>0</v>
      </c>
      <c r="AF42" s="27">
        <v>0</v>
      </c>
      <c r="AG42" s="26">
        <f t="shared" si="1"/>
        <v>349.8</v>
      </c>
      <c r="AH42" s="26">
        <f t="shared" si="2"/>
        <v>0</v>
      </c>
      <c r="AI42" s="26">
        <f t="shared" si="3"/>
        <v>5</v>
      </c>
      <c r="AJ42" s="15" t="s">
        <v>11</v>
      </c>
      <c r="AK42" s="15" t="s">
        <v>11</v>
      </c>
      <c r="AL42" s="15" t="s">
        <v>317</v>
      </c>
      <c r="AM42" s="19">
        <v>43888</v>
      </c>
    </row>
    <row r="43" spans="1:39" x14ac:dyDescent="0.2">
      <c r="A43" s="15" t="str">
        <f t="shared" si="0"/>
        <v>812056175288</v>
      </c>
      <c r="B43" s="32">
        <v>812056</v>
      </c>
      <c r="C43" s="32" t="s">
        <v>291</v>
      </c>
      <c r="D43" s="17">
        <v>175288</v>
      </c>
      <c r="E43" s="15" t="s">
        <v>58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7">
        <v>0</v>
      </c>
      <c r="P43" s="27">
        <v>0</v>
      </c>
      <c r="Q43" s="27">
        <v>0</v>
      </c>
      <c r="R43" s="27">
        <v>0</v>
      </c>
      <c r="S43" s="27">
        <v>0</v>
      </c>
      <c r="T43" s="27">
        <v>0</v>
      </c>
      <c r="U43" s="27">
        <v>0</v>
      </c>
      <c r="V43" s="27">
        <v>0</v>
      </c>
      <c r="W43" s="27">
        <v>0</v>
      </c>
      <c r="X43" s="27">
        <v>0</v>
      </c>
      <c r="Y43" s="27">
        <v>0</v>
      </c>
      <c r="Z43" s="27">
        <v>0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6">
        <f t="shared" si="1"/>
        <v>0</v>
      </c>
      <c r="AH43" s="26">
        <f t="shared" si="2"/>
        <v>0</v>
      </c>
      <c r="AI43" s="26">
        <f t="shared" si="3"/>
        <v>0</v>
      </c>
      <c r="AJ43" s="15" t="s">
        <v>11</v>
      </c>
      <c r="AK43" s="15" t="s">
        <v>11</v>
      </c>
      <c r="AL43" s="15" t="s">
        <v>317</v>
      </c>
      <c r="AM43" s="19">
        <v>44011</v>
      </c>
    </row>
    <row r="44" spans="1:39" x14ac:dyDescent="0.2">
      <c r="A44" s="15" t="str">
        <f t="shared" si="0"/>
        <v>812291149765</v>
      </c>
      <c r="B44" s="32">
        <v>812291</v>
      </c>
      <c r="C44" s="32" t="s">
        <v>262</v>
      </c>
      <c r="D44" s="17">
        <v>149765</v>
      </c>
      <c r="E44" s="15" t="s">
        <v>112</v>
      </c>
      <c r="F44" s="26">
        <v>30</v>
      </c>
      <c r="G44" s="26">
        <v>10</v>
      </c>
      <c r="H44" s="26">
        <v>0</v>
      </c>
      <c r="I44" s="26">
        <v>40</v>
      </c>
      <c r="J44" s="26">
        <v>10</v>
      </c>
      <c r="K44" s="26">
        <v>0</v>
      </c>
      <c r="L44" s="26">
        <v>40</v>
      </c>
      <c r="M44" s="26">
        <v>0</v>
      </c>
      <c r="N44" s="26">
        <v>0</v>
      </c>
      <c r="O44" s="27">
        <v>25</v>
      </c>
      <c r="P44" s="27">
        <v>0</v>
      </c>
      <c r="Q44" s="27">
        <v>0</v>
      </c>
      <c r="R44" s="27">
        <v>10</v>
      </c>
      <c r="S44" s="27">
        <v>10</v>
      </c>
      <c r="T44" s="27">
        <v>0</v>
      </c>
      <c r="U44" s="27">
        <v>10</v>
      </c>
      <c r="V44" s="27">
        <v>0</v>
      </c>
      <c r="W44" s="27">
        <v>0</v>
      </c>
      <c r="X44" s="27">
        <v>17.5</v>
      </c>
      <c r="Y44" s="27">
        <v>0</v>
      </c>
      <c r="Z44" s="27">
        <v>0</v>
      </c>
      <c r="AA44" s="27">
        <v>17.5</v>
      </c>
      <c r="AB44" s="27">
        <v>0</v>
      </c>
      <c r="AC44" s="27">
        <v>0</v>
      </c>
      <c r="AD44" s="27">
        <v>30</v>
      </c>
      <c r="AE44" s="27">
        <v>0</v>
      </c>
      <c r="AF44" s="27">
        <v>0</v>
      </c>
      <c r="AG44" s="26">
        <f t="shared" si="1"/>
        <v>220</v>
      </c>
      <c r="AH44" s="26">
        <f t="shared" si="2"/>
        <v>30</v>
      </c>
      <c r="AI44" s="26">
        <f t="shared" si="3"/>
        <v>0</v>
      </c>
      <c r="AJ44" s="15" t="s">
        <v>11</v>
      </c>
      <c r="AK44" s="15" t="s">
        <v>11</v>
      </c>
      <c r="AL44" s="15" t="s">
        <v>317</v>
      </c>
      <c r="AM44" s="19">
        <v>44032</v>
      </c>
    </row>
    <row r="45" spans="1:39" x14ac:dyDescent="0.2">
      <c r="A45" s="15" t="str">
        <f t="shared" si="0"/>
        <v>812300149765</v>
      </c>
      <c r="B45" s="32">
        <v>812300</v>
      </c>
      <c r="C45" s="32" t="s">
        <v>263</v>
      </c>
      <c r="D45" s="17">
        <v>149765</v>
      </c>
      <c r="E45" s="15" t="s">
        <v>112</v>
      </c>
      <c r="F45" s="26">
        <v>40</v>
      </c>
      <c r="G45" s="26">
        <v>0</v>
      </c>
      <c r="H45" s="26">
        <v>0</v>
      </c>
      <c r="I45" s="26">
        <v>25</v>
      </c>
      <c r="J45" s="26">
        <v>0</v>
      </c>
      <c r="K45" s="26">
        <v>0</v>
      </c>
      <c r="L45" s="26">
        <v>70</v>
      </c>
      <c r="M45" s="26">
        <v>0</v>
      </c>
      <c r="N45" s="26">
        <v>0</v>
      </c>
      <c r="O45" s="27">
        <v>55</v>
      </c>
      <c r="P45" s="27">
        <v>0</v>
      </c>
      <c r="Q45" s="27">
        <v>0</v>
      </c>
      <c r="R45" s="27">
        <v>45.15</v>
      </c>
      <c r="S45" s="27">
        <v>0.15</v>
      </c>
      <c r="T45" s="27">
        <v>0</v>
      </c>
      <c r="U45" s="27">
        <v>62</v>
      </c>
      <c r="V45" s="27">
        <v>0</v>
      </c>
      <c r="W45" s="27">
        <v>0</v>
      </c>
      <c r="X45" s="27">
        <v>25</v>
      </c>
      <c r="Y45" s="27">
        <v>0</v>
      </c>
      <c r="Z45" s="27">
        <v>5</v>
      </c>
      <c r="AA45" s="27">
        <v>25</v>
      </c>
      <c r="AB45" s="27">
        <v>0</v>
      </c>
      <c r="AC45" s="27">
        <v>0</v>
      </c>
      <c r="AD45" s="27">
        <v>50</v>
      </c>
      <c r="AE45" s="27">
        <v>0</v>
      </c>
      <c r="AF45" s="27">
        <v>0</v>
      </c>
      <c r="AG45" s="26">
        <f t="shared" ref="AG45:AG108" si="4">SUMIF($F$2:$AF$2,"Total",F45:AF45)</f>
        <v>397.15</v>
      </c>
      <c r="AH45" s="26">
        <f t="shared" ref="AH45:AH108" si="5">SUMIF($F$2:$AF$2,"WS",F45:AF45)</f>
        <v>0.15</v>
      </c>
      <c r="AI45" s="26">
        <f t="shared" ref="AI45:AI108" si="6">SUMIF($F$2:$AF$2,"PPCSS",F45:AF45)</f>
        <v>5</v>
      </c>
      <c r="AJ45" s="15" t="s">
        <v>11</v>
      </c>
      <c r="AK45" s="15" t="s">
        <v>11</v>
      </c>
      <c r="AL45" s="15" t="s">
        <v>317</v>
      </c>
      <c r="AM45" s="19">
        <v>44033</v>
      </c>
    </row>
    <row r="46" spans="1:39" x14ac:dyDescent="0.2">
      <c r="A46" s="15" t="str">
        <f t="shared" si="0"/>
        <v>812382179893</v>
      </c>
      <c r="B46" s="32">
        <v>812382</v>
      </c>
      <c r="C46" s="32" t="s">
        <v>241</v>
      </c>
      <c r="D46" s="17">
        <v>179893</v>
      </c>
      <c r="E46" s="15" t="s">
        <v>155</v>
      </c>
      <c r="F46" s="26">
        <v>42</v>
      </c>
      <c r="G46" s="26">
        <v>0</v>
      </c>
      <c r="H46" s="26">
        <v>0</v>
      </c>
      <c r="I46" s="26">
        <v>66</v>
      </c>
      <c r="J46" s="26">
        <v>0</v>
      </c>
      <c r="K46" s="26">
        <v>0</v>
      </c>
      <c r="L46" s="26">
        <v>34</v>
      </c>
      <c r="M46" s="26">
        <v>0</v>
      </c>
      <c r="N46" s="26">
        <v>0</v>
      </c>
      <c r="O46" s="27">
        <v>80</v>
      </c>
      <c r="P46" s="27">
        <v>0</v>
      </c>
      <c r="Q46" s="27">
        <v>5</v>
      </c>
      <c r="R46" s="27">
        <v>57.5</v>
      </c>
      <c r="S46" s="27">
        <v>0</v>
      </c>
      <c r="T46" s="27">
        <v>0</v>
      </c>
      <c r="U46" s="27">
        <v>77.5</v>
      </c>
      <c r="V46" s="27">
        <v>0</v>
      </c>
      <c r="W46" s="27">
        <v>13.5</v>
      </c>
      <c r="X46" s="27">
        <v>0</v>
      </c>
      <c r="Y46" s="27">
        <v>0</v>
      </c>
      <c r="Z46" s="27">
        <v>0</v>
      </c>
      <c r="AA46" s="27">
        <v>68.900000000000006</v>
      </c>
      <c r="AB46" s="27">
        <v>0</v>
      </c>
      <c r="AC46" s="27">
        <v>0</v>
      </c>
      <c r="AD46" s="27">
        <v>89.85</v>
      </c>
      <c r="AE46" s="27">
        <v>0</v>
      </c>
      <c r="AF46" s="27">
        <v>0</v>
      </c>
      <c r="AG46" s="26">
        <f t="shared" si="4"/>
        <v>515.75</v>
      </c>
      <c r="AH46" s="26">
        <f t="shared" si="5"/>
        <v>0</v>
      </c>
      <c r="AI46" s="26">
        <f t="shared" si="6"/>
        <v>18.5</v>
      </c>
      <c r="AJ46" s="15" t="s">
        <v>11</v>
      </c>
      <c r="AK46" s="15" t="s">
        <v>11</v>
      </c>
      <c r="AL46" s="15" t="s">
        <v>317</v>
      </c>
      <c r="AM46" s="19">
        <v>44040</v>
      </c>
    </row>
    <row r="47" spans="1:39" x14ac:dyDescent="0.2">
      <c r="A47" s="15" t="str">
        <f t="shared" si="0"/>
        <v>812391143509</v>
      </c>
      <c r="B47" s="14">
        <v>812391</v>
      </c>
      <c r="C47" s="14" t="s">
        <v>114</v>
      </c>
      <c r="D47" s="14">
        <v>143509</v>
      </c>
      <c r="E47" s="18" t="s">
        <v>37</v>
      </c>
      <c r="F47" s="26">
        <v>21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6">
        <f t="shared" si="4"/>
        <v>21</v>
      </c>
      <c r="AH47" s="26">
        <f t="shared" si="5"/>
        <v>0</v>
      </c>
      <c r="AI47" s="26">
        <f t="shared" si="6"/>
        <v>0</v>
      </c>
      <c r="AJ47" s="15" t="s">
        <v>11</v>
      </c>
      <c r="AK47" s="15" t="s">
        <v>11</v>
      </c>
      <c r="AL47" s="15" t="s">
        <v>317</v>
      </c>
      <c r="AM47" s="19">
        <v>44041</v>
      </c>
    </row>
    <row r="48" spans="1:39" x14ac:dyDescent="0.2">
      <c r="A48" s="15" t="str">
        <f t="shared" si="0"/>
        <v>812391149765</v>
      </c>
      <c r="B48" s="32">
        <v>812391</v>
      </c>
      <c r="C48" s="32" t="s">
        <v>114</v>
      </c>
      <c r="D48" s="17">
        <v>149765</v>
      </c>
      <c r="E48" s="15" t="s">
        <v>112</v>
      </c>
      <c r="F48" s="26">
        <v>20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7">
        <v>0</v>
      </c>
      <c r="P48" s="27">
        <v>0</v>
      </c>
      <c r="Q48" s="27">
        <v>0</v>
      </c>
      <c r="R48" s="27">
        <v>0</v>
      </c>
      <c r="S48" s="27">
        <v>0</v>
      </c>
      <c r="T48" s="27">
        <v>0</v>
      </c>
      <c r="U48" s="27">
        <v>2</v>
      </c>
      <c r="V48" s="27">
        <v>0</v>
      </c>
      <c r="W48" s="27">
        <v>0</v>
      </c>
      <c r="X48" s="27">
        <v>0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6">
        <f t="shared" si="4"/>
        <v>22</v>
      </c>
      <c r="AH48" s="26">
        <f t="shared" si="5"/>
        <v>0</v>
      </c>
      <c r="AI48" s="26">
        <f t="shared" si="6"/>
        <v>0</v>
      </c>
      <c r="AJ48" s="15" t="s">
        <v>11</v>
      </c>
      <c r="AK48" s="15" t="s">
        <v>11</v>
      </c>
      <c r="AL48" s="15" t="s">
        <v>317</v>
      </c>
      <c r="AM48" s="19">
        <v>44041</v>
      </c>
    </row>
    <row r="49" spans="1:39" x14ac:dyDescent="0.2">
      <c r="A49" s="15" t="str">
        <f t="shared" si="0"/>
        <v>812461179893</v>
      </c>
      <c r="B49" s="32">
        <v>812461</v>
      </c>
      <c r="C49" s="32" t="s">
        <v>304</v>
      </c>
      <c r="D49" s="17">
        <v>179893</v>
      </c>
      <c r="E49" s="15" t="s">
        <v>155</v>
      </c>
      <c r="F49" s="26">
        <v>0</v>
      </c>
      <c r="G49" s="26">
        <v>0</v>
      </c>
      <c r="H49" s="26">
        <v>0</v>
      </c>
      <c r="I49" s="26">
        <v>15</v>
      </c>
      <c r="J49" s="26">
        <v>0</v>
      </c>
      <c r="K49" s="26">
        <v>0</v>
      </c>
      <c r="L49" s="26">
        <v>20</v>
      </c>
      <c r="M49" s="26">
        <v>0</v>
      </c>
      <c r="N49" s="26">
        <v>0</v>
      </c>
      <c r="O49" s="27">
        <v>5</v>
      </c>
      <c r="P49" s="27">
        <v>0</v>
      </c>
      <c r="Q49" s="27">
        <v>0</v>
      </c>
      <c r="R49" s="27">
        <v>16</v>
      </c>
      <c r="S49" s="27">
        <v>0</v>
      </c>
      <c r="T49" s="27">
        <v>15</v>
      </c>
      <c r="U49" s="27">
        <v>12.5</v>
      </c>
      <c r="V49" s="27">
        <v>0</v>
      </c>
      <c r="W49" s="27">
        <v>12.5</v>
      </c>
      <c r="X49" s="27">
        <v>0</v>
      </c>
      <c r="Y49" s="27">
        <v>0</v>
      </c>
      <c r="Z49" s="27">
        <v>0</v>
      </c>
      <c r="AA49" s="27">
        <v>9.5</v>
      </c>
      <c r="AB49" s="27">
        <v>0</v>
      </c>
      <c r="AC49" s="27">
        <v>0</v>
      </c>
      <c r="AD49" s="27">
        <v>11.5</v>
      </c>
      <c r="AE49" s="27">
        <v>0</v>
      </c>
      <c r="AF49" s="27">
        <v>0</v>
      </c>
      <c r="AG49" s="26">
        <f t="shared" si="4"/>
        <v>89.5</v>
      </c>
      <c r="AH49" s="26">
        <f t="shared" si="5"/>
        <v>0</v>
      </c>
      <c r="AI49" s="26">
        <f t="shared" si="6"/>
        <v>27.5</v>
      </c>
      <c r="AJ49" s="15" t="s">
        <v>11</v>
      </c>
      <c r="AK49" s="15" t="s">
        <v>11</v>
      </c>
      <c r="AL49" s="15" t="s">
        <v>317</v>
      </c>
      <c r="AM49" s="19">
        <v>44050</v>
      </c>
    </row>
    <row r="50" spans="1:39" x14ac:dyDescent="0.2">
      <c r="A50" s="15" t="str">
        <f t="shared" si="0"/>
        <v>812469201065</v>
      </c>
      <c r="B50" s="32">
        <v>812469</v>
      </c>
      <c r="C50" s="32" t="s">
        <v>104</v>
      </c>
      <c r="D50" s="17">
        <v>201065</v>
      </c>
      <c r="E50" s="15" t="s">
        <v>102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7">
        <v>0</v>
      </c>
      <c r="P50" s="27">
        <v>0</v>
      </c>
      <c r="Q50" s="27">
        <v>0</v>
      </c>
      <c r="R50" s="27">
        <v>0</v>
      </c>
      <c r="S50" s="27">
        <v>0</v>
      </c>
      <c r="T50" s="27">
        <v>0</v>
      </c>
      <c r="U50" s="27">
        <v>0</v>
      </c>
      <c r="V50" s="27">
        <v>0</v>
      </c>
      <c r="W50" s="27">
        <v>0</v>
      </c>
      <c r="X50" s="27">
        <v>0</v>
      </c>
      <c r="Y50" s="27">
        <v>0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6">
        <f t="shared" si="4"/>
        <v>0</v>
      </c>
      <c r="AH50" s="26">
        <f t="shared" si="5"/>
        <v>0</v>
      </c>
      <c r="AI50" s="26">
        <f t="shared" si="6"/>
        <v>0</v>
      </c>
      <c r="AJ50" s="15" t="s">
        <v>11</v>
      </c>
      <c r="AK50" s="15" t="s">
        <v>11</v>
      </c>
      <c r="AL50" s="15" t="s">
        <v>317</v>
      </c>
      <c r="AM50" s="19">
        <v>44051</v>
      </c>
    </row>
    <row r="51" spans="1:39" x14ac:dyDescent="0.2">
      <c r="A51" s="15" t="str">
        <f t="shared" si="0"/>
        <v>812969140481</v>
      </c>
      <c r="B51" s="32">
        <v>812969</v>
      </c>
      <c r="C51" s="32" t="s">
        <v>64</v>
      </c>
      <c r="D51" s="17">
        <v>140481</v>
      </c>
      <c r="E51" s="15" t="s">
        <v>35</v>
      </c>
      <c r="F51" s="26">
        <v>169.5</v>
      </c>
      <c r="G51" s="26">
        <v>0</v>
      </c>
      <c r="H51" s="26">
        <v>0</v>
      </c>
      <c r="I51" s="26">
        <v>99.25</v>
      </c>
      <c r="J51" s="26">
        <v>0</v>
      </c>
      <c r="K51" s="26">
        <v>0</v>
      </c>
      <c r="L51" s="26">
        <v>137</v>
      </c>
      <c r="M51" s="26">
        <v>0</v>
      </c>
      <c r="N51" s="26">
        <v>10</v>
      </c>
      <c r="O51" s="27">
        <v>40</v>
      </c>
      <c r="P51" s="27">
        <v>0</v>
      </c>
      <c r="Q51" s="27">
        <v>0</v>
      </c>
      <c r="R51" s="27">
        <v>125</v>
      </c>
      <c r="S51" s="27">
        <v>0</v>
      </c>
      <c r="T51" s="27">
        <v>0</v>
      </c>
      <c r="U51" s="27">
        <v>177</v>
      </c>
      <c r="V51" s="27">
        <v>0</v>
      </c>
      <c r="W51" s="27">
        <v>10</v>
      </c>
      <c r="X51" s="27">
        <v>159</v>
      </c>
      <c r="Y51" s="27">
        <v>0</v>
      </c>
      <c r="Z51" s="27">
        <v>0</v>
      </c>
      <c r="AA51" s="27">
        <v>128</v>
      </c>
      <c r="AB51" s="27">
        <v>0</v>
      </c>
      <c r="AC51" s="27">
        <v>10</v>
      </c>
      <c r="AD51" s="27">
        <v>203</v>
      </c>
      <c r="AE51" s="27">
        <v>0</v>
      </c>
      <c r="AF51" s="27">
        <v>23</v>
      </c>
      <c r="AG51" s="26">
        <f t="shared" si="4"/>
        <v>1237.75</v>
      </c>
      <c r="AH51" s="26">
        <f t="shared" si="5"/>
        <v>0</v>
      </c>
      <c r="AI51" s="26">
        <f t="shared" si="6"/>
        <v>53</v>
      </c>
      <c r="AJ51" s="15" t="s">
        <v>11</v>
      </c>
      <c r="AK51" s="15" t="s">
        <v>11</v>
      </c>
      <c r="AL51" s="15" t="s">
        <v>317</v>
      </c>
      <c r="AM51" s="19">
        <v>44092</v>
      </c>
    </row>
    <row r="52" spans="1:39" x14ac:dyDescent="0.2">
      <c r="A52" s="15" t="str">
        <f t="shared" si="0"/>
        <v>813172178661</v>
      </c>
      <c r="B52" s="32">
        <v>813172</v>
      </c>
      <c r="C52" s="32" t="s">
        <v>118</v>
      </c>
      <c r="D52" s="17">
        <v>178661</v>
      </c>
      <c r="E52" s="15" t="s">
        <v>28</v>
      </c>
      <c r="F52" s="26">
        <v>55</v>
      </c>
      <c r="G52" s="26">
        <v>0</v>
      </c>
      <c r="H52" s="26">
        <v>0</v>
      </c>
      <c r="I52" s="26">
        <v>51.5</v>
      </c>
      <c r="J52" s="26">
        <v>0</v>
      </c>
      <c r="K52" s="26">
        <v>0</v>
      </c>
      <c r="L52" s="26">
        <v>54</v>
      </c>
      <c r="M52" s="26">
        <v>0</v>
      </c>
      <c r="N52" s="26">
        <v>0</v>
      </c>
      <c r="O52" s="27">
        <v>55</v>
      </c>
      <c r="P52" s="27">
        <v>0</v>
      </c>
      <c r="Q52" s="27">
        <v>0</v>
      </c>
      <c r="R52" s="27">
        <v>101.5</v>
      </c>
      <c r="S52" s="27">
        <v>0</v>
      </c>
      <c r="T52" s="27">
        <v>21.5</v>
      </c>
      <c r="U52" s="27">
        <v>127.5</v>
      </c>
      <c r="V52" s="27">
        <v>0</v>
      </c>
      <c r="W52" s="27">
        <v>55</v>
      </c>
      <c r="X52" s="27">
        <v>109.5</v>
      </c>
      <c r="Y52" s="27">
        <v>0</v>
      </c>
      <c r="Z52" s="27">
        <v>31.5</v>
      </c>
      <c r="AA52" s="27">
        <v>117.5</v>
      </c>
      <c r="AB52" s="27">
        <v>0</v>
      </c>
      <c r="AC52" s="27">
        <v>17.5</v>
      </c>
      <c r="AD52" s="27">
        <v>144.44999999999999</v>
      </c>
      <c r="AE52" s="27">
        <v>0</v>
      </c>
      <c r="AF52" s="27">
        <v>20</v>
      </c>
      <c r="AG52" s="26">
        <f t="shared" si="4"/>
        <v>815.95</v>
      </c>
      <c r="AH52" s="26">
        <f t="shared" si="5"/>
        <v>0</v>
      </c>
      <c r="AI52" s="26">
        <f t="shared" si="6"/>
        <v>145.5</v>
      </c>
      <c r="AJ52" s="15" t="s">
        <v>11</v>
      </c>
      <c r="AK52" s="15" t="s">
        <v>11</v>
      </c>
      <c r="AL52" s="15" t="s">
        <v>317</v>
      </c>
      <c r="AM52" s="19">
        <v>44109</v>
      </c>
    </row>
    <row r="53" spans="1:39" x14ac:dyDescent="0.2">
      <c r="A53" s="15" t="str">
        <f t="shared" si="0"/>
        <v>813521140927</v>
      </c>
      <c r="B53" s="32">
        <v>813521</v>
      </c>
      <c r="C53" s="32" t="s">
        <v>63</v>
      </c>
      <c r="D53" s="17">
        <v>140927</v>
      </c>
      <c r="E53" s="15" t="s">
        <v>34</v>
      </c>
      <c r="F53" s="26">
        <v>93.5</v>
      </c>
      <c r="G53" s="26">
        <v>25.75</v>
      </c>
      <c r="H53" s="26">
        <v>0</v>
      </c>
      <c r="I53" s="26">
        <v>72</v>
      </c>
      <c r="J53" s="26">
        <v>25.75</v>
      </c>
      <c r="K53" s="26">
        <v>0</v>
      </c>
      <c r="L53" s="26">
        <v>55</v>
      </c>
      <c r="M53" s="26">
        <v>0</v>
      </c>
      <c r="N53" s="26">
        <v>0</v>
      </c>
      <c r="O53" s="27">
        <v>77.5</v>
      </c>
      <c r="P53" s="27">
        <v>0</v>
      </c>
      <c r="Q53" s="27">
        <v>0</v>
      </c>
      <c r="R53" s="27">
        <v>85</v>
      </c>
      <c r="S53" s="27">
        <v>0</v>
      </c>
      <c r="T53" s="27">
        <v>0</v>
      </c>
      <c r="U53" s="27">
        <v>102</v>
      </c>
      <c r="V53" s="27">
        <v>0</v>
      </c>
      <c r="W53" s="27">
        <v>8.5</v>
      </c>
      <c r="X53" s="27">
        <v>124</v>
      </c>
      <c r="Y53" s="27">
        <v>0</v>
      </c>
      <c r="Z53" s="27">
        <v>10</v>
      </c>
      <c r="AA53" s="27">
        <v>101</v>
      </c>
      <c r="AB53" s="27">
        <v>0</v>
      </c>
      <c r="AC53" s="27">
        <v>0</v>
      </c>
      <c r="AD53" s="27">
        <v>207.75</v>
      </c>
      <c r="AE53" s="27">
        <v>4.75</v>
      </c>
      <c r="AF53" s="27">
        <v>0</v>
      </c>
      <c r="AG53" s="26">
        <f t="shared" si="4"/>
        <v>917.75</v>
      </c>
      <c r="AH53" s="26">
        <f t="shared" si="5"/>
        <v>56.25</v>
      </c>
      <c r="AI53" s="26">
        <f t="shared" si="6"/>
        <v>18.5</v>
      </c>
      <c r="AJ53" s="15" t="s">
        <v>11</v>
      </c>
      <c r="AK53" s="15" t="s">
        <v>11</v>
      </c>
      <c r="AL53" s="15" t="s">
        <v>317</v>
      </c>
      <c r="AM53" s="19">
        <v>44142</v>
      </c>
    </row>
    <row r="54" spans="1:39" x14ac:dyDescent="0.2">
      <c r="A54" s="15" t="str">
        <f t="shared" si="0"/>
        <v>813636178661</v>
      </c>
      <c r="B54" s="32">
        <v>813636</v>
      </c>
      <c r="C54" s="32" t="s">
        <v>86</v>
      </c>
      <c r="D54" s="17">
        <v>178661</v>
      </c>
      <c r="E54" s="15" t="s">
        <v>28</v>
      </c>
      <c r="F54" s="26">
        <v>0</v>
      </c>
      <c r="G54" s="26">
        <v>0</v>
      </c>
      <c r="H54" s="26">
        <v>0</v>
      </c>
      <c r="I54" s="26">
        <v>20</v>
      </c>
      <c r="J54" s="26">
        <v>0</v>
      </c>
      <c r="K54" s="26">
        <v>0</v>
      </c>
      <c r="L54" s="26">
        <v>10</v>
      </c>
      <c r="M54" s="26">
        <v>0</v>
      </c>
      <c r="N54" s="26">
        <v>0</v>
      </c>
      <c r="O54" s="27">
        <v>10</v>
      </c>
      <c r="P54" s="27">
        <v>0</v>
      </c>
      <c r="Q54" s="27">
        <v>0</v>
      </c>
      <c r="R54" s="27">
        <v>17.5</v>
      </c>
      <c r="S54" s="27">
        <v>0</v>
      </c>
      <c r="T54" s="27">
        <v>17.5</v>
      </c>
      <c r="U54" s="27">
        <v>35</v>
      </c>
      <c r="V54" s="27">
        <v>0</v>
      </c>
      <c r="W54" s="27">
        <v>0</v>
      </c>
      <c r="X54" s="27">
        <v>17.5</v>
      </c>
      <c r="Y54" s="27">
        <v>0</v>
      </c>
      <c r="Z54" s="27">
        <v>0</v>
      </c>
      <c r="AA54" s="27">
        <v>7.5</v>
      </c>
      <c r="AB54" s="27">
        <v>0</v>
      </c>
      <c r="AC54" s="27">
        <v>0</v>
      </c>
      <c r="AD54" s="27">
        <v>50</v>
      </c>
      <c r="AE54" s="27">
        <v>0</v>
      </c>
      <c r="AF54" s="27">
        <v>10</v>
      </c>
      <c r="AG54" s="26">
        <f t="shared" si="4"/>
        <v>167.5</v>
      </c>
      <c r="AH54" s="26">
        <f t="shared" si="5"/>
        <v>0</v>
      </c>
      <c r="AI54" s="26">
        <f t="shared" si="6"/>
        <v>27.5</v>
      </c>
      <c r="AJ54" s="15" t="s">
        <v>11</v>
      </c>
      <c r="AK54" s="15" t="s">
        <v>11</v>
      </c>
      <c r="AL54" s="15" t="s">
        <v>317</v>
      </c>
      <c r="AM54" s="19">
        <v>44160</v>
      </c>
    </row>
    <row r="55" spans="1:39" x14ac:dyDescent="0.2">
      <c r="A55" s="15" t="str">
        <f t="shared" si="0"/>
        <v>813672176641</v>
      </c>
      <c r="B55" s="32">
        <v>813672</v>
      </c>
      <c r="C55" s="32" t="s">
        <v>253</v>
      </c>
      <c r="D55" s="17">
        <v>176641</v>
      </c>
      <c r="E55" s="15" t="s">
        <v>40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10</v>
      </c>
      <c r="M55" s="26">
        <v>0</v>
      </c>
      <c r="N55" s="26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6">
        <f t="shared" si="4"/>
        <v>10</v>
      </c>
      <c r="AH55" s="26">
        <f t="shared" si="5"/>
        <v>0</v>
      </c>
      <c r="AI55" s="26">
        <f t="shared" si="6"/>
        <v>0</v>
      </c>
      <c r="AJ55" s="15" t="s">
        <v>11</v>
      </c>
      <c r="AK55" s="15" t="s">
        <v>11</v>
      </c>
      <c r="AL55" s="15" t="s">
        <v>317</v>
      </c>
      <c r="AM55" s="19">
        <v>44162</v>
      </c>
    </row>
    <row r="56" spans="1:39" x14ac:dyDescent="0.2">
      <c r="A56" s="15" t="str">
        <f t="shared" si="0"/>
        <v>813692142984</v>
      </c>
      <c r="B56" s="32">
        <v>813692</v>
      </c>
      <c r="C56" s="32" t="s">
        <v>240</v>
      </c>
      <c r="D56" s="17">
        <v>142984</v>
      </c>
      <c r="E56" s="15" t="s">
        <v>88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25</v>
      </c>
      <c r="M56" s="26">
        <v>0</v>
      </c>
      <c r="N56" s="26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5</v>
      </c>
      <c r="V56" s="27">
        <v>0</v>
      </c>
      <c r="W56" s="27">
        <v>0</v>
      </c>
      <c r="X56" s="27">
        <v>8.5</v>
      </c>
      <c r="Y56" s="27">
        <v>0</v>
      </c>
      <c r="Z56" s="27">
        <v>0</v>
      </c>
      <c r="AA56" s="27">
        <v>10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6">
        <f t="shared" si="4"/>
        <v>48.5</v>
      </c>
      <c r="AH56" s="26">
        <f t="shared" si="5"/>
        <v>0</v>
      </c>
      <c r="AI56" s="26">
        <f t="shared" si="6"/>
        <v>0</v>
      </c>
      <c r="AJ56" s="15" t="s">
        <v>11</v>
      </c>
      <c r="AK56" s="15" t="s">
        <v>11</v>
      </c>
      <c r="AL56" s="15" t="s">
        <v>317</v>
      </c>
      <c r="AM56" s="19">
        <v>44163</v>
      </c>
    </row>
    <row r="57" spans="1:39" x14ac:dyDescent="0.2">
      <c r="A57" s="15" t="str">
        <f t="shared" si="0"/>
        <v>813728201065</v>
      </c>
      <c r="B57" s="32">
        <v>813728</v>
      </c>
      <c r="C57" s="32" t="s">
        <v>306</v>
      </c>
      <c r="D57" s="17">
        <v>201065</v>
      </c>
      <c r="E57" s="15" t="s">
        <v>102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0</v>
      </c>
      <c r="U57" s="27">
        <v>0</v>
      </c>
      <c r="V57" s="27">
        <v>0</v>
      </c>
      <c r="W57" s="27">
        <v>0</v>
      </c>
      <c r="X57" s="27">
        <v>0</v>
      </c>
      <c r="Y57" s="27">
        <v>0</v>
      </c>
      <c r="Z57" s="27">
        <v>0</v>
      </c>
      <c r="AA57" s="27">
        <v>0</v>
      </c>
      <c r="AB57" s="27">
        <v>0</v>
      </c>
      <c r="AC57" s="27">
        <v>0</v>
      </c>
      <c r="AD57" s="27">
        <v>0</v>
      </c>
      <c r="AE57" s="27">
        <v>0</v>
      </c>
      <c r="AF57" s="27">
        <v>0</v>
      </c>
      <c r="AG57" s="26">
        <f t="shared" si="4"/>
        <v>0</v>
      </c>
      <c r="AH57" s="26">
        <f t="shared" si="5"/>
        <v>0</v>
      </c>
      <c r="AI57" s="26">
        <f t="shared" si="6"/>
        <v>0</v>
      </c>
      <c r="AJ57" s="15" t="s">
        <v>11</v>
      </c>
      <c r="AK57" s="15" t="s">
        <v>11</v>
      </c>
      <c r="AL57" s="15" t="s">
        <v>317</v>
      </c>
      <c r="AM57" s="19">
        <v>44165</v>
      </c>
    </row>
    <row r="58" spans="1:39" x14ac:dyDescent="0.2">
      <c r="A58" s="15" t="str">
        <f t="shared" si="0"/>
        <v>813729140481</v>
      </c>
      <c r="B58" s="32">
        <v>813729</v>
      </c>
      <c r="C58" s="32" t="s">
        <v>267</v>
      </c>
      <c r="D58" s="17">
        <v>140481</v>
      </c>
      <c r="E58" s="15" t="s">
        <v>35</v>
      </c>
      <c r="F58" s="26">
        <v>109.5</v>
      </c>
      <c r="G58" s="26">
        <v>0</v>
      </c>
      <c r="H58" s="26">
        <v>0</v>
      </c>
      <c r="I58" s="26">
        <v>60</v>
      </c>
      <c r="J58" s="26">
        <v>0</v>
      </c>
      <c r="K58" s="26">
        <v>0</v>
      </c>
      <c r="L58" s="26">
        <v>119</v>
      </c>
      <c r="M58" s="26">
        <v>0</v>
      </c>
      <c r="N58" s="26">
        <v>0</v>
      </c>
      <c r="O58" s="27">
        <v>50</v>
      </c>
      <c r="P58" s="27">
        <v>0</v>
      </c>
      <c r="Q58" s="27">
        <v>0</v>
      </c>
      <c r="R58" s="27">
        <v>100.5</v>
      </c>
      <c r="S58" s="27">
        <v>10</v>
      </c>
      <c r="T58" s="27">
        <v>0</v>
      </c>
      <c r="U58" s="27">
        <v>113</v>
      </c>
      <c r="V58" s="27">
        <v>0</v>
      </c>
      <c r="W58" s="27">
        <v>0</v>
      </c>
      <c r="X58" s="27">
        <v>94.5</v>
      </c>
      <c r="Y58" s="27">
        <v>0</v>
      </c>
      <c r="Z58" s="27">
        <v>0</v>
      </c>
      <c r="AA58" s="27">
        <v>137.94999999999999</v>
      </c>
      <c r="AB58" s="27">
        <v>7.95</v>
      </c>
      <c r="AC58" s="27">
        <v>10</v>
      </c>
      <c r="AD58" s="27">
        <v>167</v>
      </c>
      <c r="AE58" s="27">
        <v>0</v>
      </c>
      <c r="AF58" s="27">
        <v>0</v>
      </c>
      <c r="AG58" s="26">
        <f t="shared" si="4"/>
        <v>951.45</v>
      </c>
      <c r="AH58" s="26">
        <f t="shared" si="5"/>
        <v>17.95</v>
      </c>
      <c r="AI58" s="26">
        <f t="shared" si="6"/>
        <v>10</v>
      </c>
      <c r="AJ58" s="15" t="s">
        <v>11</v>
      </c>
      <c r="AK58" s="15" t="s">
        <v>11</v>
      </c>
      <c r="AL58" s="15" t="s">
        <v>317</v>
      </c>
      <c r="AM58" s="19">
        <v>44165</v>
      </c>
    </row>
    <row r="59" spans="1:39" x14ac:dyDescent="0.2">
      <c r="A59" s="15" t="str">
        <f t="shared" si="0"/>
        <v>813896149765</v>
      </c>
      <c r="B59" s="32">
        <v>813896</v>
      </c>
      <c r="C59" s="32" t="s">
        <v>266</v>
      </c>
      <c r="D59" s="17">
        <v>149765</v>
      </c>
      <c r="E59" s="15" t="s">
        <v>112</v>
      </c>
      <c r="F59" s="26">
        <v>10</v>
      </c>
      <c r="G59" s="26">
        <v>0</v>
      </c>
      <c r="H59" s="26">
        <v>0</v>
      </c>
      <c r="I59" s="26">
        <v>10</v>
      </c>
      <c r="J59" s="26">
        <v>0</v>
      </c>
      <c r="K59" s="26">
        <v>0</v>
      </c>
      <c r="L59" s="26">
        <v>10</v>
      </c>
      <c r="M59" s="26">
        <v>0</v>
      </c>
      <c r="N59" s="26">
        <v>0</v>
      </c>
      <c r="O59" s="27">
        <v>10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10</v>
      </c>
      <c r="V59" s="27">
        <v>0</v>
      </c>
      <c r="W59" s="27">
        <v>0</v>
      </c>
      <c r="X59" s="27">
        <v>10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7">
        <v>10</v>
      </c>
      <c r="AE59" s="27">
        <v>0</v>
      </c>
      <c r="AF59" s="27">
        <v>0</v>
      </c>
      <c r="AG59" s="26">
        <f t="shared" si="4"/>
        <v>70</v>
      </c>
      <c r="AH59" s="26">
        <f t="shared" si="5"/>
        <v>0</v>
      </c>
      <c r="AI59" s="26">
        <f t="shared" si="6"/>
        <v>0</v>
      </c>
      <c r="AJ59" s="15" t="s">
        <v>11</v>
      </c>
      <c r="AK59" s="15" t="s">
        <v>11</v>
      </c>
      <c r="AL59" s="15" t="s">
        <v>317</v>
      </c>
      <c r="AM59" s="19">
        <v>44184</v>
      </c>
    </row>
    <row r="60" spans="1:39" x14ac:dyDescent="0.2">
      <c r="A60" s="15" t="str">
        <f t="shared" si="0"/>
        <v>813909148557</v>
      </c>
      <c r="B60" s="32">
        <v>813909</v>
      </c>
      <c r="C60" s="32" t="s">
        <v>254</v>
      </c>
      <c r="D60" s="17">
        <v>148557</v>
      </c>
      <c r="E60" s="15" t="s">
        <v>10</v>
      </c>
      <c r="F60" s="26">
        <v>40</v>
      </c>
      <c r="G60" s="26">
        <v>0</v>
      </c>
      <c r="H60" s="26">
        <v>0</v>
      </c>
      <c r="I60" s="26">
        <v>47</v>
      </c>
      <c r="J60" s="26">
        <v>0</v>
      </c>
      <c r="K60" s="26">
        <v>0</v>
      </c>
      <c r="L60" s="26">
        <v>40</v>
      </c>
      <c r="M60" s="26">
        <v>0</v>
      </c>
      <c r="N60" s="26">
        <v>0</v>
      </c>
      <c r="O60" s="27">
        <v>30</v>
      </c>
      <c r="P60" s="27">
        <v>0</v>
      </c>
      <c r="Q60" s="27">
        <v>0</v>
      </c>
      <c r="R60" s="27">
        <v>37</v>
      </c>
      <c r="S60" s="27">
        <v>10</v>
      </c>
      <c r="T60" s="27">
        <v>0</v>
      </c>
      <c r="U60" s="27">
        <v>20</v>
      </c>
      <c r="V60" s="27">
        <v>0</v>
      </c>
      <c r="W60" s="27">
        <v>0</v>
      </c>
      <c r="X60" s="27">
        <v>19.5</v>
      </c>
      <c r="Y60" s="27">
        <v>0</v>
      </c>
      <c r="Z60" s="27">
        <v>0</v>
      </c>
      <c r="AA60" s="27">
        <v>18.75</v>
      </c>
      <c r="AB60" s="27">
        <v>0</v>
      </c>
      <c r="AC60" s="27">
        <v>4</v>
      </c>
      <c r="AD60" s="27">
        <v>76</v>
      </c>
      <c r="AE60" s="27">
        <v>0</v>
      </c>
      <c r="AF60" s="27">
        <v>0</v>
      </c>
      <c r="AG60" s="26">
        <f t="shared" si="4"/>
        <v>328.25</v>
      </c>
      <c r="AH60" s="26">
        <f t="shared" si="5"/>
        <v>10</v>
      </c>
      <c r="AI60" s="26">
        <f t="shared" si="6"/>
        <v>4</v>
      </c>
      <c r="AJ60" s="15" t="s">
        <v>11</v>
      </c>
      <c r="AK60" s="15" t="s">
        <v>11</v>
      </c>
      <c r="AL60" s="15" t="s">
        <v>317</v>
      </c>
      <c r="AM60" s="19">
        <v>44187</v>
      </c>
    </row>
    <row r="61" spans="1:39" x14ac:dyDescent="0.2">
      <c r="A61" s="15" t="str">
        <f t="shared" si="0"/>
        <v>814183147891</v>
      </c>
      <c r="B61" s="32">
        <v>814183</v>
      </c>
      <c r="C61" s="32" t="s">
        <v>135</v>
      </c>
      <c r="D61" s="17">
        <v>147891</v>
      </c>
      <c r="E61" s="15" t="s">
        <v>134</v>
      </c>
      <c r="F61" s="26">
        <v>47</v>
      </c>
      <c r="G61" s="26">
        <v>0</v>
      </c>
      <c r="H61" s="26">
        <v>0</v>
      </c>
      <c r="I61" s="26">
        <v>110.5</v>
      </c>
      <c r="J61" s="26">
        <v>0</v>
      </c>
      <c r="K61" s="26">
        <v>0</v>
      </c>
      <c r="L61" s="26">
        <v>92.5</v>
      </c>
      <c r="M61" s="26">
        <v>0</v>
      </c>
      <c r="N61" s="26">
        <v>0</v>
      </c>
      <c r="O61" s="27">
        <v>73</v>
      </c>
      <c r="P61" s="27">
        <v>0</v>
      </c>
      <c r="Q61" s="27">
        <v>9.5</v>
      </c>
      <c r="R61" s="27">
        <v>88.6</v>
      </c>
      <c r="S61" s="27">
        <v>0</v>
      </c>
      <c r="T61" s="27">
        <v>6.5</v>
      </c>
      <c r="U61" s="27">
        <v>71</v>
      </c>
      <c r="V61" s="27">
        <v>0</v>
      </c>
      <c r="W61" s="27">
        <v>22.75</v>
      </c>
      <c r="X61" s="27">
        <v>34.700000000000003</v>
      </c>
      <c r="Y61" s="27">
        <v>0</v>
      </c>
      <c r="Z61" s="27">
        <v>5</v>
      </c>
      <c r="AA61" s="27">
        <v>65</v>
      </c>
      <c r="AB61" s="27">
        <v>0</v>
      </c>
      <c r="AC61" s="27">
        <v>15</v>
      </c>
      <c r="AD61" s="27">
        <v>70.5</v>
      </c>
      <c r="AE61" s="27">
        <v>0</v>
      </c>
      <c r="AF61" s="27">
        <v>19.5</v>
      </c>
      <c r="AG61" s="26">
        <f t="shared" si="4"/>
        <v>652.80000000000007</v>
      </c>
      <c r="AH61" s="26">
        <f t="shared" si="5"/>
        <v>0</v>
      </c>
      <c r="AI61" s="26">
        <f t="shared" si="6"/>
        <v>78.25</v>
      </c>
      <c r="AJ61" s="15" t="s">
        <v>11</v>
      </c>
      <c r="AK61" s="15" t="s">
        <v>11</v>
      </c>
      <c r="AL61" s="15" t="s">
        <v>317</v>
      </c>
      <c r="AM61" s="19">
        <v>44215</v>
      </c>
    </row>
    <row r="62" spans="1:39" x14ac:dyDescent="0.2">
      <c r="A62" s="15" t="str">
        <f t="shared" si="0"/>
        <v>814184201065</v>
      </c>
      <c r="B62" s="32">
        <v>814184</v>
      </c>
      <c r="C62" s="32" t="s">
        <v>103</v>
      </c>
      <c r="D62" s="17">
        <v>201065</v>
      </c>
      <c r="E62" s="15" t="s">
        <v>102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6">
        <f t="shared" si="4"/>
        <v>0</v>
      </c>
      <c r="AH62" s="26">
        <f t="shared" si="5"/>
        <v>0</v>
      </c>
      <c r="AI62" s="26">
        <f t="shared" si="6"/>
        <v>0</v>
      </c>
      <c r="AJ62" s="15" t="s">
        <v>11</v>
      </c>
      <c r="AK62" s="15" t="s">
        <v>11</v>
      </c>
      <c r="AL62" s="15" t="s">
        <v>317</v>
      </c>
      <c r="AM62" s="19">
        <v>44215</v>
      </c>
    </row>
    <row r="63" spans="1:39" x14ac:dyDescent="0.2">
      <c r="A63" s="15" t="str">
        <f t="shared" si="0"/>
        <v>814227178661</v>
      </c>
      <c r="B63" s="32">
        <v>814227</v>
      </c>
      <c r="C63" s="32" t="s">
        <v>87</v>
      </c>
      <c r="D63" s="17">
        <v>178661</v>
      </c>
      <c r="E63" s="15" t="s">
        <v>28</v>
      </c>
      <c r="F63" s="26">
        <v>10</v>
      </c>
      <c r="G63" s="26">
        <v>10</v>
      </c>
      <c r="H63" s="26">
        <v>0</v>
      </c>
      <c r="I63" s="26">
        <v>24</v>
      </c>
      <c r="J63" s="26">
        <v>10</v>
      </c>
      <c r="K63" s="26">
        <v>0</v>
      </c>
      <c r="L63" s="26">
        <v>0</v>
      </c>
      <c r="M63" s="26">
        <v>0</v>
      </c>
      <c r="N63" s="26">
        <v>0</v>
      </c>
      <c r="O63" s="27">
        <v>57</v>
      </c>
      <c r="P63" s="27">
        <v>0</v>
      </c>
      <c r="Q63" s="27">
        <v>0</v>
      </c>
      <c r="R63" s="27">
        <v>55</v>
      </c>
      <c r="S63" s="27">
        <v>0</v>
      </c>
      <c r="T63" s="27">
        <v>5</v>
      </c>
      <c r="U63" s="27">
        <v>37.5</v>
      </c>
      <c r="V63" s="27">
        <v>0</v>
      </c>
      <c r="W63" s="27">
        <v>10</v>
      </c>
      <c r="X63" s="27">
        <v>45</v>
      </c>
      <c r="Y63" s="27">
        <v>0</v>
      </c>
      <c r="Z63" s="27">
        <v>0</v>
      </c>
      <c r="AA63" s="27">
        <v>35</v>
      </c>
      <c r="AB63" s="27">
        <v>0</v>
      </c>
      <c r="AC63" s="27">
        <v>0</v>
      </c>
      <c r="AD63" s="27">
        <v>30</v>
      </c>
      <c r="AE63" s="27">
        <v>0</v>
      </c>
      <c r="AF63" s="27">
        <v>0</v>
      </c>
      <c r="AG63" s="26">
        <f t="shared" si="4"/>
        <v>293.5</v>
      </c>
      <c r="AH63" s="26">
        <f t="shared" si="5"/>
        <v>20</v>
      </c>
      <c r="AI63" s="26">
        <f t="shared" si="6"/>
        <v>15</v>
      </c>
      <c r="AJ63" s="15" t="s">
        <v>11</v>
      </c>
      <c r="AK63" s="15" t="s">
        <v>11</v>
      </c>
      <c r="AL63" s="15" t="s">
        <v>317</v>
      </c>
      <c r="AM63" s="19">
        <v>44218</v>
      </c>
    </row>
    <row r="64" spans="1:39" x14ac:dyDescent="0.2">
      <c r="A64" s="15" t="str">
        <f t="shared" si="0"/>
        <v>814253175288</v>
      </c>
      <c r="B64" s="32">
        <v>814253</v>
      </c>
      <c r="C64" s="32" t="s">
        <v>188</v>
      </c>
      <c r="D64" s="15">
        <v>175288</v>
      </c>
      <c r="E64" s="15" t="s">
        <v>58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  <c r="V64" s="27">
        <v>0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6">
        <f t="shared" si="4"/>
        <v>0</v>
      </c>
      <c r="AH64" s="26">
        <f t="shared" si="5"/>
        <v>0</v>
      </c>
      <c r="AI64" s="26">
        <f t="shared" si="6"/>
        <v>0</v>
      </c>
      <c r="AJ64" s="15" t="s">
        <v>11</v>
      </c>
      <c r="AK64" s="15" t="s">
        <v>11</v>
      </c>
      <c r="AL64" s="15" t="s">
        <v>317</v>
      </c>
      <c r="AM64" s="19">
        <v>44219</v>
      </c>
    </row>
    <row r="65" spans="1:39" x14ac:dyDescent="0.2">
      <c r="A65" s="15" t="str">
        <f t="shared" si="0"/>
        <v>814447140927</v>
      </c>
      <c r="B65" s="32">
        <v>814447</v>
      </c>
      <c r="C65" s="32" t="s">
        <v>47</v>
      </c>
      <c r="D65" s="17">
        <v>140927</v>
      </c>
      <c r="E65" s="15" t="s">
        <v>34</v>
      </c>
      <c r="F65" s="26">
        <v>10</v>
      </c>
      <c r="G65" s="26">
        <v>0</v>
      </c>
      <c r="H65" s="26">
        <v>0</v>
      </c>
      <c r="I65" s="26">
        <v>30</v>
      </c>
      <c r="J65" s="26">
        <v>0</v>
      </c>
      <c r="K65" s="26">
        <v>0</v>
      </c>
      <c r="L65" s="26">
        <v>30</v>
      </c>
      <c r="M65" s="26">
        <v>0</v>
      </c>
      <c r="N65" s="26">
        <v>0</v>
      </c>
      <c r="O65" s="27">
        <v>20</v>
      </c>
      <c r="P65" s="27">
        <v>0</v>
      </c>
      <c r="Q65" s="27">
        <v>0</v>
      </c>
      <c r="R65" s="27">
        <v>10</v>
      </c>
      <c r="S65" s="27">
        <v>0</v>
      </c>
      <c r="T65" s="27">
        <v>0</v>
      </c>
      <c r="U65" s="27">
        <v>0</v>
      </c>
      <c r="V65" s="27">
        <v>0</v>
      </c>
      <c r="W65" s="27">
        <v>0</v>
      </c>
      <c r="X65" s="27">
        <v>0</v>
      </c>
      <c r="Y65" s="27">
        <v>0</v>
      </c>
      <c r="Z65" s="27">
        <v>0</v>
      </c>
      <c r="AA65" s="27">
        <v>0</v>
      </c>
      <c r="AB65" s="27">
        <v>0</v>
      </c>
      <c r="AC65" s="27">
        <v>0</v>
      </c>
      <c r="AD65" s="27">
        <v>10</v>
      </c>
      <c r="AE65" s="27">
        <v>0</v>
      </c>
      <c r="AF65" s="27">
        <v>0</v>
      </c>
      <c r="AG65" s="26">
        <f t="shared" si="4"/>
        <v>110</v>
      </c>
      <c r="AH65" s="26">
        <f t="shared" si="5"/>
        <v>0</v>
      </c>
      <c r="AI65" s="26">
        <f t="shared" si="6"/>
        <v>0</v>
      </c>
      <c r="AJ65" s="15" t="s">
        <v>11</v>
      </c>
      <c r="AK65" s="15" t="s">
        <v>11</v>
      </c>
      <c r="AL65" s="15" t="s">
        <v>317</v>
      </c>
      <c r="AM65" s="19">
        <v>44238</v>
      </c>
    </row>
    <row r="66" spans="1:39" x14ac:dyDescent="0.2">
      <c r="A66" s="15" t="str">
        <f t="shared" si="0"/>
        <v>814540202479</v>
      </c>
      <c r="B66" s="32">
        <v>814540</v>
      </c>
      <c r="C66" s="32" t="s">
        <v>38</v>
      </c>
      <c r="D66" s="17">
        <v>202479</v>
      </c>
      <c r="E66" s="15" t="s">
        <v>33</v>
      </c>
      <c r="F66" s="26">
        <v>10</v>
      </c>
      <c r="G66" s="26">
        <v>0</v>
      </c>
      <c r="H66" s="26">
        <v>0</v>
      </c>
      <c r="I66" s="26">
        <v>54.25</v>
      </c>
      <c r="J66" s="26">
        <v>0</v>
      </c>
      <c r="K66" s="26">
        <v>0</v>
      </c>
      <c r="L66" s="26">
        <v>50</v>
      </c>
      <c r="M66" s="26">
        <v>0</v>
      </c>
      <c r="N66" s="26">
        <v>0</v>
      </c>
      <c r="O66" s="27">
        <v>64</v>
      </c>
      <c r="P66" s="27">
        <v>0</v>
      </c>
      <c r="Q66" s="27">
        <v>0</v>
      </c>
      <c r="R66" s="27">
        <v>110</v>
      </c>
      <c r="S66" s="27">
        <v>0</v>
      </c>
      <c r="T66" s="27">
        <v>0</v>
      </c>
      <c r="U66" s="27">
        <v>60</v>
      </c>
      <c r="V66" s="27">
        <v>0</v>
      </c>
      <c r="W66" s="27">
        <v>10</v>
      </c>
      <c r="X66" s="27">
        <v>35</v>
      </c>
      <c r="Y66" s="27">
        <v>0</v>
      </c>
      <c r="Z66" s="27">
        <v>10</v>
      </c>
      <c r="AA66" s="27">
        <v>25.25</v>
      </c>
      <c r="AB66" s="27">
        <v>0</v>
      </c>
      <c r="AC66" s="27">
        <v>6.25</v>
      </c>
      <c r="AD66" s="27">
        <v>35</v>
      </c>
      <c r="AE66" s="27">
        <v>0</v>
      </c>
      <c r="AF66" s="27">
        <v>20</v>
      </c>
      <c r="AG66" s="26">
        <f t="shared" si="4"/>
        <v>443.5</v>
      </c>
      <c r="AH66" s="26">
        <f t="shared" si="5"/>
        <v>0</v>
      </c>
      <c r="AI66" s="26">
        <f t="shared" si="6"/>
        <v>46.25</v>
      </c>
      <c r="AJ66" s="15" t="s">
        <v>11</v>
      </c>
      <c r="AK66" s="15" t="s">
        <v>11</v>
      </c>
      <c r="AL66" s="15" t="s">
        <v>317</v>
      </c>
      <c r="AM66" s="19">
        <v>44246</v>
      </c>
    </row>
    <row r="67" spans="1:39" x14ac:dyDescent="0.2">
      <c r="A67" s="15" t="str">
        <f t="shared" ref="A67:A130" si="7">B67&amp;D67</f>
        <v>814545149765</v>
      </c>
      <c r="B67" s="32">
        <v>814545</v>
      </c>
      <c r="C67" s="32" t="s">
        <v>265</v>
      </c>
      <c r="D67" s="17">
        <v>149765</v>
      </c>
      <c r="E67" s="15" t="s">
        <v>112</v>
      </c>
      <c r="F67" s="26">
        <v>0</v>
      </c>
      <c r="G67" s="26">
        <v>0</v>
      </c>
      <c r="H67" s="26">
        <v>0</v>
      </c>
      <c r="I67" s="26">
        <v>10</v>
      </c>
      <c r="J67" s="26">
        <v>0</v>
      </c>
      <c r="K67" s="26">
        <v>0</v>
      </c>
      <c r="L67" s="26">
        <v>20</v>
      </c>
      <c r="M67" s="26">
        <v>0</v>
      </c>
      <c r="N67" s="26">
        <v>0</v>
      </c>
      <c r="O67" s="27">
        <v>10</v>
      </c>
      <c r="P67" s="27">
        <v>0</v>
      </c>
      <c r="Q67" s="27">
        <v>0</v>
      </c>
      <c r="R67" s="27">
        <v>20</v>
      </c>
      <c r="S67" s="27">
        <v>0</v>
      </c>
      <c r="T67" s="27">
        <v>0</v>
      </c>
      <c r="U67" s="27">
        <v>20</v>
      </c>
      <c r="V67" s="27">
        <v>0</v>
      </c>
      <c r="W67" s="27">
        <v>0</v>
      </c>
      <c r="X67" s="27">
        <v>17.5</v>
      </c>
      <c r="Y67" s="27">
        <v>0</v>
      </c>
      <c r="Z67" s="27">
        <v>0</v>
      </c>
      <c r="AA67" s="27">
        <v>20</v>
      </c>
      <c r="AB67" s="27">
        <v>0</v>
      </c>
      <c r="AC67" s="27">
        <v>0</v>
      </c>
      <c r="AD67" s="27">
        <v>35</v>
      </c>
      <c r="AE67" s="27">
        <v>0</v>
      </c>
      <c r="AF67" s="27">
        <v>0</v>
      </c>
      <c r="AG67" s="26">
        <f t="shared" si="4"/>
        <v>152.5</v>
      </c>
      <c r="AH67" s="26">
        <f t="shared" si="5"/>
        <v>0</v>
      </c>
      <c r="AI67" s="26">
        <f t="shared" si="6"/>
        <v>0</v>
      </c>
      <c r="AJ67" s="15" t="s">
        <v>11</v>
      </c>
      <c r="AK67" s="15" t="s">
        <v>11</v>
      </c>
      <c r="AL67" s="15" t="s">
        <v>317</v>
      </c>
      <c r="AM67" s="19">
        <v>44246</v>
      </c>
    </row>
    <row r="68" spans="1:39" x14ac:dyDescent="0.2">
      <c r="A68" s="15" t="str">
        <f t="shared" si="7"/>
        <v>814777178661</v>
      </c>
      <c r="B68" s="32">
        <v>814777</v>
      </c>
      <c r="C68" s="32" t="s">
        <v>29</v>
      </c>
      <c r="D68" s="17">
        <v>178661</v>
      </c>
      <c r="E68" s="15" t="s">
        <v>28</v>
      </c>
      <c r="F68" s="26">
        <v>52</v>
      </c>
      <c r="G68" s="26">
        <v>0</v>
      </c>
      <c r="H68" s="26">
        <v>0</v>
      </c>
      <c r="I68" s="26">
        <v>20</v>
      </c>
      <c r="J68" s="26">
        <v>0</v>
      </c>
      <c r="K68" s="26">
        <v>0</v>
      </c>
      <c r="L68" s="26">
        <v>60</v>
      </c>
      <c r="M68" s="26">
        <v>0</v>
      </c>
      <c r="N68" s="26">
        <v>0</v>
      </c>
      <c r="O68" s="27">
        <v>32</v>
      </c>
      <c r="P68" s="27">
        <v>0</v>
      </c>
      <c r="Q68" s="27">
        <v>10</v>
      </c>
      <c r="R68" s="27">
        <v>27.5</v>
      </c>
      <c r="S68" s="27">
        <v>0</v>
      </c>
      <c r="T68" s="27">
        <v>7.5</v>
      </c>
      <c r="U68" s="27">
        <v>45</v>
      </c>
      <c r="V68" s="27">
        <v>0</v>
      </c>
      <c r="W68" s="27">
        <v>10</v>
      </c>
      <c r="X68" s="27">
        <v>20</v>
      </c>
      <c r="Y68" s="27">
        <v>0</v>
      </c>
      <c r="Z68" s="27">
        <v>0</v>
      </c>
      <c r="AA68" s="27">
        <v>25</v>
      </c>
      <c r="AB68" s="27">
        <v>0</v>
      </c>
      <c r="AC68" s="27">
        <v>7.5</v>
      </c>
      <c r="AD68" s="27">
        <v>30</v>
      </c>
      <c r="AE68" s="27">
        <v>0</v>
      </c>
      <c r="AF68" s="27">
        <v>10</v>
      </c>
      <c r="AG68" s="26">
        <f t="shared" si="4"/>
        <v>311.5</v>
      </c>
      <c r="AH68" s="26">
        <f t="shared" si="5"/>
        <v>0</v>
      </c>
      <c r="AI68" s="26">
        <f t="shared" si="6"/>
        <v>45</v>
      </c>
      <c r="AJ68" s="15" t="s">
        <v>11</v>
      </c>
      <c r="AK68" s="15" t="s">
        <v>11</v>
      </c>
      <c r="AL68" s="15" t="s">
        <v>317</v>
      </c>
      <c r="AM68" s="19">
        <v>44272</v>
      </c>
    </row>
    <row r="69" spans="1:39" x14ac:dyDescent="0.2">
      <c r="A69" s="15" t="str">
        <f t="shared" si="7"/>
        <v>814907179893</v>
      </c>
      <c r="B69" s="32">
        <v>814907</v>
      </c>
      <c r="C69" s="32" t="s">
        <v>185</v>
      </c>
      <c r="D69" s="17">
        <v>179893</v>
      </c>
      <c r="E69" s="15" t="s">
        <v>155</v>
      </c>
      <c r="F69" s="26">
        <v>19.5</v>
      </c>
      <c r="G69" s="26">
        <v>0</v>
      </c>
      <c r="H69" s="26">
        <v>0</v>
      </c>
      <c r="I69" s="26">
        <v>22</v>
      </c>
      <c r="J69" s="26">
        <v>0</v>
      </c>
      <c r="K69" s="26">
        <v>0</v>
      </c>
      <c r="L69" s="26">
        <v>18.5</v>
      </c>
      <c r="M69" s="26">
        <v>0</v>
      </c>
      <c r="N69" s="26">
        <v>0</v>
      </c>
      <c r="O69" s="27">
        <v>15</v>
      </c>
      <c r="P69" s="27">
        <v>0</v>
      </c>
      <c r="Q69" s="27">
        <v>2.5</v>
      </c>
      <c r="R69" s="27">
        <v>15</v>
      </c>
      <c r="S69" s="27">
        <v>0</v>
      </c>
      <c r="T69" s="27">
        <v>5</v>
      </c>
      <c r="U69" s="27">
        <v>0</v>
      </c>
      <c r="V69" s="27">
        <v>0</v>
      </c>
      <c r="W69" s="27">
        <v>0</v>
      </c>
      <c r="X69" s="27">
        <v>0</v>
      </c>
      <c r="Y69" s="27">
        <v>0</v>
      </c>
      <c r="Z69" s="27">
        <v>0</v>
      </c>
      <c r="AA69" s="27">
        <v>18</v>
      </c>
      <c r="AB69" s="27">
        <v>0</v>
      </c>
      <c r="AC69" s="27">
        <v>8</v>
      </c>
      <c r="AD69" s="27">
        <v>54</v>
      </c>
      <c r="AE69" s="27">
        <v>0</v>
      </c>
      <c r="AF69" s="27">
        <v>14</v>
      </c>
      <c r="AG69" s="26">
        <f t="shared" si="4"/>
        <v>162</v>
      </c>
      <c r="AH69" s="26">
        <f t="shared" si="5"/>
        <v>0</v>
      </c>
      <c r="AI69" s="26">
        <f t="shared" si="6"/>
        <v>29.5</v>
      </c>
      <c r="AJ69" s="15" t="s">
        <v>11</v>
      </c>
      <c r="AK69" s="15" t="s">
        <v>11</v>
      </c>
      <c r="AL69" s="15" t="s">
        <v>317</v>
      </c>
      <c r="AM69" s="19">
        <v>44292</v>
      </c>
    </row>
    <row r="70" spans="1:39" x14ac:dyDescent="0.2">
      <c r="A70" s="15" t="str">
        <f t="shared" si="7"/>
        <v>814907142984</v>
      </c>
      <c r="B70" s="14">
        <v>814907</v>
      </c>
      <c r="C70" s="14" t="s">
        <v>185</v>
      </c>
      <c r="D70" s="16">
        <v>142984</v>
      </c>
      <c r="E70" s="18" t="s">
        <v>88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7">
        <v>10</v>
      </c>
      <c r="P70" s="27">
        <v>0</v>
      </c>
      <c r="Q70" s="27">
        <v>7</v>
      </c>
      <c r="R70" s="27">
        <v>0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6">
        <f t="shared" si="4"/>
        <v>10</v>
      </c>
      <c r="AH70" s="26">
        <f t="shared" si="5"/>
        <v>0</v>
      </c>
      <c r="AI70" s="26">
        <f t="shared" si="6"/>
        <v>7</v>
      </c>
      <c r="AJ70" s="15" t="s">
        <v>11</v>
      </c>
      <c r="AK70" s="15" t="s">
        <v>11</v>
      </c>
      <c r="AL70" s="15" t="s">
        <v>317</v>
      </c>
      <c r="AM70" s="19">
        <v>44292</v>
      </c>
    </row>
    <row r="71" spans="1:39" x14ac:dyDescent="0.2">
      <c r="A71" s="15" t="str">
        <f t="shared" si="7"/>
        <v>814934202479</v>
      </c>
      <c r="B71" s="32">
        <v>814934</v>
      </c>
      <c r="C71" s="32" t="s">
        <v>128</v>
      </c>
      <c r="D71" s="17">
        <v>202479</v>
      </c>
      <c r="E71" s="15" t="s">
        <v>33</v>
      </c>
      <c r="F71" s="26">
        <v>20</v>
      </c>
      <c r="G71" s="26">
        <v>0</v>
      </c>
      <c r="H71" s="26">
        <v>0</v>
      </c>
      <c r="I71" s="26">
        <v>24</v>
      </c>
      <c r="J71" s="26">
        <v>0</v>
      </c>
      <c r="K71" s="26">
        <v>0</v>
      </c>
      <c r="L71" s="26">
        <v>40</v>
      </c>
      <c r="M71" s="26">
        <v>0</v>
      </c>
      <c r="N71" s="26">
        <v>0</v>
      </c>
      <c r="O71" s="27">
        <v>70</v>
      </c>
      <c r="P71" s="27">
        <v>0</v>
      </c>
      <c r="Q71" s="27">
        <v>0</v>
      </c>
      <c r="R71" s="27">
        <v>80</v>
      </c>
      <c r="S71" s="27">
        <v>0</v>
      </c>
      <c r="T71" s="27">
        <v>0</v>
      </c>
      <c r="U71" s="27">
        <v>40</v>
      </c>
      <c r="V71" s="27">
        <v>0</v>
      </c>
      <c r="W71" s="27">
        <v>0</v>
      </c>
      <c r="X71" s="27">
        <v>7.5</v>
      </c>
      <c r="Y71" s="27">
        <v>0</v>
      </c>
      <c r="Z71" s="27">
        <v>0</v>
      </c>
      <c r="AA71" s="27">
        <v>10</v>
      </c>
      <c r="AB71" s="27">
        <v>0</v>
      </c>
      <c r="AC71" s="27">
        <v>0</v>
      </c>
      <c r="AD71" s="27">
        <v>10</v>
      </c>
      <c r="AE71" s="27">
        <v>0</v>
      </c>
      <c r="AF71" s="27">
        <v>0</v>
      </c>
      <c r="AG71" s="26">
        <f t="shared" si="4"/>
        <v>301.5</v>
      </c>
      <c r="AH71" s="26">
        <f t="shared" si="5"/>
        <v>0</v>
      </c>
      <c r="AI71" s="26">
        <f t="shared" si="6"/>
        <v>0</v>
      </c>
      <c r="AJ71" s="15" t="s">
        <v>11</v>
      </c>
      <c r="AK71" s="15" t="s">
        <v>11</v>
      </c>
      <c r="AL71" s="15" t="s">
        <v>317</v>
      </c>
      <c r="AM71" s="19">
        <v>44298</v>
      </c>
    </row>
    <row r="72" spans="1:39" x14ac:dyDescent="0.2">
      <c r="A72" s="15" t="str">
        <f t="shared" si="7"/>
        <v>814939202479</v>
      </c>
      <c r="B72" s="32">
        <v>814939</v>
      </c>
      <c r="C72" s="32" t="s">
        <v>72</v>
      </c>
      <c r="D72" s="17">
        <v>202479</v>
      </c>
      <c r="E72" s="15" t="s">
        <v>33</v>
      </c>
      <c r="F72" s="26">
        <v>0</v>
      </c>
      <c r="G72" s="26">
        <v>0</v>
      </c>
      <c r="H72" s="26">
        <v>0</v>
      </c>
      <c r="I72" s="26">
        <v>30</v>
      </c>
      <c r="J72" s="26">
        <v>0</v>
      </c>
      <c r="K72" s="26">
        <v>0</v>
      </c>
      <c r="L72" s="26">
        <v>40</v>
      </c>
      <c r="M72" s="26">
        <v>0</v>
      </c>
      <c r="N72" s="26">
        <v>0</v>
      </c>
      <c r="O72" s="27">
        <v>60</v>
      </c>
      <c r="P72" s="27">
        <v>0</v>
      </c>
      <c r="Q72" s="27">
        <v>0</v>
      </c>
      <c r="R72" s="27">
        <v>155.15</v>
      </c>
      <c r="S72" s="27">
        <v>0</v>
      </c>
      <c r="T72" s="27">
        <v>5.25</v>
      </c>
      <c r="U72" s="27">
        <v>59</v>
      </c>
      <c r="V72" s="27">
        <v>4</v>
      </c>
      <c r="W72" s="27">
        <v>0</v>
      </c>
      <c r="X72" s="27">
        <v>117.5</v>
      </c>
      <c r="Y72" s="27">
        <v>0</v>
      </c>
      <c r="Z72" s="27">
        <v>0</v>
      </c>
      <c r="AA72" s="27">
        <v>111</v>
      </c>
      <c r="AB72" s="27">
        <v>0</v>
      </c>
      <c r="AC72" s="27">
        <v>32</v>
      </c>
      <c r="AD72" s="27">
        <v>131</v>
      </c>
      <c r="AE72" s="27">
        <v>0</v>
      </c>
      <c r="AF72" s="27">
        <v>40</v>
      </c>
      <c r="AG72" s="26">
        <f t="shared" si="4"/>
        <v>703.65</v>
      </c>
      <c r="AH72" s="26">
        <f t="shared" si="5"/>
        <v>4</v>
      </c>
      <c r="AI72" s="26">
        <f t="shared" si="6"/>
        <v>77.25</v>
      </c>
      <c r="AJ72" s="15" t="s">
        <v>11</v>
      </c>
      <c r="AK72" s="15" t="s">
        <v>11</v>
      </c>
      <c r="AL72" s="15" t="s">
        <v>317</v>
      </c>
      <c r="AM72" s="19">
        <v>44299</v>
      </c>
    </row>
    <row r="73" spans="1:39" x14ac:dyDescent="0.2">
      <c r="A73" s="15" t="str">
        <f t="shared" si="7"/>
        <v>815104149765</v>
      </c>
      <c r="B73" s="32">
        <v>815104</v>
      </c>
      <c r="C73" s="32" t="s">
        <v>326</v>
      </c>
      <c r="D73" s="17">
        <v>149765</v>
      </c>
      <c r="E73" s="15" t="s">
        <v>112</v>
      </c>
      <c r="F73" s="26">
        <v>10</v>
      </c>
      <c r="G73" s="26">
        <v>0</v>
      </c>
      <c r="H73" s="26">
        <v>0</v>
      </c>
      <c r="I73" s="26">
        <v>40</v>
      </c>
      <c r="J73" s="26">
        <v>0</v>
      </c>
      <c r="K73" s="26">
        <v>0</v>
      </c>
      <c r="L73" s="26">
        <v>30</v>
      </c>
      <c r="M73" s="26">
        <v>0</v>
      </c>
      <c r="N73" s="26">
        <v>0</v>
      </c>
      <c r="O73" s="27">
        <v>25</v>
      </c>
      <c r="P73" s="27">
        <v>0</v>
      </c>
      <c r="Q73" s="27">
        <v>0</v>
      </c>
      <c r="R73" s="27">
        <v>20</v>
      </c>
      <c r="S73" s="27">
        <v>0</v>
      </c>
      <c r="T73" s="27">
        <v>0</v>
      </c>
      <c r="U73" s="27">
        <v>30</v>
      </c>
      <c r="V73" s="27">
        <v>0</v>
      </c>
      <c r="W73" s="27">
        <v>0</v>
      </c>
      <c r="X73" s="27">
        <v>40</v>
      </c>
      <c r="Y73" s="27">
        <v>0</v>
      </c>
      <c r="Z73" s="27">
        <v>15</v>
      </c>
      <c r="AA73" s="27">
        <v>38</v>
      </c>
      <c r="AB73" s="27">
        <v>0</v>
      </c>
      <c r="AC73" s="27">
        <v>0</v>
      </c>
      <c r="AD73" s="27">
        <v>35</v>
      </c>
      <c r="AE73" s="27">
        <v>0</v>
      </c>
      <c r="AF73" s="27">
        <v>0</v>
      </c>
      <c r="AG73" s="26">
        <f t="shared" si="4"/>
        <v>268</v>
      </c>
      <c r="AH73" s="26">
        <f t="shared" si="5"/>
        <v>0</v>
      </c>
      <c r="AI73" s="26">
        <f t="shared" si="6"/>
        <v>15</v>
      </c>
      <c r="AJ73" s="15" t="s">
        <v>11</v>
      </c>
      <c r="AK73" s="15" t="s">
        <v>11</v>
      </c>
      <c r="AL73" s="15" t="s">
        <v>317</v>
      </c>
      <c r="AM73" s="19">
        <v>44347</v>
      </c>
    </row>
    <row r="74" spans="1:39" x14ac:dyDescent="0.2">
      <c r="A74" s="15" t="str">
        <f t="shared" si="7"/>
        <v>815105205650</v>
      </c>
      <c r="B74" s="32">
        <v>815105</v>
      </c>
      <c r="C74" s="32" t="s">
        <v>338</v>
      </c>
      <c r="D74" s="15">
        <v>205650</v>
      </c>
      <c r="E74" s="15" t="s">
        <v>339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11</v>
      </c>
      <c r="M74" s="26">
        <v>0</v>
      </c>
      <c r="N74" s="26">
        <v>0</v>
      </c>
      <c r="O74" s="27">
        <v>0</v>
      </c>
      <c r="P74" s="27">
        <v>0</v>
      </c>
      <c r="Q74" s="27">
        <v>0</v>
      </c>
      <c r="R74" s="27">
        <v>20</v>
      </c>
      <c r="S74" s="27">
        <v>0</v>
      </c>
      <c r="T74" s="27">
        <v>0</v>
      </c>
      <c r="U74" s="27">
        <v>0</v>
      </c>
      <c r="V74" s="27">
        <v>0</v>
      </c>
      <c r="W74" s="27">
        <v>0</v>
      </c>
      <c r="X74" s="27">
        <v>0</v>
      </c>
      <c r="Y74" s="27">
        <v>0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6">
        <f t="shared" si="4"/>
        <v>31</v>
      </c>
      <c r="AH74" s="26">
        <f t="shared" si="5"/>
        <v>0</v>
      </c>
      <c r="AI74" s="26">
        <f t="shared" si="6"/>
        <v>0</v>
      </c>
      <c r="AJ74" s="15" t="s">
        <v>11</v>
      </c>
      <c r="AK74" s="15" t="s">
        <v>11</v>
      </c>
      <c r="AL74" s="15" t="s">
        <v>317</v>
      </c>
      <c r="AM74" s="19">
        <v>44347</v>
      </c>
    </row>
    <row r="75" spans="1:39" x14ac:dyDescent="0.2">
      <c r="A75" s="15" t="str">
        <f t="shared" si="7"/>
        <v>815175149765</v>
      </c>
      <c r="B75" s="32">
        <v>815175</v>
      </c>
      <c r="C75" s="32" t="s">
        <v>334</v>
      </c>
      <c r="D75" s="17">
        <v>149765</v>
      </c>
      <c r="E75" s="15" t="s">
        <v>112</v>
      </c>
      <c r="F75" s="26">
        <v>10</v>
      </c>
      <c r="G75" s="26">
        <v>0</v>
      </c>
      <c r="H75" s="26">
        <v>0</v>
      </c>
      <c r="I75" s="26">
        <v>30</v>
      </c>
      <c r="J75" s="26">
        <v>0</v>
      </c>
      <c r="K75" s="26">
        <v>0</v>
      </c>
      <c r="L75" s="26">
        <v>50</v>
      </c>
      <c r="M75" s="26">
        <v>0</v>
      </c>
      <c r="N75" s="26">
        <v>0</v>
      </c>
      <c r="O75" s="27">
        <v>35</v>
      </c>
      <c r="P75" s="27">
        <v>0</v>
      </c>
      <c r="Q75" s="27">
        <v>0</v>
      </c>
      <c r="R75" s="27">
        <v>25</v>
      </c>
      <c r="S75" s="27">
        <v>0</v>
      </c>
      <c r="T75" s="27">
        <v>0</v>
      </c>
      <c r="U75" s="27">
        <v>40</v>
      </c>
      <c r="V75" s="27">
        <v>0</v>
      </c>
      <c r="W75" s="27">
        <v>0</v>
      </c>
      <c r="X75" s="27">
        <v>35</v>
      </c>
      <c r="Y75" s="27">
        <v>0</v>
      </c>
      <c r="Z75" s="27">
        <v>0</v>
      </c>
      <c r="AA75" s="27">
        <v>30</v>
      </c>
      <c r="AB75" s="27">
        <v>0</v>
      </c>
      <c r="AC75" s="27">
        <v>0</v>
      </c>
      <c r="AD75" s="27">
        <v>50</v>
      </c>
      <c r="AE75" s="27">
        <v>0</v>
      </c>
      <c r="AF75" s="27">
        <v>0</v>
      </c>
      <c r="AG75" s="26">
        <f t="shared" si="4"/>
        <v>305</v>
      </c>
      <c r="AH75" s="26">
        <f t="shared" si="5"/>
        <v>0</v>
      </c>
      <c r="AI75" s="26">
        <f t="shared" si="6"/>
        <v>0</v>
      </c>
      <c r="AJ75" s="15" t="s">
        <v>11</v>
      </c>
      <c r="AK75" s="15" t="s">
        <v>11</v>
      </c>
      <c r="AL75" s="15" t="s">
        <v>317</v>
      </c>
      <c r="AM75" s="19">
        <v>44364</v>
      </c>
    </row>
    <row r="76" spans="1:39" x14ac:dyDescent="0.2">
      <c r="A76" s="15" t="str">
        <f t="shared" si="7"/>
        <v>815176175288</v>
      </c>
      <c r="B76" s="32">
        <v>815176</v>
      </c>
      <c r="C76" s="32" t="s">
        <v>340</v>
      </c>
      <c r="D76" s="15">
        <v>175288</v>
      </c>
      <c r="E76" s="15" t="s">
        <v>58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7">
        <v>0</v>
      </c>
      <c r="P76" s="27">
        <v>0</v>
      </c>
      <c r="Q76" s="27">
        <v>0</v>
      </c>
      <c r="R76" s="27">
        <v>0</v>
      </c>
      <c r="S76" s="27">
        <v>0</v>
      </c>
      <c r="T76" s="27">
        <v>0</v>
      </c>
      <c r="U76" s="27">
        <v>0</v>
      </c>
      <c r="V76" s="27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6">
        <f t="shared" si="4"/>
        <v>0</v>
      </c>
      <c r="AH76" s="26">
        <f t="shared" si="5"/>
        <v>0</v>
      </c>
      <c r="AI76" s="26">
        <f t="shared" si="6"/>
        <v>0</v>
      </c>
      <c r="AJ76" s="15" t="s">
        <v>11</v>
      </c>
      <c r="AK76" s="15" t="s">
        <v>11</v>
      </c>
      <c r="AL76" s="15" t="s">
        <v>317</v>
      </c>
      <c r="AM76" s="19">
        <v>44364</v>
      </c>
    </row>
    <row r="77" spans="1:39" x14ac:dyDescent="0.2">
      <c r="A77" s="15" t="str">
        <f t="shared" si="7"/>
        <v>815237174176</v>
      </c>
      <c r="B77" s="32">
        <v>815237</v>
      </c>
      <c r="C77" s="32" t="s">
        <v>335</v>
      </c>
      <c r="D77" s="17">
        <v>174176</v>
      </c>
      <c r="E77" s="15" t="s">
        <v>336</v>
      </c>
      <c r="F77" s="26">
        <v>20</v>
      </c>
      <c r="G77" s="26">
        <v>0</v>
      </c>
      <c r="H77" s="26">
        <v>0</v>
      </c>
      <c r="I77" s="26">
        <v>20</v>
      </c>
      <c r="J77" s="26">
        <v>0</v>
      </c>
      <c r="K77" s="26">
        <v>0</v>
      </c>
      <c r="L77" s="26">
        <v>10</v>
      </c>
      <c r="M77" s="26">
        <v>0</v>
      </c>
      <c r="N77" s="26">
        <v>0</v>
      </c>
      <c r="O77" s="27">
        <v>20</v>
      </c>
      <c r="P77" s="27">
        <v>0</v>
      </c>
      <c r="Q77" s="27">
        <v>0</v>
      </c>
      <c r="R77" s="27">
        <v>30</v>
      </c>
      <c r="S77" s="27">
        <v>0</v>
      </c>
      <c r="T77" s="27">
        <v>0</v>
      </c>
      <c r="U77" s="27">
        <v>27.5</v>
      </c>
      <c r="V77" s="27">
        <v>0</v>
      </c>
      <c r="W77" s="27">
        <v>0</v>
      </c>
      <c r="X77" s="27">
        <v>7.5</v>
      </c>
      <c r="Y77" s="27">
        <v>0</v>
      </c>
      <c r="Z77" s="27">
        <v>0</v>
      </c>
      <c r="AA77" s="27">
        <v>30</v>
      </c>
      <c r="AB77" s="27">
        <v>0</v>
      </c>
      <c r="AC77" s="27">
        <v>0</v>
      </c>
      <c r="AD77" s="27">
        <v>20</v>
      </c>
      <c r="AE77" s="27">
        <v>0</v>
      </c>
      <c r="AF77" s="27">
        <v>0</v>
      </c>
      <c r="AG77" s="26">
        <f t="shared" si="4"/>
        <v>185</v>
      </c>
      <c r="AH77" s="26">
        <f t="shared" si="5"/>
        <v>0</v>
      </c>
      <c r="AI77" s="26">
        <f t="shared" si="6"/>
        <v>0</v>
      </c>
      <c r="AJ77" s="15" t="s">
        <v>11</v>
      </c>
      <c r="AK77" s="15" t="s">
        <v>11</v>
      </c>
      <c r="AL77" s="15" t="s">
        <v>317</v>
      </c>
      <c r="AM77" s="19">
        <v>44371</v>
      </c>
    </row>
    <row r="78" spans="1:39" x14ac:dyDescent="0.2">
      <c r="A78" s="15" t="str">
        <f t="shared" si="7"/>
        <v>815421149765</v>
      </c>
      <c r="B78" s="32">
        <v>815421</v>
      </c>
      <c r="C78" s="32" t="s">
        <v>346</v>
      </c>
      <c r="D78" s="15">
        <v>149765</v>
      </c>
      <c r="E78" s="15" t="s">
        <v>112</v>
      </c>
      <c r="F78" s="26">
        <v>82</v>
      </c>
      <c r="G78" s="26">
        <v>0</v>
      </c>
      <c r="H78" s="26">
        <v>0</v>
      </c>
      <c r="I78" s="26">
        <v>105</v>
      </c>
      <c r="J78" s="26">
        <v>0</v>
      </c>
      <c r="K78" s="26">
        <v>0</v>
      </c>
      <c r="L78" s="26">
        <v>85</v>
      </c>
      <c r="M78" s="26">
        <v>0</v>
      </c>
      <c r="N78" s="26">
        <v>0</v>
      </c>
      <c r="O78" s="27">
        <v>55</v>
      </c>
      <c r="P78" s="27">
        <v>0</v>
      </c>
      <c r="Q78" s="27">
        <v>10</v>
      </c>
      <c r="R78" s="27">
        <v>35</v>
      </c>
      <c r="S78" s="27">
        <v>10</v>
      </c>
      <c r="T78" s="27">
        <v>0</v>
      </c>
      <c r="U78" s="27">
        <v>30</v>
      </c>
      <c r="V78" s="27">
        <v>0</v>
      </c>
      <c r="W78" s="27">
        <v>0</v>
      </c>
      <c r="X78" s="27">
        <v>40</v>
      </c>
      <c r="Y78" s="27">
        <v>0</v>
      </c>
      <c r="Z78" s="27">
        <v>0</v>
      </c>
      <c r="AA78" s="27">
        <v>30</v>
      </c>
      <c r="AB78" s="27">
        <v>0</v>
      </c>
      <c r="AC78" s="27">
        <v>0</v>
      </c>
      <c r="AD78" s="27">
        <v>55</v>
      </c>
      <c r="AE78" s="27">
        <v>0</v>
      </c>
      <c r="AF78" s="27">
        <v>0</v>
      </c>
      <c r="AG78" s="26">
        <f t="shared" si="4"/>
        <v>517</v>
      </c>
      <c r="AH78" s="26">
        <f t="shared" si="5"/>
        <v>10</v>
      </c>
      <c r="AI78" s="26">
        <f t="shared" si="6"/>
        <v>10</v>
      </c>
      <c r="AJ78" s="15" t="s">
        <v>11</v>
      </c>
      <c r="AK78" s="15" t="s">
        <v>11</v>
      </c>
      <c r="AL78" s="15" t="s">
        <v>317</v>
      </c>
      <c r="AM78" s="19">
        <v>44384</v>
      </c>
    </row>
    <row r="79" spans="1:39" x14ac:dyDescent="0.2">
      <c r="A79" s="15" t="str">
        <f t="shared" si="7"/>
        <v>815481205650</v>
      </c>
      <c r="B79" s="32">
        <v>815481</v>
      </c>
      <c r="C79" s="32" t="s">
        <v>3</v>
      </c>
      <c r="D79" s="15">
        <v>205650</v>
      </c>
      <c r="E79" s="15" t="s">
        <v>339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15</v>
      </c>
      <c r="M79" s="26">
        <v>0</v>
      </c>
      <c r="N79" s="26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  <c r="V79" s="27">
        <v>0</v>
      </c>
      <c r="W79" s="27">
        <v>0</v>
      </c>
      <c r="X79" s="27">
        <v>0</v>
      </c>
      <c r="Y79" s="27">
        <v>0</v>
      </c>
      <c r="Z79" s="27">
        <v>0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6">
        <f t="shared" si="4"/>
        <v>15</v>
      </c>
      <c r="AH79" s="26">
        <f t="shared" si="5"/>
        <v>0</v>
      </c>
      <c r="AI79" s="26">
        <f t="shared" si="6"/>
        <v>0</v>
      </c>
      <c r="AJ79" s="15" t="s">
        <v>11</v>
      </c>
      <c r="AK79" s="15" t="s">
        <v>11</v>
      </c>
      <c r="AL79" s="15" t="s">
        <v>317</v>
      </c>
      <c r="AM79" s="19">
        <v>44389</v>
      </c>
    </row>
    <row r="80" spans="1:39" x14ac:dyDescent="0.2">
      <c r="A80" s="15" t="str">
        <f t="shared" si="7"/>
        <v>815481202479</v>
      </c>
      <c r="B80" s="14">
        <v>815481</v>
      </c>
      <c r="C80" s="14" t="s">
        <v>3</v>
      </c>
      <c r="D80" s="16">
        <v>202479</v>
      </c>
      <c r="E80" s="18" t="s">
        <v>33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7">
        <v>10</v>
      </c>
      <c r="P80" s="27">
        <v>0</v>
      </c>
      <c r="Q80" s="27">
        <v>0</v>
      </c>
      <c r="R80" s="27">
        <v>10</v>
      </c>
      <c r="S80" s="27">
        <v>0</v>
      </c>
      <c r="T80" s="27">
        <v>0</v>
      </c>
      <c r="U80" s="27">
        <v>0</v>
      </c>
      <c r="V80" s="27">
        <v>0</v>
      </c>
      <c r="W80" s="27">
        <v>0</v>
      </c>
      <c r="X80" s="27">
        <v>0</v>
      </c>
      <c r="Y80" s="27">
        <v>0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6">
        <f t="shared" si="4"/>
        <v>20</v>
      </c>
      <c r="AH80" s="26">
        <f t="shared" si="5"/>
        <v>0</v>
      </c>
      <c r="AI80" s="26">
        <f t="shared" si="6"/>
        <v>0</v>
      </c>
      <c r="AJ80" s="15" t="s">
        <v>11</v>
      </c>
      <c r="AK80" s="15" t="s">
        <v>11</v>
      </c>
      <c r="AL80" s="15" t="s">
        <v>317</v>
      </c>
      <c r="AM80" s="19">
        <v>44389</v>
      </c>
    </row>
    <row r="81" spans="1:39" x14ac:dyDescent="0.2">
      <c r="A81" s="15" t="str">
        <f t="shared" si="7"/>
        <v>815643119046</v>
      </c>
      <c r="B81" s="32">
        <v>815643</v>
      </c>
      <c r="C81" s="32" t="s">
        <v>361</v>
      </c>
      <c r="D81" s="15">
        <v>119046</v>
      </c>
      <c r="E81" s="15" t="s">
        <v>13</v>
      </c>
      <c r="F81" s="26">
        <v>20</v>
      </c>
      <c r="G81" s="26">
        <v>0</v>
      </c>
      <c r="H81" s="26">
        <v>0</v>
      </c>
      <c r="I81" s="26">
        <v>45.5</v>
      </c>
      <c r="J81" s="26">
        <v>0</v>
      </c>
      <c r="K81" s="26">
        <v>0</v>
      </c>
      <c r="L81" s="26">
        <v>60</v>
      </c>
      <c r="M81" s="26">
        <v>0</v>
      </c>
      <c r="N81" s="26">
        <v>0</v>
      </c>
      <c r="O81" s="27">
        <v>40</v>
      </c>
      <c r="P81" s="27">
        <v>0</v>
      </c>
      <c r="Q81" s="27">
        <v>0</v>
      </c>
      <c r="R81" s="27">
        <v>40</v>
      </c>
      <c r="S81" s="27">
        <v>0</v>
      </c>
      <c r="T81" s="27">
        <v>0</v>
      </c>
      <c r="U81" s="27">
        <v>0</v>
      </c>
      <c r="V81" s="27">
        <v>0</v>
      </c>
      <c r="W81" s="27">
        <v>0</v>
      </c>
      <c r="X81" s="27">
        <v>30</v>
      </c>
      <c r="Y81" s="27">
        <v>0</v>
      </c>
      <c r="Z81" s="27">
        <v>0</v>
      </c>
      <c r="AA81" s="27">
        <v>87</v>
      </c>
      <c r="AB81" s="27">
        <v>0</v>
      </c>
      <c r="AC81" s="27">
        <v>0</v>
      </c>
      <c r="AD81" s="27">
        <v>60</v>
      </c>
      <c r="AE81" s="27">
        <v>0</v>
      </c>
      <c r="AF81" s="27">
        <v>0</v>
      </c>
      <c r="AG81" s="26">
        <f t="shared" si="4"/>
        <v>382.5</v>
      </c>
      <c r="AH81" s="26">
        <f t="shared" si="5"/>
        <v>0</v>
      </c>
      <c r="AI81" s="26">
        <f t="shared" si="6"/>
        <v>0</v>
      </c>
      <c r="AJ81" s="15" t="s">
        <v>11</v>
      </c>
      <c r="AK81" s="15" t="s">
        <v>11</v>
      </c>
      <c r="AL81" s="15" t="s">
        <v>317</v>
      </c>
      <c r="AM81" s="19">
        <v>44403</v>
      </c>
    </row>
    <row r="82" spans="1:39" x14ac:dyDescent="0.2">
      <c r="A82" s="15" t="str">
        <f t="shared" si="7"/>
        <v>815644119046</v>
      </c>
      <c r="B82" s="32">
        <v>815644</v>
      </c>
      <c r="C82" s="32" t="s">
        <v>362</v>
      </c>
      <c r="D82" s="15">
        <v>119046</v>
      </c>
      <c r="E82" s="15" t="s">
        <v>13</v>
      </c>
      <c r="F82" s="26">
        <v>30</v>
      </c>
      <c r="G82" s="26">
        <v>0</v>
      </c>
      <c r="H82" s="26">
        <v>0</v>
      </c>
      <c r="I82" s="26">
        <v>44</v>
      </c>
      <c r="J82" s="26">
        <v>0</v>
      </c>
      <c r="K82" s="26">
        <v>0</v>
      </c>
      <c r="L82" s="26">
        <v>55</v>
      </c>
      <c r="M82" s="26">
        <v>0</v>
      </c>
      <c r="N82" s="26">
        <v>0</v>
      </c>
      <c r="O82" s="27">
        <v>20</v>
      </c>
      <c r="P82" s="27">
        <v>0</v>
      </c>
      <c r="Q82" s="27">
        <v>0</v>
      </c>
      <c r="R82" s="27">
        <v>20</v>
      </c>
      <c r="S82" s="27">
        <v>0</v>
      </c>
      <c r="T82" s="27">
        <v>0</v>
      </c>
      <c r="U82" s="27">
        <v>50</v>
      </c>
      <c r="V82" s="27">
        <v>0</v>
      </c>
      <c r="W82" s="27">
        <v>0</v>
      </c>
      <c r="X82" s="27">
        <v>43</v>
      </c>
      <c r="Y82" s="27">
        <v>0</v>
      </c>
      <c r="Z82" s="27">
        <v>0</v>
      </c>
      <c r="AA82" s="27">
        <v>42</v>
      </c>
      <c r="AB82" s="27">
        <v>0</v>
      </c>
      <c r="AC82" s="27">
        <v>12</v>
      </c>
      <c r="AD82" s="27">
        <v>27</v>
      </c>
      <c r="AE82" s="27">
        <v>0</v>
      </c>
      <c r="AF82" s="27">
        <v>0</v>
      </c>
      <c r="AG82" s="26">
        <f t="shared" si="4"/>
        <v>331</v>
      </c>
      <c r="AH82" s="26">
        <f t="shared" si="5"/>
        <v>0</v>
      </c>
      <c r="AI82" s="26">
        <f t="shared" si="6"/>
        <v>12</v>
      </c>
      <c r="AJ82" s="15" t="s">
        <v>11</v>
      </c>
      <c r="AK82" s="15" t="s">
        <v>11</v>
      </c>
      <c r="AL82" s="15" t="s">
        <v>317</v>
      </c>
      <c r="AM82" s="19">
        <v>44403</v>
      </c>
    </row>
    <row r="83" spans="1:39" x14ac:dyDescent="0.2">
      <c r="A83" s="15" t="str">
        <f t="shared" si="7"/>
        <v>815645208736</v>
      </c>
      <c r="B83" s="32">
        <v>815645</v>
      </c>
      <c r="C83" s="32" t="s">
        <v>363</v>
      </c>
      <c r="D83" s="15">
        <v>208736</v>
      </c>
      <c r="E83" s="15" t="s">
        <v>103</v>
      </c>
      <c r="F83" s="26">
        <v>10</v>
      </c>
      <c r="G83" s="26">
        <v>0</v>
      </c>
      <c r="H83" s="26">
        <v>0</v>
      </c>
      <c r="I83" s="26">
        <v>0</v>
      </c>
      <c r="J83" s="26">
        <v>0</v>
      </c>
      <c r="K83" s="26">
        <v>0</v>
      </c>
      <c r="L83" s="26">
        <v>0</v>
      </c>
      <c r="M83" s="26">
        <v>0</v>
      </c>
      <c r="N83" s="26">
        <v>0</v>
      </c>
      <c r="O83" s="27">
        <v>0</v>
      </c>
      <c r="P83" s="27">
        <v>0</v>
      </c>
      <c r="Q83" s="27">
        <v>0</v>
      </c>
      <c r="R83" s="27">
        <v>20</v>
      </c>
      <c r="S83" s="27">
        <v>0</v>
      </c>
      <c r="T83" s="27">
        <v>0</v>
      </c>
      <c r="U83" s="27">
        <v>15</v>
      </c>
      <c r="V83" s="27">
        <v>0</v>
      </c>
      <c r="W83" s="27">
        <v>0</v>
      </c>
      <c r="X83" s="27">
        <v>45</v>
      </c>
      <c r="Y83" s="27">
        <v>0</v>
      </c>
      <c r="Z83" s="27">
        <v>0</v>
      </c>
      <c r="AA83" s="27">
        <v>30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6">
        <f t="shared" si="4"/>
        <v>120</v>
      </c>
      <c r="AH83" s="26">
        <f t="shared" si="5"/>
        <v>0</v>
      </c>
      <c r="AI83" s="26">
        <f t="shared" si="6"/>
        <v>0</v>
      </c>
      <c r="AJ83" s="15" t="s">
        <v>11</v>
      </c>
      <c r="AK83" s="15" t="s">
        <v>11</v>
      </c>
      <c r="AL83" s="15" t="s">
        <v>317</v>
      </c>
      <c r="AM83" s="19">
        <v>44403</v>
      </c>
    </row>
    <row r="84" spans="1:39" x14ac:dyDescent="0.2">
      <c r="A84" s="15" t="str">
        <f t="shared" si="7"/>
        <v>815774149765</v>
      </c>
      <c r="B84" s="32">
        <v>815774</v>
      </c>
      <c r="C84" s="32" t="s">
        <v>375</v>
      </c>
      <c r="D84" s="15">
        <v>149765</v>
      </c>
      <c r="E84" s="15" t="s">
        <v>112</v>
      </c>
      <c r="F84" s="26">
        <v>40</v>
      </c>
      <c r="G84" s="26">
        <v>0</v>
      </c>
      <c r="H84" s="26">
        <v>0</v>
      </c>
      <c r="I84" s="26">
        <v>20</v>
      </c>
      <c r="J84" s="26">
        <v>0</v>
      </c>
      <c r="K84" s="26">
        <v>0</v>
      </c>
      <c r="L84" s="26">
        <v>20</v>
      </c>
      <c r="M84" s="26">
        <v>0</v>
      </c>
      <c r="N84" s="26">
        <v>0</v>
      </c>
      <c r="O84" s="27">
        <v>20</v>
      </c>
      <c r="P84" s="27">
        <v>0</v>
      </c>
      <c r="Q84" s="27">
        <v>0</v>
      </c>
      <c r="R84" s="27">
        <v>10</v>
      </c>
      <c r="S84" s="27">
        <v>0</v>
      </c>
      <c r="T84" s="27">
        <v>0</v>
      </c>
      <c r="U84" s="27">
        <v>20</v>
      </c>
      <c r="V84" s="27">
        <v>0</v>
      </c>
      <c r="W84" s="27">
        <v>0</v>
      </c>
      <c r="X84" s="27">
        <v>10</v>
      </c>
      <c r="Y84" s="27">
        <v>0</v>
      </c>
      <c r="Z84" s="27">
        <v>0</v>
      </c>
      <c r="AA84" s="27">
        <v>17.5</v>
      </c>
      <c r="AB84" s="27">
        <v>0</v>
      </c>
      <c r="AC84" s="27">
        <v>0</v>
      </c>
      <c r="AD84" s="27">
        <v>25</v>
      </c>
      <c r="AE84" s="27">
        <v>0</v>
      </c>
      <c r="AF84" s="27">
        <v>0</v>
      </c>
      <c r="AG84" s="26">
        <f t="shared" si="4"/>
        <v>182.5</v>
      </c>
      <c r="AH84" s="26">
        <f t="shared" si="5"/>
        <v>0</v>
      </c>
      <c r="AI84" s="26">
        <f t="shared" si="6"/>
        <v>0</v>
      </c>
      <c r="AJ84" s="15" t="s">
        <v>11</v>
      </c>
      <c r="AK84" s="15" t="s">
        <v>11</v>
      </c>
      <c r="AL84" s="15" t="s">
        <v>317</v>
      </c>
      <c r="AM84" s="19">
        <v>44407</v>
      </c>
    </row>
    <row r="85" spans="1:39" x14ac:dyDescent="0.2">
      <c r="A85" s="15" t="str">
        <f t="shared" si="7"/>
        <v>815864205650</v>
      </c>
      <c r="B85" s="32">
        <v>815864</v>
      </c>
      <c r="C85" s="32" t="s">
        <v>384</v>
      </c>
      <c r="D85" s="15">
        <v>205650</v>
      </c>
      <c r="E85" s="15" t="s">
        <v>339</v>
      </c>
      <c r="F85" s="26">
        <v>0</v>
      </c>
      <c r="G85" s="26">
        <v>0</v>
      </c>
      <c r="H85" s="26">
        <v>0</v>
      </c>
      <c r="I85" s="26">
        <v>11</v>
      </c>
      <c r="J85" s="26">
        <v>0</v>
      </c>
      <c r="K85" s="26">
        <v>0</v>
      </c>
      <c r="L85" s="26">
        <v>11</v>
      </c>
      <c r="M85" s="26">
        <v>0</v>
      </c>
      <c r="N85" s="26">
        <v>0</v>
      </c>
      <c r="O85" s="27">
        <v>11</v>
      </c>
      <c r="P85" s="27">
        <v>0</v>
      </c>
      <c r="Q85" s="27">
        <v>0</v>
      </c>
      <c r="R85" s="27">
        <v>25</v>
      </c>
      <c r="S85" s="27">
        <v>0</v>
      </c>
      <c r="T85" s="27">
        <v>0</v>
      </c>
      <c r="U85" s="27">
        <v>38.5</v>
      </c>
      <c r="V85" s="27">
        <v>0</v>
      </c>
      <c r="W85" s="27">
        <v>0</v>
      </c>
      <c r="X85" s="27">
        <v>0</v>
      </c>
      <c r="Y85" s="27">
        <v>0</v>
      </c>
      <c r="Z85" s="27">
        <v>0</v>
      </c>
      <c r="AA85" s="27">
        <v>21</v>
      </c>
      <c r="AB85" s="27">
        <v>11</v>
      </c>
      <c r="AC85" s="27">
        <v>0</v>
      </c>
      <c r="AD85" s="27">
        <v>15</v>
      </c>
      <c r="AE85" s="27">
        <v>0</v>
      </c>
      <c r="AF85" s="27">
        <v>0</v>
      </c>
      <c r="AG85" s="26">
        <f t="shared" si="4"/>
        <v>132.5</v>
      </c>
      <c r="AH85" s="26">
        <f t="shared" si="5"/>
        <v>11</v>
      </c>
      <c r="AI85" s="26">
        <f t="shared" si="6"/>
        <v>0</v>
      </c>
      <c r="AJ85" s="15" t="s">
        <v>11</v>
      </c>
      <c r="AK85" s="15" t="s">
        <v>11</v>
      </c>
      <c r="AL85" s="15" t="s">
        <v>317</v>
      </c>
      <c r="AM85" s="19">
        <v>44414</v>
      </c>
    </row>
    <row r="86" spans="1:39" x14ac:dyDescent="0.2">
      <c r="A86" s="15" t="str">
        <f t="shared" si="7"/>
        <v>816128174176</v>
      </c>
      <c r="B86" s="32">
        <v>816128</v>
      </c>
      <c r="C86" s="32" t="s">
        <v>387</v>
      </c>
      <c r="D86" s="15">
        <v>174176</v>
      </c>
      <c r="E86" s="15" t="s">
        <v>336</v>
      </c>
      <c r="F86" s="26">
        <v>42</v>
      </c>
      <c r="G86" s="26">
        <v>0</v>
      </c>
      <c r="H86" s="26">
        <v>0</v>
      </c>
      <c r="I86" s="26">
        <v>42</v>
      </c>
      <c r="J86" s="26">
        <v>0</v>
      </c>
      <c r="K86" s="26">
        <v>0</v>
      </c>
      <c r="L86" s="26">
        <v>20</v>
      </c>
      <c r="M86" s="26">
        <v>0</v>
      </c>
      <c r="N86" s="26">
        <v>0</v>
      </c>
      <c r="O86" s="27">
        <v>20</v>
      </c>
      <c r="P86" s="27">
        <v>0</v>
      </c>
      <c r="Q86" s="27">
        <v>0</v>
      </c>
      <c r="R86" s="27">
        <v>29.8</v>
      </c>
      <c r="S86" s="27">
        <v>0</v>
      </c>
      <c r="T86" s="27">
        <v>0</v>
      </c>
      <c r="U86" s="27">
        <v>27.5</v>
      </c>
      <c r="V86" s="27">
        <v>0</v>
      </c>
      <c r="W86" s="27">
        <v>0</v>
      </c>
      <c r="X86" s="27">
        <v>7.5</v>
      </c>
      <c r="Y86" s="27">
        <v>0</v>
      </c>
      <c r="Z86" s="27">
        <v>0</v>
      </c>
      <c r="AA86" s="27">
        <v>33.5</v>
      </c>
      <c r="AB86" s="27">
        <v>0</v>
      </c>
      <c r="AC86" s="27">
        <v>5.5</v>
      </c>
      <c r="AD86" s="27">
        <v>20</v>
      </c>
      <c r="AE86" s="27">
        <v>0</v>
      </c>
      <c r="AF86" s="27">
        <v>0</v>
      </c>
      <c r="AG86" s="26">
        <f t="shared" si="4"/>
        <v>242.3</v>
      </c>
      <c r="AH86" s="26">
        <f t="shared" si="5"/>
        <v>0</v>
      </c>
      <c r="AI86" s="26">
        <f t="shared" si="6"/>
        <v>5.5</v>
      </c>
      <c r="AJ86" s="15" t="s">
        <v>11</v>
      </c>
      <c r="AK86" s="15" t="s">
        <v>11</v>
      </c>
      <c r="AL86" s="15" t="s">
        <v>317</v>
      </c>
      <c r="AM86" s="19">
        <v>44434</v>
      </c>
    </row>
    <row r="87" spans="1:39" x14ac:dyDescent="0.2">
      <c r="A87" s="15" t="str">
        <f t="shared" si="7"/>
        <v>816249178661</v>
      </c>
      <c r="B87" s="32">
        <v>816249</v>
      </c>
      <c r="C87" s="32" t="s">
        <v>390</v>
      </c>
      <c r="D87" s="15">
        <v>178661</v>
      </c>
      <c r="E87" s="15" t="s">
        <v>28</v>
      </c>
      <c r="F87" s="26">
        <v>40</v>
      </c>
      <c r="G87" s="26">
        <v>0</v>
      </c>
      <c r="H87" s="26">
        <v>0</v>
      </c>
      <c r="I87" s="26">
        <v>42</v>
      </c>
      <c r="J87" s="26">
        <v>0</v>
      </c>
      <c r="K87" s="26">
        <v>0</v>
      </c>
      <c r="L87" s="26">
        <v>48.35</v>
      </c>
      <c r="M87" s="26">
        <v>3.35</v>
      </c>
      <c r="N87" s="26">
        <v>5</v>
      </c>
      <c r="O87" s="27">
        <v>72</v>
      </c>
      <c r="P87" s="27">
        <v>0</v>
      </c>
      <c r="Q87" s="27">
        <v>0</v>
      </c>
      <c r="R87" s="27">
        <v>27.5</v>
      </c>
      <c r="S87" s="27">
        <v>0</v>
      </c>
      <c r="T87" s="27">
        <v>2.5</v>
      </c>
      <c r="U87" s="27">
        <v>57.5</v>
      </c>
      <c r="V87" s="27">
        <v>0</v>
      </c>
      <c r="W87" s="27">
        <v>10</v>
      </c>
      <c r="X87" s="27">
        <v>45</v>
      </c>
      <c r="Y87" s="27">
        <v>0</v>
      </c>
      <c r="Z87" s="27">
        <v>0</v>
      </c>
      <c r="AA87" s="27">
        <v>60</v>
      </c>
      <c r="AB87" s="27">
        <v>0</v>
      </c>
      <c r="AC87" s="27">
        <v>10</v>
      </c>
      <c r="AD87" s="27">
        <v>93</v>
      </c>
      <c r="AE87" s="27">
        <v>0</v>
      </c>
      <c r="AF87" s="27">
        <v>30</v>
      </c>
      <c r="AG87" s="26">
        <f t="shared" si="4"/>
        <v>485.35</v>
      </c>
      <c r="AH87" s="26">
        <f t="shared" si="5"/>
        <v>3.35</v>
      </c>
      <c r="AI87" s="26">
        <f t="shared" si="6"/>
        <v>57.5</v>
      </c>
      <c r="AJ87" s="15" t="s">
        <v>11</v>
      </c>
      <c r="AK87" s="15" t="s">
        <v>11</v>
      </c>
      <c r="AL87" s="15" t="s">
        <v>317</v>
      </c>
      <c r="AM87" s="19">
        <v>44441</v>
      </c>
    </row>
    <row r="88" spans="1:39" x14ac:dyDescent="0.2">
      <c r="A88" s="15" t="str">
        <f t="shared" si="7"/>
        <v>816270178661</v>
      </c>
      <c r="B88" s="32">
        <v>816270</v>
      </c>
      <c r="C88" s="32" t="s">
        <v>393</v>
      </c>
      <c r="D88" s="15">
        <v>178661</v>
      </c>
      <c r="E88" s="15" t="s">
        <v>28</v>
      </c>
      <c r="F88" s="26">
        <v>57</v>
      </c>
      <c r="G88" s="26">
        <v>0</v>
      </c>
      <c r="H88" s="26">
        <v>0</v>
      </c>
      <c r="I88" s="26">
        <v>51</v>
      </c>
      <c r="J88" s="26">
        <v>0</v>
      </c>
      <c r="K88" s="26">
        <v>0</v>
      </c>
      <c r="L88" s="26">
        <v>20</v>
      </c>
      <c r="M88" s="26">
        <v>0</v>
      </c>
      <c r="N88" s="26">
        <v>0</v>
      </c>
      <c r="O88" s="27">
        <v>25</v>
      </c>
      <c r="P88" s="27">
        <v>0</v>
      </c>
      <c r="Q88" s="27">
        <v>0</v>
      </c>
      <c r="R88" s="27">
        <v>20</v>
      </c>
      <c r="S88" s="27">
        <v>0</v>
      </c>
      <c r="T88" s="27">
        <v>0</v>
      </c>
      <c r="U88" s="27">
        <v>37.5</v>
      </c>
      <c r="V88" s="27">
        <v>0</v>
      </c>
      <c r="W88" s="27">
        <v>0</v>
      </c>
      <c r="X88" s="27">
        <v>30</v>
      </c>
      <c r="Y88" s="27">
        <v>0</v>
      </c>
      <c r="Z88" s="27">
        <v>0</v>
      </c>
      <c r="AA88" s="27">
        <v>35</v>
      </c>
      <c r="AB88" s="27">
        <v>0</v>
      </c>
      <c r="AC88" s="27">
        <v>10</v>
      </c>
      <c r="AD88" s="27">
        <v>65</v>
      </c>
      <c r="AE88" s="27">
        <v>0</v>
      </c>
      <c r="AF88" s="27">
        <v>10</v>
      </c>
      <c r="AG88" s="26">
        <f t="shared" si="4"/>
        <v>340.5</v>
      </c>
      <c r="AH88" s="26">
        <f t="shared" si="5"/>
        <v>0</v>
      </c>
      <c r="AI88" s="26">
        <f t="shared" si="6"/>
        <v>20</v>
      </c>
      <c r="AJ88" s="15" t="s">
        <v>11</v>
      </c>
      <c r="AK88" s="15" t="s">
        <v>11</v>
      </c>
      <c r="AL88" s="15" t="s">
        <v>317</v>
      </c>
      <c r="AM88" s="19">
        <v>44443</v>
      </c>
    </row>
    <row r="89" spans="1:39" x14ac:dyDescent="0.2">
      <c r="A89" s="15" t="str">
        <f t="shared" si="7"/>
        <v>816409140481</v>
      </c>
      <c r="B89" s="32">
        <v>816409</v>
      </c>
      <c r="C89" s="32" t="s">
        <v>397</v>
      </c>
      <c r="D89" s="15">
        <v>140481</v>
      </c>
      <c r="E89" s="15" t="s">
        <v>35</v>
      </c>
      <c r="F89" s="26">
        <v>10</v>
      </c>
      <c r="G89" s="26">
        <v>0</v>
      </c>
      <c r="H89" s="26">
        <v>0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7">
        <v>0</v>
      </c>
      <c r="P89" s="27">
        <v>0</v>
      </c>
      <c r="Q89" s="27">
        <v>0</v>
      </c>
      <c r="R89" s="27">
        <v>0</v>
      </c>
      <c r="S89" s="27">
        <v>0</v>
      </c>
      <c r="T89" s="27">
        <v>0</v>
      </c>
      <c r="U89" s="27">
        <v>0</v>
      </c>
      <c r="V89" s="27">
        <v>0</v>
      </c>
      <c r="W89" s="27">
        <v>0</v>
      </c>
      <c r="X89" s="27">
        <v>0</v>
      </c>
      <c r="Y89" s="27">
        <v>0</v>
      </c>
      <c r="Z89" s="27">
        <v>0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6">
        <f t="shared" si="4"/>
        <v>10</v>
      </c>
      <c r="AH89" s="26">
        <f t="shared" si="5"/>
        <v>0</v>
      </c>
      <c r="AI89" s="26">
        <f t="shared" si="6"/>
        <v>0</v>
      </c>
      <c r="AJ89" s="15" t="s">
        <v>11</v>
      </c>
      <c r="AK89" s="15" t="s">
        <v>11</v>
      </c>
      <c r="AL89" s="15" t="s">
        <v>317</v>
      </c>
      <c r="AM89" s="19">
        <v>44459</v>
      </c>
    </row>
    <row r="90" spans="1:39" x14ac:dyDescent="0.2">
      <c r="A90" s="15" t="str">
        <f t="shared" si="7"/>
        <v>816554172252</v>
      </c>
      <c r="B90" s="32">
        <v>816554</v>
      </c>
      <c r="C90" s="32" t="s">
        <v>417</v>
      </c>
      <c r="D90" s="15">
        <v>172252</v>
      </c>
      <c r="E90" s="15" t="s">
        <v>82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  <c r="V90" s="27">
        <v>0</v>
      </c>
      <c r="W90" s="27">
        <v>0</v>
      </c>
      <c r="X90" s="27">
        <v>0</v>
      </c>
      <c r="Y90" s="27">
        <v>0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6">
        <f t="shared" si="4"/>
        <v>0</v>
      </c>
      <c r="AH90" s="26">
        <f t="shared" si="5"/>
        <v>0</v>
      </c>
      <c r="AI90" s="26">
        <f t="shared" si="6"/>
        <v>0</v>
      </c>
      <c r="AJ90" s="15" t="s">
        <v>11</v>
      </c>
      <c r="AK90" s="15" t="s">
        <v>11</v>
      </c>
      <c r="AL90" s="15" t="s">
        <v>317</v>
      </c>
      <c r="AM90" s="19">
        <v>44467</v>
      </c>
    </row>
    <row r="91" spans="1:39" x14ac:dyDescent="0.2">
      <c r="A91" s="15" t="str">
        <f t="shared" si="7"/>
        <v>817054148557</v>
      </c>
      <c r="B91" s="32">
        <v>817054</v>
      </c>
      <c r="C91" s="32" t="s">
        <v>430</v>
      </c>
      <c r="D91" s="15">
        <v>148557</v>
      </c>
      <c r="E91" s="15" t="s">
        <v>10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  <c r="W91" s="27">
        <v>0</v>
      </c>
      <c r="X91" s="27">
        <v>0</v>
      </c>
      <c r="Y91" s="27">
        <v>0</v>
      </c>
      <c r="Z91" s="27">
        <v>0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0</v>
      </c>
      <c r="AG91" s="26">
        <f t="shared" si="4"/>
        <v>0</v>
      </c>
      <c r="AH91" s="26">
        <f t="shared" si="5"/>
        <v>0</v>
      </c>
      <c r="AI91" s="26">
        <f t="shared" si="6"/>
        <v>0</v>
      </c>
      <c r="AJ91" s="15" t="s">
        <v>11</v>
      </c>
      <c r="AK91" s="15" t="s">
        <v>11</v>
      </c>
      <c r="AL91" s="15" t="s">
        <v>317</v>
      </c>
      <c r="AM91" s="19">
        <v>44518</v>
      </c>
    </row>
    <row r="92" spans="1:39" x14ac:dyDescent="0.2">
      <c r="A92" s="15" t="str">
        <f t="shared" si="7"/>
        <v>817308209586</v>
      </c>
      <c r="B92" s="32">
        <v>817308</v>
      </c>
      <c r="C92" s="32" t="s">
        <v>454</v>
      </c>
      <c r="D92" s="15">
        <v>209586</v>
      </c>
      <c r="E92" s="15" t="s">
        <v>455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  <c r="V92" s="27">
        <v>0</v>
      </c>
      <c r="W92" s="27">
        <v>0</v>
      </c>
      <c r="X92" s="27">
        <v>0</v>
      </c>
      <c r="Y92" s="27">
        <v>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6">
        <f t="shared" si="4"/>
        <v>0</v>
      </c>
      <c r="AH92" s="26">
        <f t="shared" si="5"/>
        <v>0</v>
      </c>
      <c r="AI92" s="26">
        <f t="shared" si="6"/>
        <v>0</v>
      </c>
      <c r="AJ92" s="15" t="s">
        <v>11</v>
      </c>
      <c r="AK92" s="15" t="s">
        <v>11</v>
      </c>
      <c r="AL92" s="15" t="s">
        <v>317</v>
      </c>
      <c r="AM92" s="19">
        <v>44544</v>
      </c>
    </row>
    <row r="93" spans="1:39" x14ac:dyDescent="0.2">
      <c r="A93" s="15" t="str">
        <f t="shared" si="7"/>
        <v>817610148557</v>
      </c>
      <c r="B93" s="32">
        <v>817610</v>
      </c>
      <c r="C93" s="32" t="s">
        <v>450</v>
      </c>
      <c r="D93" s="15">
        <v>148557</v>
      </c>
      <c r="E93" s="15" t="s">
        <v>10</v>
      </c>
      <c r="F93" s="26">
        <v>40</v>
      </c>
      <c r="G93" s="26">
        <v>0</v>
      </c>
      <c r="H93" s="26">
        <v>0</v>
      </c>
      <c r="I93" s="26">
        <v>15</v>
      </c>
      <c r="J93" s="26">
        <v>0</v>
      </c>
      <c r="K93" s="26">
        <v>0</v>
      </c>
      <c r="L93" s="26">
        <v>40</v>
      </c>
      <c r="M93" s="26">
        <v>0</v>
      </c>
      <c r="N93" s="26">
        <v>0</v>
      </c>
      <c r="O93" s="27">
        <v>26.75</v>
      </c>
      <c r="P93" s="27">
        <v>0</v>
      </c>
      <c r="Q93" s="27">
        <v>0</v>
      </c>
      <c r="R93" s="27">
        <v>20</v>
      </c>
      <c r="S93" s="27">
        <v>0</v>
      </c>
      <c r="T93" s="27">
        <v>0</v>
      </c>
      <c r="U93" s="27">
        <v>109</v>
      </c>
      <c r="V93" s="27">
        <v>0</v>
      </c>
      <c r="W93" s="27">
        <v>0</v>
      </c>
      <c r="X93" s="27">
        <v>40</v>
      </c>
      <c r="Y93" s="27">
        <v>0</v>
      </c>
      <c r="Z93" s="27">
        <v>0</v>
      </c>
      <c r="AA93" s="27">
        <v>169.5</v>
      </c>
      <c r="AB93" s="27">
        <v>0</v>
      </c>
      <c r="AC93" s="27">
        <v>0</v>
      </c>
      <c r="AD93" s="27">
        <v>277.85000000000002</v>
      </c>
      <c r="AE93" s="27">
        <v>0</v>
      </c>
      <c r="AF93" s="27">
        <v>0</v>
      </c>
      <c r="AG93" s="26">
        <f t="shared" si="4"/>
        <v>738.1</v>
      </c>
      <c r="AH93" s="26">
        <f t="shared" si="5"/>
        <v>0</v>
      </c>
      <c r="AI93" s="26">
        <f t="shared" si="6"/>
        <v>0</v>
      </c>
      <c r="AJ93" s="15" t="s">
        <v>11</v>
      </c>
      <c r="AK93" s="15" t="s">
        <v>11</v>
      </c>
      <c r="AL93" s="15" t="s">
        <v>317</v>
      </c>
      <c r="AM93" s="19">
        <v>44567</v>
      </c>
    </row>
    <row r="94" spans="1:39" x14ac:dyDescent="0.2">
      <c r="A94" s="15" t="str">
        <f t="shared" si="7"/>
        <v>817792178661</v>
      </c>
      <c r="B94" s="32">
        <v>817792</v>
      </c>
      <c r="C94" s="32" t="s">
        <v>460</v>
      </c>
      <c r="D94" s="15">
        <v>178661</v>
      </c>
      <c r="E94" s="15" t="s">
        <v>28</v>
      </c>
      <c r="F94" s="26">
        <v>10</v>
      </c>
      <c r="G94" s="26">
        <v>0</v>
      </c>
      <c r="H94" s="26">
        <v>0</v>
      </c>
      <c r="I94" s="26">
        <v>64</v>
      </c>
      <c r="J94" s="26">
        <v>0</v>
      </c>
      <c r="K94" s="26">
        <v>0</v>
      </c>
      <c r="L94" s="26">
        <v>40</v>
      </c>
      <c r="M94" s="26">
        <v>0</v>
      </c>
      <c r="N94" s="26">
        <v>0</v>
      </c>
      <c r="O94" s="27">
        <v>47</v>
      </c>
      <c r="P94" s="27">
        <v>0</v>
      </c>
      <c r="Q94" s="27">
        <v>0</v>
      </c>
      <c r="R94" s="27">
        <v>57</v>
      </c>
      <c r="S94" s="27">
        <v>0</v>
      </c>
      <c r="T94" s="27">
        <v>0</v>
      </c>
      <c r="U94" s="27">
        <v>27.5</v>
      </c>
      <c r="V94" s="27">
        <v>0</v>
      </c>
      <c r="W94" s="27">
        <v>0</v>
      </c>
      <c r="X94" s="27">
        <v>27.25</v>
      </c>
      <c r="Y94" s="27">
        <v>0</v>
      </c>
      <c r="Z94" s="27">
        <v>9.75</v>
      </c>
      <c r="AA94" s="27">
        <v>39</v>
      </c>
      <c r="AB94" s="27">
        <v>0</v>
      </c>
      <c r="AC94" s="27">
        <v>11.5</v>
      </c>
      <c r="AD94" s="27">
        <v>62</v>
      </c>
      <c r="AE94" s="27">
        <v>0</v>
      </c>
      <c r="AF94" s="27">
        <v>0</v>
      </c>
      <c r="AG94" s="26">
        <f t="shared" si="4"/>
        <v>373.75</v>
      </c>
      <c r="AH94" s="26">
        <f t="shared" si="5"/>
        <v>0</v>
      </c>
      <c r="AI94" s="26">
        <f t="shared" si="6"/>
        <v>21.25</v>
      </c>
      <c r="AJ94" s="15" t="s">
        <v>11</v>
      </c>
      <c r="AK94" s="15" t="s">
        <v>11</v>
      </c>
      <c r="AL94" s="15" t="s">
        <v>317</v>
      </c>
      <c r="AM94" s="19">
        <v>44585</v>
      </c>
    </row>
    <row r="95" spans="1:39" x14ac:dyDescent="0.2">
      <c r="A95" s="15" t="str">
        <f t="shared" si="7"/>
        <v>817943210619</v>
      </c>
      <c r="B95" s="32">
        <v>817943</v>
      </c>
      <c r="C95" s="32" t="s">
        <v>99</v>
      </c>
      <c r="D95" s="15">
        <v>210619</v>
      </c>
      <c r="E95" s="15" t="s">
        <v>469</v>
      </c>
      <c r="F95" s="26">
        <v>156.5</v>
      </c>
      <c r="G95" s="26">
        <v>0</v>
      </c>
      <c r="H95" s="26">
        <v>0</v>
      </c>
      <c r="I95" s="26">
        <v>111.5</v>
      </c>
      <c r="J95" s="26">
        <v>0</v>
      </c>
      <c r="K95" s="26">
        <v>0</v>
      </c>
      <c r="L95" s="26">
        <v>92.25</v>
      </c>
      <c r="M95" s="26">
        <v>0</v>
      </c>
      <c r="N95" s="26">
        <v>0</v>
      </c>
      <c r="O95" s="27">
        <v>60</v>
      </c>
      <c r="P95" s="27">
        <v>0</v>
      </c>
      <c r="Q95" s="27">
        <v>0</v>
      </c>
      <c r="R95" s="27">
        <v>80</v>
      </c>
      <c r="S95" s="27">
        <v>0</v>
      </c>
      <c r="T95" s="27">
        <v>0</v>
      </c>
      <c r="U95" s="27">
        <v>65</v>
      </c>
      <c r="V95" s="27">
        <v>0</v>
      </c>
      <c r="W95" s="27">
        <v>15</v>
      </c>
      <c r="X95" s="27">
        <v>24</v>
      </c>
      <c r="Y95" s="27">
        <v>0</v>
      </c>
      <c r="Z95" s="27">
        <v>12</v>
      </c>
      <c r="AA95" s="27">
        <v>70</v>
      </c>
      <c r="AB95" s="27">
        <v>0</v>
      </c>
      <c r="AC95" s="27">
        <v>40</v>
      </c>
      <c r="AD95" s="27">
        <v>102</v>
      </c>
      <c r="AE95" s="27">
        <v>0</v>
      </c>
      <c r="AF95" s="27">
        <v>0</v>
      </c>
      <c r="AG95" s="26">
        <f t="shared" si="4"/>
        <v>761.25</v>
      </c>
      <c r="AH95" s="26">
        <f t="shared" si="5"/>
        <v>0</v>
      </c>
      <c r="AI95" s="26">
        <f t="shared" si="6"/>
        <v>67</v>
      </c>
      <c r="AJ95" s="15" t="s">
        <v>11</v>
      </c>
      <c r="AK95" s="15" t="s">
        <v>11</v>
      </c>
      <c r="AL95" s="15" t="s">
        <v>317</v>
      </c>
      <c r="AM95" s="19">
        <v>44593</v>
      </c>
    </row>
    <row r="96" spans="1:39" x14ac:dyDescent="0.2">
      <c r="A96" s="15" t="str">
        <f t="shared" si="7"/>
        <v>818256142984</v>
      </c>
      <c r="B96" s="32">
        <v>818256</v>
      </c>
      <c r="C96" s="32" t="s">
        <v>511</v>
      </c>
      <c r="D96" s="15">
        <v>142984</v>
      </c>
      <c r="E96" s="15" t="s">
        <v>88</v>
      </c>
      <c r="F96" s="26">
        <v>24</v>
      </c>
      <c r="G96" s="26">
        <v>0</v>
      </c>
      <c r="H96" s="26">
        <v>0</v>
      </c>
      <c r="I96" s="26">
        <v>20</v>
      </c>
      <c r="J96" s="26">
        <v>0</v>
      </c>
      <c r="K96" s="26">
        <v>0</v>
      </c>
      <c r="L96" s="26">
        <v>57.5</v>
      </c>
      <c r="M96" s="26">
        <v>0</v>
      </c>
      <c r="N96" s="26">
        <v>5</v>
      </c>
      <c r="O96" s="27">
        <v>18.25</v>
      </c>
      <c r="P96" s="27">
        <v>8.5</v>
      </c>
      <c r="Q96" s="27">
        <v>0</v>
      </c>
      <c r="R96" s="27">
        <v>0</v>
      </c>
      <c r="S96" s="27">
        <v>0</v>
      </c>
      <c r="T96" s="27">
        <v>0</v>
      </c>
      <c r="U96" s="27">
        <v>63.5</v>
      </c>
      <c r="V96" s="27">
        <v>0</v>
      </c>
      <c r="W96" s="27">
        <v>12.5</v>
      </c>
      <c r="X96" s="27">
        <v>21.5</v>
      </c>
      <c r="Y96" s="27">
        <v>0</v>
      </c>
      <c r="Z96" s="27">
        <v>0</v>
      </c>
      <c r="AA96" s="27">
        <v>10</v>
      </c>
      <c r="AB96" s="27">
        <v>0</v>
      </c>
      <c r="AC96" s="27">
        <v>2.5</v>
      </c>
      <c r="AD96" s="27">
        <v>42</v>
      </c>
      <c r="AE96" s="27">
        <v>0</v>
      </c>
      <c r="AF96" s="27">
        <v>0</v>
      </c>
      <c r="AG96" s="26">
        <f t="shared" si="4"/>
        <v>256.75</v>
      </c>
      <c r="AH96" s="26">
        <f t="shared" si="5"/>
        <v>8.5</v>
      </c>
      <c r="AI96" s="26">
        <f t="shared" si="6"/>
        <v>20</v>
      </c>
      <c r="AJ96" s="15" t="s">
        <v>11</v>
      </c>
      <c r="AK96" s="15" t="s">
        <v>11</v>
      </c>
      <c r="AL96" s="15" t="s">
        <v>317</v>
      </c>
      <c r="AM96" s="19">
        <v>44623</v>
      </c>
    </row>
    <row r="97" spans="1:39" x14ac:dyDescent="0.2">
      <c r="A97" s="15" t="str">
        <f t="shared" si="7"/>
        <v>818325148557</v>
      </c>
      <c r="B97" s="32">
        <v>818325</v>
      </c>
      <c r="C97" s="32" t="s">
        <v>507</v>
      </c>
      <c r="D97" s="15">
        <v>148557</v>
      </c>
      <c r="E97" s="15" t="s">
        <v>10</v>
      </c>
      <c r="F97" s="26">
        <v>10</v>
      </c>
      <c r="G97" s="26">
        <v>0</v>
      </c>
      <c r="H97" s="26">
        <v>0</v>
      </c>
      <c r="I97" s="26">
        <v>10</v>
      </c>
      <c r="J97" s="26">
        <v>0</v>
      </c>
      <c r="K97" s="26">
        <v>0</v>
      </c>
      <c r="L97" s="26">
        <v>10</v>
      </c>
      <c r="M97" s="26">
        <v>0</v>
      </c>
      <c r="N97" s="26">
        <v>0</v>
      </c>
      <c r="O97" s="27">
        <v>0</v>
      </c>
      <c r="P97" s="27">
        <v>0</v>
      </c>
      <c r="Q97" s="27">
        <v>0</v>
      </c>
      <c r="R97" s="27">
        <v>0</v>
      </c>
      <c r="S97" s="27">
        <v>0</v>
      </c>
      <c r="T97" s="27">
        <v>0</v>
      </c>
      <c r="U97" s="27">
        <v>0</v>
      </c>
      <c r="V97" s="27">
        <v>0</v>
      </c>
      <c r="W97" s="27">
        <v>0</v>
      </c>
      <c r="X97" s="27">
        <v>0</v>
      </c>
      <c r="Y97" s="27">
        <v>0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6">
        <f t="shared" si="4"/>
        <v>30</v>
      </c>
      <c r="AH97" s="26">
        <f t="shared" si="5"/>
        <v>0</v>
      </c>
      <c r="AI97" s="26">
        <f t="shared" si="6"/>
        <v>0</v>
      </c>
      <c r="AJ97" s="15" t="s">
        <v>11</v>
      </c>
      <c r="AK97" s="15" t="s">
        <v>11</v>
      </c>
      <c r="AL97" s="15" t="s">
        <v>317</v>
      </c>
      <c r="AM97" s="19">
        <v>44629</v>
      </c>
    </row>
    <row r="98" spans="1:39" x14ac:dyDescent="0.2">
      <c r="A98" s="15" t="str">
        <f t="shared" si="7"/>
        <v>818340210619</v>
      </c>
      <c r="B98" s="32">
        <v>818340</v>
      </c>
      <c r="C98" s="32" t="s">
        <v>508</v>
      </c>
      <c r="D98" s="15">
        <v>210619</v>
      </c>
      <c r="E98" s="15" t="s">
        <v>469</v>
      </c>
      <c r="F98" s="26">
        <v>90</v>
      </c>
      <c r="G98" s="26">
        <v>0</v>
      </c>
      <c r="H98" s="26">
        <v>0</v>
      </c>
      <c r="I98" s="26">
        <v>130</v>
      </c>
      <c r="J98" s="26">
        <v>0</v>
      </c>
      <c r="K98" s="26">
        <v>0</v>
      </c>
      <c r="L98" s="26">
        <v>60</v>
      </c>
      <c r="M98" s="26">
        <v>0</v>
      </c>
      <c r="N98" s="26">
        <v>0</v>
      </c>
      <c r="O98" s="27">
        <v>10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20</v>
      </c>
      <c r="V98" s="27">
        <v>0</v>
      </c>
      <c r="W98" s="27">
        <v>10</v>
      </c>
      <c r="X98" s="27">
        <v>0</v>
      </c>
      <c r="Y98" s="27">
        <v>0</v>
      </c>
      <c r="Z98" s="27">
        <v>0</v>
      </c>
      <c r="AA98" s="27">
        <v>10</v>
      </c>
      <c r="AB98" s="27">
        <v>0</v>
      </c>
      <c r="AC98" s="27">
        <v>0</v>
      </c>
      <c r="AD98" s="27">
        <v>25</v>
      </c>
      <c r="AE98" s="27">
        <v>0</v>
      </c>
      <c r="AF98" s="27">
        <v>0</v>
      </c>
      <c r="AG98" s="26">
        <f t="shared" si="4"/>
        <v>345</v>
      </c>
      <c r="AH98" s="26">
        <f t="shared" si="5"/>
        <v>0</v>
      </c>
      <c r="AI98" s="26">
        <f t="shared" si="6"/>
        <v>10</v>
      </c>
      <c r="AJ98" s="15" t="s">
        <v>11</v>
      </c>
      <c r="AK98" s="15" t="s">
        <v>11</v>
      </c>
      <c r="AL98" s="15" t="s">
        <v>317</v>
      </c>
      <c r="AM98" s="19">
        <v>44632</v>
      </c>
    </row>
    <row r="99" spans="1:39" x14ac:dyDescent="0.2">
      <c r="A99" s="15" t="str">
        <f t="shared" si="7"/>
        <v>818341210619</v>
      </c>
      <c r="B99" s="32">
        <v>818341</v>
      </c>
      <c r="C99" s="32" t="s">
        <v>509</v>
      </c>
      <c r="D99" s="15">
        <v>210619</v>
      </c>
      <c r="E99" s="15" t="s">
        <v>469</v>
      </c>
      <c r="F99" s="26">
        <v>52.5</v>
      </c>
      <c r="G99" s="26">
        <v>0</v>
      </c>
      <c r="H99" s="26">
        <v>0</v>
      </c>
      <c r="I99" s="26">
        <v>110</v>
      </c>
      <c r="J99" s="26">
        <v>0</v>
      </c>
      <c r="K99" s="26">
        <v>0</v>
      </c>
      <c r="L99" s="26">
        <v>60</v>
      </c>
      <c r="M99" s="26">
        <v>0</v>
      </c>
      <c r="N99" s="26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20</v>
      </c>
      <c r="V99" s="27">
        <v>0</v>
      </c>
      <c r="W99" s="27">
        <v>0</v>
      </c>
      <c r="X99" s="27">
        <v>15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20</v>
      </c>
      <c r="AE99" s="27">
        <v>0</v>
      </c>
      <c r="AF99" s="27">
        <v>0</v>
      </c>
      <c r="AG99" s="26">
        <f t="shared" si="4"/>
        <v>277.5</v>
      </c>
      <c r="AH99" s="26">
        <f t="shared" si="5"/>
        <v>0</v>
      </c>
      <c r="AI99" s="26">
        <f t="shared" si="6"/>
        <v>0</v>
      </c>
      <c r="AJ99" s="15" t="s">
        <v>11</v>
      </c>
      <c r="AK99" s="15" t="s">
        <v>11</v>
      </c>
      <c r="AL99" s="15" t="s">
        <v>317</v>
      </c>
      <c r="AM99" s="19">
        <v>44632</v>
      </c>
    </row>
    <row r="100" spans="1:39" x14ac:dyDescent="0.2">
      <c r="A100" s="15" t="str">
        <f t="shared" si="7"/>
        <v>818347140927</v>
      </c>
      <c r="B100" s="32">
        <v>818347</v>
      </c>
      <c r="C100" s="32" t="s">
        <v>308</v>
      </c>
      <c r="D100" s="15">
        <v>140927</v>
      </c>
      <c r="E100" s="15" t="s">
        <v>34</v>
      </c>
      <c r="F100" s="26">
        <v>30</v>
      </c>
      <c r="G100" s="26">
        <v>0</v>
      </c>
      <c r="H100" s="26">
        <v>0</v>
      </c>
      <c r="I100" s="26">
        <v>10</v>
      </c>
      <c r="J100" s="26">
        <v>0</v>
      </c>
      <c r="K100" s="26">
        <v>0</v>
      </c>
      <c r="L100" s="26">
        <v>48.25</v>
      </c>
      <c r="M100" s="26">
        <v>0</v>
      </c>
      <c r="N100" s="26">
        <v>0</v>
      </c>
      <c r="O100" s="27">
        <v>7.5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  <c r="V100" s="27">
        <v>0</v>
      </c>
      <c r="W100" s="27">
        <v>0</v>
      </c>
      <c r="X100" s="27">
        <v>0</v>
      </c>
      <c r="Y100" s="27">
        <v>0</v>
      </c>
      <c r="Z100" s="27">
        <v>0</v>
      </c>
      <c r="AA100" s="27">
        <v>27.5</v>
      </c>
      <c r="AB100" s="27">
        <v>0</v>
      </c>
      <c r="AC100" s="27">
        <v>0</v>
      </c>
      <c r="AD100" s="27">
        <v>28.5</v>
      </c>
      <c r="AE100" s="27">
        <v>0</v>
      </c>
      <c r="AF100" s="27">
        <v>10</v>
      </c>
      <c r="AG100" s="26">
        <f t="shared" si="4"/>
        <v>151.75</v>
      </c>
      <c r="AH100" s="26">
        <f t="shared" si="5"/>
        <v>0</v>
      </c>
      <c r="AI100" s="26">
        <f t="shared" si="6"/>
        <v>10</v>
      </c>
      <c r="AJ100" s="15" t="s">
        <v>11</v>
      </c>
      <c r="AK100" s="15" t="s">
        <v>11</v>
      </c>
      <c r="AL100" s="15" t="s">
        <v>317</v>
      </c>
      <c r="AM100" s="19">
        <v>44632</v>
      </c>
    </row>
    <row r="101" spans="1:39" x14ac:dyDescent="0.2">
      <c r="A101" s="15" t="str">
        <f t="shared" si="7"/>
        <v>818354202479</v>
      </c>
      <c r="B101" s="32">
        <v>818354</v>
      </c>
      <c r="C101" s="32" t="s">
        <v>3</v>
      </c>
      <c r="D101" s="17">
        <v>202479</v>
      </c>
      <c r="E101" s="15" t="s">
        <v>33</v>
      </c>
      <c r="F101" s="26">
        <v>20</v>
      </c>
      <c r="G101" s="26">
        <v>0</v>
      </c>
      <c r="H101" s="26">
        <v>0</v>
      </c>
      <c r="I101" s="26">
        <v>40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7">
        <v>10</v>
      </c>
      <c r="P101" s="27">
        <v>0</v>
      </c>
      <c r="Q101" s="27">
        <v>0</v>
      </c>
      <c r="R101" s="27">
        <v>120</v>
      </c>
      <c r="S101" s="27">
        <v>0</v>
      </c>
      <c r="T101" s="27">
        <v>0</v>
      </c>
      <c r="U101" s="27">
        <v>75</v>
      </c>
      <c r="V101" s="27">
        <v>0</v>
      </c>
      <c r="W101" s="27">
        <v>0</v>
      </c>
      <c r="X101" s="27">
        <v>57</v>
      </c>
      <c r="Y101" s="27">
        <v>0</v>
      </c>
      <c r="Z101" s="27">
        <v>0</v>
      </c>
      <c r="AA101" s="27">
        <v>90.95</v>
      </c>
      <c r="AB101" s="27">
        <v>0</v>
      </c>
      <c r="AC101" s="27">
        <v>20</v>
      </c>
      <c r="AD101" s="27">
        <v>54</v>
      </c>
      <c r="AE101" s="27">
        <v>0</v>
      </c>
      <c r="AF101" s="27">
        <v>0</v>
      </c>
      <c r="AG101" s="26">
        <f t="shared" si="4"/>
        <v>466.95</v>
      </c>
      <c r="AH101" s="26">
        <f t="shared" si="5"/>
        <v>0</v>
      </c>
      <c r="AI101" s="26">
        <f t="shared" si="6"/>
        <v>20</v>
      </c>
      <c r="AJ101" s="15" t="s">
        <v>11</v>
      </c>
      <c r="AK101" s="15" t="s">
        <v>11</v>
      </c>
      <c r="AL101" s="15" t="s">
        <v>317</v>
      </c>
      <c r="AM101" s="19">
        <v>44632</v>
      </c>
    </row>
    <row r="102" spans="1:39" x14ac:dyDescent="0.2">
      <c r="A102" s="15" t="str">
        <f t="shared" si="7"/>
        <v>818354140481</v>
      </c>
      <c r="B102" s="14">
        <v>818354</v>
      </c>
      <c r="C102" s="14" t="s">
        <v>3</v>
      </c>
      <c r="D102" s="16">
        <v>140481</v>
      </c>
      <c r="E102" s="18" t="s">
        <v>35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7">
        <v>4.25</v>
      </c>
      <c r="P102" s="27">
        <v>0</v>
      </c>
      <c r="Q102" s="27">
        <v>4.25</v>
      </c>
      <c r="R102" s="27">
        <v>10</v>
      </c>
      <c r="S102" s="27">
        <v>0</v>
      </c>
      <c r="T102" s="27">
        <v>0</v>
      </c>
      <c r="U102" s="27">
        <v>0</v>
      </c>
      <c r="V102" s="27">
        <v>0</v>
      </c>
      <c r="W102" s="27">
        <v>0</v>
      </c>
      <c r="X102" s="27">
        <v>0</v>
      </c>
      <c r="Y102" s="27">
        <v>0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6">
        <f t="shared" si="4"/>
        <v>14.25</v>
      </c>
      <c r="AH102" s="26">
        <f t="shared" si="5"/>
        <v>0</v>
      </c>
      <c r="AI102" s="26">
        <f t="shared" si="6"/>
        <v>4.25</v>
      </c>
      <c r="AJ102" s="15" t="s">
        <v>11</v>
      </c>
      <c r="AK102" s="15" t="s">
        <v>11</v>
      </c>
      <c r="AL102" s="15" t="s">
        <v>317</v>
      </c>
      <c r="AM102" s="19">
        <v>44632</v>
      </c>
    </row>
    <row r="103" spans="1:39" x14ac:dyDescent="0.2">
      <c r="A103" s="15" t="str">
        <f t="shared" si="7"/>
        <v>818440119046</v>
      </c>
      <c r="B103" s="32">
        <v>818440</v>
      </c>
      <c r="C103" s="32" t="s">
        <v>50</v>
      </c>
      <c r="D103" s="15">
        <v>119046</v>
      </c>
      <c r="E103" s="15" t="s">
        <v>13</v>
      </c>
      <c r="F103" s="26">
        <v>68</v>
      </c>
      <c r="G103" s="26">
        <v>0</v>
      </c>
      <c r="H103" s="26">
        <v>0</v>
      </c>
      <c r="I103" s="26">
        <v>57</v>
      </c>
      <c r="J103" s="26">
        <v>0</v>
      </c>
      <c r="K103" s="26">
        <v>0</v>
      </c>
      <c r="L103" s="26">
        <v>60</v>
      </c>
      <c r="M103" s="26">
        <v>0</v>
      </c>
      <c r="N103" s="26">
        <v>0</v>
      </c>
      <c r="O103" s="27">
        <v>50</v>
      </c>
      <c r="P103" s="27">
        <v>0</v>
      </c>
      <c r="Q103" s="27">
        <v>0</v>
      </c>
      <c r="R103" s="27">
        <v>55</v>
      </c>
      <c r="S103" s="27">
        <v>0</v>
      </c>
      <c r="T103" s="27">
        <v>0</v>
      </c>
      <c r="U103" s="27">
        <v>55.5</v>
      </c>
      <c r="V103" s="27">
        <v>0</v>
      </c>
      <c r="W103" s="27">
        <v>8</v>
      </c>
      <c r="X103" s="27">
        <v>32</v>
      </c>
      <c r="Y103" s="27">
        <v>0</v>
      </c>
      <c r="Z103" s="27">
        <v>0</v>
      </c>
      <c r="AA103" s="27">
        <v>86.5</v>
      </c>
      <c r="AB103" s="27">
        <v>0</v>
      </c>
      <c r="AC103" s="27">
        <v>10</v>
      </c>
      <c r="AD103" s="27">
        <v>144.94999999999999</v>
      </c>
      <c r="AE103" s="27">
        <v>0</v>
      </c>
      <c r="AF103" s="27">
        <v>30</v>
      </c>
      <c r="AG103" s="26">
        <f t="shared" si="4"/>
        <v>608.95000000000005</v>
      </c>
      <c r="AH103" s="26">
        <f t="shared" si="5"/>
        <v>0</v>
      </c>
      <c r="AI103" s="26">
        <f t="shared" si="6"/>
        <v>48</v>
      </c>
      <c r="AJ103" s="15" t="s">
        <v>11</v>
      </c>
      <c r="AK103" s="15" t="s">
        <v>11</v>
      </c>
      <c r="AL103" s="15" t="s">
        <v>317</v>
      </c>
      <c r="AM103" s="19">
        <v>44643</v>
      </c>
    </row>
    <row r="104" spans="1:39" x14ac:dyDescent="0.2">
      <c r="A104" s="15" t="str">
        <f t="shared" si="7"/>
        <v>818441210619</v>
      </c>
      <c r="B104" s="32">
        <v>818441</v>
      </c>
      <c r="C104" s="32" t="s">
        <v>512</v>
      </c>
      <c r="D104" s="15">
        <v>210619</v>
      </c>
      <c r="E104" s="15" t="s">
        <v>469</v>
      </c>
      <c r="F104" s="26">
        <v>341</v>
      </c>
      <c r="G104" s="26">
        <v>0</v>
      </c>
      <c r="H104" s="26">
        <v>0</v>
      </c>
      <c r="I104" s="26">
        <v>135</v>
      </c>
      <c r="J104" s="26">
        <v>0</v>
      </c>
      <c r="K104" s="26">
        <v>0</v>
      </c>
      <c r="L104" s="26">
        <v>95</v>
      </c>
      <c r="M104" s="26">
        <v>0</v>
      </c>
      <c r="N104" s="26">
        <v>0</v>
      </c>
      <c r="O104" s="27">
        <v>65</v>
      </c>
      <c r="P104" s="27">
        <v>0</v>
      </c>
      <c r="Q104" s="27">
        <v>0</v>
      </c>
      <c r="R104" s="27">
        <v>65</v>
      </c>
      <c r="S104" s="27">
        <v>0</v>
      </c>
      <c r="T104" s="27">
        <v>0</v>
      </c>
      <c r="U104" s="27">
        <v>122</v>
      </c>
      <c r="V104" s="27">
        <v>0</v>
      </c>
      <c r="W104" s="27">
        <v>40</v>
      </c>
      <c r="X104" s="27">
        <v>60</v>
      </c>
      <c r="Y104" s="27">
        <v>0</v>
      </c>
      <c r="Z104" s="27">
        <v>7.5</v>
      </c>
      <c r="AA104" s="27">
        <v>66</v>
      </c>
      <c r="AB104" s="27">
        <v>0</v>
      </c>
      <c r="AC104" s="27">
        <v>7.5</v>
      </c>
      <c r="AD104" s="27">
        <v>80</v>
      </c>
      <c r="AE104" s="27">
        <v>0</v>
      </c>
      <c r="AF104" s="27">
        <v>0</v>
      </c>
      <c r="AG104" s="26">
        <f t="shared" si="4"/>
        <v>1029</v>
      </c>
      <c r="AH104" s="26">
        <f t="shared" si="5"/>
        <v>0</v>
      </c>
      <c r="AI104" s="26">
        <f t="shared" si="6"/>
        <v>55</v>
      </c>
      <c r="AJ104" s="15" t="s">
        <v>11</v>
      </c>
      <c r="AK104" s="15" t="s">
        <v>11</v>
      </c>
      <c r="AL104" s="15" t="s">
        <v>317</v>
      </c>
      <c r="AM104" s="19">
        <v>44643</v>
      </c>
    </row>
    <row r="105" spans="1:39" x14ac:dyDescent="0.2">
      <c r="A105" s="15" t="str">
        <f t="shared" si="7"/>
        <v>818483210619</v>
      </c>
      <c r="B105" s="32">
        <v>818483</v>
      </c>
      <c r="C105" s="32" t="s">
        <v>513</v>
      </c>
      <c r="D105" s="17">
        <v>210619</v>
      </c>
      <c r="E105" s="15" t="s">
        <v>469</v>
      </c>
      <c r="F105" s="26">
        <v>100</v>
      </c>
      <c r="G105" s="26">
        <v>0</v>
      </c>
      <c r="H105" s="26">
        <v>0</v>
      </c>
      <c r="I105" s="26">
        <v>151</v>
      </c>
      <c r="J105" s="26">
        <v>0</v>
      </c>
      <c r="K105" s="26">
        <v>0</v>
      </c>
      <c r="L105" s="26">
        <v>100.75</v>
      </c>
      <c r="M105" s="26">
        <v>10.75</v>
      </c>
      <c r="N105" s="26">
        <v>0</v>
      </c>
      <c r="O105" s="27">
        <v>109</v>
      </c>
      <c r="P105" s="27">
        <v>10</v>
      </c>
      <c r="Q105" s="27">
        <v>0</v>
      </c>
      <c r="R105" s="27">
        <v>70</v>
      </c>
      <c r="S105" s="27">
        <v>0</v>
      </c>
      <c r="T105" s="27">
        <v>10</v>
      </c>
      <c r="U105" s="27">
        <v>71</v>
      </c>
      <c r="V105" s="27">
        <v>11</v>
      </c>
      <c r="W105" s="27">
        <v>0</v>
      </c>
      <c r="X105" s="27">
        <v>82.5</v>
      </c>
      <c r="Y105" s="27">
        <v>0</v>
      </c>
      <c r="Z105" s="27">
        <v>15</v>
      </c>
      <c r="AA105" s="27">
        <v>80.5</v>
      </c>
      <c r="AB105" s="27">
        <v>0</v>
      </c>
      <c r="AC105" s="27">
        <v>20</v>
      </c>
      <c r="AD105" s="27">
        <v>50</v>
      </c>
      <c r="AE105" s="27">
        <v>0</v>
      </c>
      <c r="AF105" s="27">
        <v>0</v>
      </c>
      <c r="AG105" s="26">
        <f t="shared" si="4"/>
        <v>814.75</v>
      </c>
      <c r="AH105" s="26">
        <f t="shared" si="5"/>
        <v>31.75</v>
      </c>
      <c r="AI105" s="26">
        <f t="shared" si="6"/>
        <v>45</v>
      </c>
      <c r="AJ105" s="15" t="s">
        <v>11</v>
      </c>
      <c r="AK105" s="15" t="s">
        <v>11</v>
      </c>
      <c r="AL105" s="15" t="s">
        <v>317</v>
      </c>
      <c r="AM105" s="19">
        <v>44646</v>
      </c>
    </row>
    <row r="106" spans="1:39" x14ac:dyDescent="0.2">
      <c r="A106" s="15" t="str">
        <f t="shared" si="7"/>
        <v>818523175288</v>
      </c>
      <c r="B106" s="14">
        <v>818523</v>
      </c>
      <c r="C106" s="14" t="s">
        <v>519</v>
      </c>
      <c r="D106" s="14">
        <v>175288</v>
      </c>
      <c r="E106" s="18" t="s">
        <v>58</v>
      </c>
      <c r="F106" s="26">
        <v>155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7">
        <v>0</v>
      </c>
      <c r="P106" s="27">
        <v>0</v>
      </c>
      <c r="Q106" s="27">
        <v>0</v>
      </c>
      <c r="R106" s="27">
        <v>0</v>
      </c>
      <c r="S106" s="27">
        <v>0</v>
      </c>
      <c r="T106" s="27">
        <v>0</v>
      </c>
      <c r="U106" s="27">
        <v>0</v>
      </c>
      <c r="V106" s="27">
        <v>0</v>
      </c>
      <c r="W106" s="27">
        <v>0</v>
      </c>
      <c r="X106" s="27">
        <v>0</v>
      </c>
      <c r="Y106" s="27">
        <v>0</v>
      </c>
      <c r="Z106" s="27">
        <v>0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26">
        <f t="shared" si="4"/>
        <v>155</v>
      </c>
      <c r="AH106" s="26">
        <f t="shared" si="5"/>
        <v>0</v>
      </c>
      <c r="AI106" s="26">
        <f t="shared" si="6"/>
        <v>0</v>
      </c>
      <c r="AJ106" s="15" t="s">
        <v>11</v>
      </c>
      <c r="AK106" s="15" t="s">
        <v>11</v>
      </c>
      <c r="AL106" s="15" t="s">
        <v>317</v>
      </c>
      <c r="AM106" s="19">
        <v>44649</v>
      </c>
    </row>
    <row r="107" spans="1:39" x14ac:dyDescent="0.2">
      <c r="A107" s="15" t="str">
        <f t="shared" si="7"/>
        <v>818702140481</v>
      </c>
      <c r="B107" s="14">
        <v>818702</v>
      </c>
      <c r="C107" s="14" t="s">
        <v>525</v>
      </c>
      <c r="D107" s="14">
        <v>140481</v>
      </c>
      <c r="E107" s="18" t="s">
        <v>35</v>
      </c>
      <c r="F107" s="26">
        <v>25</v>
      </c>
      <c r="G107" s="26">
        <v>0</v>
      </c>
      <c r="H107" s="26">
        <v>0</v>
      </c>
      <c r="I107" s="26">
        <v>46</v>
      </c>
      <c r="J107" s="26">
        <v>0</v>
      </c>
      <c r="K107" s="26">
        <v>0</v>
      </c>
      <c r="L107" s="26">
        <v>35</v>
      </c>
      <c r="M107" s="26">
        <v>0</v>
      </c>
      <c r="N107" s="26">
        <v>0</v>
      </c>
      <c r="O107" s="27">
        <v>45</v>
      </c>
      <c r="P107" s="27">
        <v>0</v>
      </c>
      <c r="Q107" s="27">
        <v>0</v>
      </c>
      <c r="R107" s="27">
        <v>55</v>
      </c>
      <c r="S107" s="27">
        <v>0</v>
      </c>
      <c r="T107" s="27">
        <v>10</v>
      </c>
      <c r="U107" s="27">
        <v>40</v>
      </c>
      <c r="V107" s="27">
        <v>0</v>
      </c>
      <c r="W107" s="27">
        <v>7</v>
      </c>
      <c r="X107" s="27">
        <v>43.5</v>
      </c>
      <c r="Y107" s="27">
        <v>0</v>
      </c>
      <c r="Z107" s="27">
        <v>0</v>
      </c>
      <c r="AA107" s="27">
        <v>46.95</v>
      </c>
      <c r="AB107" s="27">
        <v>0</v>
      </c>
      <c r="AC107" s="27">
        <v>0</v>
      </c>
      <c r="AD107" s="27">
        <v>73.5</v>
      </c>
      <c r="AE107" s="27">
        <v>2.5</v>
      </c>
      <c r="AF107" s="27">
        <v>30</v>
      </c>
      <c r="AG107" s="26">
        <f t="shared" si="4"/>
        <v>409.95</v>
      </c>
      <c r="AH107" s="26">
        <f t="shared" si="5"/>
        <v>2.5</v>
      </c>
      <c r="AI107" s="26">
        <f t="shared" si="6"/>
        <v>47</v>
      </c>
      <c r="AJ107" s="15" t="s">
        <v>11</v>
      </c>
      <c r="AK107" s="15" t="s">
        <v>11</v>
      </c>
      <c r="AL107" s="15" t="s">
        <v>317</v>
      </c>
      <c r="AM107" s="19">
        <v>44671</v>
      </c>
    </row>
    <row r="108" spans="1:39" x14ac:dyDescent="0.2">
      <c r="A108" s="15" t="str">
        <f t="shared" si="7"/>
        <v>818765140927</v>
      </c>
      <c r="B108" s="14">
        <v>818765</v>
      </c>
      <c r="C108" s="14" t="s">
        <v>526</v>
      </c>
      <c r="D108" s="16">
        <v>140927</v>
      </c>
      <c r="E108" s="18" t="s">
        <v>34</v>
      </c>
      <c r="F108" s="26">
        <v>25</v>
      </c>
      <c r="G108" s="26">
        <v>0</v>
      </c>
      <c r="H108" s="26">
        <v>0</v>
      </c>
      <c r="I108" s="26">
        <v>10</v>
      </c>
      <c r="J108" s="26">
        <v>0</v>
      </c>
      <c r="K108" s="26">
        <v>0</v>
      </c>
      <c r="L108" s="26">
        <v>43.7</v>
      </c>
      <c r="M108" s="26">
        <v>0</v>
      </c>
      <c r="N108" s="26">
        <v>0</v>
      </c>
      <c r="O108" s="27">
        <v>30</v>
      </c>
      <c r="P108" s="27">
        <v>0</v>
      </c>
      <c r="Q108" s="27">
        <v>0</v>
      </c>
      <c r="R108" s="27">
        <v>30</v>
      </c>
      <c r="S108" s="27">
        <v>0</v>
      </c>
      <c r="T108" s="27">
        <v>0</v>
      </c>
      <c r="U108" s="27">
        <v>30</v>
      </c>
      <c r="V108" s="27">
        <v>0</v>
      </c>
      <c r="W108" s="27">
        <v>0</v>
      </c>
      <c r="X108" s="27">
        <v>20</v>
      </c>
      <c r="Y108" s="27">
        <v>0</v>
      </c>
      <c r="Z108" s="27">
        <v>10</v>
      </c>
      <c r="AA108" s="27">
        <v>27.5</v>
      </c>
      <c r="AB108" s="27">
        <v>0</v>
      </c>
      <c r="AC108" s="27">
        <v>5</v>
      </c>
      <c r="AD108" s="27">
        <v>50</v>
      </c>
      <c r="AE108" s="27">
        <v>0</v>
      </c>
      <c r="AF108" s="27">
        <v>9</v>
      </c>
      <c r="AG108" s="26">
        <f t="shared" si="4"/>
        <v>266.2</v>
      </c>
      <c r="AH108" s="26">
        <f t="shared" si="5"/>
        <v>0</v>
      </c>
      <c r="AI108" s="26">
        <f t="shared" si="6"/>
        <v>24</v>
      </c>
      <c r="AJ108" s="15" t="s">
        <v>11</v>
      </c>
      <c r="AK108" s="15" t="s">
        <v>11</v>
      </c>
      <c r="AL108" s="15" t="s">
        <v>317</v>
      </c>
      <c r="AM108" s="19">
        <v>44678</v>
      </c>
    </row>
    <row r="109" spans="1:39" x14ac:dyDescent="0.2">
      <c r="A109" s="15" t="str">
        <f t="shared" si="7"/>
        <v>818765170204</v>
      </c>
      <c r="B109" s="14">
        <v>818765</v>
      </c>
      <c r="C109" s="14" t="s">
        <v>526</v>
      </c>
      <c r="D109" s="16">
        <v>170204</v>
      </c>
      <c r="E109" s="18" t="s">
        <v>2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7">
        <v>0</v>
      </c>
      <c r="P109" s="27">
        <v>0</v>
      </c>
      <c r="Q109" s="27">
        <v>0</v>
      </c>
      <c r="R109" s="27">
        <v>27</v>
      </c>
      <c r="S109" s="27">
        <v>0</v>
      </c>
      <c r="T109" s="27">
        <v>0</v>
      </c>
      <c r="U109" s="27">
        <v>0</v>
      </c>
      <c r="V109" s="27">
        <v>0</v>
      </c>
      <c r="W109" s="27">
        <v>0</v>
      </c>
      <c r="X109" s="27">
        <v>0</v>
      </c>
      <c r="Y109" s="27">
        <v>0</v>
      </c>
      <c r="Z109" s="27">
        <v>0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0</v>
      </c>
      <c r="AG109" s="26">
        <f t="shared" ref="AG109:AG172" si="8">SUMIF($F$2:$AF$2,"Total",F109:AF109)</f>
        <v>27</v>
      </c>
      <c r="AH109" s="26">
        <f t="shared" ref="AH109:AH172" si="9">SUMIF($F$2:$AF$2,"WS",F109:AF109)</f>
        <v>0</v>
      </c>
      <c r="AI109" s="26">
        <f t="shared" ref="AI109:AI172" si="10">SUMIF($F$2:$AF$2,"PPCSS",F109:AF109)</f>
        <v>0</v>
      </c>
      <c r="AJ109" s="15" t="s">
        <v>11</v>
      </c>
      <c r="AK109" s="15" t="s">
        <v>11</v>
      </c>
      <c r="AL109" s="15" t="s">
        <v>317</v>
      </c>
      <c r="AM109" s="19">
        <v>44678</v>
      </c>
    </row>
    <row r="110" spans="1:39" x14ac:dyDescent="0.2">
      <c r="A110" s="15" t="str">
        <f t="shared" si="7"/>
        <v>818765210619</v>
      </c>
      <c r="B110" s="14">
        <v>818765</v>
      </c>
      <c r="C110" s="14" t="s">
        <v>526</v>
      </c>
      <c r="D110" s="16">
        <v>210619</v>
      </c>
      <c r="E110" s="18" t="s">
        <v>469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7">
        <v>0</v>
      </c>
      <c r="P110" s="27">
        <v>0</v>
      </c>
      <c r="Q110" s="27">
        <v>0</v>
      </c>
      <c r="R110" s="27">
        <v>10</v>
      </c>
      <c r="S110" s="27">
        <v>0</v>
      </c>
      <c r="T110" s="27">
        <v>0</v>
      </c>
      <c r="U110" s="27">
        <v>0</v>
      </c>
      <c r="V110" s="27">
        <v>0</v>
      </c>
      <c r="W110" s="27">
        <v>0</v>
      </c>
      <c r="X110" s="27">
        <v>0</v>
      </c>
      <c r="Y110" s="27">
        <v>0</v>
      </c>
      <c r="Z110" s="27">
        <v>0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6">
        <f t="shared" si="8"/>
        <v>10</v>
      </c>
      <c r="AH110" s="26">
        <f t="shared" si="9"/>
        <v>0</v>
      </c>
      <c r="AI110" s="26">
        <f t="shared" si="10"/>
        <v>0</v>
      </c>
      <c r="AJ110" s="15" t="s">
        <v>11</v>
      </c>
      <c r="AK110" s="15" t="s">
        <v>11</v>
      </c>
      <c r="AL110" s="15" t="s">
        <v>317</v>
      </c>
      <c r="AM110" s="19">
        <v>44678</v>
      </c>
    </row>
    <row r="111" spans="1:39" x14ac:dyDescent="0.2">
      <c r="A111" s="15" t="str">
        <f t="shared" si="7"/>
        <v>818782140481</v>
      </c>
      <c r="B111" s="14">
        <v>818782</v>
      </c>
      <c r="C111" s="14" t="s">
        <v>538</v>
      </c>
      <c r="D111" s="16">
        <v>140481</v>
      </c>
      <c r="E111" s="18" t="s">
        <v>35</v>
      </c>
      <c r="F111" s="26">
        <v>0</v>
      </c>
      <c r="G111" s="26">
        <v>0</v>
      </c>
      <c r="H111" s="26">
        <v>0</v>
      </c>
      <c r="I111" s="26">
        <v>10</v>
      </c>
      <c r="J111" s="26">
        <v>0</v>
      </c>
      <c r="K111" s="26">
        <v>0</v>
      </c>
      <c r="L111" s="26">
        <v>10</v>
      </c>
      <c r="M111" s="26">
        <v>0</v>
      </c>
      <c r="N111" s="26">
        <v>0</v>
      </c>
      <c r="O111" s="27">
        <v>0</v>
      </c>
      <c r="P111" s="27">
        <v>0</v>
      </c>
      <c r="Q111" s="27">
        <v>0</v>
      </c>
      <c r="R111" s="27">
        <v>0</v>
      </c>
      <c r="S111" s="27">
        <v>0</v>
      </c>
      <c r="T111" s="27">
        <v>0</v>
      </c>
      <c r="U111" s="27">
        <v>0</v>
      </c>
      <c r="V111" s="27">
        <v>0</v>
      </c>
      <c r="W111" s="27">
        <v>0</v>
      </c>
      <c r="X111" s="27">
        <v>0</v>
      </c>
      <c r="Y111" s="27">
        <v>0</v>
      </c>
      <c r="Z111" s="27">
        <v>0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6">
        <f t="shared" si="8"/>
        <v>20</v>
      </c>
      <c r="AH111" s="26">
        <f t="shared" si="9"/>
        <v>0</v>
      </c>
      <c r="AI111" s="26">
        <f t="shared" si="10"/>
        <v>0</v>
      </c>
      <c r="AJ111" s="15" t="s">
        <v>11</v>
      </c>
      <c r="AK111" s="15" t="s">
        <v>11</v>
      </c>
      <c r="AL111" s="15" t="s">
        <v>317</v>
      </c>
      <c r="AM111" s="19">
        <v>44679</v>
      </c>
    </row>
    <row r="112" spans="1:39" x14ac:dyDescent="0.2">
      <c r="A112" s="15" t="str">
        <f t="shared" si="7"/>
        <v>818883211046</v>
      </c>
      <c r="B112" s="14">
        <v>818883</v>
      </c>
      <c r="C112" s="14" t="s">
        <v>559</v>
      </c>
      <c r="D112" s="16">
        <v>211046</v>
      </c>
      <c r="E112" s="18" t="s">
        <v>560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7">
        <v>15</v>
      </c>
      <c r="P112" s="27">
        <v>0</v>
      </c>
      <c r="Q112" s="27">
        <v>5</v>
      </c>
      <c r="R112" s="27">
        <v>20</v>
      </c>
      <c r="S112" s="27">
        <v>0</v>
      </c>
      <c r="T112" s="27">
        <v>8.25</v>
      </c>
      <c r="U112" s="27">
        <v>69.150000000000006</v>
      </c>
      <c r="V112" s="27">
        <v>0</v>
      </c>
      <c r="W112" s="27">
        <v>15</v>
      </c>
      <c r="X112" s="27">
        <v>34</v>
      </c>
      <c r="Y112" s="27">
        <v>0</v>
      </c>
      <c r="Z112" s="27">
        <v>10</v>
      </c>
      <c r="AA112" s="27">
        <v>36</v>
      </c>
      <c r="AB112" s="27">
        <v>0</v>
      </c>
      <c r="AC112" s="27">
        <v>6</v>
      </c>
      <c r="AD112" s="27">
        <v>68</v>
      </c>
      <c r="AE112" s="27">
        <v>0</v>
      </c>
      <c r="AF112" s="27">
        <v>17.5</v>
      </c>
      <c r="AG112" s="26">
        <f t="shared" si="8"/>
        <v>242.15</v>
      </c>
      <c r="AH112" s="26">
        <f t="shared" si="9"/>
        <v>0</v>
      </c>
      <c r="AI112" s="26">
        <f t="shared" si="10"/>
        <v>61.75</v>
      </c>
      <c r="AJ112" s="15" t="s">
        <v>11</v>
      </c>
      <c r="AK112" s="15" t="s">
        <v>11</v>
      </c>
      <c r="AL112" s="15" t="s">
        <v>317</v>
      </c>
      <c r="AM112" s="19">
        <v>44690</v>
      </c>
    </row>
    <row r="113" spans="1:39" x14ac:dyDescent="0.2">
      <c r="A113" s="15" t="str">
        <f t="shared" si="7"/>
        <v>818883179893</v>
      </c>
      <c r="B113" s="14">
        <v>818883</v>
      </c>
      <c r="C113" s="14" t="s">
        <v>559</v>
      </c>
      <c r="D113" s="16" t="s">
        <v>584</v>
      </c>
      <c r="E113" s="18" t="s">
        <v>155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7">
        <v>0</v>
      </c>
      <c r="P113" s="27">
        <v>0</v>
      </c>
      <c r="Q113" s="27">
        <v>0</v>
      </c>
      <c r="R113" s="27">
        <v>10</v>
      </c>
      <c r="S113" s="27">
        <v>0</v>
      </c>
      <c r="T113" s="27">
        <v>0</v>
      </c>
      <c r="U113" s="27">
        <v>0</v>
      </c>
      <c r="V113" s="27">
        <v>0</v>
      </c>
      <c r="W113" s="27">
        <v>0</v>
      </c>
      <c r="X113" s="27">
        <v>0</v>
      </c>
      <c r="Y113" s="27">
        <v>0</v>
      </c>
      <c r="Z113" s="27">
        <v>0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0</v>
      </c>
      <c r="AG113" s="26">
        <f t="shared" si="8"/>
        <v>10</v>
      </c>
      <c r="AH113" s="26">
        <f t="shared" si="9"/>
        <v>0</v>
      </c>
      <c r="AI113" s="26">
        <f t="shared" si="10"/>
        <v>0</v>
      </c>
      <c r="AJ113" s="15" t="s">
        <v>11</v>
      </c>
      <c r="AK113" s="15" t="s">
        <v>11</v>
      </c>
      <c r="AL113" s="15" t="s">
        <v>317</v>
      </c>
      <c r="AM113" s="19">
        <v>44690</v>
      </c>
    </row>
    <row r="114" spans="1:39" x14ac:dyDescent="0.2">
      <c r="A114" s="15" t="str">
        <f t="shared" si="7"/>
        <v>818884210696</v>
      </c>
      <c r="B114" s="14">
        <v>818884</v>
      </c>
      <c r="C114" s="14" t="s">
        <v>532</v>
      </c>
      <c r="D114" s="16">
        <v>210696</v>
      </c>
      <c r="E114" s="18" t="s">
        <v>533</v>
      </c>
      <c r="F114" s="26">
        <v>0</v>
      </c>
      <c r="G114" s="26">
        <v>0</v>
      </c>
      <c r="H114" s="26">
        <v>0</v>
      </c>
      <c r="I114" s="26">
        <v>20</v>
      </c>
      <c r="J114" s="26">
        <v>0</v>
      </c>
      <c r="K114" s="26">
        <v>0</v>
      </c>
      <c r="L114" s="26">
        <v>50</v>
      </c>
      <c r="M114" s="26">
        <v>0</v>
      </c>
      <c r="N114" s="26">
        <v>0</v>
      </c>
      <c r="O114" s="27">
        <v>50</v>
      </c>
      <c r="P114" s="27">
        <v>0</v>
      </c>
      <c r="Q114" s="27">
        <v>0</v>
      </c>
      <c r="R114" s="27">
        <v>41.25</v>
      </c>
      <c r="S114" s="27">
        <v>0.25</v>
      </c>
      <c r="T114" s="27">
        <v>0</v>
      </c>
      <c r="U114" s="27">
        <v>52.5</v>
      </c>
      <c r="V114" s="27">
        <v>0</v>
      </c>
      <c r="W114" s="27">
        <v>10</v>
      </c>
      <c r="X114" s="27">
        <v>98</v>
      </c>
      <c r="Y114" s="27">
        <v>13</v>
      </c>
      <c r="Z114" s="27">
        <v>17.5</v>
      </c>
      <c r="AA114" s="27">
        <v>65</v>
      </c>
      <c r="AB114" s="27">
        <v>0</v>
      </c>
      <c r="AC114" s="27">
        <v>0</v>
      </c>
      <c r="AD114" s="27">
        <v>71</v>
      </c>
      <c r="AE114" s="27">
        <v>0</v>
      </c>
      <c r="AF114" s="27">
        <v>0</v>
      </c>
      <c r="AG114" s="26">
        <f t="shared" si="8"/>
        <v>447.75</v>
      </c>
      <c r="AH114" s="26">
        <f t="shared" si="9"/>
        <v>13.25</v>
      </c>
      <c r="AI114" s="26">
        <f t="shared" si="10"/>
        <v>27.5</v>
      </c>
      <c r="AJ114" s="15" t="s">
        <v>11</v>
      </c>
      <c r="AK114" s="15" t="s">
        <v>11</v>
      </c>
      <c r="AL114" s="15" t="s">
        <v>317</v>
      </c>
      <c r="AM114" s="19">
        <v>44690</v>
      </c>
    </row>
    <row r="115" spans="1:39" x14ac:dyDescent="0.2">
      <c r="A115" s="15" t="str">
        <f t="shared" si="7"/>
        <v>819325210619</v>
      </c>
      <c r="B115" s="14">
        <v>819325</v>
      </c>
      <c r="C115" s="14" t="s">
        <v>561</v>
      </c>
      <c r="D115" s="16">
        <v>210619</v>
      </c>
      <c r="E115" s="18" t="s">
        <v>469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7">
        <v>40</v>
      </c>
      <c r="P115" s="27">
        <v>0</v>
      </c>
      <c r="Q115" s="27">
        <v>0</v>
      </c>
      <c r="R115" s="27">
        <v>26</v>
      </c>
      <c r="S115" s="27">
        <v>0</v>
      </c>
      <c r="T115" s="27">
        <v>0</v>
      </c>
      <c r="U115" s="27">
        <v>15</v>
      </c>
      <c r="V115" s="27">
        <v>0</v>
      </c>
      <c r="W115" s="27">
        <v>0</v>
      </c>
      <c r="X115" s="27">
        <v>0</v>
      </c>
      <c r="Y115" s="27">
        <v>0</v>
      </c>
      <c r="Z115" s="27">
        <v>0</v>
      </c>
      <c r="AA115" s="27">
        <v>0</v>
      </c>
      <c r="AB115" s="27">
        <v>0</v>
      </c>
      <c r="AC115" s="27">
        <v>0</v>
      </c>
      <c r="AD115" s="27">
        <v>10</v>
      </c>
      <c r="AE115" s="27">
        <v>0</v>
      </c>
      <c r="AF115" s="27">
        <v>0</v>
      </c>
      <c r="AG115" s="26">
        <f t="shared" si="8"/>
        <v>91</v>
      </c>
      <c r="AH115" s="26">
        <f t="shared" si="9"/>
        <v>0</v>
      </c>
      <c r="AI115" s="26">
        <f t="shared" si="10"/>
        <v>0</v>
      </c>
      <c r="AJ115" s="15" t="s">
        <v>11</v>
      </c>
      <c r="AK115" s="15" t="s">
        <v>11</v>
      </c>
      <c r="AL115" s="15" t="s">
        <v>317</v>
      </c>
      <c r="AM115" s="19">
        <v>44725</v>
      </c>
    </row>
    <row r="116" spans="1:39" x14ac:dyDescent="0.2">
      <c r="A116" s="15" t="str">
        <f t="shared" si="7"/>
        <v>819326210619</v>
      </c>
      <c r="B116" s="14">
        <v>819326</v>
      </c>
      <c r="C116" s="14" t="s">
        <v>547</v>
      </c>
      <c r="D116" s="16">
        <v>210619</v>
      </c>
      <c r="E116" s="18" t="s">
        <v>469</v>
      </c>
      <c r="F116" s="26">
        <v>0</v>
      </c>
      <c r="G116" s="26">
        <v>0</v>
      </c>
      <c r="H116" s="26">
        <v>0</v>
      </c>
      <c r="I116" s="26">
        <v>0</v>
      </c>
      <c r="J116" s="26">
        <v>0</v>
      </c>
      <c r="K116" s="26">
        <v>0</v>
      </c>
      <c r="L116" s="26">
        <v>15</v>
      </c>
      <c r="M116" s="26">
        <v>0</v>
      </c>
      <c r="N116" s="26">
        <v>0</v>
      </c>
      <c r="O116" s="27">
        <v>90</v>
      </c>
      <c r="P116" s="27">
        <v>10</v>
      </c>
      <c r="Q116" s="27">
        <v>0</v>
      </c>
      <c r="R116" s="27">
        <v>95</v>
      </c>
      <c r="S116" s="27">
        <v>10</v>
      </c>
      <c r="T116" s="27">
        <v>0</v>
      </c>
      <c r="U116" s="27">
        <v>102</v>
      </c>
      <c r="V116" s="27">
        <v>0</v>
      </c>
      <c r="W116" s="27">
        <v>0</v>
      </c>
      <c r="X116" s="27">
        <v>42.5</v>
      </c>
      <c r="Y116" s="27">
        <v>0</v>
      </c>
      <c r="Z116" s="27">
        <v>20</v>
      </c>
      <c r="AA116" s="27">
        <v>0</v>
      </c>
      <c r="AB116" s="27">
        <v>0</v>
      </c>
      <c r="AC116" s="27">
        <v>0</v>
      </c>
      <c r="AD116" s="27">
        <v>90.5</v>
      </c>
      <c r="AE116" s="27">
        <v>0</v>
      </c>
      <c r="AF116" s="27">
        <v>0</v>
      </c>
      <c r="AG116" s="26">
        <f t="shared" si="8"/>
        <v>435</v>
      </c>
      <c r="AH116" s="26">
        <f t="shared" si="9"/>
        <v>20</v>
      </c>
      <c r="AI116" s="26">
        <f t="shared" si="10"/>
        <v>20</v>
      </c>
      <c r="AJ116" s="15" t="s">
        <v>11</v>
      </c>
      <c r="AK116" s="15" t="s">
        <v>11</v>
      </c>
      <c r="AL116" s="15" t="s">
        <v>317</v>
      </c>
      <c r="AM116" s="19">
        <v>44725</v>
      </c>
    </row>
    <row r="117" spans="1:39" x14ac:dyDescent="0.2">
      <c r="A117" s="15" t="str">
        <f t="shared" si="7"/>
        <v>819350210696</v>
      </c>
      <c r="B117" s="14">
        <v>819350</v>
      </c>
      <c r="C117" s="14" t="s">
        <v>31</v>
      </c>
      <c r="D117" s="16">
        <v>210696</v>
      </c>
      <c r="E117" s="18" t="s">
        <v>533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70.050000000000011</v>
      </c>
      <c r="M117" s="26">
        <v>0</v>
      </c>
      <c r="N117" s="26">
        <v>7.55</v>
      </c>
      <c r="O117" s="27">
        <v>65</v>
      </c>
      <c r="P117" s="27">
        <v>0</v>
      </c>
      <c r="Q117" s="27">
        <v>0</v>
      </c>
      <c r="R117" s="27">
        <v>20</v>
      </c>
      <c r="S117" s="27">
        <v>0</v>
      </c>
      <c r="T117" s="27">
        <v>0</v>
      </c>
      <c r="U117" s="27">
        <v>98</v>
      </c>
      <c r="V117" s="27">
        <v>8.5</v>
      </c>
      <c r="W117" s="27">
        <v>9</v>
      </c>
      <c r="X117" s="27">
        <v>118.35</v>
      </c>
      <c r="Y117" s="27">
        <v>10</v>
      </c>
      <c r="Z117" s="27">
        <v>20.85</v>
      </c>
      <c r="AA117" s="27">
        <v>60</v>
      </c>
      <c r="AB117" s="27">
        <v>7.5</v>
      </c>
      <c r="AC117" s="27">
        <v>0</v>
      </c>
      <c r="AD117" s="27">
        <v>110</v>
      </c>
      <c r="AE117" s="27">
        <v>0</v>
      </c>
      <c r="AF117" s="27">
        <v>15</v>
      </c>
      <c r="AG117" s="26">
        <f t="shared" si="8"/>
        <v>541.4</v>
      </c>
      <c r="AH117" s="26">
        <f t="shared" si="9"/>
        <v>26</v>
      </c>
      <c r="AI117" s="26">
        <f t="shared" si="10"/>
        <v>52.400000000000006</v>
      </c>
      <c r="AJ117" s="15" t="s">
        <v>11</v>
      </c>
      <c r="AK117" s="15" t="s">
        <v>11</v>
      </c>
      <c r="AL117" s="15" t="s">
        <v>317</v>
      </c>
      <c r="AM117" s="19">
        <v>44726</v>
      </c>
    </row>
    <row r="118" spans="1:39" x14ac:dyDescent="0.2">
      <c r="A118" s="15" t="str">
        <f t="shared" si="7"/>
        <v>819351210619</v>
      </c>
      <c r="B118" s="14">
        <v>819351</v>
      </c>
      <c r="C118" s="14" t="s">
        <v>563</v>
      </c>
      <c r="D118" s="16">
        <v>210619</v>
      </c>
      <c r="E118" s="18" t="s">
        <v>469</v>
      </c>
      <c r="F118" s="26">
        <v>0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7">
        <v>40</v>
      </c>
      <c r="P118" s="27">
        <v>0</v>
      </c>
      <c r="Q118" s="27">
        <v>0</v>
      </c>
      <c r="R118" s="27">
        <v>50</v>
      </c>
      <c r="S118" s="27">
        <v>0</v>
      </c>
      <c r="T118" s="27">
        <v>10</v>
      </c>
      <c r="U118" s="27">
        <v>0</v>
      </c>
      <c r="V118" s="27">
        <v>0</v>
      </c>
      <c r="W118" s="27">
        <v>0</v>
      </c>
      <c r="X118" s="27">
        <v>0</v>
      </c>
      <c r="Y118" s="27">
        <v>0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6">
        <f t="shared" si="8"/>
        <v>90</v>
      </c>
      <c r="AH118" s="26">
        <f t="shared" si="9"/>
        <v>0</v>
      </c>
      <c r="AI118" s="26">
        <f t="shared" si="10"/>
        <v>10</v>
      </c>
      <c r="AJ118" s="15" t="s">
        <v>11</v>
      </c>
      <c r="AK118" s="15" t="s">
        <v>11</v>
      </c>
      <c r="AL118" s="15" t="s">
        <v>317</v>
      </c>
      <c r="AM118" s="19">
        <v>44726</v>
      </c>
    </row>
    <row r="119" spans="1:39" x14ac:dyDescent="0.2">
      <c r="A119" s="15" t="str">
        <f t="shared" si="7"/>
        <v>819425210619</v>
      </c>
      <c r="B119" s="14">
        <v>819425</v>
      </c>
      <c r="C119" s="14" t="s">
        <v>526</v>
      </c>
      <c r="D119" s="16" t="s">
        <v>585</v>
      </c>
      <c r="E119" s="18" t="s">
        <v>469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7">
        <v>0</v>
      </c>
      <c r="P119" s="27">
        <v>0</v>
      </c>
      <c r="Q119" s="27">
        <v>0</v>
      </c>
      <c r="R119" s="27">
        <v>15</v>
      </c>
      <c r="S119" s="27">
        <v>0</v>
      </c>
      <c r="T119" s="27">
        <v>0</v>
      </c>
      <c r="U119" s="27">
        <v>0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6">
        <f t="shared" si="8"/>
        <v>15</v>
      </c>
      <c r="AH119" s="26">
        <f t="shared" si="9"/>
        <v>0</v>
      </c>
      <c r="AI119" s="26">
        <f t="shared" si="10"/>
        <v>0</v>
      </c>
      <c r="AJ119" s="15" t="s">
        <v>11</v>
      </c>
      <c r="AK119" s="15" t="s">
        <v>11</v>
      </c>
      <c r="AL119" s="15" t="s">
        <v>317</v>
      </c>
      <c r="AM119" s="19">
        <v>44732</v>
      </c>
    </row>
    <row r="120" spans="1:39" x14ac:dyDescent="0.2">
      <c r="A120" s="15" t="str">
        <f t="shared" si="7"/>
        <v>819901149765</v>
      </c>
      <c r="B120" s="14">
        <v>819901</v>
      </c>
      <c r="C120" s="14" t="s">
        <v>576</v>
      </c>
      <c r="D120" s="16">
        <v>149765</v>
      </c>
      <c r="E120" s="18" t="s">
        <v>112</v>
      </c>
      <c r="F120" s="26">
        <v>0</v>
      </c>
      <c r="G120" s="26">
        <v>0</v>
      </c>
      <c r="H120" s="26">
        <v>0</v>
      </c>
      <c r="I120" s="26">
        <v>0</v>
      </c>
      <c r="J120" s="26">
        <v>0</v>
      </c>
      <c r="K120" s="26">
        <v>0</v>
      </c>
      <c r="L120" s="26">
        <v>0</v>
      </c>
      <c r="M120" s="26">
        <v>0</v>
      </c>
      <c r="N120" s="26">
        <v>0</v>
      </c>
      <c r="O120" s="27">
        <v>0</v>
      </c>
      <c r="P120" s="27">
        <v>0</v>
      </c>
      <c r="Q120" s="27">
        <v>0</v>
      </c>
      <c r="R120" s="27">
        <v>10</v>
      </c>
      <c r="S120" s="27">
        <v>0</v>
      </c>
      <c r="T120" s="27">
        <v>0</v>
      </c>
      <c r="U120" s="27">
        <v>10</v>
      </c>
      <c r="V120" s="27">
        <v>0</v>
      </c>
      <c r="W120" s="27">
        <v>0</v>
      </c>
      <c r="X120" s="27">
        <v>20</v>
      </c>
      <c r="Y120" s="27">
        <v>0</v>
      </c>
      <c r="Z120" s="27">
        <v>0</v>
      </c>
      <c r="AA120" s="27">
        <v>17.5</v>
      </c>
      <c r="AB120" s="27">
        <v>0</v>
      </c>
      <c r="AC120" s="27">
        <v>0</v>
      </c>
      <c r="AD120" s="27">
        <v>40</v>
      </c>
      <c r="AE120" s="27">
        <v>0</v>
      </c>
      <c r="AF120" s="27">
        <v>0</v>
      </c>
      <c r="AG120" s="26">
        <f t="shared" si="8"/>
        <v>97.5</v>
      </c>
      <c r="AH120" s="26">
        <f t="shared" si="9"/>
        <v>0</v>
      </c>
      <c r="AI120" s="26">
        <f t="shared" si="10"/>
        <v>0</v>
      </c>
      <c r="AJ120" s="15" t="s">
        <v>11</v>
      </c>
      <c r="AK120" s="15" t="s">
        <v>11</v>
      </c>
      <c r="AL120" s="15" t="s">
        <v>317</v>
      </c>
      <c r="AM120" s="19">
        <v>44765</v>
      </c>
    </row>
    <row r="121" spans="1:39" x14ac:dyDescent="0.2">
      <c r="A121" s="15" t="str">
        <f t="shared" si="7"/>
        <v>820092210619</v>
      </c>
      <c r="B121" s="14">
        <v>820092</v>
      </c>
      <c r="C121" s="14" t="s">
        <v>579</v>
      </c>
      <c r="D121" s="16">
        <v>210619</v>
      </c>
      <c r="E121" s="18" t="s">
        <v>469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0</v>
      </c>
      <c r="O121" s="27">
        <v>0</v>
      </c>
      <c r="P121" s="27">
        <v>0</v>
      </c>
      <c r="Q121" s="27">
        <v>0</v>
      </c>
      <c r="R121" s="27">
        <v>50</v>
      </c>
      <c r="S121" s="27">
        <v>0</v>
      </c>
      <c r="T121" s="27">
        <v>0</v>
      </c>
      <c r="U121" s="27">
        <v>58</v>
      </c>
      <c r="V121" s="27">
        <v>0</v>
      </c>
      <c r="W121" s="27">
        <v>0</v>
      </c>
      <c r="X121" s="27">
        <v>27.5</v>
      </c>
      <c r="Y121" s="27">
        <v>0</v>
      </c>
      <c r="Z121" s="27">
        <v>20</v>
      </c>
      <c r="AA121" s="27">
        <v>30</v>
      </c>
      <c r="AB121" s="27">
        <v>0</v>
      </c>
      <c r="AC121" s="27">
        <v>10</v>
      </c>
      <c r="AD121" s="27">
        <v>97</v>
      </c>
      <c r="AE121" s="27">
        <v>0</v>
      </c>
      <c r="AF121" s="27">
        <v>0</v>
      </c>
      <c r="AG121" s="26">
        <f t="shared" si="8"/>
        <v>262.5</v>
      </c>
      <c r="AH121" s="26">
        <f t="shared" si="9"/>
        <v>0</v>
      </c>
      <c r="AI121" s="26">
        <f t="shared" si="10"/>
        <v>30</v>
      </c>
      <c r="AJ121" s="15" t="s">
        <v>11</v>
      </c>
      <c r="AK121" s="15" t="s">
        <v>11</v>
      </c>
      <c r="AL121" s="15" t="s">
        <v>317</v>
      </c>
      <c r="AM121" s="19">
        <v>44781</v>
      </c>
    </row>
    <row r="122" spans="1:39" x14ac:dyDescent="0.2">
      <c r="A122" s="15" t="str">
        <f t="shared" si="7"/>
        <v>820149148557</v>
      </c>
      <c r="B122" s="14">
        <v>820149</v>
      </c>
      <c r="C122" s="14" t="s">
        <v>582</v>
      </c>
      <c r="D122" s="16">
        <v>148557</v>
      </c>
      <c r="E122" s="18" t="s">
        <v>10</v>
      </c>
      <c r="F122" s="26">
        <v>0</v>
      </c>
      <c r="G122" s="26">
        <v>0</v>
      </c>
      <c r="H122" s="26">
        <v>0</v>
      </c>
      <c r="I122" s="26">
        <v>0</v>
      </c>
      <c r="J122" s="26">
        <v>0</v>
      </c>
      <c r="K122" s="26">
        <v>0</v>
      </c>
      <c r="L122" s="26">
        <v>0</v>
      </c>
      <c r="M122" s="26">
        <v>0</v>
      </c>
      <c r="N122" s="26">
        <v>0</v>
      </c>
      <c r="O122" s="27">
        <v>0</v>
      </c>
      <c r="P122" s="27">
        <v>0</v>
      </c>
      <c r="Q122" s="27">
        <v>0</v>
      </c>
      <c r="R122" s="27">
        <v>30</v>
      </c>
      <c r="S122" s="27">
        <v>0</v>
      </c>
      <c r="T122" s="27">
        <v>0</v>
      </c>
      <c r="U122" s="27">
        <v>32.5</v>
      </c>
      <c r="V122" s="27">
        <v>0</v>
      </c>
      <c r="W122" s="27">
        <v>0</v>
      </c>
      <c r="X122" s="27">
        <v>46</v>
      </c>
      <c r="Y122" s="27">
        <v>0</v>
      </c>
      <c r="Z122" s="27">
        <v>0</v>
      </c>
      <c r="AA122" s="27">
        <v>110</v>
      </c>
      <c r="AB122" s="27">
        <v>0</v>
      </c>
      <c r="AC122" s="27">
        <v>0</v>
      </c>
      <c r="AD122" s="27">
        <v>212.35</v>
      </c>
      <c r="AE122" s="27">
        <v>0</v>
      </c>
      <c r="AF122" s="27">
        <v>0</v>
      </c>
      <c r="AG122" s="26">
        <f t="shared" si="8"/>
        <v>430.85</v>
      </c>
      <c r="AH122" s="26">
        <f t="shared" si="9"/>
        <v>0</v>
      </c>
      <c r="AI122" s="26">
        <f t="shared" si="10"/>
        <v>0</v>
      </c>
      <c r="AJ122" s="15" t="s">
        <v>11</v>
      </c>
      <c r="AK122" s="15" t="s">
        <v>11</v>
      </c>
      <c r="AL122" s="15" t="s">
        <v>317</v>
      </c>
      <c r="AM122" s="19">
        <v>44790</v>
      </c>
    </row>
    <row r="123" spans="1:39" x14ac:dyDescent="0.2">
      <c r="A123" s="15" t="str">
        <f t="shared" si="7"/>
        <v>804980210696</v>
      </c>
      <c r="B123" s="14">
        <v>804980</v>
      </c>
      <c r="C123" s="14" t="s">
        <v>229</v>
      </c>
      <c r="D123" s="16">
        <v>210696</v>
      </c>
      <c r="E123" s="18" t="s">
        <v>533</v>
      </c>
      <c r="F123" s="26">
        <v>0</v>
      </c>
      <c r="G123" s="26">
        <v>0</v>
      </c>
      <c r="H123" s="26">
        <v>0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  <c r="N123" s="26">
        <v>0</v>
      </c>
      <c r="O123" s="27">
        <v>0</v>
      </c>
      <c r="P123" s="27">
        <v>0</v>
      </c>
      <c r="Q123" s="27">
        <v>0</v>
      </c>
      <c r="R123" s="27">
        <v>0</v>
      </c>
      <c r="S123" s="27">
        <v>0</v>
      </c>
      <c r="T123" s="27">
        <v>0</v>
      </c>
      <c r="U123" s="27">
        <v>6.5</v>
      </c>
      <c r="V123" s="27">
        <v>0</v>
      </c>
      <c r="W123" s="27">
        <v>6.5</v>
      </c>
      <c r="X123" s="27">
        <v>0</v>
      </c>
      <c r="Y123" s="27">
        <v>0</v>
      </c>
      <c r="Z123" s="27">
        <v>0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6">
        <f t="shared" si="8"/>
        <v>6.5</v>
      </c>
      <c r="AH123" s="26">
        <f t="shared" si="9"/>
        <v>0</v>
      </c>
      <c r="AI123" s="26">
        <f t="shared" si="10"/>
        <v>6.5</v>
      </c>
      <c r="AJ123" s="15" t="s">
        <v>11</v>
      </c>
      <c r="AK123" s="15" t="s">
        <v>11</v>
      </c>
      <c r="AL123" s="15" t="s">
        <v>317</v>
      </c>
      <c r="AM123" s="19">
        <v>42485</v>
      </c>
    </row>
    <row r="124" spans="1:39" x14ac:dyDescent="0.2">
      <c r="A124" s="15" t="str">
        <f t="shared" si="7"/>
        <v>809569210696</v>
      </c>
      <c r="B124" s="14">
        <v>809569</v>
      </c>
      <c r="C124" s="14" t="s">
        <v>323</v>
      </c>
      <c r="D124" s="16">
        <v>210696</v>
      </c>
      <c r="E124" s="18" t="s">
        <v>533</v>
      </c>
      <c r="F124" s="26">
        <v>0</v>
      </c>
      <c r="G124" s="26">
        <v>0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  <c r="N124" s="26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5</v>
      </c>
      <c r="V124" s="27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6">
        <f t="shared" si="8"/>
        <v>5</v>
      </c>
      <c r="AH124" s="26">
        <f t="shared" si="9"/>
        <v>0</v>
      </c>
      <c r="AI124" s="26">
        <f t="shared" si="10"/>
        <v>0</v>
      </c>
      <c r="AJ124" s="15" t="s">
        <v>11</v>
      </c>
      <c r="AK124" s="15" t="s">
        <v>11</v>
      </c>
      <c r="AL124" s="15" t="s">
        <v>317</v>
      </c>
      <c r="AM124" s="19">
        <v>43602</v>
      </c>
    </row>
    <row r="125" spans="1:39" x14ac:dyDescent="0.2">
      <c r="A125" s="15" t="str">
        <f t="shared" si="7"/>
        <v>811522210696</v>
      </c>
      <c r="B125" s="14">
        <v>811522</v>
      </c>
      <c r="C125" s="14" t="s">
        <v>465</v>
      </c>
      <c r="D125" s="16">
        <v>210696</v>
      </c>
      <c r="E125" s="18" t="s">
        <v>533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7">
        <v>0</v>
      </c>
      <c r="P125" s="27">
        <v>0</v>
      </c>
      <c r="Q125" s="27">
        <v>0</v>
      </c>
      <c r="R125" s="27">
        <v>0</v>
      </c>
      <c r="S125" s="27">
        <v>0</v>
      </c>
      <c r="T125" s="27">
        <v>0</v>
      </c>
      <c r="U125" s="27">
        <v>5</v>
      </c>
      <c r="V125" s="27">
        <v>0</v>
      </c>
      <c r="W125" s="27">
        <v>5</v>
      </c>
      <c r="X125" s="27">
        <v>0</v>
      </c>
      <c r="Y125" s="27">
        <v>0</v>
      </c>
      <c r="Z125" s="27">
        <v>0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6">
        <f t="shared" si="8"/>
        <v>5</v>
      </c>
      <c r="AH125" s="26">
        <f t="shared" si="9"/>
        <v>0</v>
      </c>
      <c r="AI125" s="26">
        <f t="shared" si="10"/>
        <v>5</v>
      </c>
      <c r="AJ125" s="15" t="s">
        <v>11</v>
      </c>
      <c r="AK125" s="15" t="s">
        <v>11</v>
      </c>
      <c r="AL125" s="15" t="s">
        <v>317</v>
      </c>
      <c r="AM125" s="19">
        <v>43878</v>
      </c>
    </row>
    <row r="126" spans="1:39" x14ac:dyDescent="0.2">
      <c r="A126" s="15" t="str">
        <f t="shared" si="7"/>
        <v>818347202479</v>
      </c>
      <c r="B126" s="14">
        <v>818347</v>
      </c>
      <c r="C126" s="14" t="s">
        <v>308</v>
      </c>
      <c r="D126" s="16">
        <v>202479</v>
      </c>
      <c r="E126" s="18" t="s">
        <v>33</v>
      </c>
      <c r="F126" s="26">
        <v>0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26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25</v>
      </c>
      <c r="V126" s="27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6">
        <f t="shared" si="8"/>
        <v>25</v>
      </c>
      <c r="AH126" s="26">
        <f t="shared" si="9"/>
        <v>0</v>
      </c>
      <c r="AI126" s="26">
        <f t="shared" si="10"/>
        <v>0</v>
      </c>
      <c r="AJ126" s="15" t="s">
        <v>11</v>
      </c>
      <c r="AK126" s="15" t="s">
        <v>11</v>
      </c>
      <c r="AL126" s="15" t="s">
        <v>317</v>
      </c>
      <c r="AM126" s="19">
        <v>44632</v>
      </c>
    </row>
    <row r="127" spans="1:39" x14ac:dyDescent="0.2">
      <c r="A127" s="15" t="str">
        <f t="shared" si="7"/>
        <v>820460202479</v>
      </c>
      <c r="B127" s="14">
        <v>820460</v>
      </c>
      <c r="C127" s="14" t="s">
        <v>308</v>
      </c>
      <c r="D127" s="16">
        <v>202479</v>
      </c>
      <c r="E127" s="18" t="s">
        <v>33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7">
        <v>0</v>
      </c>
      <c r="P127" s="27">
        <v>0</v>
      </c>
      <c r="Q127" s="27">
        <v>0</v>
      </c>
      <c r="R127" s="27">
        <v>0</v>
      </c>
      <c r="S127" s="27">
        <v>0</v>
      </c>
      <c r="T127" s="27">
        <v>0</v>
      </c>
      <c r="U127" s="27">
        <v>50</v>
      </c>
      <c r="V127" s="27">
        <v>0</v>
      </c>
      <c r="W127" s="27">
        <v>7.5</v>
      </c>
      <c r="X127" s="27">
        <v>107.5</v>
      </c>
      <c r="Y127" s="27">
        <v>0</v>
      </c>
      <c r="Z127" s="27">
        <v>0</v>
      </c>
      <c r="AA127" s="27">
        <v>105.45</v>
      </c>
      <c r="AB127" s="27">
        <v>0</v>
      </c>
      <c r="AC127" s="27">
        <v>0</v>
      </c>
      <c r="AD127" s="27">
        <v>91</v>
      </c>
      <c r="AE127" s="27">
        <v>0</v>
      </c>
      <c r="AF127" s="27">
        <v>20</v>
      </c>
      <c r="AG127" s="26">
        <f t="shared" si="8"/>
        <v>353.95</v>
      </c>
      <c r="AH127" s="26">
        <f t="shared" si="9"/>
        <v>0</v>
      </c>
      <c r="AI127" s="26">
        <f t="shared" si="10"/>
        <v>27.5</v>
      </c>
      <c r="AJ127" s="15" t="s">
        <v>11</v>
      </c>
      <c r="AK127" s="15" t="s">
        <v>11</v>
      </c>
      <c r="AL127" s="15" t="s">
        <v>317</v>
      </c>
      <c r="AM127" s="19">
        <v>44813</v>
      </c>
    </row>
    <row r="128" spans="1:39" x14ac:dyDescent="0.2">
      <c r="A128" s="15" t="str">
        <f t="shared" si="7"/>
        <v>820094142984</v>
      </c>
      <c r="B128" s="14">
        <v>820094</v>
      </c>
      <c r="C128" s="14" t="s">
        <v>592</v>
      </c>
      <c r="D128" s="16">
        <v>142984</v>
      </c>
      <c r="E128" s="18" t="s">
        <v>88</v>
      </c>
      <c r="F128" s="26">
        <v>0</v>
      </c>
      <c r="G128" s="26">
        <v>0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  <c r="M128" s="26">
        <v>0</v>
      </c>
      <c r="N128" s="26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25</v>
      </c>
      <c r="V128" s="27">
        <v>0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6">
        <f t="shared" si="8"/>
        <v>25</v>
      </c>
      <c r="AH128" s="26">
        <f t="shared" si="9"/>
        <v>0</v>
      </c>
      <c r="AI128" s="26">
        <f t="shared" si="10"/>
        <v>0</v>
      </c>
      <c r="AJ128" s="15" t="s">
        <v>11</v>
      </c>
      <c r="AK128" s="15" t="s">
        <v>11</v>
      </c>
      <c r="AL128" s="15" t="s">
        <v>317</v>
      </c>
      <c r="AM128" s="19">
        <v>44781</v>
      </c>
    </row>
    <row r="129" spans="1:39" x14ac:dyDescent="0.2">
      <c r="A129" s="15" t="str">
        <f t="shared" si="7"/>
        <v>820288208736</v>
      </c>
      <c r="B129" s="14">
        <v>820288</v>
      </c>
      <c r="C129" s="14" t="s">
        <v>593</v>
      </c>
      <c r="D129" s="16">
        <v>208736</v>
      </c>
      <c r="E129" s="18" t="s">
        <v>103</v>
      </c>
      <c r="F129" s="26">
        <v>0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  <c r="N129" s="26">
        <v>0</v>
      </c>
      <c r="O129" s="27">
        <v>0</v>
      </c>
      <c r="P129" s="27">
        <v>0</v>
      </c>
      <c r="Q129" s="27">
        <v>0</v>
      </c>
      <c r="R129" s="27">
        <v>0</v>
      </c>
      <c r="S129" s="27">
        <v>0</v>
      </c>
      <c r="T129" s="27">
        <v>0</v>
      </c>
      <c r="U129" s="27">
        <v>15</v>
      </c>
      <c r="V129" s="27">
        <v>0</v>
      </c>
      <c r="W129" s="27">
        <v>0</v>
      </c>
      <c r="X129" s="27">
        <v>0</v>
      </c>
      <c r="Y129" s="27">
        <v>0</v>
      </c>
      <c r="Z129" s="27">
        <v>0</v>
      </c>
      <c r="AA129" s="27">
        <v>10</v>
      </c>
      <c r="AB129" s="27">
        <v>0</v>
      </c>
      <c r="AC129" s="27">
        <v>0</v>
      </c>
      <c r="AD129" s="27">
        <v>0</v>
      </c>
      <c r="AE129" s="27">
        <v>0</v>
      </c>
      <c r="AF129" s="27">
        <v>0</v>
      </c>
      <c r="AG129" s="26">
        <f t="shared" si="8"/>
        <v>25</v>
      </c>
      <c r="AH129" s="26">
        <f t="shared" si="9"/>
        <v>0</v>
      </c>
      <c r="AI129" s="26">
        <f t="shared" si="10"/>
        <v>0</v>
      </c>
      <c r="AJ129" s="15" t="s">
        <v>11</v>
      </c>
      <c r="AK129" s="15" t="s">
        <v>11</v>
      </c>
      <c r="AL129" s="15" t="s">
        <v>317</v>
      </c>
      <c r="AM129" s="19">
        <v>44800</v>
      </c>
    </row>
    <row r="130" spans="1:39" x14ac:dyDescent="0.2">
      <c r="A130" s="15" t="str">
        <f t="shared" si="7"/>
        <v>820492212976</v>
      </c>
      <c r="B130" s="14">
        <v>820492</v>
      </c>
      <c r="C130" s="14" t="s">
        <v>595</v>
      </c>
      <c r="D130" s="16">
        <v>212976</v>
      </c>
      <c r="E130" s="18" t="s">
        <v>596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7">
        <v>0</v>
      </c>
      <c r="P130" s="27">
        <v>0</v>
      </c>
      <c r="Q130" s="27">
        <v>0</v>
      </c>
      <c r="R130" s="27">
        <v>0</v>
      </c>
      <c r="S130" s="27">
        <v>0</v>
      </c>
      <c r="T130" s="27">
        <v>0</v>
      </c>
      <c r="U130" s="27">
        <v>85</v>
      </c>
      <c r="V130" s="27">
        <v>0</v>
      </c>
      <c r="W130" s="27">
        <v>25</v>
      </c>
      <c r="X130" s="27">
        <v>116.3</v>
      </c>
      <c r="Y130" s="27">
        <v>8.8000000000000007</v>
      </c>
      <c r="Z130" s="27">
        <v>0</v>
      </c>
      <c r="AA130" s="27">
        <v>118</v>
      </c>
      <c r="AB130" s="27">
        <v>15</v>
      </c>
      <c r="AC130" s="27">
        <v>18</v>
      </c>
      <c r="AD130" s="27">
        <v>138.6</v>
      </c>
      <c r="AE130" s="27">
        <v>0</v>
      </c>
      <c r="AF130" s="27">
        <v>0</v>
      </c>
      <c r="AG130" s="26">
        <f t="shared" si="8"/>
        <v>457.9</v>
      </c>
      <c r="AH130" s="26">
        <f t="shared" si="9"/>
        <v>23.8</v>
      </c>
      <c r="AI130" s="26">
        <f t="shared" si="10"/>
        <v>43</v>
      </c>
      <c r="AJ130" s="15" t="s">
        <v>11</v>
      </c>
      <c r="AK130" s="15" t="s">
        <v>11</v>
      </c>
      <c r="AL130" s="15" t="s">
        <v>317</v>
      </c>
      <c r="AM130" s="19">
        <v>44817</v>
      </c>
    </row>
    <row r="131" spans="1:39" x14ac:dyDescent="0.2">
      <c r="A131" s="15" t="str">
        <f t="shared" ref="A131:A194" si="11">B131&amp;D131</f>
        <v>820484148557</v>
      </c>
      <c r="B131" s="14">
        <v>820484</v>
      </c>
      <c r="C131" s="14" t="s">
        <v>598</v>
      </c>
      <c r="D131" s="16">
        <v>148557</v>
      </c>
      <c r="E131" s="18" t="s">
        <v>10</v>
      </c>
      <c r="F131" s="26">
        <v>0</v>
      </c>
      <c r="G131" s="26">
        <v>0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26">
        <v>0</v>
      </c>
      <c r="N131" s="26">
        <v>0</v>
      </c>
      <c r="O131" s="27">
        <v>0</v>
      </c>
      <c r="P131" s="27">
        <v>0</v>
      </c>
      <c r="Q131" s="27">
        <v>0</v>
      </c>
      <c r="R131" s="27">
        <v>0</v>
      </c>
      <c r="S131" s="27">
        <v>0</v>
      </c>
      <c r="T131" s="27">
        <v>0</v>
      </c>
      <c r="U131" s="27">
        <v>15</v>
      </c>
      <c r="V131" s="27">
        <v>0</v>
      </c>
      <c r="W131" s="27">
        <v>0</v>
      </c>
      <c r="X131" s="27">
        <v>0</v>
      </c>
      <c r="Y131" s="27">
        <v>0</v>
      </c>
      <c r="Z131" s="27">
        <v>0</v>
      </c>
      <c r="AA131" s="27">
        <v>28</v>
      </c>
      <c r="AB131" s="27">
        <v>0</v>
      </c>
      <c r="AC131" s="27">
        <v>0</v>
      </c>
      <c r="AD131" s="27">
        <v>22</v>
      </c>
      <c r="AE131" s="27">
        <v>0</v>
      </c>
      <c r="AF131" s="27">
        <v>0</v>
      </c>
      <c r="AG131" s="26">
        <f t="shared" si="8"/>
        <v>65</v>
      </c>
      <c r="AH131" s="26">
        <f t="shared" si="9"/>
        <v>0</v>
      </c>
      <c r="AI131" s="26">
        <f t="shared" si="10"/>
        <v>0</v>
      </c>
      <c r="AJ131" s="15" t="s">
        <v>11</v>
      </c>
      <c r="AK131" s="15" t="s">
        <v>11</v>
      </c>
      <c r="AL131" s="15" t="s">
        <v>317</v>
      </c>
      <c r="AM131" s="19">
        <v>44816</v>
      </c>
    </row>
    <row r="132" spans="1:39" x14ac:dyDescent="0.2">
      <c r="A132" s="15" t="str">
        <f t="shared" si="11"/>
        <v>820559173310</v>
      </c>
      <c r="B132" s="14">
        <v>820559</v>
      </c>
      <c r="C132" s="14" t="s">
        <v>20</v>
      </c>
      <c r="D132" s="16">
        <v>173310</v>
      </c>
      <c r="E132" s="18" t="s">
        <v>169</v>
      </c>
      <c r="F132" s="26">
        <v>0</v>
      </c>
      <c r="G132" s="26">
        <v>0</v>
      </c>
      <c r="H132" s="26">
        <v>0</v>
      </c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7">
        <v>0</v>
      </c>
      <c r="P132" s="27">
        <v>0</v>
      </c>
      <c r="Q132" s="27">
        <v>0</v>
      </c>
      <c r="R132" s="27">
        <v>0</v>
      </c>
      <c r="S132" s="27">
        <v>0</v>
      </c>
      <c r="T132" s="27">
        <v>0</v>
      </c>
      <c r="U132" s="27">
        <v>15</v>
      </c>
      <c r="V132" s="27">
        <v>0</v>
      </c>
      <c r="W132" s="27">
        <v>0</v>
      </c>
      <c r="X132" s="27">
        <v>0</v>
      </c>
      <c r="Y132" s="27">
        <v>0</v>
      </c>
      <c r="Z132" s="27">
        <v>0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6">
        <f t="shared" si="8"/>
        <v>15</v>
      </c>
      <c r="AH132" s="26">
        <f t="shared" si="9"/>
        <v>0</v>
      </c>
      <c r="AI132" s="26">
        <f t="shared" si="10"/>
        <v>0</v>
      </c>
      <c r="AJ132" s="15" t="s">
        <v>11</v>
      </c>
      <c r="AK132" s="15" t="s">
        <v>11</v>
      </c>
      <c r="AL132" s="15" t="s">
        <v>317</v>
      </c>
      <c r="AM132" s="19">
        <v>44820</v>
      </c>
    </row>
    <row r="133" spans="1:39" x14ac:dyDescent="0.2">
      <c r="A133" s="15" t="str">
        <f t="shared" si="11"/>
        <v>820559211046</v>
      </c>
      <c r="B133" s="14">
        <v>820559</v>
      </c>
      <c r="C133" s="14" t="s">
        <v>20</v>
      </c>
      <c r="D133" s="16">
        <v>211046</v>
      </c>
      <c r="E133" s="18" t="s">
        <v>560</v>
      </c>
      <c r="F133" s="26">
        <v>0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7">
        <v>0</v>
      </c>
      <c r="P133" s="27">
        <v>0</v>
      </c>
      <c r="Q133" s="27">
        <v>0</v>
      </c>
      <c r="R133" s="27">
        <v>0</v>
      </c>
      <c r="S133" s="27">
        <v>0</v>
      </c>
      <c r="T133" s="27">
        <v>0</v>
      </c>
      <c r="U133" s="27">
        <v>15</v>
      </c>
      <c r="V133" s="27">
        <v>0</v>
      </c>
      <c r="W133" s="27">
        <v>15</v>
      </c>
      <c r="X133" s="27">
        <v>51.75</v>
      </c>
      <c r="Y133" s="27">
        <v>0</v>
      </c>
      <c r="Z133" s="27">
        <v>2.5</v>
      </c>
      <c r="AA133" s="27">
        <v>37.049999999999997</v>
      </c>
      <c r="AB133" s="27">
        <v>0</v>
      </c>
      <c r="AC133" s="27">
        <v>17.05</v>
      </c>
      <c r="AD133" s="27">
        <v>97.65</v>
      </c>
      <c r="AE133" s="27">
        <v>4.1500000000000004</v>
      </c>
      <c r="AF133" s="27">
        <v>26</v>
      </c>
      <c r="AG133" s="26">
        <f t="shared" si="8"/>
        <v>201.45</v>
      </c>
      <c r="AH133" s="26">
        <f t="shared" si="9"/>
        <v>4.1500000000000004</v>
      </c>
      <c r="AI133" s="26">
        <f t="shared" si="10"/>
        <v>60.55</v>
      </c>
      <c r="AJ133" s="15" t="s">
        <v>11</v>
      </c>
      <c r="AK133" s="15" t="s">
        <v>11</v>
      </c>
      <c r="AL133" s="15" t="s">
        <v>317</v>
      </c>
      <c r="AM133" s="19">
        <v>44820</v>
      </c>
    </row>
    <row r="134" spans="1:39" x14ac:dyDescent="0.2">
      <c r="A134" s="15" t="str">
        <f t="shared" si="11"/>
        <v>820623212976</v>
      </c>
      <c r="B134" s="14">
        <v>820623</v>
      </c>
      <c r="C134" s="14" t="s">
        <v>602</v>
      </c>
      <c r="D134" s="16">
        <v>212976</v>
      </c>
      <c r="E134" s="18" t="s">
        <v>596</v>
      </c>
      <c r="F134" s="26">
        <v>0</v>
      </c>
      <c r="G134" s="26">
        <v>0</v>
      </c>
      <c r="H134" s="26">
        <v>0</v>
      </c>
      <c r="I134" s="26">
        <v>0</v>
      </c>
      <c r="J134" s="26">
        <v>0</v>
      </c>
      <c r="K134" s="26">
        <v>0</v>
      </c>
      <c r="L134" s="26">
        <v>0</v>
      </c>
      <c r="M134" s="26">
        <v>0</v>
      </c>
      <c r="N134" s="26">
        <v>0</v>
      </c>
      <c r="O134" s="27">
        <v>0</v>
      </c>
      <c r="P134" s="27">
        <v>0</v>
      </c>
      <c r="Q134" s="27">
        <v>0</v>
      </c>
      <c r="R134" s="27">
        <v>0</v>
      </c>
      <c r="S134" s="27">
        <v>0</v>
      </c>
      <c r="T134" s="27">
        <v>0</v>
      </c>
      <c r="U134" s="27">
        <v>10</v>
      </c>
      <c r="V134" s="27">
        <v>0</v>
      </c>
      <c r="W134" s="27">
        <v>0</v>
      </c>
      <c r="X134" s="27">
        <v>32.5</v>
      </c>
      <c r="Y134" s="27">
        <v>0</v>
      </c>
      <c r="Z134" s="27">
        <v>15</v>
      </c>
      <c r="AA134" s="27">
        <v>27.5</v>
      </c>
      <c r="AB134" s="27">
        <v>0</v>
      </c>
      <c r="AC134" s="27">
        <v>10</v>
      </c>
      <c r="AD134" s="27">
        <v>45</v>
      </c>
      <c r="AE134" s="27">
        <v>0</v>
      </c>
      <c r="AF134" s="27">
        <v>0</v>
      </c>
      <c r="AG134" s="26">
        <f t="shared" si="8"/>
        <v>115</v>
      </c>
      <c r="AH134" s="26">
        <f t="shared" si="9"/>
        <v>0</v>
      </c>
      <c r="AI134" s="26">
        <f t="shared" si="10"/>
        <v>25</v>
      </c>
      <c r="AJ134" s="15" t="s">
        <v>11</v>
      </c>
      <c r="AK134" s="15" t="s">
        <v>11</v>
      </c>
      <c r="AL134" s="15" t="s">
        <v>317</v>
      </c>
      <c r="AM134" s="19">
        <v>44824</v>
      </c>
    </row>
    <row r="135" spans="1:39" x14ac:dyDescent="0.2">
      <c r="A135" s="15" t="str">
        <f t="shared" si="11"/>
        <v>820634148557</v>
      </c>
      <c r="B135" s="14">
        <v>820634</v>
      </c>
      <c r="C135" s="14" t="s">
        <v>605</v>
      </c>
      <c r="D135" s="16">
        <v>148557</v>
      </c>
      <c r="E135" s="18" t="s">
        <v>10</v>
      </c>
      <c r="F135" s="26">
        <v>0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0</v>
      </c>
      <c r="U135" s="27">
        <v>15</v>
      </c>
      <c r="V135" s="27">
        <v>0</v>
      </c>
      <c r="W135" s="27">
        <v>0</v>
      </c>
      <c r="X135" s="27">
        <v>0</v>
      </c>
      <c r="Y135" s="27">
        <v>0</v>
      </c>
      <c r="Z135" s="27">
        <v>0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26">
        <f t="shared" si="8"/>
        <v>15</v>
      </c>
      <c r="AH135" s="26">
        <f t="shared" si="9"/>
        <v>0</v>
      </c>
      <c r="AI135" s="26">
        <f t="shared" si="10"/>
        <v>0</v>
      </c>
      <c r="AJ135" s="15" t="s">
        <v>11</v>
      </c>
      <c r="AK135" s="15" t="s">
        <v>11</v>
      </c>
      <c r="AL135" s="15" t="s">
        <v>317</v>
      </c>
      <c r="AM135" s="19">
        <v>44824</v>
      </c>
    </row>
    <row r="136" spans="1:39" x14ac:dyDescent="0.2">
      <c r="A136" s="15" t="str">
        <f t="shared" si="11"/>
        <v>820701148557</v>
      </c>
      <c r="B136" s="14">
        <v>820701</v>
      </c>
      <c r="C136" s="14" t="s">
        <v>606</v>
      </c>
      <c r="D136" s="16">
        <v>148557</v>
      </c>
      <c r="E136" s="18" t="s">
        <v>10</v>
      </c>
      <c r="F136" s="26">
        <v>0</v>
      </c>
      <c r="G136" s="26">
        <v>0</v>
      </c>
      <c r="H136" s="26">
        <v>0</v>
      </c>
      <c r="I136" s="26">
        <v>0</v>
      </c>
      <c r="J136" s="26">
        <v>0</v>
      </c>
      <c r="K136" s="26">
        <v>0</v>
      </c>
      <c r="L136" s="26">
        <v>0</v>
      </c>
      <c r="M136" s="26">
        <v>0</v>
      </c>
      <c r="N136" s="26">
        <v>0</v>
      </c>
      <c r="O136" s="27">
        <v>0</v>
      </c>
      <c r="P136" s="27">
        <v>0</v>
      </c>
      <c r="Q136" s="27">
        <v>0</v>
      </c>
      <c r="R136" s="27">
        <v>0</v>
      </c>
      <c r="S136" s="27">
        <v>0</v>
      </c>
      <c r="T136" s="27">
        <v>0</v>
      </c>
      <c r="U136" s="27">
        <v>15</v>
      </c>
      <c r="V136" s="27">
        <v>0</v>
      </c>
      <c r="W136" s="27">
        <v>0</v>
      </c>
      <c r="X136" s="27">
        <v>116.5</v>
      </c>
      <c r="Y136" s="27">
        <v>0</v>
      </c>
      <c r="Z136" s="27">
        <v>0</v>
      </c>
      <c r="AA136" s="27">
        <v>46</v>
      </c>
      <c r="AB136" s="27">
        <v>0</v>
      </c>
      <c r="AC136" s="27">
        <v>0</v>
      </c>
      <c r="AD136" s="27">
        <v>166.85</v>
      </c>
      <c r="AE136" s="27">
        <v>0</v>
      </c>
      <c r="AF136" s="27">
        <v>0</v>
      </c>
      <c r="AG136" s="26">
        <f t="shared" si="8"/>
        <v>344.35</v>
      </c>
      <c r="AH136" s="26">
        <f t="shared" si="9"/>
        <v>0</v>
      </c>
      <c r="AI136" s="26">
        <f t="shared" si="10"/>
        <v>0</v>
      </c>
      <c r="AJ136" s="15" t="s">
        <v>11</v>
      </c>
      <c r="AK136" s="15" t="s">
        <v>11</v>
      </c>
      <c r="AL136" s="15" t="s">
        <v>317</v>
      </c>
      <c r="AM136" s="19">
        <v>44828</v>
      </c>
    </row>
    <row r="137" spans="1:39" x14ac:dyDescent="0.2">
      <c r="A137" s="15" t="str">
        <f t="shared" si="11"/>
        <v>820081148557</v>
      </c>
      <c r="B137" s="14">
        <v>820081</v>
      </c>
      <c r="C137" s="14" t="s">
        <v>8</v>
      </c>
      <c r="D137" s="16">
        <v>148557</v>
      </c>
      <c r="E137" s="18" t="s">
        <v>10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22</v>
      </c>
      <c r="V137" s="27">
        <v>0</v>
      </c>
      <c r="W137" s="27">
        <v>0</v>
      </c>
      <c r="X137" s="27">
        <v>37</v>
      </c>
      <c r="Y137" s="27">
        <v>0</v>
      </c>
      <c r="Z137" s="27">
        <v>0</v>
      </c>
      <c r="AA137" s="27">
        <v>61</v>
      </c>
      <c r="AB137" s="27">
        <v>0</v>
      </c>
      <c r="AC137" s="27">
        <v>0</v>
      </c>
      <c r="AD137" s="27">
        <v>94</v>
      </c>
      <c r="AE137" s="27">
        <v>0</v>
      </c>
      <c r="AF137" s="27">
        <v>0</v>
      </c>
      <c r="AG137" s="26">
        <f t="shared" si="8"/>
        <v>214</v>
      </c>
      <c r="AH137" s="26">
        <f t="shared" si="9"/>
        <v>0</v>
      </c>
      <c r="AI137" s="26">
        <f t="shared" si="10"/>
        <v>0</v>
      </c>
      <c r="AJ137" s="15" t="s">
        <v>11</v>
      </c>
      <c r="AK137" s="15" t="s">
        <v>11</v>
      </c>
      <c r="AL137" s="15" t="s">
        <v>317</v>
      </c>
      <c r="AM137" s="19">
        <v>44779</v>
      </c>
    </row>
    <row r="138" spans="1:39" x14ac:dyDescent="0.2">
      <c r="A138" s="15" t="str">
        <f t="shared" si="11"/>
        <v>820492210696</v>
      </c>
      <c r="B138" s="14">
        <v>820492</v>
      </c>
      <c r="C138" s="14" t="s">
        <v>595</v>
      </c>
      <c r="D138" s="16">
        <v>210696</v>
      </c>
      <c r="E138" s="18" t="s">
        <v>533</v>
      </c>
      <c r="F138" s="26">
        <v>0</v>
      </c>
      <c r="G138" s="26">
        <v>0</v>
      </c>
      <c r="H138" s="26">
        <v>0</v>
      </c>
      <c r="I138" s="26">
        <v>0</v>
      </c>
      <c r="J138" s="26">
        <v>0</v>
      </c>
      <c r="K138" s="26">
        <v>0</v>
      </c>
      <c r="L138" s="26">
        <v>0</v>
      </c>
      <c r="M138" s="26">
        <v>0</v>
      </c>
      <c r="N138" s="26">
        <v>0</v>
      </c>
      <c r="O138" s="27">
        <v>0</v>
      </c>
      <c r="P138" s="27">
        <v>0</v>
      </c>
      <c r="Q138" s="27">
        <v>0</v>
      </c>
      <c r="R138" s="27">
        <v>0</v>
      </c>
      <c r="S138" s="27">
        <v>0</v>
      </c>
      <c r="T138" s="27">
        <v>0</v>
      </c>
      <c r="U138" s="27">
        <v>0</v>
      </c>
      <c r="V138" s="27">
        <v>0</v>
      </c>
      <c r="W138" s="27">
        <v>0</v>
      </c>
      <c r="X138" s="27">
        <v>8.5</v>
      </c>
      <c r="Y138" s="27">
        <v>0</v>
      </c>
      <c r="Z138" s="27">
        <v>6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26">
        <f t="shared" si="8"/>
        <v>8.5</v>
      </c>
      <c r="AH138" s="26">
        <f t="shared" si="9"/>
        <v>0</v>
      </c>
      <c r="AI138" s="26">
        <f t="shared" si="10"/>
        <v>6</v>
      </c>
      <c r="AJ138" s="15" t="s">
        <v>11</v>
      </c>
      <c r="AK138" s="15" t="s">
        <v>11</v>
      </c>
      <c r="AL138" s="15" t="s">
        <v>317</v>
      </c>
      <c r="AM138" s="19">
        <v>44817</v>
      </c>
    </row>
    <row r="139" spans="1:39" x14ac:dyDescent="0.2">
      <c r="A139" s="15" t="str">
        <f t="shared" si="11"/>
        <v>821086213953</v>
      </c>
      <c r="B139" s="14">
        <v>821086</v>
      </c>
      <c r="C139" s="14" t="s">
        <v>624</v>
      </c>
      <c r="D139" s="16">
        <v>213953</v>
      </c>
      <c r="E139" s="18" t="s">
        <v>625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  <c r="N139" s="26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0</v>
      </c>
      <c r="U139" s="27">
        <v>0</v>
      </c>
      <c r="V139" s="27">
        <v>0</v>
      </c>
      <c r="W139" s="27">
        <v>0</v>
      </c>
      <c r="X139" s="27">
        <v>0</v>
      </c>
      <c r="Y139" s="27">
        <v>0</v>
      </c>
      <c r="Z139" s="27">
        <v>0</v>
      </c>
      <c r="AA139" s="27">
        <v>77.05</v>
      </c>
      <c r="AB139" s="27">
        <v>0</v>
      </c>
      <c r="AC139" s="27">
        <v>23.05</v>
      </c>
      <c r="AD139" s="27">
        <v>43</v>
      </c>
      <c r="AE139" s="27">
        <v>0</v>
      </c>
      <c r="AF139" s="27">
        <v>0</v>
      </c>
      <c r="AG139" s="26">
        <f t="shared" si="8"/>
        <v>120.05</v>
      </c>
      <c r="AH139" s="26">
        <f t="shared" si="9"/>
        <v>0</v>
      </c>
      <c r="AI139" s="26">
        <f t="shared" si="10"/>
        <v>23.05</v>
      </c>
      <c r="AJ139" s="15" t="s">
        <v>11</v>
      </c>
      <c r="AK139" s="15" t="s">
        <v>11</v>
      </c>
      <c r="AL139" s="15" t="s">
        <v>317</v>
      </c>
      <c r="AM139" s="19">
        <v>44863</v>
      </c>
    </row>
    <row r="140" spans="1:39" x14ac:dyDescent="0.2">
      <c r="A140" s="15" t="str">
        <f t="shared" si="11"/>
        <v>821207213953</v>
      </c>
      <c r="B140" s="14">
        <v>821207</v>
      </c>
      <c r="C140" s="14" t="s">
        <v>627</v>
      </c>
      <c r="D140" s="14">
        <v>213953</v>
      </c>
      <c r="E140" s="18" t="s">
        <v>625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  <c r="N140" s="26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0</v>
      </c>
      <c r="V140" s="27">
        <v>0</v>
      </c>
      <c r="W140" s="27">
        <v>0</v>
      </c>
      <c r="X140" s="27">
        <v>15</v>
      </c>
      <c r="Y140" s="27">
        <v>0</v>
      </c>
      <c r="Z140" s="27">
        <v>0</v>
      </c>
      <c r="AA140" s="27">
        <v>63</v>
      </c>
      <c r="AB140" s="27">
        <v>0</v>
      </c>
      <c r="AC140" s="27">
        <v>28</v>
      </c>
      <c r="AD140" s="27">
        <v>88.05</v>
      </c>
      <c r="AE140" s="27">
        <v>0</v>
      </c>
      <c r="AF140" s="27">
        <v>32.5</v>
      </c>
      <c r="AG140" s="26">
        <f t="shared" si="8"/>
        <v>166.05</v>
      </c>
      <c r="AH140" s="26">
        <f t="shared" si="9"/>
        <v>0</v>
      </c>
      <c r="AI140" s="26">
        <f t="shared" si="10"/>
        <v>60.5</v>
      </c>
      <c r="AJ140" s="18" t="s">
        <v>11</v>
      </c>
      <c r="AK140" s="18" t="s">
        <v>11</v>
      </c>
      <c r="AL140" s="18" t="s">
        <v>317</v>
      </c>
      <c r="AM140" s="28">
        <v>44877</v>
      </c>
    </row>
    <row r="141" spans="1:39" x14ac:dyDescent="0.2">
      <c r="A141" s="15" t="str">
        <f t="shared" si="11"/>
        <v>820492149765</v>
      </c>
      <c r="B141" s="14">
        <v>820492</v>
      </c>
      <c r="C141" s="14" t="s">
        <v>595</v>
      </c>
      <c r="D141" s="14">
        <v>149765</v>
      </c>
      <c r="E141" s="18" t="s">
        <v>112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7">
        <v>0</v>
      </c>
      <c r="P141" s="27">
        <v>0</v>
      </c>
      <c r="Q141" s="27">
        <v>0</v>
      </c>
      <c r="R141" s="27">
        <v>0</v>
      </c>
      <c r="S141" s="27">
        <v>0</v>
      </c>
      <c r="T141" s="27">
        <v>0</v>
      </c>
      <c r="U141" s="27">
        <v>0</v>
      </c>
      <c r="V141" s="27">
        <v>0</v>
      </c>
      <c r="W141" s="27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27">
        <v>10</v>
      </c>
      <c r="AE141" s="27">
        <v>0</v>
      </c>
      <c r="AF141" s="27">
        <v>0</v>
      </c>
      <c r="AG141" s="26">
        <f t="shared" si="8"/>
        <v>10</v>
      </c>
      <c r="AH141" s="26">
        <f t="shared" si="9"/>
        <v>0</v>
      </c>
      <c r="AI141" s="26">
        <f t="shared" si="10"/>
        <v>0</v>
      </c>
      <c r="AJ141" s="18" t="s">
        <v>11</v>
      </c>
      <c r="AK141" s="18" t="s">
        <v>11</v>
      </c>
      <c r="AL141" s="18" t="s">
        <v>317</v>
      </c>
      <c r="AM141" s="31">
        <v>44817</v>
      </c>
    </row>
    <row r="142" spans="1:39" x14ac:dyDescent="0.2">
      <c r="A142" s="15" t="str">
        <f t="shared" si="11"/>
        <v>821570208736</v>
      </c>
      <c r="B142" s="14">
        <v>821570</v>
      </c>
      <c r="C142" s="14" t="s">
        <v>80</v>
      </c>
      <c r="D142" s="14">
        <v>208736</v>
      </c>
      <c r="E142" s="18" t="s">
        <v>103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6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  <c r="V142" s="27">
        <v>0</v>
      </c>
      <c r="W142" s="27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27">
        <v>20</v>
      </c>
      <c r="AE142" s="27">
        <v>0</v>
      </c>
      <c r="AF142" s="27">
        <v>0</v>
      </c>
      <c r="AG142" s="26">
        <f t="shared" si="8"/>
        <v>20</v>
      </c>
      <c r="AH142" s="26">
        <f t="shared" si="9"/>
        <v>0</v>
      </c>
      <c r="AI142" s="26">
        <f t="shared" si="10"/>
        <v>0</v>
      </c>
      <c r="AJ142" s="18" t="s">
        <v>11</v>
      </c>
      <c r="AK142" s="18" t="s">
        <v>11</v>
      </c>
      <c r="AL142" s="18" t="s">
        <v>317</v>
      </c>
      <c r="AM142" s="31">
        <v>44901</v>
      </c>
    </row>
    <row r="143" spans="1:39" x14ac:dyDescent="0.2">
      <c r="A143" s="15" t="str">
        <f t="shared" si="11"/>
        <v>821573213953</v>
      </c>
      <c r="B143" s="14">
        <v>821573</v>
      </c>
      <c r="C143" s="14" t="s">
        <v>642</v>
      </c>
      <c r="D143" s="14">
        <v>213953</v>
      </c>
      <c r="E143" s="18" t="s">
        <v>625</v>
      </c>
      <c r="F143" s="26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6">
        <v>0</v>
      </c>
      <c r="M143" s="26">
        <v>0</v>
      </c>
      <c r="N143" s="26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0</v>
      </c>
      <c r="U143" s="27">
        <v>0</v>
      </c>
      <c r="V143" s="27">
        <v>0</v>
      </c>
      <c r="W143" s="27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27">
        <v>100.3</v>
      </c>
      <c r="AE143" s="27">
        <v>0</v>
      </c>
      <c r="AF143" s="27">
        <v>61.5</v>
      </c>
      <c r="AG143" s="26">
        <f t="shared" si="8"/>
        <v>100.3</v>
      </c>
      <c r="AH143" s="26">
        <f t="shared" si="9"/>
        <v>0</v>
      </c>
      <c r="AI143" s="26">
        <f t="shared" si="10"/>
        <v>61.5</v>
      </c>
      <c r="AJ143" s="18" t="s">
        <v>11</v>
      </c>
      <c r="AK143" s="18" t="s">
        <v>11</v>
      </c>
      <c r="AL143" s="18" t="s">
        <v>317</v>
      </c>
      <c r="AM143" s="31">
        <v>44901</v>
      </c>
    </row>
    <row r="144" spans="1:39" x14ac:dyDescent="0.2">
      <c r="A144" s="15" t="str">
        <f t="shared" si="11"/>
        <v>821594149765</v>
      </c>
      <c r="B144" s="14">
        <v>821594</v>
      </c>
      <c r="C144" s="14" t="s">
        <v>643</v>
      </c>
      <c r="D144" s="14">
        <v>149765</v>
      </c>
      <c r="E144" s="18" t="s">
        <v>112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6">
        <v>0</v>
      </c>
      <c r="L144" s="26">
        <v>0</v>
      </c>
      <c r="M144" s="26">
        <v>0</v>
      </c>
      <c r="N144" s="26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0</v>
      </c>
      <c r="T144" s="27">
        <v>0</v>
      </c>
      <c r="U144" s="27">
        <v>0</v>
      </c>
      <c r="V144" s="27">
        <v>0</v>
      </c>
      <c r="W144" s="27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27">
        <v>30</v>
      </c>
      <c r="AE144" s="27">
        <v>0</v>
      </c>
      <c r="AF144" s="27">
        <v>0</v>
      </c>
      <c r="AG144" s="26">
        <f t="shared" si="8"/>
        <v>30</v>
      </c>
      <c r="AH144" s="26">
        <f t="shared" si="9"/>
        <v>0</v>
      </c>
      <c r="AI144" s="26">
        <f t="shared" si="10"/>
        <v>0</v>
      </c>
      <c r="AJ144" s="18" t="s">
        <v>11</v>
      </c>
      <c r="AK144" s="18" t="s">
        <v>11</v>
      </c>
      <c r="AL144" s="18" t="s">
        <v>317</v>
      </c>
      <c r="AM144" s="31">
        <v>44903</v>
      </c>
    </row>
    <row r="145" spans="1:39" x14ac:dyDescent="0.2">
      <c r="A145" s="15" t="str">
        <f t="shared" si="11"/>
        <v>821601149765</v>
      </c>
      <c r="B145" s="14">
        <v>821601</v>
      </c>
      <c r="C145" s="14" t="s">
        <v>644</v>
      </c>
      <c r="D145" s="14">
        <v>149765</v>
      </c>
      <c r="E145" s="18" t="s">
        <v>112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  <c r="V145" s="27">
        <v>0</v>
      </c>
      <c r="W145" s="27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27">
        <v>20</v>
      </c>
      <c r="AE145" s="27">
        <v>0</v>
      </c>
      <c r="AF145" s="27">
        <v>0</v>
      </c>
      <c r="AG145" s="26">
        <f t="shared" si="8"/>
        <v>20</v>
      </c>
      <c r="AH145" s="26">
        <f t="shared" si="9"/>
        <v>0</v>
      </c>
      <c r="AI145" s="26">
        <f t="shared" si="10"/>
        <v>0</v>
      </c>
      <c r="AJ145" s="18" t="s">
        <v>11</v>
      </c>
      <c r="AK145" s="18" t="s">
        <v>11</v>
      </c>
      <c r="AL145" s="18" t="s">
        <v>317</v>
      </c>
      <c r="AM145" s="31">
        <v>44903</v>
      </c>
    </row>
    <row r="146" spans="1:39" x14ac:dyDescent="0.2">
      <c r="A146" s="15" t="str">
        <f t="shared" si="11"/>
        <v>801588119047</v>
      </c>
      <c r="B146" s="32">
        <v>801588</v>
      </c>
      <c r="C146" s="32" t="s">
        <v>24</v>
      </c>
      <c r="D146" s="17">
        <v>119047</v>
      </c>
      <c r="E146" s="15" t="s">
        <v>23</v>
      </c>
      <c r="F146" s="26">
        <v>63</v>
      </c>
      <c r="G146" s="26">
        <v>0</v>
      </c>
      <c r="H146" s="26">
        <v>0</v>
      </c>
      <c r="I146" s="26">
        <v>128.5</v>
      </c>
      <c r="J146" s="26">
        <v>0</v>
      </c>
      <c r="K146" s="26">
        <v>0</v>
      </c>
      <c r="L146" s="26">
        <v>178</v>
      </c>
      <c r="M146" s="26">
        <v>0</v>
      </c>
      <c r="N146" s="26">
        <v>0</v>
      </c>
      <c r="O146" s="27">
        <v>99</v>
      </c>
      <c r="P146" s="27">
        <v>0</v>
      </c>
      <c r="Q146" s="27">
        <v>0</v>
      </c>
      <c r="R146" s="27">
        <v>114.5</v>
      </c>
      <c r="S146" s="27">
        <v>0</v>
      </c>
      <c r="T146" s="27">
        <v>0</v>
      </c>
      <c r="U146" s="27">
        <v>82</v>
      </c>
      <c r="V146" s="27">
        <v>0</v>
      </c>
      <c r="W146" s="27">
        <v>0</v>
      </c>
      <c r="X146" s="27">
        <v>103.2</v>
      </c>
      <c r="Y146" s="27">
        <v>0</v>
      </c>
      <c r="Z146" s="27">
        <v>0</v>
      </c>
      <c r="AA146" s="27">
        <v>77</v>
      </c>
      <c r="AB146" s="27">
        <v>0</v>
      </c>
      <c r="AC146" s="27">
        <v>0</v>
      </c>
      <c r="AD146" s="27">
        <v>124.2</v>
      </c>
      <c r="AE146" s="27">
        <v>0</v>
      </c>
      <c r="AF146" s="27">
        <v>0</v>
      </c>
      <c r="AG146" s="26">
        <f t="shared" si="8"/>
        <v>969.40000000000009</v>
      </c>
      <c r="AH146" s="26">
        <f t="shared" si="9"/>
        <v>0</v>
      </c>
      <c r="AI146" s="26">
        <f t="shared" si="10"/>
        <v>0</v>
      </c>
      <c r="AJ146" s="15" t="s">
        <v>0</v>
      </c>
      <c r="AK146" s="15" t="s">
        <v>11</v>
      </c>
      <c r="AL146" s="15" t="s">
        <v>317</v>
      </c>
      <c r="AM146" s="19">
        <v>41271</v>
      </c>
    </row>
    <row r="147" spans="1:39" x14ac:dyDescent="0.2">
      <c r="A147" s="15" t="str">
        <f t="shared" si="11"/>
        <v>801589119047</v>
      </c>
      <c r="B147" s="32">
        <v>801589</v>
      </c>
      <c r="C147" s="32" t="s">
        <v>25</v>
      </c>
      <c r="D147" s="17">
        <v>119047</v>
      </c>
      <c r="E147" s="15" t="s">
        <v>23</v>
      </c>
      <c r="F147" s="26">
        <v>20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7">
        <v>0</v>
      </c>
      <c r="P147" s="27">
        <v>0</v>
      </c>
      <c r="Q147" s="27">
        <v>0</v>
      </c>
      <c r="R147" s="27">
        <v>31</v>
      </c>
      <c r="S147" s="27">
        <v>0</v>
      </c>
      <c r="T147" s="27">
        <v>0</v>
      </c>
      <c r="U147" s="27">
        <v>12</v>
      </c>
      <c r="V147" s="27">
        <v>0</v>
      </c>
      <c r="W147" s="27">
        <v>0</v>
      </c>
      <c r="X147" s="27">
        <v>17</v>
      </c>
      <c r="Y147" s="27">
        <v>0</v>
      </c>
      <c r="Z147" s="27">
        <v>0</v>
      </c>
      <c r="AA147" s="27">
        <v>48</v>
      </c>
      <c r="AB147" s="27">
        <v>0</v>
      </c>
      <c r="AC147" s="27">
        <v>0</v>
      </c>
      <c r="AD147" s="27">
        <v>64</v>
      </c>
      <c r="AE147" s="27">
        <v>0</v>
      </c>
      <c r="AF147" s="27">
        <v>0</v>
      </c>
      <c r="AG147" s="26">
        <f t="shared" si="8"/>
        <v>192</v>
      </c>
      <c r="AH147" s="26">
        <f t="shared" si="9"/>
        <v>0</v>
      </c>
      <c r="AI147" s="26">
        <f t="shared" si="10"/>
        <v>0</v>
      </c>
      <c r="AJ147" s="15" t="s">
        <v>0</v>
      </c>
      <c r="AK147" s="15" t="s">
        <v>11</v>
      </c>
      <c r="AL147" s="15" t="s">
        <v>317</v>
      </c>
      <c r="AM147" s="19">
        <v>41271</v>
      </c>
    </row>
    <row r="148" spans="1:39" x14ac:dyDescent="0.2">
      <c r="A148" s="15" t="str">
        <f t="shared" si="11"/>
        <v>801590119047</v>
      </c>
      <c r="B148" s="32">
        <v>801590</v>
      </c>
      <c r="C148" s="32" t="s">
        <v>95</v>
      </c>
      <c r="D148" s="17">
        <v>119047</v>
      </c>
      <c r="E148" s="15" t="s">
        <v>23</v>
      </c>
      <c r="F148" s="26">
        <v>20</v>
      </c>
      <c r="G148" s="26">
        <v>0</v>
      </c>
      <c r="H148" s="26">
        <v>0</v>
      </c>
      <c r="I148" s="26">
        <v>10</v>
      </c>
      <c r="J148" s="26">
        <v>0</v>
      </c>
      <c r="K148" s="26">
        <v>0</v>
      </c>
      <c r="L148" s="26">
        <v>43</v>
      </c>
      <c r="M148" s="26">
        <v>0</v>
      </c>
      <c r="N148" s="26">
        <v>0</v>
      </c>
      <c r="O148" s="27">
        <v>13</v>
      </c>
      <c r="P148" s="27">
        <v>0</v>
      </c>
      <c r="Q148" s="27">
        <v>0</v>
      </c>
      <c r="R148" s="27">
        <v>49</v>
      </c>
      <c r="S148" s="27">
        <v>0</v>
      </c>
      <c r="T148" s="27">
        <v>0</v>
      </c>
      <c r="U148" s="27">
        <v>33.5</v>
      </c>
      <c r="V148" s="27">
        <v>0</v>
      </c>
      <c r="W148" s="27">
        <v>0</v>
      </c>
      <c r="X148" s="27">
        <v>42</v>
      </c>
      <c r="Y148" s="27">
        <v>0</v>
      </c>
      <c r="Z148" s="27">
        <v>0</v>
      </c>
      <c r="AA148" s="27">
        <v>51.5</v>
      </c>
      <c r="AB148" s="27">
        <v>0</v>
      </c>
      <c r="AC148" s="27">
        <v>0</v>
      </c>
      <c r="AD148" s="27">
        <v>42</v>
      </c>
      <c r="AE148" s="27">
        <v>0</v>
      </c>
      <c r="AF148" s="27">
        <v>0</v>
      </c>
      <c r="AG148" s="26">
        <f t="shared" si="8"/>
        <v>304</v>
      </c>
      <c r="AH148" s="26">
        <f t="shared" si="9"/>
        <v>0</v>
      </c>
      <c r="AI148" s="26">
        <f t="shared" si="10"/>
        <v>0</v>
      </c>
      <c r="AJ148" s="15" t="s">
        <v>0</v>
      </c>
      <c r="AK148" s="15" t="s">
        <v>11</v>
      </c>
      <c r="AL148" s="15" t="s">
        <v>317</v>
      </c>
      <c r="AM148" s="19">
        <v>41271</v>
      </c>
    </row>
    <row r="149" spans="1:39" x14ac:dyDescent="0.2">
      <c r="A149" s="15" t="str">
        <f t="shared" si="11"/>
        <v>801627202865</v>
      </c>
      <c r="B149" s="32">
        <v>801627</v>
      </c>
      <c r="C149" s="32" t="s">
        <v>91</v>
      </c>
      <c r="D149" s="17">
        <v>202865</v>
      </c>
      <c r="E149" s="15" t="s">
        <v>55</v>
      </c>
      <c r="F149" s="26">
        <v>20</v>
      </c>
      <c r="G149" s="26">
        <v>0</v>
      </c>
      <c r="H149" s="26">
        <v>0</v>
      </c>
      <c r="I149" s="26">
        <v>75</v>
      </c>
      <c r="J149" s="26">
        <v>0</v>
      </c>
      <c r="K149" s="26">
        <v>0</v>
      </c>
      <c r="L149" s="26">
        <v>96.5</v>
      </c>
      <c r="M149" s="26">
        <v>0</v>
      </c>
      <c r="N149" s="26">
        <v>0</v>
      </c>
      <c r="O149" s="27">
        <v>84.5</v>
      </c>
      <c r="P149" s="27">
        <v>0</v>
      </c>
      <c r="Q149" s="27">
        <v>0</v>
      </c>
      <c r="R149" s="27">
        <v>0</v>
      </c>
      <c r="S149" s="27">
        <v>0</v>
      </c>
      <c r="T149" s="27">
        <v>0</v>
      </c>
      <c r="U149" s="27">
        <v>43</v>
      </c>
      <c r="V149" s="27">
        <v>0</v>
      </c>
      <c r="W149" s="27">
        <v>0</v>
      </c>
      <c r="X149" s="27">
        <v>71</v>
      </c>
      <c r="Y149" s="27">
        <v>0</v>
      </c>
      <c r="Z149" s="27">
        <v>0</v>
      </c>
      <c r="AA149" s="27">
        <v>44</v>
      </c>
      <c r="AB149" s="27">
        <v>0</v>
      </c>
      <c r="AC149" s="27">
        <v>0</v>
      </c>
      <c r="AD149" s="27">
        <v>64</v>
      </c>
      <c r="AE149" s="27">
        <v>0</v>
      </c>
      <c r="AF149" s="27">
        <v>0</v>
      </c>
      <c r="AG149" s="26">
        <f t="shared" si="8"/>
        <v>498</v>
      </c>
      <c r="AH149" s="26">
        <f t="shared" si="9"/>
        <v>0</v>
      </c>
      <c r="AI149" s="26">
        <f t="shared" si="10"/>
        <v>0</v>
      </c>
      <c r="AJ149" s="15" t="s">
        <v>0</v>
      </c>
      <c r="AK149" s="15" t="s">
        <v>11</v>
      </c>
      <c r="AL149" s="15" t="s">
        <v>317</v>
      </c>
      <c r="AM149" s="19">
        <v>41283</v>
      </c>
    </row>
    <row r="150" spans="1:39" x14ac:dyDescent="0.2">
      <c r="A150" s="15" t="str">
        <f t="shared" si="11"/>
        <v>802165143531</v>
      </c>
      <c r="B150" s="32">
        <v>802165</v>
      </c>
      <c r="C150" s="32" t="s">
        <v>97</v>
      </c>
      <c r="D150" s="17">
        <v>143531</v>
      </c>
      <c r="E150" s="15" t="s">
        <v>96</v>
      </c>
      <c r="F150" s="26">
        <v>50</v>
      </c>
      <c r="G150" s="26">
        <v>0</v>
      </c>
      <c r="H150" s="26">
        <v>0</v>
      </c>
      <c r="I150" s="26">
        <v>37.5</v>
      </c>
      <c r="J150" s="26">
        <v>0</v>
      </c>
      <c r="K150" s="26">
        <v>0</v>
      </c>
      <c r="L150" s="26">
        <v>28.75</v>
      </c>
      <c r="M150" s="26">
        <v>0</v>
      </c>
      <c r="N150" s="26">
        <v>0</v>
      </c>
      <c r="O150" s="27">
        <v>10</v>
      </c>
      <c r="P150" s="27">
        <v>0</v>
      </c>
      <c r="Q150" s="27">
        <v>0</v>
      </c>
      <c r="R150" s="27">
        <v>52</v>
      </c>
      <c r="S150" s="27">
        <v>0</v>
      </c>
      <c r="T150" s="27">
        <v>0</v>
      </c>
      <c r="U150" s="27">
        <v>25</v>
      </c>
      <c r="V150" s="27">
        <v>0</v>
      </c>
      <c r="W150" s="27">
        <v>0</v>
      </c>
      <c r="X150" s="27">
        <v>25</v>
      </c>
      <c r="Y150" s="27">
        <v>0</v>
      </c>
      <c r="Z150" s="27">
        <v>0</v>
      </c>
      <c r="AA150" s="27">
        <v>12.5</v>
      </c>
      <c r="AB150" s="27">
        <v>0</v>
      </c>
      <c r="AC150" s="27">
        <v>0</v>
      </c>
      <c r="AD150" s="27">
        <v>12.5</v>
      </c>
      <c r="AE150" s="27">
        <v>0</v>
      </c>
      <c r="AF150" s="27">
        <v>0</v>
      </c>
      <c r="AG150" s="26">
        <f t="shared" si="8"/>
        <v>253.25</v>
      </c>
      <c r="AH150" s="26">
        <f t="shared" si="9"/>
        <v>0</v>
      </c>
      <c r="AI150" s="26">
        <f t="shared" si="10"/>
        <v>0</v>
      </c>
      <c r="AJ150" s="15" t="s">
        <v>0</v>
      </c>
      <c r="AK150" s="15" t="s">
        <v>11</v>
      </c>
      <c r="AL150" s="15" t="s">
        <v>317</v>
      </c>
      <c r="AM150" s="19">
        <v>41461</v>
      </c>
    </row>
    <row r="151" spans="1:39" x14ac:dyDescent="0.2">
      <c r="A151" s="15" t="str">
        <f t="shared" si="11"/>
        <v>802918143531</v>
      </c>
      <c r="B151" s="32">
        <v>802918</v>
      </c>
      <c r="C151" s="32" t="s">
        <v>125</v>
      </c>
      <c r="D151" s="17">
        <v>143531</v>
      </c>
      <c r="E151" s="15" t="s">
        <v>96</v>
      </c>
      <c r="F151" s="26">
        <v>14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7">
        <v>0</v>
      </c>
      <c r="P151" s="27">
        <v>0</v>
      </c>
      <c r="Q151" s="27">
        <v>0</v>
      </c>
      <c r="R151" s="27">
        <v>0</v>
      </c>
      <c r="S151" s="27">
        <v>0</v>
      </c>
      <c r="T151" s="27">
        <v>0</v>
      </c>
      <c r="U151" s="27">
        <v>0</v>
      </c>
      <c r="V151" s="27">
        <v>0</v>
      </c>
      <c r="W151" s="27">
        <v>0</v>
      </c>
      <c r="X151" s="27">
        <v>0</v>
      </c>
      <c r="Y151" s="27">
        <v>0</v>
      </c>
      <c r="Z151" s="27">
        <v>0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26">
        <f t="shared" si="8"/>
        <v>14</v>
      </c>
      <c r="AH151" s="26">
        <f t="shared" si="9"/>
        <v>0</v>
      </c>
      <c r="AI151" s="26">
        <f t="shared" si="10"/>
        <v>0</v>
      </c>
      <c r="AJ151" s="15" t="s">
        <v>0</v>
      </c>
      <c r="AK151" s="15" t="s">
        <v>11</v>
      </c>
      <c r="AL151" s="15" t="s">
        <v>317</v>
      </c>
      <c r="AM151" s="19">
        <v>41535</v>
      </c>
    </row>
    <row r="152" spans="1:39" x14ac:dyDescent="0.2">
      <c r="A152" s="15" t="str">
        <f t="shared" si="11"/>
        <v>803820129599</v>
      </c>
      <c r="B152" s="32">
        <v>803820</v>
      </c>
      <c r="C152" s="32" t="s">
        <v>7</v>
      </c>
      <c r="D152" s="17">
        <v>129599</v>
      </c>
      <c r="E152" s="15" t="s">
        <v>6</v>
      </c>
      <c r="F152" s="26">
        <v>39.5</v>
      </c>
      <c r="G152" s="26">
        <v>2.5</v>
      </c>
      <c r="H152" s="26">
        <v>0</v>
      </c>
      <c r="I152" s="26">
        <v>25</v>
      </c>
      <c r="J152" s="26">
        <v>2.5</v>
      </c>
      <c r="K152" s="26">
        <v>0</v>
      </c>
      <c r="L152" s="26">
        <v>52.55</v>
      </c>
      <c r="M152" s="26">
        <v>0</v>
      </c>
      <c r="N152" s="26">
        <v>0</v>
      </c>
      <c r="O152" s="27">
        <v>48.5</v>
      </c>
      <c r="P152" s="27">
        <v>0</v>
      </c>
      <c r="Q152" s="27">
        <v>14</v>
      </c>
      <c r="R152" s="27">
        <v>44.25</v>
      </c>
      <c r="S152" s="27">
        <v>0</v>
      </c>
      <c r="T152" s="27">
        <v>5</v>
      </c>
      <c r="U152" s="27">
        <v>29.25</v>
      </c>
      <c r="V152" s="27">
        <v>0</v>
      </c>
      <c r="W152" s="27">
        <v>7.5</v>
      </c>
      <c r="X152" s="27">
        <v>20</v>
      </c>
      <c r="Y152" s="27">
        <v>0</v>
      </c>
      <c r="Z152" s="27">
        <v>5</v>
      </c>
      <c r="AA152" s="27">
        <v>31.25</v>
      </c>
      <c r="AB152" s="27">
        <v>0</v>
      </c>
      <c r="AC152" s="27">
        <v>0.75</v>
      </c>
      <c r="AD152" s="27">
        <v>32.65</v>
      </c>
      <c r="AE152" s="27">
        <v>0</v>
      </c>
      <c r="AF152" s="27">
        <v>0</v>
      </c>
      <c r="AG152" s="26">
        <f t="shared" si="8"/>
        <v>322.95</v>
      </c>
      <c r="AH152" s="26">
        <f t="shared" si="9"/>
        <v>5</v>
      </c>
      <c r="AI152" s="26">
        <f t="shared" si="10"/>
        <v>32.25</v>
      </c>
      <c r="AJ152" s="15" t="s">
        <v>0</v>
      </c>
      <c r="AK152" s="15" t="s">
        <v>11</v>
      </c>
      <c r="AL152" s="15" t="s">
        <v>317</v>
      </c>
      <c r="AM152" s="19">
        <v>42032</v>
      </c>
    </row>
    <row r="153" spans="1:39" x14ac:dyDescent="0.2">
      <c r="A153" s="15" t="str">
        <f t="shared" si="11"/>
        <v>805151202865</v>
      </c>
      <c r="B153" s="32">
        <v>805151</v>
      </c>
      <c r="C153" s="32" t="s">
        <v>66</v>
      </c>
      <c r="D153" s="17">
        <v>202865</v>
      </c>
      <c r="E153" s="15" t="s">
        <v>55</v>
      </c>
      <c r="F153" s="26">
        <v>102</v>
      </c>
      <c r="G153" s="26">
        <v>0</v>
      </c>
      <c r="H153" s="26">
        <v>0</v>
      </c>
      <c r="I153" s="26">
        <v>111</v>
      </c>
      <c r="J153" s="26">
        <v>0</v>
      </c>
      <c r="K153" s="26">
        <v>0</v>
      </c>
      <c r="L153" s="26">
        <v>127</v>
      </c>
      <c r="M153" s="26">
        <v>0</v>
      </c>
      <c r="N153" s="26">
        <v>2.5</v>
      </c>
      <c r="O153" s="27">
        <v>137.5</v>
      </c>
      <c r="P153" s="27">
        <v>0</v>
      </c>
      <c r="Q153" s="27">
        <v>11</v>
      </c>
      <c r="R153" s="27">
        <v>109</v>
      </c>
      <c r="S153" s="27">
        <v>0</v>
      </c>
      <c r="T153" s="27">
        <v>0</v>
      </c>
      <c r="U153" s="27">
        <v>73.5</v>
      </c>
      <c r="V153" s="27">
        <v>0</v>
      </c>
      <c r="W153" s="27">
        <v>0</v>
      </c>
      <c r="X153" s="27">
        <v>102</v>
      </c>
      <c r="Y153" s="27">
        <v>0</v>
      </c>
      <c r="Z153" s="27">
        <v>0</v>
      </c>
      <c r="AA153" s="27">
        <v>127</v>
      </c>
      <c r="AB153" s="27">
        <v>0</v>
      </c>
      <c r="AC153" s="27">
        <v>0</v>
      </c>
      <c r="AD153" s="27">
        <v>149.5</v>
      </c>
      <c r="AE153" s="27">
        <v>0</v>
      </c>
      <c r="AF153" s="27">
        <v>0</v>
      </c>
      <c r="AG153" s="26">
        <f t="shared" si="8"/>
        <v>1038.5</v>
      </c>
      <c r="AH153" s="26">
        <f t="shared" si="9"/>
        <v>0</v>
      </c>
      <c r="AI153" s="26">
        <f t="shared" si="10"/>
        <v>13.5</v>
      </c>
      <c r="AJ153" s="15" t="s">
        <v>0</v>
      </c>
      <c r="AK153" s="15" t="s">
        <v>11</v>
      </c>
      <c r="AL153" s="15" t="s">
        <v>317</v>
      </c>
      <c r="AM153" s="19">
        <v>42528</v>
      </c>
    </row>
    <row r="154" spans="1:39" x14ac:dyDescent="0.2">
      <c r="A154" s="15" t="str">
        <f t="shared" si="11"/>
        <v>805158202865</v>
      </c>
      <c r="B154" s="32">
        <v>805158</v>
      </c>
      <c r="C154" s="32" t="s">
        <v>101</v>
      </c>
      <c r="D154" s="17">
        <v>202865</v>
      </c>
      <c r="E154" s="15" t="s">
        <v>55</v>
      </c>
      <c r="F154" s="26">
        <v>36.5</v>
      </c>
      <c r="G154" s="26">
        <v>0</v>
      </c>
      <c r="H154" s="26">
        <v>0</v>
      </c>
      <c r="I154" s="26">
        <v>36.5</v>
      </c>
      <c r="J154" s="26">
        <v>0</v>
      </c>
      <c r="K154" s="26">
        <v>0</v>
      </c>
      <c r="L154" s="26">
        <v>35</v>
      </c>
      <c r="M154" s="26">
        <v>0</v>
      </c>
      <c r="N154" s="26">
        <v>0</v>
      </c>
      <c r="O154" s="27">
        <v>30.5</v>
      </c>
      <c r="P154" s="27">
        <v>0</v>
      </c>
      <c r="Q154" s="27">
        <v>0</v>
      </c>
      <c r="R154" s="27">
        <v>74</v>
      </c>
      <c r="S154" s="27">
        <v>0</v>
      </c>
      <c r="T154" s="27">
        <v>0</v>
      </c>
      <c r="U154" s="27">
        <v>20</v>
      </c>
      <c r="V154" s="27">
        <v>0</v>
      </c>
      <c r="W154" s="27">
        <v>0</v>
      </c>
      <c r="X154" s="27">
        <v>61.5</v>
      </c>
      <c r="Y154" s="27">
        <v>0</v>
      </c>
      <c r="Z154" s="27">
        <v>0</v>
      </c>
      <c r="AA154" s="27">
        <v>37.5</v>
      </c>
      <c r="AB154" s="27">
        <v>0</v>
      </c>
      <c r="AC154" s="27">
        <v>0</v>
      </c>
      <c r="AD154" s="27">
        <v>63</v>
      </c>
      <c r="AE154" s="27">
        <v>0</v>
      </c>
      <c r="AF154" s="27">
        <v>0</v>
      </c>
      <c r="AG154" s="26">
        <f t="shared" si="8"/>
        <v>394.5</v>
      </c>
      <c r="AH154" s="26">
        <f t="shared" si="9"/>
        <v>0</v>
      </c>
      <c r="AI154" s="26">
        <f t="shared" si="10"/>
        <v>0</v>
      </c>
      <c r="AJ154" s="15" t="s">
        <v>0</v>
      </c>
      <c r="AK154" s="15" t="s">
        <v>11</v>
      </c>
      <c r="AL154" s="15" t="s">
        <v>317</v>
      </c>
      <c r="AM154" s="19">
        <v>42530</v>
      </c>
    </row>
    <row r="155" spans="1:39" x14ac:dyDescent="0.2">
      <c r="A155" s="15" t="str">
        <f t="shared" si="11"/>
        <v>805811202865</v>
      </c>
      <c r="B155" s="32">
        <v>805811</v>
      </c>
      <c r="C155" s="32" t="s">
        <v>67</v>
      </c>
      <c r="D155" s="17">
        <v>202865</v>
      </c>
      <c r="E155" s="15" t="s">
        <v>55</v>
      </c>
      <c r="F155" s="26">
        <v>17</v>
      </c>
      <c r="G155" s="26">
        <v>0</v>
      </c>
      <c r="H155" s="26">
        <v>0</v>
      </c>
      <c r="I155" s="26">
        <v>65.5</v>
      </c>
      <c r="J155" s="26">
        <v>0</v>
      </c>
      <c r="K155" s="26">
        <v>0</v>
      </c>
      <c r="L155" s="26">
        <v>129</v>
      </c>
      <c r="M155" s="26">
        <v>0</v>
      </c>
      <c r="N155" s="26">
        <v>0</v>
      </c>
      <c r="O155" s="27">
        <v>135</v>
      </c>
      <c r="P155" s="27">
        <v>0</v>
      </c>
      <c r="Q155" s="27">
        <v>0</v>
      </c>
      <c r="R155" s="27">
        <v>113.4</v>
      </c>
      <c r="S155" s="27">
        <v>0</v>
      </c>
      <c r="T155" s="27">
        <v>0</v>
      </c>
      <c r="U155" s="27">
        <v>139.5</v>
      </c>
      <c r="V155" s="27">
        <v>0</v>
      </c>
      <c r="W155" s="27">
        <v>1</v>
      </c>
      <c r="X155" s="27">
        <v>69</v>
      </c>
      <c r="Y155" s="27">
        <v>0</v>
      </c>
      <c r="Z155" s="27">
        <v>0</v>
      </c>
      <c r="AA155" s="27">
        <v>146.69999999999999</v>
      </c>
      <c r="AB155" s="27">
        <v>0</v>
      </c>
      <c r="AC155" s="27">
        <v>0</v>
      </c>
      <c r="AD155" s="27">
        <v>182.2</v>
      </c>
      <c r="AE155" s="27">
        <v>0</v>
      </c>
      <c r="AF155" s="27">
        <v>0</v>
      </c>
      <c r="AG155" s="26">
        <f t="shared" si="8"/>
        <v>997.3</v>
      </c>
      <c r="AH155" s="26">
        <f t="shared" si="9"/>
        <v>0</v>
      </c>
      <c r="AI155" s="26">
        <f t="shared" si="10"/>
        <v>1</v>
      </c>
      <c r="AJ155" s="15" t="s">
        <v>0</v>
      </c>
      <c r="AK155" s="15" t="s">
        <v>11</v>
      </c>
      <c r="AL155" s="15" t="s">
        <v>317</v>
      </c>
      <c r="AM155" s="19">
        <v>42704</v>
      </c>
    </row>
    <row r="156" spans="1:39" x14ac:dyDescent="0.2">
      <c r="A156" s="15" t="str">
        <f t="shared" si="11"/>
        <v>806234202865</v>
      </c>
      <c r="B156" s="32">
        <v>806234</v>
      </c>
      <c r="C156" s="32" t="s">
        <v>68</v>
      </c>
      <c r="D156" s="17">
        <v>202865</v>
      </c>
      <c r="E156" s="15" t="s">
        <v>55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0</v>
      </c>
      <c r="O156" s="27">
        <v>0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72</v>
      </c>
      <c r="V156" s="27">
        <v>0</v>
      </c>
      <c r="W156" s="27">
        <v>0</v>
      </c>
      <c r="X156" s="27">
        <v>21</v>
      </c>
      <c r="Y156" s="27">
        <v>0</v>
      </c>
      <c r="Z156" s="27">
        <v>0</v>
      </c>
      <c r="AA156" s="27">
        <v>50.5</v>
      </c>
      <c r="AB156" s="27">
        <v>0</v>
      </c>
      <c r="AC156" s="27">
        <v>0</v>
      </c>
      <c r="AD156" s="27">
        <v>62.5</v>
      </c>
      <c r="AE156" s="27">
        <v>0</v>
      </c>
      <c r="AF156" s="27">
        <v>0</v>
      </c>
      <c r="AG156" s="26">
        <f t="shared" si="8"/>
        <v>206</v>
      </c>
      <c r="AH156" s="26">
        <f t="shared" si="9"/>
        <v>0</v>
      </c>
      <c r="AI156" s="26">
        <f t="shared" si="10"/>
        <v>0</v>
      </c>
      <c r="AJ156" s="15" t="s">
        <v>0</v>
      </c>
      <c r="AK156" s="15" t="s">
        <v>11</v>
      </c>
      <c r="AL156" s="15" t="s">
        <v>317</v>
      </c>
      <c r="AM156" s="19">
        <v>42832</v>
      </c>
    </row>
    <row r="157" spans="1:39" x14ac:dyDescent="0.2">
      <c r="A157" s="15" t="str">
        <f t="shared" si="11"/>
        <v>806436119023</v>
      </c>
      <c r="B157" s="32">
        <v>806436</v>
      </c>
      <c r="C157" s="32" t="s">
        <v>108</v>
      </c>
      <c r="D157" s="17">
        <v>119023</v>
      </c>
      <c r="E157" s="15" t="s">
        <v>17</v>
      </c>
      <c r="F157" s="26">
        <v>126</v>
      </c>
      <c r="G157" s="26">
        <v>0</v>
      </c>
      <c r="H157" s="26">
        <v>0</v>
      </c>
      <c r="I157" s="26">
        <v>186</v>
      </c>
      <c r="J157" s="26">
        <v>0</v>
      </c>
      <c r="K157" s="26">
        <v>0</v>
      </c>
      <c r="L157" s="26">
        <v>146</v>
      </c>
      <c r="M157" s="26">
        <v>0</v>
      </c>
      <c r="N157" s="26">
        <v>0</v>
      </c>
      <c r="O157" s="27">
        <v>168.7</v>
      </c>
      <c r="P157" s="27">
        <v>0</v>
      </c>
      <c r="Q157" s="27">
        <v>0</v>
      </c>
      <c r="R157" s="27">
        <v>106</v>
      </c>
      <c r="S157" s="27">
        <v>0</v>
      </c>
      <c r="T157" s="27">
        <v>0</v>
      </c>
      <c r="U157" s="27">
        <v>67</v>
      </c>
      <c r="V157" s="27">
        <v>0</v>
      </c>
      <c r="W157" s="27">
        <v>0</v>
      </c>
      <c r="X157" s="27">
        <v>133</v>
      </c>
      <c r="Y157" s="27">
        <v>0</v>
      </c>
      <c r="Z157" s="27">
        <v>0</v>
      </c>
      <c r="AA157" s="27">
        <v>107.5</v>
      </c>
      <c r="AB157" s="27">
        <v>0</v>
      </c>
      <c r="AC157" s="27">
        <v>0</v>
      </c>
      <c r="AD157" s="27">
        <v>70.5</v>
      </c>
      <c r="AE157" s="27">
        <v>0</v>
      </c>
      <c r="AF157" s="27">
        <v>0</v>
      </c>
      <c r="AG157" s="26">
        <f t="shared" si="8"/>
        <v>1110.7</v>
      </c>
      <c r="AH157" s="26">
        <f t="shared" si="9"/>
        <v>0</v>
      </c>
      <c r="AI157" s="26">
        <f t="shared" si="10"/>
        <v>0</v>
      </c>
      <c r="AJ157" s="15" t="s">
        <v>0</v>
      </c>
      <c r="AK157" s="15" t="s">
        <v>11</v>
      </c>
      <c r="AL157" s="15" t="s">
        <v>317</v>
      </c>
      <c r="AM157" s="19">
        <v>42893</v>
      </c>
    </row>
    <row r="158" spans="1:39" x14ac:dyDescent="0.2">
      <c r="A158" s="15" t="str">
        <f t="shared" si="11"/>
        <v>806439119023</v>
      </c>
      <c r="B158" s="32">
        <v>806439</v>
      </c>
      <c r="C158" s="32" t="s">
        <v>115</v>
      </c>
      <c r="D158" s="17">
        <v>119023</v>
      </c>
      <c r="E158" s="15" t="s">
        <v>17</v>
      </c>
      <c r="F158" s="26">
        <v>0</v>
      </c>
      <c r="G158" s="26">
        <v>0</v>
      </c>
      <c r="H158" s="26">
        <v>0</v>
      </c>
      <c r="I158" s="26">
        <v>202</v>
      </c>
      <c r="J158" s="26">
        <v>0</v>
      </c>
      <c r="K158" s="26">
        <v>0</v>
      </c>
      <c r="L158" s="26">
        <v>197</v>
      </c>
      <c r="M158" s="26">
        <v>0</v>
      </c>
      <c r="N158" s="26">
        <v>88</v>
      </c>
      <c r="O158" s="27">
        <v>168.5</v>
      </c>
      <c r="P158" s="27">
        <v>0</v>
      </c>
      <c r="Q158" s="27">
        <v>0</v>
      </c>
      <c r="R158" s="27">
        <v>103</v>
      </c>
      <c r="S158" s="27">
        <v>0</v>
      </c>
      <c r="T158" s="27">
        <v>0</v>
      </c>
      <c r="U158" s="27">
        <v>0</v>
      </c>
      <c r="V158" s="27">
        <v>0</v>
      </c>
      <c r="W158" s="27">
        <v>0</v>
      </c>
      <c r="X158" s="27">
        <v>172</v>
      </c>
      <c r="Y158" s="27">
        <v>0</v>
      </c>
      <c r="Z158" s="27">
        <v>0</v>
      </c>
      <c r="AA158" s="27">
        <v>162</v>
      </c>
      <c r="AB158" s="27">
        <v>16</v>
      </c>
      <c r="AC158" s="27">
        <v>0</v>
      </c>
      <c r="AD158" s="27">
        <v>134.5</v>
      </c>
      <c r="AE158" s="27">
        <v>0</v>
      </c>
      <c r="AF158" s="27">
        <v>0</v>
      </c>
      <c r="AG158" s="26">
        <f t="shared" si="8"/>
        <v>1139</v>
      </c>
      <c r="AH158" s="26">
        <f t="shared" si="9"/>
        <v>16</v>
      </c>
      <c r="AI158" s="26">
        <f t="shared" si="10"/>
        <v>88</v>
      </c>
      <c r="AJ158" s="15" t="s">
        <v>0</v>
      </c>
      <c r="AK158" s="15" t="s">
        <v>11</v>
      </c>
      <c r="AL158" s="15" t="s">
        <v>317</v>
      </c>
      <c r="AM158" s="19">
        <v>42893</v>
      </c>
    </row>
    <row r="159" spans="1:39" x14ac:dyDescent="0.2">
      <c r="A159" s="15" t="str">
        <f t="shared" si="11"/>
        <v>806440119023</v>
      </c>
      <c r="B159" s="32">
        <v>806440</v>
      </c>
      <c r="C159" s="32" t="s">
        <v>330</v>
      </c>
      <c r="D159" s="17">
        <v>119023</v>
      </c>
      <c r="E159" s="15" t="s">
        <v>17</v>
      </c>
      <c r="F159" s="26">
        <v>0</v>
      </c>
      <c r="G159" s="26">
        <v>0</v>
      </c>
      <c r="H159" s="26">
        <v>0</v>
      </c>
      <c r="I159" s="26">
        <v>0</v>
      </c>
      <c r="J159" s="26">
        <v>0</v>
      </c>
      <c r="K159" s="26">
        <v>0</v>
      </c>
      <c r="L159" s="26">
        <v>0</v>
      </c>
      <c r="M159" s="26">
        <v>0</v>
      </c>
      <c r="N159" s="26">
        <v>0</v>
      </c>
      <c r="O159" s="27">
        <v>0</v>
      </c>
      <c r="P159" s="27">
        <v>0</v>
      </c>
      <c r="Q159" s="27">
        <v>0</v>
      </c>
      <c r="R159" s="27">
        <v>0</v>
      </c>
      <c r="S159" s="27">
        <v>0</v>
      </c>
      <c r="T159" s="27">
        <v>0</v>
      </c>
      <c r="U159" s="27">
        <v>0</v>
      </c>
      <c r="V159" s="27">
        <v>0</v>
      </c>
      <c r="W159" s="27">
        <v>0</v>
      </c>
      <c r="X159" s="27">
        <v>0</v>
      </c>
      <c r="Y159" s="27">
        <v>0</v>
      </c>
      <c r="Z159" s="27">
        <v>0</v>
      </c>
      <c r="AA159" s="27">
        <v>0</v>
      </c>
      <c r="AB159" s="27">
        <v>0</v>
      </c>
      <c r="AC159" s="27">
        <v>0</v>
      </c>
      <c r="AD159" s="27">
        <v>0</v>
      </c>
      <c r="AE159" s="27">
        <v>0</v>
      </c>
      <c r="AF159" s="27">
        <v>0</v>
      </c>
      <c r="AG159" s="26">
        <f t="shared" si="8"/>
        <v>0</v>
      </c>
      <c r="AH159" s="26">
        <f t="shared" si="9"/>
        <v>0</v>
      </c>
      <c r="AI159" s="26">
        <f t="shared" si="10"/>
        <v>0</v>
      </c>
      <c r="AJ159" s="15" t="s">
        <v>0</v>
      </c>
      <c r="AK159" s="15" t="s">
        <v>11</v>
      </c>
      <c r="AL159" s="15" t="s">
        <v>317</v>
      </c>
      <c r="AM159" s="19">
        <v>42893</v>
      </c>
    </row>
    <row r="160" spans="1:39" x14ac:dyDescent="0.2">
      <c r="A160" s="15" t="str">
        <f t="shared" si="11"/>
        <v>806882119023</v>
      </c>
      <c r="B160" s="32">
        <v>806882</v>
      </c>
      <c r="C160" s="32" t="s">
        <v>124</v>
      </c>
      <c r="D160" s="17">
        <v>119023</v>
      </c>
      <c r="E160" s="15" t="s">
        <v>17</v>
      </c>
      <c r="F160" s="26">
        <v>0</v>
      </c>
      <c r="G160" s="26">
        <v>0</v>
      </c>
      <c r="H160" s="26">
        <v>0</v>
      </c>
      <c r="I160" s="26">
        <v>142.5</v>
      </c>
      <c r="J160" s="26">
        <v>0</v>
      </c>
      <c r="K160" s="26">
        <v>0</v>
      </c>
      <c r="L160" s="26">
        <v>137.5</v>
      </c>
      <c r="M160" s="26">
        <v>0</v>
      </c>
      <c r="N160" s="26">
        <v>0</v>
      </c>
      <c r="O160" s="27">
        <v>126.5</v>
      </c>
      <c r="P160" s="27">
        <v>0</v>
      </c>
      <c r="Q160" s="27">
        <v>0</v>
      </c>
      <c r="R160" s="27">
        <v>84</v>
      </c>
      <c r="S160" s="27">
        <v>0</v>
      </c>
      <c r="T160" s="27">
        <v>0</v>
      </c>
      <c r="U160" s="27">
        <v>0</v>
      </c>
      <c r="V160" s="27">
        <v>0</v>
      </c>
      <c r="W160" s="27">
        <v>0</v>
      </c>
      <c r="X160" s="27">
        <v>59</v>
      </c>
      <c r="Y160" s="27">
        <v>0</v>
      </c>
      <c r="Z160" s="27">
        <v>0</v>
      </c>
      <c r="AA160" s="27">
        <v>142.69999999999999</v>
      </c>
      <c r="AB160" s="27">
        <v>0</v>
      </c>
      <c r="AC160" s="27">
        <v>0</v>
      </c>
      <c r="AD160" s="27">
        <v>100</v>
      </c>
      <c r="AE160" s="27">
        <v>0</v>
      </c>
      <c r="AF160" s="27">
        <v>0</v>
      </c>
      <c r="AG160" s="26">
        <f t="shared" si="8"/>
        <v>792.2</v>
      </c>
      <c r="AH160" s="26">
        <f t="shared" si="9"/>
        <v>0</v>
      </c>
      <c r="AI160" s="26">
        <f t="shared" si="10"/>
        <v>0</v>
      </c>
      <c r="AJ160" s="15" t="s">
        <v>0</v>
      </c>
      <c r="AK160" s="15" t="s">
        <v>11</v>
      </c>
      <c r="AL160" s="15" t="s">
        <v>317</v>
      </c>
      <c r="AM160" s="19">
        <v>42993</v>
      </c>
    </row>
    <row r="161" spans="1:39" x14ac:dyDescent="0.2">
      <c r="A161" s="15" t="str">
        <f t="shared" si="11"/>
        <v>806926119047</v>
      </c>
      <c r="B161" s="32">
        <v>806926</v>
      </c>
      <c r="C161" s="32" t="s">
        <v>100</v>
      </c>
      <c r="D161" s="17">
        <v>119047</v>
      </c>
      <c r="E161" s="15" t="s">
        <v>23</v>
      </c>
      <c r="F161" s="26">
        <v>35</v>
      </c>
      <c r="G161" s="26">
        <v>0</v>
      </c>
      <c r="H161" s="26">
        <v>0</v>
      </c>
      <c r="I161" s="26">
        <v>42</v>
      </c>
      <c r="J161" s="26">
        <v>0</v>
      </c>
      <c r="K161" s="26">
        <v>0</v>
      </c>
      <c r="L161" s="26">
        <v>60</v>
      </c>
      <c r="M161" s="26">
        <v>0</v>
      </c>
      <c r="N161" s="26">
        <v>0</v>
      </c>
      <c r="O161" s="27">
        <v>47</v>
      </c>
      <c r="P161" s="27">
        <v>0</v>
      </c>
      <c r="Q161" s="27">
        <v>0</v>
      </c>
      <c r="R161" s="27">
        <v>52</v>
      </c>
      <c r="S161" s="27">
        <v>0</v>
      </c>
      <c r="T161" s="27">
        <v>0</v>
      </c>
      <c r="U161" s="27">
        <v>68</v>
      </c>
      <c r="V161" s="27">
        <v>0</v>
      </c>
      <c r="W161" s="27">
        <v>0</v>
      </c>
      <c r="X161" s="27">
        <v>27</v>
      </c>
      <c r="Y161" s="27">
        <v>0</v>
      </c>
      <c r="Z161" s="27">
        <v>0</v>
      </c>
      <c r="AA161" s="27">
        <v>82</v>
      </c>
      <c r="AB161" s="27">
        <v>0</v>
      </c>
      <c r="AC161" s="27">
        <v>0</v>
      </c>
      <c r="AD161" s="27">
        <v>69.5</v>
      </c>
      <c r="AE161" s="27">
        <v>0</v>
      </c>
      <c r="AF161" s="27">
        <v>0</v>
      </c>
      <c r="AG161" s="26">
        <f t="shared" si="8"/>
        <v>482.5</v>
      </c>
      <c r="AH161" s="26">
        <f t="shared" si="9"/>
        <v>0</v>
      </c>
      <c r="AI161" s="26">
        <f t="shared" si="10"/>
        <v>0</v>
      </c>
      <c r="AJ161" s="15" t="s">
        <v>0</v>
      </c>
      <c r="AK161" s="15" t="s">
        <v>11</v>
      </c>
      <c r="AL161" s="15" t="s">
        <v>317</v>
      </c>
      <c r="AM161" s="19">
        <v>43004</v>
      </c>
    </row>
    <row r="162" spans="1:39" x14ac:dyDescent="0.2">
      <c r="A162" s="15" t="str">
        <f t="shared" si="11"/>
        <v>807002171479</v>
      </c>
      <c r="B162" s="32">
        <v>807002</v>
      </c>
      <c r="C162" s="32" t="s">
        <v>48</v>
      </c>
      <c r="D162" s="17">
        <v>171479</v>
      </c>
      <c r="E162" s="15" t="s">
        <v>46</v>
      </c>
      <c r="F162" s="26">
        <v>42.5</v>
      </c>
      <c r="G162" s="26">
        <v>0</v>
      </c>
      <c r="H162" s="26">
        <v>0</v>
      </c>
      <c r="I162" s="26">
        <v>89</v>
      </c>
      <c r="J162" s="26">
        <v>0</v>
      </c>
      <c r="K162" s="26">
        <v>0</v>
      </c>
      <c r="L162" s="26">
        <v>165</v>
      </c>
      <c r="M162" s="26">
        <v>0</v>
      </c>
      <c r="N162" s="26">
        <v>0</v>
      </c>
      <c r="O162" s="27">
        <v>102.5</v>
      </c>
      <c r="P162" s="27">
        <v>0</v>
      </c>
      <c r="Q162" s="27">
        <v>5</v>
      </c>
      <c r="R162" s="27">
        <v>105</v>
      </c>
      <c r="S162" s="27">
        <v>0</v>
      </c>
      <c r="T162" s="27">
        <v>0</v>
      </c>
      <c r="U162" s="27">
        <v>16</v>
      </c>
      <c r="V162" s="27">
        <v>0</v>
      </c>
      <c r="W162" s="27">
        <v>0</v>
      </c>
      <c r="X162" s="27">
        <v>20</v>
      </c>
      <c r="Y162" s="27">
        <v>0</v>
      </c>
      <c r="Z162" s="27">
        <v>0</v>
      </c>
      <c r="AA162" s="27">
        <v>27.7</v>
      </c>
      <c r="AB162" s="27">
        <v>0</v>
      </c>
      <c r="AC162" s="27">
        <v>0</v>
      </c>
      <c r="AD162" s="27">
        <v>27.5</v>
      </c>
      <c r="AE162" s="27">
        <v>0</v>
      </c>
      <c r="AF162" s="27">
        <v>0</v>
      </c>
      <c r="AG162" s="26">
        <f t="shared" si="8"/>
        <v>595.20000000000005</v>
      </c>
      <c r="AH162" s="26">
        <f t="shared" si="9"/>
        <v>0</v>
      </c>
      <c r="AI162" s="26">
        <f t="shared" si="10"/>
        <v>5</v>
      </c>
      <c r="AJ162" s="15" t="s">
        <v>0</v>
      </c>
      <c r="AK162" s="15" t="s">
        <v>11</v>
      </c>
      <c r="AL162" s="15" t="s">
        <v>317</v>
      </c>
      <c r="AM162" s="19">
        <v>43033</v>
      </c>
    </row>
    <row r="163" spans="1:39" x14ac:dyDescent="0.2">
      <c r="A163" s="15" t="str">
        <f t="shared" si="11"/>
        <v>807143119023</v>
      </c>
      <c r="B163" s="32">
        <v>807143</v>
      </c>
      <c r="C163" s="32" t="s">
        <v>404</v>
      </c>
      <c r="D163" s="15">
        <v>119023</v>
      </c>
      <c r="E163" s="15" t="s">
        <v>17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126.5</v>
      </c>
      <c r="M163" s="26">
        <v>0</v>
      </c>
      <c r="N163" s="26">
        <v>0</v>
      </c>
      <c r="O163" s="27">
        <v>42</v>
      </c>
      <c r="P163" s="27">
        <v>0</v>
      </c>
      <c r="Q163" s="27">
        <v>0</v>
      </c>
      <c r="R163" s="27">
        <v>0</v>
      </c>
      <c r="S163" s="27">
        <v>0</v>
      </c>
      <c r="T163" s="27">
        <v>0</v>
      </c>
      <c r="U163" s="27">
        <v>0</v>
      </c>
      <c r="V163" s="27">
        <v>0</v>
      </c>
      <c r="W163" s="27">
        <v>0</v>
      </c>
      <c r="X163" s="27">
        <v>102</v>
      </c>
      <c r="Y163" s="27">
        <v>0</v>
      </c>
      <c r="Z163" s="27">
        <v>0</v>
      </c>
      <c r="AA163" s="27">
        <v>161.69999999999999</v>
      </c>
      <c r="AB163" s="27">
        <v>0</v>
      </c>
      <c r="AC163" s="27">
        <v>0</v>
      </c>
      <c r="AD163" s="27">
        <v>99</v>
      </c>
      <c r="AE163" s="27">
        <v>0</v>
      </c>
      <c r="AF163" s="27">
        <v>0</v>
      </c>
      <c r="AG163" s="26">
        <f t="shared" si="8"/>
        <v>531.20000000000005</v>
      </c>
      <c r="AH163" s="26">
        <f t="shared" si="9"/>
        <v>0</v>
      </c>
      <c r="AI163" s="26">
        <f t="shared" si="10"/>
        <v>0</v>
      </c>
      <c r="AJ163" s="15" t="s">
        <v>0</v>
      </c>
      <c r="AK163" s="15" t="s">
        <v>11</v>
      </c>
      <c r="AL163" s="15" t="s">
        <v>317</v>
      </c>
      <c r="AM163" s="19">
        <v>43406</v>
      </c>
    </row>
    <row r="164" spans="1:39" x14ac:dyDescent="0.2">
      <c r="A164" s="15" t="str">
        <f t="shared" si="11"/>
        <v>807779202865</v>
      </c>
      <c r="B164" s="32">
        <v>807779</v>
      </c>
      <c r="C164" s="32" t="s">
        <v>117</v>
      </c>
      <c r="D164" s="17">
        <v>202865</v>
      </c>
      <c r="E164" s="15" t="s">
        <v>55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0</v>
      </c>
      <c r="N164" s="26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  <c r="V164" s="27">
        <v>0</v>
      </c>
      <c r="W164" s="27">
        <v>0</v>
      </c>
      <c r="X164" s="27">
        <v>0</v>
      </c>
      <c r="Y164" s="27">
        <v>0</v>
      </c>
      <c r="Z164" s="27">
        <v>0</v>
      </c>
      <c r="AA164" s="27">
        <v>0</v>
      </c>
      <c r="AB164" s="27">
        <v>0</v>
      </c>
      <c r="AC164" s="27">
        <v>0</v>
      </c>
      <c r="AD164" s="27">
        <v>0</v>
      </c>
      <c r="AE164" s="27">
        <v>0</v>
      </c>
      <c r="AF164" s="27">
        <v>0</v>
      </c>
      <c r="AG164" s="26">
        <f t="shared" si="8"/>
        <v>0</v>
      </c>
      <c r="AH164" s="26">
        <f t="shared" si="9"/>
        <v>0</v>
      </c>
      <c r="AI164" s="26">
        <f t="shared" si="10"/>
        <v>0</v>
      </c>
      <c r="AJ164" s="15" t="s">
        <v>0</v>
      </c>
      <c r="AK164" s="15" t="s">
        <v>11</v>
      </c>
      <c r="AL164" s="15" t="s">
        <v>317</v>
      </c>
      <c r="AM164" s="19">
        <v>43487</v>
      </c>
    </row>
    <row r="165" spans="1:39" x14ac:dyDescent="0.2">
      <c r="A165" s="15" t="str">
        <f t="shared" si="11"/>
        <v>808644119023</v>
      </c>
      <c r="B165" s="32">
        <v>808644</v>
      </c>
      <c r="C165" s="32" t="s">
        <v>120</v>
      </c>
      <c r="D165" s="17">
        <v>119023</v>
      </c>
      <c r="E165" s="15" t="s">
        <v>17</v>
      </c>
      <c r="F165" s="26">
        <v>0</v>
      </c>
      <c r="G165" s="26">
        <v>0</v>
      </c>
      <c r="H165" s="26">
        <v>0</v>
      </c>
      <c r="I165" s="26">
        <v>189</v>
      </c>
      <c r="J165" s="26">
        <v>0</v>
      </c>
      <c r="K165" s="26">
        <v>0</v>
      </c>
      <c r="L165" s="26">
        <v>124</v>
      </c>
      <c r="M165" s="26">
        <v>0</v>
      </c>
      <c r="N165" s="26">
        <v>0</v>
      </c>
      <c r="O165" s="27">
        <v>0</v>
      </c>
      <c r="P165" s="27">
        <v>0</v>
      </c>
      <c r="Q165" s="27">
        <v>0</v>
      </c>
      <c r="R165" s="27">
        <v>0</v>
      </c>
      <c r="S165" s="27">
        <v>0</v>
      </c>
      <c r="T165" s="27">
        <v>0</v>
      </c>
      <c r="U165" s="27">
        <v>0</v>
      </c>
      <c r="V165" s="27">
        <v>0</v>
      </c>
      <c r="W165" s="27">
        <v>0</v>
      </c>
      <c r="X165" s="27">
        <v>0</v>
      </c>
      <c r="Y165" s="27">
        <v>0</v>
      </c>
      <c r="Z165" s="27">
        <v>0</v>
      </c>
      <c r="AA165" s="27">
        <v>0</v>
      </c>
      <c r="AB165" s="27">
        <v>0</v>
      </c>
      <c r="AC165" s="27">
        <v>0</v>
      </c>
      <c r="AD165" s="27">
        <v>0</v>
      </c>
      <c r="AE165" s="27">
        <v>0</v>
      </c>
      <c r="AF165" s="27">
        <v>0</v>
      </c>
      <c r="AG165" s="26">
        <f t="shared" si="8"/>
        <v>313</v>
      </c>
      <c r="AH165" s="26">
        <f t="shared" si="9"/>
        <v>0</v>
      </c>
      <c r="AI165" s="26">
        <f t="shared" si="10"/>
        <v>0</v>
      </c>
      <c r="AJ165" s="15" t="s">
        <v>0</v>
      </c>
      <c r="AK165" s="15" t="s">
        <v>11</v>
      </c>
      <c r="AL165" s="15" t="s">
        <v>317</v>
      </c>
      <c r="AM165" s="19">
        <v>43277</v>
      </c>
    </row>
    <row r="166" spans="1:39" x14ac:dyDescent="0.2">
      <c r="A166" s="15" t="str">
        <f t="shared" si="11"/>
        <v>808925119023</v>
      </c>
      <c r="B166" s="32">
        <v>808925</v>
      </c>
      <c r="C166" s="32" t="s">
        <v>412</v>
      </c>
      <c r="D166" s="15">
        <v>119023</v>
      </c>
      <c r="E166" s="15" t="s">
        <v>17</v>
      </c>
      <c r="F166" s="26">
        <v>0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132</v>
      </c>
      <c r="M166" s="26">
        <v>0</v>
      </c>
      <c r="N166" s="26">
        <v>0</v>
      </c>
      <c r="O166" s="27">
        <v>42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  <c r="V166" s="27">
        <v>0</v>
      </c>
      <c r="W166" s="27">
        <v>0</v>
      </c>
      <c r="X166" s="27">
        <v>80</v>
      </c>
      <c r="Y166" s="27">
        <v>0</v>
      </c>
      <c r="Z166" s="27">
        <v>0</v>
      </c>
      <c r="AA166" s="27">
        <v>147.69999999999999</v>
      </c>
      <c r="AB166" s="27">
        <v>0</v>
      </c>
      <c r="AC166" s="27">
        <v>0</v>
      </c>
      <c r="AD166" s="27">
        <v>100.5</v>
      </c>
      <c r="AE166" s="27">
        <v>0</v>
      </c>
      <c r="AF166" s="27">
        <v>0</v>
      </c>
      <c r="AG166" s="26">
        <f t="shared" si="8"/>
        <v>502.2</v>
      </c>
      <c r="AH166" s="26">
        <f t="shared" si="9"/>
        <v>0</v>
      </c>
      <c r="AI166" s="26">
        <f t="shared" si="10"/>
        <v>0</v>
      </c>
      <c r="AJ166" s="15" t="s">
        <v>0</v>
      </c>
      <c r="AK166" s="15" t="s">
        <v>11</v>
      </c>
      <c r="AL166" s="15" t="s">
        <v>317</v>
      </c>
      <c r="AM166" s="19">
        <v>43293</v>
      </c>
    </row>
    <row r="167" spans="1:39" x14ac:dyDescent="0.2">
      <c r="A167" s="15" t="str">
        <f t="shared" si="11"/>
        <v>808926119023</v>
      </c>
      <c r="B167" s="32">
        <v>808926</v>
      </c>
      <c r="C167" s="32" t="s">
        <v>413</v>
      </c>
      <c r="D167" s="15">
        <v>119023</v>
      </c>
      <c r="E167" s="15" t="s">
        <v>17</v>
      </c>
      <c r="F167" s="26">
        <v>0</v>
      </c>
      <c r="G167" s="26">
        <v>0</v>
      </c>
      <c r="H167" s="26">
        <v>0</v>
      </c>
      <c r="I167" s="26">
        <v>0</v>
      </c>
      <c r="J167" s="26">
        <v>0</v>
      </c>
      <c r="K167" s="26">
        <v>0</v>
      </c>
      <c r="L167" s="26">
        <v>0</v>
      </c>
      <c r="M167" s="26">
        <v>0</v>
      </c>
      <c r="N167" s="26">
        <v>0</v>
      </c>
      <c r="O167" s="27">
        <v>0</v>
      </c>
      <c r="P167" s="27">
        <v>0</v>
      </c>
      <c r="Q167" s="27">
        <v>0</v>
      </c>
      <c r="R167" s="27">
        <v>20</v>
      </c>
      <c r="S167" s="27">
        <v>0</v>
      </c>
      <c r="T167" s="27">
        <v>0</v>
      </c>
      <c r="U167" s="27">
        <v>0</v>
      </c>
      <c r="V167" s="27">
        <v>0</v>
      </c>
      <c r="W167" s="27">
        <v>0</v>
      </c>
      <c r="X167" s="27">
        <v>0</v>
      </c>
      <c r="Y167" s="27">
        <v>0</v>
      </c>
      <c r="Z167" s="27">
        <v>0</v>
      </c>
      <c r="AA167" s="27">
        <v>145</v>
      </c>
      <c r="AB167" s="27">
        <v>0</v>
      </c>
      <c r="AC167" s="27">
        <v>0</v>
      </c>
      <c r="AD167" s="27">
        <v>100.5</v>
      </c>
      <c r="AE167" s="27">
        <v>0</v>
      </c>
      <c r="AF167" s="27">
        <v>0</v>
      </c>
      <c r="AG167" s="26">
        <f t="shared" si="8"/>
        <v>265.5</v>
      </c>
      <c r="AH167" s="26">
        <f t="shared" si="9"/>
        <v>0</v>
      </c>
      <c r="AI167" s="26">
        <f t="shared" si="10"/>
        <v>0</v>
      </c>
      <c r="AJ167" s="15" t="s">
        <v>0</v>
      </c>
      <c r="AK167" s="15" t="s">
        <v>11</v>
      </c>
      <c r="AL167" s="15" t="s">
        <v>317</v>
      </c>
      <c r="AM167" s="19">
        <v>43293</v>
      </c>
    </row>
    <row r="168" spans="1:39" x14ac:dyDescent="0.2">
      <c r="A168" s="15" t="str">
        <f t="shared" si="11"/>
        <v>811475178844</v>
      </c>
      <c r="B168" s="32">
        <v>811475</v>
      </c>
      <c r="C168" s="32" t="s">
        <v>5</v>
      </c>
      <c r="D168" s="17">
        <v>178844</v>
      </c>
      <c r="E168" s="15" t="s">
        <v>4</v>
      </c>
      <c r="F168" s="26">
        <v>0</v>
      </c>
      <c r="G168" s="26">
        <v>0</v>
      </c>
      <c r="H168" s="26">
        <v>0</v>
      </c>
      <c r="I168" s="26">
        <v>0</v>
      </c>
      <c r="J168" s="26">
        <v>0</v>
      </c>
      <c r="K168" s="26">
        <v>0</v>
      </c>
      <c r="L168" s="26">
        <v>0</v>
      </c>
      <c r="M168" s="26">
        <v>0</v>
      </c>
      <c r="N168" s="26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6">
        <f t="shared" si="8"/>
        <v>0</v>
      </c>
      <c r="AH168" s="26">
        <f t="shared" si="9"/>
        <v>0</v>
      </c>
      <c r="AI168" s="26">
        <f t="shared" si="10"/>
        <v>0</v>
      </c>
      <c r="AJ168" s="15" t="s">
        <v>0</v>
      </c>
      <c r="AK168" s="15" t="s">
        <v>11</v>
      </c>
      <c r="AL168" s="15" t="s">
        <v>317</v>
      </c>
      <c r="AM168" s="19">
        <v>43871</v>
      </c>
    </row>
    <row r="169" spans="1:39" x14ac:dyDescent="0.2">
      <c r="A169" s="15" t="str">
        <f t="shared" si="11"/>
        <v>812299143531</v>
      </c>
      <c r="B169" s="32">
        <v>812299</v>
      </c>
      <c r="C169" s="32" t="s">
        <v>99</v>
      </c>
      <c r="D169" s="17">
        <v>143531</v>
      </c>
      <c r="E169" s="15" t="s">
        <v>96</v>
      </c>
      <c r="F169" s="26">
        <v>14</v>
      </c>
      <c r="G169" s="26">
        <v>0</v>
      </c>
      <c r="H169" s="26">
        <v>0</v>
      </c>
      <c r="I169" s="26">
        <v>34</v>
      </c>
      <c r="J169" s="26">
        <v>0</v>
      </c>
      <c r="K169" s="26">
        <v>0</v>
      </c>
      <c r="L169" s="26">
        <v>25</v>
      </c>
      <c r="M169" s="26">
        <v>0</v>
      </c>
      <c r="N169" s="26">
        <v>0</v>
      </c>
      <c r="O169" s="27">
        <v>20</v>
      </c>
      <c r="P169" s="27">
        <v>0</v>
      </c>
      <c r="Q169" s="27">
        <v>0</v>
      </c>
      <c r="R169" s="27">
        <v>14</v>
      </c>
      <c r="S169" s="27">
        <v>0</v>
      </c>
      <c r="T169" s="27">
        <v>0</v>
      </c>
      <c r="U169" s="27">
        <v>0</v>
      </c>
      <c r="V169" s="27">
        <v>0</v>
      </c>
      <c r="W169" s="27">
        <v>0</v>
      </c>
      <c r="X169" s="27">
        <v>0</v>
      </c>
      <c r="Y169" s="27">
        <v>0</v>
      </c>
      <c r="Z169" s="27">
        <v>0</v>
      </c>
      <c r="AA169" s="27">
        <v>12.5</v>
      </c>
      <c r="AB169" s="27">
        <v>0</v>
      </c>
      <c r="AC169" s="27">
        <v>4</v>
      </c>
      <c r="AD169" s="27">
        <v>28</v>
      </c>
      <c r="AE169" s="27">
        <v>0</v>
      </c>
      <c r="AF169" s="27">
        <v>0</v>
      </c>
      <c r="AG169" s="26">
        <f t="shared" si="8"/>
        <v>147.5</v>
      </c>
      <c r="AH169" s="26">
        <f t="shared" si="9"/>
        <v>0</v>
      </c>
      <c r="AI169" s="26">
        <f t="shared" si="10"/>
        <v>4</v>
      </c>
      <c r="AJ169" s="15" t="s">
        <v>0</v>
      </c>
      <c r="AK169" s="15" t="s">
        <v>11</v>
      </c>
      <c r="AL169" s="15" t="s">
        <v>317</v>
      </c>
      <c r="AM169" s="19">
        <v>44033</v>
      </c>
    </row>
    <row r="170" spans="1:39" x14ac:dyDescent="0.2">
      <c r="A170" s="15" t="str">
        <f t="shared" si="11"/>
        <v>812741129599</v>
      </c>
      <c r="B170" s="32">
        <v>812741</v>
      </c>
      <c r="C170" s="32" t="s">
        <v>9</v>
      </c>
      <c r="D170" s="17">
        <v>129599</v>
      </c>
      <c r="E170" s="15" t="s">
        <v>6</v>
      </c>
      <c r="F170" s="26">
        <v>0</v>
      </c>
      <c r="G170" s="26">
        <v>0</v>
      </c>
      <c r="H170" s="26">
        <v>0</v>
      </c>
      <c r="I170" s="26">
        <v>11</v>
      </c>
      <c r="J170" s="26">
        <v>0</v>
      </c>
      <c r="K170" s="26">
        <v>0</v>
      </c>
      <c r="L170" s="26">
        <v>0</v>
      </c>
      <c r="M170" s="26">
        <v>0</v>
      </c>
      <c r="N170" s="26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  <c r="V170" s="27">
        <v>0</v>
      </c>
      <c r="W170" s="27">
        <v>0</v>
      </c>
      <c r="X170" s="27">
        <v>0</v>
      </c>
      <c r="Y170" s="27">
        <v>0</v>
      </c>
      <c r="Z170" s="27">
        <v>0</v>
      </c>
      <c r="AA170" s="27">
        <v>0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6">
        <f t="shared" si="8"/>
        <v>11</v>
      </c>
      <c r="AH170" s="26">
        <f t="shared" si="9"/>
        <v>0</v>
      </c>
      <c r="AI170" s="26">
        <f t="shared" si="10"/>
        <v>0</v>
      </c>
      <c r="AJ170" s="15" t="s">
        <v>0</v>
      </c>
      <c r="AK170" s="15" t="s">
        <v>11</v>
      </c>
      <c r="AL170" s="15" t="s">
        <v>317</v>
      </c>
      <c r="AM170" s="19">
        <v>44075</v>
      </c>
    </row>
    <row r="171" spans="1:39" x14ac:dyDescent="0.2">
      <c r="A171" s="15" t="str">
        <f t="shared" si="11"/>
        <v>812944177829</v>
      </c>
      <c r="B171" s="32">
        <v>812944</v>
      </c>
      <c r="C171" s="32" t="s">
        <v>90</v>
      </c>
      <c r="D171" s="17">
        <v>177829</v>
      </c>
      <c r="E171" s="15" t="s">
        <v>43</v>
      </c>
      <c r="F171" s="26">
        <v>24.5</v>
      </c>
      <c r="G171" s="26">
        <v>0</v>
      </c>
      <c r="H171" s="26">
        <v>0</v>
      </c>
      <c r="I171" s="26">
        <v>64</v>
      </c>
      <c r="J171" s="26">
        <v>0</v>
      </c>
      <c r="K171" s="26">
        <v>0</v>
      </c>
      <c r="L171" s="26">
        <v>74</v>
      </c>
      <c r="M171" s="26">
        <v>0</v>
      </c>
      <c r="N171" s="26">
        <v>10</v>
      </c>
      <c r="O171" s="27">
        <v>51</v>
      </c>
      <c r="P171" s="27">
        <v>0</v>
      </c>
      <c r="Q171" s="27">
        <v>0</v>
      </c>
      <c r="R171" s="27">
        <v>50</v>
      </c>
      <c r="S171" s="27">
        <v>0</v>
      </c>
      <c r="T171" s="27">
        <v>0</v>
      </c>
      <c r="U171" s="27">
        <v>42</v>
      </c>
      <c r="V171" s="27">
        <v>0</v>
      </c>
      <c r="W171" s="27">
        <v>0</v>
      </c>
      <c r="X171" s="27">
        <v>20</v>
      </c>
      <c r="Y171" s="27">
        <v>0</v>
      </c>
      <c r="Z171" s="27">
        <v>0</v>
      </c>
      <c r="AA171" s="27">
        <v>47.5</v>
      </c>
      <c r="AB171" s="27">
        <v>0</v>
      </c>
      <c r="AC171" s="27">
        <v>0</v>
      </c>
      <c r="AD171" s="27">
        <v>65.2</v>
      </c>
      <c r="AE171" s="27">
        <v>0</v>
      </c>
      <c r="AF171" s="27">
        <v>0</v>
      </c>
      <c r="AG171" s="26">
        <f t="shared" si="8"/>
        <v>438.2</v>
      </c>
      <c r="AH171" s="26">
        <f t="shared" si="9"/>
        <v>0</v>
      </c>
      <c r="AI171" s="26">
        <f t="shared" si="10"/>
        <v>10</v>
      </c>
      <c r="AJ171" s="15" t="s">
        <v>0</v>
      </c>
      <c r="AK171" s="15" t="s">
        <v>11</v>
      </c>
      <c r="AL171" s="15" t="s">
        <v>317</v>
      </c>
      <c r="AM171" s="19">
        <v>44091</v>
      </c>
    </row>
    <row r="172" spans="1:39" x14ac:dyDescent="0.2">
      <c r="A172" s="15" t="str">
        <f t="shared" si="11"/>
        <v>812967177829</v>
      </c>
      <c r="B172" s="32">
        <v>812967</v>
      </c>
      <c r="C172" s="32" t="s">
        <v>89</v>
      </c>
      <c r="D172" s="17">
        <v>177829</v>
      </c>
      <c r="E172" s="15" t="s">
        <v>43</v>
      </c>
      <c r="F172" s="26">
        <v>59</v>
      </c>
      <c r="G172" s="26">
        <v>0</v>
      </c>
      <c r="H172" s="26">
        <v>0</v>
      </c>
      <c r="I172" s="26">
        <v>40</v>
      </c>
      <c r="J172" s="26">
        <v>0</v>
      </c>
      <c r="K172" s="26">
        <v>0</v>
      </c>
      <c r="L172" s="26">
        <v>64.5</v>
      </c>
      <c r="M172" s="26">
        <v>0</v>
      </c>
      <c r="N172" s="26">
        <v>10</v>
      </c>
      <c r="O172" s="27">
        <v>63.5</v>
      </c>
      <c r="P172" s="27">
        <v>0</v>
      </c>
      <c r="Q172" s="27">
        <v>0</v>
      </c>
      <c r="R172" s="27">
        <v>47</v>
      </c>
      <c r="S172" s="27">
        <v>0</v>
      </c>
      <c r="T172" s="27">
        <v>0</v>
      </c>
      <c r="U172" s="27">
        <v>41</v>
      </c>
      <c r="V172" s="27">
        <v>0</v>
      </c>
      <c r="W172" s="27">
        <v>0</v>
      </c>
      <c r="X172" s="27">
        <v>21</v>
      </c>
      <c r="Y172" s="27">
        <v>0</v>
      </c>
      <c r="Z172" s="27">
        <v>0</v>
      </c>
      <c r="AA172" s="27">
        <v>28.4</v>
      </c>
      <c r="AB172" s="27">
        <v>0</v>
      </c>
      <c r="AC172" s="27">
        <v>11.4</v>
      </c>
      <c r="AD172" s="27">
        <v>43.2</v>
      </c>
      <c r="AE172" s="27">
        <v>0</v>
      </c>
      <c r="AF172" s="27">
        <v>20.7</v>
      </c>
      <c r="AG172" s="26">
        <f t="shared" si="8"/>
        <v>407.59999999999997</v>
      </c>
      <c r="AH172" s="26">
        <f t="shared" si="9"/>
        <v>0</v>
      </c>
      <c r="AI172" s="26">
        <f t="shared" si="10"/>
        <v>42.099999999999994</v>
      </c>
      <c r="AJ172" s="15" t="s">
        <v>0</v>
      </c>
      <c r="AK172" s="15" t="s">
        <v>11</v>
      </c>
      <c r="AL172" s="15" t="s">
        <v>317</v>
      </c>
      <c r="AM172" s="19">
        <v>44092</v>
      </c>
    </row>
    <row r="173" spans="1:39" x14ac:dyDescent="0.2">
      <c r="A173" s="15" t="str">
        <f t="shared" si="11"/>
        <v>813154170708</v>
      </c>
      <c r="B173" s="32">
        <v>813154</v>
      </c>
      <c r="C173" s="32" t="s">
        <v>121</v>
      </c>
      <c r="D173" s="17">
        <v>170708</v>
      </c>
      <c r="E173" s="15" t="s">
        <v>98</v>
      </c>
      <c r="F173" s="26">
        <v>54.5</v>
      </c>
      <c r="G173" s="26">
        <v>0</v>
      </c>
      <c r="H173" s="26">
        <v>0</v>
      </c>
      <c r="I173" s="26">
        <v>54.5</v>
      </c>
      <c r="J173" s="26">
        <v>0</v>
      </c>
      <c r="K173" s="26">
        <v>0</v>
      </c>
      <c r="L173" s="26">
        <v>62</v>
      </c>
      <c r="M173" s="26">
        <v>0</v>
      </c>
      <c r="N173" s="26">
        <v>0</v>
      </c>
      <c r="O173" s="27">
        <v>53</v>
      </c>
      <c r="P173" s="27">
        <v>0</v>
      </c>
      <c r="Q173" s="27">
        <v>0</v>
      </c>
      <c r="R173" s="27">
        <v>40</v>
      </c>
      <c r="S173" s="27">
        <v>0</v>
      </c>
      <c r="T173" s="27">
        <v>0</v>
      </c>
      <c r="U173" s="27">
        <v>12.5</v>
      </c>
      <c r="V173" s="27">
        <v>0</v>
      </c>
      <c r="W173" s="27">
        <v>0</v>
      </c>
      <c r="X173" s="27">
        <v>0</v>
      </c>
      <c r="Y173" s="27">
        <v>0</v>
      </c>
      <c r="Z173" s="27">
        <v>0</v>
      </c>
      <c r="AA173" s="27">
        <v>40</v>
      </c>
      <c r="AB173" s="27">
        <v>0</v>
      </c>
      <c r="AC173" s="27">
        <v>0</v>
      </c>
      <c r="AD173" s="27">
        <v>32.5</v>
      </c>
      <c r="AE173" s="27">
        <v>0</v>
      </c>
      <c r="AF173" s="27">
        <v>2.5</v>
      </c>
      <c r="AG173" s="26">
        <f t="shared" ref="AG173:AG236" si="12">SUMIF($F$2:$AF$2,"Total",F173:AF173)</f>
        <v>349</v>
      </c>
      <c r="AH173" s="26">
        <f t="shared" ref="AH173:AH236" si="13">SUMIF($F$2:$AF$2,"WS",F173:AF173)</f>
        <v>0</v>
      </c>
      <c r="AI173" s="26">
        <f t="shared" ref="AI173:AI236" si="14">SUMIF($F$2:$AF$2,"PPCSS",F173:AF173)</f>
        <v>2.5</v>
      </c>
      <c r="AJ173" s="15" t="s">
        <v>0</v>
      </c>
      <c r="AK173" s="15" t="s">
        <v>11</v>
      </c>
      <c r="AL173" s="15" t="s">
        <v>317</v>
      </c>
      <c r="AM173" s="19">
        <v>44105</v>
      </c>
    </row>
    <row r="174" spans="1:39" x14ac:dyDescent="0.2">
      <c r="A174" s="15" t="str">
        <f t="shared" si="11"/>
        <v>813385175392</v>
      </c>
      <c r="B174" s="32">
        <v>813385</v>
      </c>
      <c r="C174" s="32" t="s">
        <v>60</v>
      </c>
      <c r="D174" s="17">
        <v>175392</v>
      </c>
      <c r="E174" s="15" t="s">
        <v>59</v>
      </c>
      <c r="F174" s="26">
        <v>43</v>
      </c>
      <c r="G174" s="26">
        <v>0</v>
      </c>
      <c r="H174" s="26">
        <v>0</v>
      </c>
      <c r="I174" s="26">
        <v>20</v>
      </c>
      <c r="J174" s="26">
        <v>0</v>
      </c>
      <c r="K174" s="26">
        <v>0</v>
      </c>
      <c r="L174" s="26">
        <v>57</v>
      </c>
      <c r="M174" s="26">
        <v>0</v>
      </c>
      <c r="N174" s="26">
        <v>0</v>
      </c>
      <c r="O174" s="27">
        <v>42</v>
      </c>
      <c r="P174" s="27">
        <v>0</v>
      </c>
      <c r="Q174" s="27">
        <v>0</v>
      </c>
      <c r="R174" s="27">
        <v>0</v>
      </c>
      <c r="S174" s="27">
        <v>0</v>
      </c>
      <c r="T174" s="27">
        <v>0</v>
      </c>
      <c r="U174" s="27">
        <v>35</v>
      </c>
      <c r="V174" s="27">
        <v>0</v>
      </c>
      <c r="W174" s="27">
        <v>0</v>
      </c>
      <c r="X174" s="27">
        <v>46</v>
      </c>
      <c r="Y174" s="27">
        <v>0</v>
      </c>
      <c r="Z174" s="27">
        <v>0</v>
      </c>
      <c r="AA174" s="27">
        <v>63</v>
      </c>
      <c r="AB174" s="27">
        <v>0</v>
      </c>
      <c r="AC174" s="27">
        <v>0</v>
      </c>
      <c r="AD174" s="27">
        <v>20</v>
      </c>
      <c r="AE174" s="27">
        <v>0</v>
      </c>
      <c r="AF174" s="27">
        <v>0</v>
      </c>
      <c r="AG174" s="26">
        <f t="shared" si="12"/>
        <v>326</v>
      </c>
      <c r="AH174" s="26">
        <f t="shared" si="13"/>
        <v>0</v>
      </c>
      <c r="AI174" s="26">
        <f t="shared" si="14"/>
        <v>0</v>
      </c>
      <c r="AJ174" s="15" t="s">
        <v>0</v>
      </c>
      <c r="AK174" s="15" t="s">
        <v>11</v>
      </c>
      <c r="AL174" s="15" t="s">
        <v>317</v>
      </c>
      <c r="AM174" s="19">
        <v>44128</v>
      </c>
    </row>
    <row r="175" spans="1:39" x14ac:dyDescent="0.2">
      <c r="A175" s="15" t="str">
        <f t="shared" si="11"/>
        <v>813746204013</v>
      </c>
      <c r="B175" s="32">
        <v>813746</v>
      </c>
      <c r="C175" s="32" t="s">
        <v>53</v>
      </c>
      <c r="D175" s="17">
        <v>204013</v>
      </c>
      <c r="E175" s="15" t="s">
        <v>51</v>
      </c>
      <c r="F175" s="26">
        <v>0</v>
      </c>
      <c r="G175" s="26">
        <v>0</v>
      </c>
      <c r="H175" s="26">
        <v>0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7">
        <v>0</v>
      </c>
      <c r="P175" s="27">
        <v>0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  <c r="V175" s="27">
        <v>0</v>
      </c>
      <c r="W175" s="27">
        <v>0</v>
      </c>
      <c r="X175" s="27">
        <v>0</v>
      </c>
      <c r="Y175" s="27">
        <v>0</v>
      </c>
      <c r="Z175" s="27">
        <v>0</v>
      </c>
      <c r="AA175" s="27">
        <v>0</v>
      </c>
      <c r="AB175" s="27">
        <v>0</v>
      </c>
      <c r="AC175" s="27">
        <v>0</v>
      </c>
      <c r="AD175" s="27">
        <v>0</v>
      </c>
      <c r="AE175" s="27">
        <v>0</v>
      </c>
      <c r="AF175" s="27">
        <v>0</v>
      </c>
      <c r="AG175" s="26">
        <f t="shared" si="12"/>
        <v>0</v>
      </c>
      <c r="AH175" s="26">
        <f t="shared" si="13"/>
        <v>0</v>
      </c>
      <c r="AI175" s="26">
        <f t="shared" si="14"/>
        <v>0</v>
      </c>
      <c r="AJ175" s="15" t="s">
        <v>0</v>
      </c>
      <c r="AK175" s="15" t="s">
        <v>11</v>
      </c>
      <c r="AL175" s="15" t="s">
        <v>317</v>
      </c>
      <c r="AM175" s="19">
        <v>44168</v>
      </c>
    </row>
    <row r="176" spans="1:39" x14ac:dyDescent="0.2">
      <c r="A176" s="15" t="str">
        <f t="shared" si="11"/>
        <v>813876204013</v>
      </c>
      <c r="B176" s="32">
        <v>813876</v>
      </c>
      <c r="C176" s="32" t="s">
        <v>54</v>
      </c>
      <c r="D176" s="17">
        <v>204013</v>
      </c>
      <c r="E176" s="15" t="s">
        <v>51</v>
      </c>
      <c r="F176" s="26">
        <v>24.5</v>
      </c>
      <c r="G176" s="26">
        <v>0</v>
      </c>
      <c r="H176" s="26">
        <v>0</v>
      </c>
      <c r="I176" s="26">
        <v>10</v>
      </c>
      <c r="J176" s="26">
        <v>0</v>
      </c>
      <c r="K176" s="26">
        <v>0</v>
      </c>
      <c r="L176" s="26">
        <v>12.7</v>
      </c>
      <c r="M176" s="26">
        <v>0</v>
      </c>
      <c r="N176" s="26">
        <v>0</v>
      </c>
      <c r="O176" s="27">
        <v>0</v>
      </c>
      <c r="P176" s="27">
        <v>0</v>
      </c>
      <c r="Q176" s="27">
        <v>0</v>
      </c>
      <c r="R176" s="27">
        <v>20</v>
      </c>
      <c r="S176" s="27">
        <v>0</v>
      </c>
      <c r="T176" s="27">
        <v>0</v>
      </c>
      <c r="U176" s="27">
        <v>0</v>
      </c>
      <c r="V176" s="27">
        <v>0</v>
      </c>
      <c r="W176" s="27">
        <v>0</v>
      </c>
      <c r="X176" s="27">
        <v>0</v>
      </c>
      <c r="Y176" s="27">
        <v>0</v>
      </c>
      <c r="Z176" s="27">
        <v>0</v>
      </c>
      <c r="AA176" s="27">
        <v>31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6">
        <f t="shared" si="12"/>
        <v>98.2</v>
      </c>
      <c r="AH176" s="26">
        <f t="shared" si="13"/>
        <v>0</v>
      </c>
      <c r="AI176" s="26">
        <f t="shared" si="14"/>
        <v>0</v>
      </c>
      <c r="AJ176" s="15" t="s">
        <v>0</v>
      </c>
      <c r="AK176" s="15" t="s">
        <v>11</v>
      </c>
      <c r="AL176" s="15" t="s">
        <v>317</v>
      </c>
      <c r="AM176" s="19">
        <v>44183</v>
      </c>
    </row>
    <row r="177" spans="1:39" x14ac:dyDescent="0.2">
      <c r="A177" s="15" t="str">
        <f t="shared" si="11"/>
        <v>813877119023</v>
      </c>
      <c r="B177" s="32">
        <v>813877</v>
      </c>
      <c r="C177" s="32" t="s">
        <v>332</v>
      </c>
      <c r="D177" s="17">
        <v>119023</v>
      </c>
      <c r="E177" s="15" t="s">
        <v>17</v>
      </c>
      <c r="F177" s="26">
        <v>0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  <c r="V177" s="27">
        <v>0</v>
      </c>
      <c r="W177" s="27">
        <v>0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27">
        <v>0</v>
      </c>
      <c r="AG177" s="26">
        <f t="shared" si="12"/>
        <v>0</v>
      </c>
      <c r="AH177" s="26">
        <f t="shared" si="13"/>
        <v>0</v>
      </c>
      <c r="AI177" s="26">
        <f t="shared" si="14"/>
        <v>0</v>
      </c>
      <c r="AJ177" s="15" t="s">
        <v>0</v>
      </c>
      <c r="AK177" s="15" t="s">
        <v>11</v>
      </c>
      <c r="AL177" s="15" t="s">
        <v>317</v>
      </c>
      <c r="AM177" s="19">
        <v>44183</v>
      </c>
    </row>
    <row r="178" spans="1:39" x14ac:dyDescent="0.2">
      <c r="A178" s="15" t="str">
        <f t="shared" si="11"/>
        <v>813894202865</v>
      </c>
      <c r="B178" s="32">
        <v>813894</v>
      </c>
      <c r="C178" s="32" t="s">
        <v>56</v>
      </c>
      <c r="D178" s="17">
        <v>202865</v>
      </c>
      <c r="E178" s="15" t="s">
        <v>55</v>
      </c>
      <c r="F178" s="26">
        <v>25</v>
      </c>
      <c r="G178" s="26">
        <v>0</v>
      </c>
      <c r="H178" s="26">
        <v>0</v>
      </c>
      <c r="I178" s="26">
        <v>42</v>
      </c>
      <c r="J178" s="26">
        <v>0</v>
      </c>
      <c r="K178" s="26">
        <v>0</v>
      </c>
      <c r="L178" s="26">
        <v>42.5</v>
      </c>
      <c r="M178" s="26">
        <v>0</v>
      </c>
      <c r="N178" s="26">
        <v>0</v>
      </c>
      <c r="O178" s="27">
        <v>88.5</v>
      </c>
      <c r="P178" s="27">
        <v>0</v>
      </c>
      <c r="Q178" s="27">
        <v>5</v>
      </c>
      <c r="R178" s="27">
        <v>42</v>
      </c>
      <c r="S178" s="27">
        <v>0</v>
      </c>
      <c r="T178" s="27">
        <v>0</v>
      </c>
      <c r="U178" s="27">
        <v>62.5</v>
      </c>
      <c r="V178" s="27">
        <v>0</v>
      </c>
      <c r="W178" s="27">
        <v>0</v>
      </c>
      <c r="X178" s="27">
        <v>42</v>
      </c>
      <c r="Y178" s="27">
        <v>0</v>
      </c>
      <c r="Z178" s="27">
        <v>0</v>
      </c>
      <c r="AA178" s="27">
        <v>87.5</v>
      </c>
      <c r="AB178" s="27">
        <v>0</v>
      </c>
      <c r="AC178" s="27">
        <v>0</v>
      </c>
      <c r="AD178" s="27">
        <v>59.5</v>
      </c>
      <c r="AE178" s="27">
        <v>0</v>
      </c>
      <c r="AF178" s="27">
        <v>0</v>
      </c>
      <c r="AG178" s="26">
        <f t="shared" si="12"/>
        <v>491.5</v>
      </c>
      <c r="AH178" s="26">
        <f t="shared" si="13"/>
        <v>0</v>
      </c>
      <c r="AI178" s="26">
        <f t="shared" si="14"/>
        <v>5</v>
      </c>
      <c r="AJ178" s="15" t="s">
        <v>0</v>
      </c>
      <c r="AK178" s="15" t="s">
        <v>11</v>
      </c>
      <c r="AL178" s="15" t="s">
        <v>317</v>
      </c>
      <c r="AM178" s="19">
        <v>44184</v>
      </c>
    </row>
    <row r="179" spans="1:39" x14ac:dyDescent="0.2">
      <c r="A179" s="15" t="str">
        <f t="shared" si="11"/>
        <v>813895204013</v>
      </c>
      <c r="B179" s="32">
        <v>813895</v>
      </c>
      <c r="C179" s="32" t="s">
        <v>52</v>
      </c>
      <c r="D179" s="17">
        <v>204013</v>
      </c>
      <c r="E179" s="15" t="s">
        <v>51</v>
      </c>
      <c r="F179" s="26">
        <v>25</v>
      </c>
      <c r="G179" s="26">
        <v>0</v>
      </c>
      <c r="H179" s="26">
        <v>0</v>
      </c>
      <c r="I179" s="26">
        <v>0</v>
      </c>
      <c r="J179" s="26">
        <v>0</v>
      </c>
      <c r="K179" s="26">
        <v>0</v>
      </c>
      <c r="L179" s="26">
        <v>10</v>
      </c>
      <c r="M179" s="26">
        <v>0</v>
      </c>
      <c r="N179" s="26">
        <v>0</v>
      </c>
      <c r="O179" s="27">
        <v>10</v>
      </c>
      <c r="P179" s="27">
        <v>0</v>
      </c>
      <c r="Q179" s="27">
        <v>0</v>
      </c>
      <c r="R179" s="27">
        <v>49</v>
      </c>
      <c r="S179" s="27">
        <v>0</v>
      </c>
      <c r="T179" s="27">
        <v>0</v>
      </c>
      <c r="U179" s="27">
        <v>25</v>
      </c>
      <c r="V179" s="27">
        <v>0</v>
      </c>
      <c r="W179" s="27">
        <v>0</v>
      </c>
      <c r="X179" s="27">
        <v>0</v>
      </c>
      <c r="Y179" s="27">
        <v>0</v>
      </c>
      <c r="Z179" s="27">
        <v>0</v>
      </c>
      <c r="AA179" s="27">
        <v>0</v>
      </c>
      <c r="AB179" s="27">
        <v>0</v>
      </c>
      <c r="AC179" s="27">
        <v>0</v>
      </c>
      <c r="AD179" s="27">
        <v>84</v>
      </c>
      <c r="AE179" s="27">
        <v>0</v>
      </c>
      <c r="AF179" s="27">
        <v>0</v>
      </c>
      <c r="AG179" s="26">
        <f t="shared" si="12"/>
        <v>203</v>
      </c>
      <c r="AH179" s="26">
        <f t="shared" si="13"/>
        <v>0</v>
      </c>
      <c r="AI179" s="26">
        <f t="shared" si="14"/>
        <v>0</v>
      </c>
      <c r="AJ179" s="15" t="s">
        <v>0</v>
      </c>
      <c r="AK179" s="15" t="s">
        <v>11</v>
      </c>
      <c r="AL179" s="15" t="s">
        <v>317</v>
      </c>
      <c r="AM179" s="19">
        <v>44184</v>
      </c>
    </row>
    <row r="180" spans="1:39" x14ac:dyDescent="0.2">
      <c r="A180" s="15" t="str">
        <f t="shared" si="11"/>
        <v>814096179473</v>
      </c>
      <c r="B180" s="32">
        <v>814096</v>
      </c>
      <c r="C180" s="32" t="s">
        <v>85</v>
      </c>
      <c r="D180" s="17">
        <v>179473</v>
      </c>
      <c r="E180" s="15" t="s">
        <v>84</v>
      </c>
      <c r="F180" s="26">
        <v>0</v>
      </c>
      <c r="G180" s="26">
        <v>0</v>
      </c>
      <c r="H180" s="26">
        <v>0</v>
      </c>
      <c r="I180" s="26">
        <v>0</v>
      </c>
      <c r="J180" s="26">
        <v>0</v>
      </c>
      <c r="K180" s="26">
        <v>0</v>
      </c>
      <c r="L180" s="26">
        <v>0</v>
      </c>
      <c r="M180" s="26">
        <v>0</v>
      </c>
      <c r="N180" s="26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  <c r="V180" s="27">
        <v>0</v>
      </c>
      <c r="W180" s="27">
        <v>0</v>
      </c>
      <c r="X180" s="27">
        <v>0</v>
      </c>
      <c r="Y180" s="27">
        <v>0</v>
      </c>
      <c r="Z180" s="27">
        <v>0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0</v>
      </c>
      <c r="AG180" s="26">
        <f t="shared" si="12"/>
        <v>0</v>
      </c>
      <c r="AH180" s="26">
        <f t="shared" si="13"/>
        <v>0</v>
      </c>
      <c r="AI180" s="26">
        <f t="shared" si="14"/>
        <v>0</v>
      </c>
      <c r="AJ180" s="15" t="s">
        <v>0</v>
      </c>
      <c r="AK180" s="15" t="s">
        <v>11</v>
      </c>
      <c r="AL180" s="15" t="s">
        <v>317</v>
      </c>
      <c r="AM180" s="19">
        <v>44203</v>
      </c>
    </row>
    <row r="181" spans="1:39" x14ac:dyDescent="0.2">
      <c r="A181" s="15" t="str">
        <f t="shared" si="11"/>
        <v>814416177829</v>
      </c>
      <c r="B181" s="32">
        <v>814416</v>
      </c>
      <c r="C181" s="32" t="s">
        <v>8</v>
      </c>
      <c r="D181" s="17">
        <v>177829</v>
      </c>
      <c r="E181" s="15" t="s">
        <v>43</v>
      </c>
      <c r="F181" s="26">
        <v>0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0</v>
      </c>
      <c r="N181" s="26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  <c r="V181" s="27">
        <v>0</v>
      </c>
      <c r="W181" s="27">
        <v>0</v>
      </c>
      <c r="X181" s="27">
        <v>0</v>
      </c>
      <c r="Y181" s="27">
        <v>0</v>
      </c>
      <c r="Z181" s="27">
        <v>0</v>
      </c>
      <c r="AA181" s="27">
        <v>0</v>
      </c>
      <c r="AB181" s="27">
        <v>0</v>
      </c>
      <c r="AC181" s="27">
        <v>0</v>
      </c>
      <c r="AD181" s="27">
        <v>0</v>
      </c>
      <c r="AE181" s="27">
        <v>0</v>
      </c>
      <c r="AF181" s="27">
        <v>0</v>
      </c>
      <c r="AG181" s="26">
        <f t="shared" si="12"/>
        <v>0</v>
      </c>
      <c r="AH181" s="26">
        <f t="shared" si="13"/>
        <v>0</v>
      </c>
      <c r="AI181" s="26">
        <f t="shared" si="14"/>
        <v>0</v>
      </c>
      <c r="AJ181" s="15" t="s">
        <v>0</v>
      </c>
      <c r="AK181" s="15" t="s">
        <v>11</v>
      </c>
      <c r="AL181" s="15" t="s">
        <v>317</v>
      </c>
      <c r="AM181" s="19">
        <v>44235</v>
      </c>
    </row>
    <row r="182" spans="1:39" x14ac:dyDescent="0.2">
      <c r="A182" s="15" t="str">
        <f t="shared" si="11"/>
        <v>814499171479</v>
      </c>
      <c r="B182" s="32">
        <v>814499</v>
      </c>
      <c r="C182" s="32" t="s">
        <v>47</v>
      </c>
      <c r="D182" s="17">
        <v>171479</v>
      </c>
      <c r="E182" s="15" t="s">
        <v>46</v>
      </c>
      <c r="F182" s="26">
        <v>67.5</v>
      </c>
      <c r="G182" s="26">
        <v>0</v>
      </c>
      <c r="H182" s="26">
        <v>0</v>
      </c>
      <c r="I182" s="26">
        <v>47.5</v>
      </c>
      <c r="J182" s="26">
        <v>0</v>
      </c>
      <c r="K182" s="26">
        <v>0</v>
      </c>
      <c r="L182" s="26">
        <v>142.5</v>
      </c>
      <c r="M182" s="26">
        <v>6.25</v>
      </c>
      <c r="N182" s="26">
        <v>0</v>
      </c>
      <c r="O182" s="27">
        <v>87.5</v>
      </c>
      <c r="P182" s="27">
        <v>12.5</v>
      </c>
      <c r="Q182" s="27">
        <v>0</v>
      </c>
      <c r="R182" s="27">
        <v>123.5</v>
      </c>
      <c r="S182" s="27">
        <v>0</v>
      </c>
      <c r="T182" s="27">
        <v>2.5</v>
      </c>
      <c r="U182" s="27">
        <v>59</v>
      </c>
      <c r="V182" s="27">
        <v>0</v>
      </c>
      <c r="W182" s="27">
        <v>6.5</v>
      </c>
      <c r="X182" s="27">
        <v>12.5</v>
      </c>
      <c r="Y182" s="27">
        <v>12.5</v>
      </c>
      <c r="Z182" s="27">
        <v>0</v>
      </c>
      <c r="AA182" s="27">
        <v>76.45</v>
      </c>
      <c r="AB182" s="27">
        <v>25</v>
      </c>
      <c r="AC182" s="27">
        <v>0</v>
      </c>
      <c r="AD182" s="27">
        <v>62.5</v>
      </c>
      <c r="AE182" s="27">
        <v>17</v>
      </c>
      <c r="AF182" s="27">
        <v>0</v>
      </c>
      <c r="AG182" s="26">
        <f t="shared" si="12"/>
        <v>678.95</v>
      </c>
      <c r="AH182" s="26">
        <f t="shared" si="13"/>
        <v>73.25</v>
      </c>
      <c r="AI182" s="26">
        <f t="shared" si="14"/>
        <v>9</v>
      </c>
      <c r="AJ182" s="15" t="s">
        <v>0</v>
      </c>
      <c r="AK182" s="15" t="s">
        <v>11</v>
      </c>
      <c r="AL182" s="15" t="s">
        <v>317</v>
      </c>
      <c r="AM182" s="19">
        <v>44243</v>
      </c>
    </row>
    <row r="183" spans="1:39" x14ac:dyDescent="0.2">
      <c r="A183" s="15" t="str">
        <f t="shared" si="11"/>
        <v>814671119023</v>
      </c>
      <c r="B183" s="32">
        <v>814671</v>
      </c>
      <c r="C183" s="32" t="s">
        <v>18</v>
      </c>
      <c r="D183" s="17">
        <v>119023</v>
      </c>
      <c r="E183" s="15" t="s">
        <v>17</v>
      </c>
      <c r="F183" s="26">
        <v>126</v>
      </c>
      <c r="G183" s="26">
        <v>0</v>
      </c>
      <c r="H183" s="26">
        <v>0</v>
      </c>
      <c r="I183" s="26">
        <v>123.5</v>
      </c>
      <c r="J183" s="26">
        <v>0</v>
      </c>
      <c r="K183" s="26">
        <v>0</v>
      </c>
      <c r="L183" s="26">
        <v>126</v>
      </c>
      <c r="M183" s="26">
        <v>0</v>
      </c>
      <c r="N183" s="26">
        <v>0</v>
      </c>
      <c r="O183" s="27">
        <v>163.5</v>
      </c>
      <c r="P183" s="27">
        <v>0</v>
      </c>
      <c r="Q183" s="27">
        <v>0</v>
      </c>
      <c r="R183" s="27">
        <v>120</v>
      </c>
      <c r="S183" s="27">
        <v>0</v>
      </c>
      <c r="T183" s="27">
        <v>0</v>
      </c>
      <c r="U183" s="27">
        <v>78.7</v>
      </c>
      <c r="V183" s="27">
        <v>0</v>
      </c>
      <c r="W183" s="27">
        <v>0</v>
      </c>
      <c r="X183" s="27">
        <v>173.5</v>
      </c>
      <c r="Y183" s="27">
        <v>11.5</v>
      </c>
      <c r="Z183" s="27">
        <v>0</v>
      </c>
      <c r="AA183" s="27">
        <v>111.5</v>
      </c>
      <c r="AB183" s="27">
        <v>10</v>
      </c>
      <c r="AC183" s="27">
        <v>0</v>
      </c>
      <c r="AD183" s="27">
        <v>103</v>
      </c>
      <c r="AE183" s="27">
        <v>0</v>
      </c>
      <c r="AF183" s="27">
        <v>0</v>
      </c>
      <c r="AG183" s="26">
        <f t="shared" si="12"/>
        <v>1125.7</v>
      </c>
      <c r="AH183" s="26">
        <f t="shared" si="13"/>
        <v>21.5</v>
      </c>
      <c r="AI183" s="26">
        <f t="shared" si="14"/>
        <v>0</v>
      </c>
      <c r="AJ183" s="15" t="s">
        <v>0</v>
      </c>
      <c r="AK183" s="15" t="s">
        <v>11</v>
      </c>
      <c r="AL183" s="15" t="s">
        <v>317</v>
      </c>
      <c r="AM183" s="19">
        <v>44257</v>
      </c>
    </row>
    <row r="184" spans="1:39" x14ac:dyDescent="0.2">
      <c r="A184" s="15" t="str">
        <f t="shared" si="11"/>
        <v>814733119023</v>
      </c>
      <c r="B184" s="32">
        <v>814733</v>
      </c>
      <c r="C184" s="32" t="s">
        <v>92</v>
      </c>
      <c r="D184" s="17">
        <v>119023</v>
      </c>
      <c r="E184" s="15" t="s">
        <v>17</v>
      </c>
      <c r="F184" s="26">
        <v>42</v>
      </c>
      <c r="G184" s="26">
        <v>0</v>
      </c>
      <c r="H184" s="26">
        <v>0</v>
      </c>
      <c r="I184" s="26">
        <v>182</v>
      </c>
      <c r="J184" s="26">
        <v>0</v>
      </c>
      <c r="K184" s="26">
        <v>0</v>
      </c>
      <c r="L184" s="26">
        <v>129</v>
      </c>
      <c r="M184" s="26">
        <v>0</v>
      </c>
      <c r="N184" s="26">
        <v>0</v>
      </c>
      <c r="O184" s="27">
        <v>174.5</v>
      </c>
      <c r="P184" s="27">
        <v>0</v>
      </c>
      <c r="Q184" s="27">
        <v>0</v>
      </c>
      <c r="R184" s="27">
        <v>120</v>
      </c>
      <c r="S184" s="27">
        <v>0</v>
      </c>
      <c r="T184" s="27">
        <v>0</v>
      </c>
      <c r="U184" s="27">
        <v>81</v>
      </c>
      <c r="V184" s="27">
        <v>0</v>
      </c>
      <c r="W184" s="27">
        <v>0</v>
      </c>
      <c r="X184" s="27">
        <v>132</v>
      </c>
      <c r="Y184" s="27">
        <v>0</v>
      </c>
      <c r="Z184" s="27">
        <v>0</v>
      </c>
      <c r="AA184" s="27">
        <v>147</v>
      </c>
      <c r="AB184" s="27">
        <v>0</v>
      </c>
      <c r="AC184" s="27">
        <v>0</v>
      </c>
      <c r="AD184" s="27">
        <v>102.7</v>
      </c>
      <c r="AE184" s="27">
        <v>0</v>
      </c>
      <c r="AF184" s="27">
        <v>1</v>
      </c>
      <c r="AG184" s="26">
        <f t="shared" si="12"/>
        <v>1110.2</v>
      </c>
      <c r="AH184" s="26">
        <f t="shared" si="13"/>
        <v>0</v>
      </c>
      <c r="AI184" s="26">
        <f t="shared" si="14"/>
        <v>1</v>
      </c>
      <c r="AJ184" s="15" t="s">
        <v>0</v>
      </c>
      <c r="AK184" s="15" t="s">
        <v>11</v>
      </c>
      <c r="AL184" s="15" t="s">
        <v>317</v>
      </c>
      <c r="AM184" s="19">
        <v>44266</v>
      </c>
    </row>
    <row r="185" spans="1:39" x14ac:dyDescent="0.2">
      <c r="A185" s="15" t="str">
        <f t="shared" si="11"/>
        <v>814733176641</v>
      </c>
      <c r="B185" s="14">
        <v>814733</v>
      </c>
      <c r="C185" s="14" t="s">
        <v>92</v>
      </c>
      <c r="D185" s="16">
        <v>176641</v>
      </c>
      <c r="E185" s="18" t="s">
        <v>40</v>
      </c>
      <c r="F185" s="26">
        <v>0</v>
      </c>
      <c r="G185" s="26">
        <v>0</v>
      </c>
      <c r="H185" s="26">
        <v>0</v>
      </c>
      <c r="I185" s="26">
        <v>6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7">
        <v>0</v>
      </c>
      <c r="P185" s="27">
        <v>0</v>
      </c>
      <c r="Q185" s="27">
        <v>0</v>
      </c>
      <c r="R185" s="27">
        <v>0</v>
      </c>
      <c r="S185" s="27">
        <v>0</v>
      </c>
      <c r="T185" s="27">
        <v>0</v>
      </c>
      <c r="U185" s="27">
        <v>0</v>
      </c>
      <c r="V185" s="27">
        <v>0</v>
      </c>
      <c r="W185" s="27">
        <v>0</v>
      </c>
      <c r="X185" s="27">
        <v>0</v>
      </c>
      <c r="Y185" s="27">
        <v>0</v>
      </c>
      <c r="Z185" s="27">
        <v>0</v>
      </c>
      <c r="AA185" s="27">
        <v>0</v>
      </c>
      <c r="AB185" s="27">
        <v>0</v>
      </c>
      <c r="AC185" s="27">
        <v>0</v>
      </c>
      <c r="AD185" s="27">
        <v>0</v>
      </c>
      <c r="AE185" s="27">
        <v>0</v>
      </c>
      <c r="AF185" s="27">
        <v>0</v>
      </c>
      <c r="AG185" s="26">
        <f t="shared" si="12"/>
        <v>6</v>
      </c>
      <c r="AH185" s="26">
        <f t="shared" si="13"/>
        <v>0</v>
      </c>
      <c r="AI185" s="26">
        <f t="shared" si="14"/>
        <v>0</v>
      </c>
      <c r="AJ185" s="15" t="s">
        <v>0</v>
      </c>
      <c r="AK185" s="15" t="s">
        <v>11</v>
      </c>
      <c r="AL185" s="15" t="s">
        <v>317</v>
      </c>
      <c r="AM185" s="19">
        <v>44266</v>
      </c>
    </row>
    <row r="186" spans="1:39" x14ac:dyDescent="0.2">
      <c r="A186" s="15" t="str">
        <f t="shared" si="11"/>
        <v>814749171469</v>
      </c>
      <c r="B186" s="32">
        <v>814749</v>
      </c>
      <c r="C186" s="32" t="s">
        <v>45</v>
      </c>
      <c r="D186" s="17">
        <v>171469</v>
      </c>
      <c r="E186" s="15" t="s">
        <v>44</v>
      </c>
      <c r="F186" s="26">
        <v>42</v>
      </c>
      <c r="G186" s="26">
        <v>0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  <c r="N186" s="26">
        <v>0</v>
      </c>
      <c r="O186" s="27">
        <v>0</v>
      </c>
      <c r="P186" s="27">
        <v>0</v>
      </c>
      <c r="Q186" s="27">
        <v>0</v>
      </c>
      <c r="R186" s="27">
        <v>0</v>
      </c>
      <c r="S186" s="27">
        <v>0</v>
      </c>
      <c r="T186" s="27">
        <v>0</v>
      </c>
      <c r="U186" s="27">
        <v>0</v>
      </c>
      <c r="V186" s="27">
        <v>0</v>
      </c>
      <c r="W186" s="27">
        <v>0</v>
      </c>
      <c r="X186" s="27">
        <v>0</v>
      </c>
      <c r="Y186" s="27">
        <v>0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6">
        <f t="shared" si="12"/>
        <v>42</v>
      </c>
      <c r="AH186" s="26">
        <f t="shared" si="13"/>
        <v>0</v>
      </c>
      <c r="AI186" s="26">
        <f t="shared" si="14"/>
        <v>0</v>
      </c>
      <c r="AJ186" s="15" t="s">
        <v>0</v>
      </c>
      <c r="AK186" s="15" t="s">
        <v>11</v>
      </c>
      <c r="AL186" s="15" t="s">
        <v>317</v>
      </c>
      <c r="AM186" s="19">
        <v>44268</v>
      </c>
    </row>
    <row r="187" spans="1:39" x14ac:dyDescent="0.2">
      <c r="A187" s="15" t="str">
        <f t="shared" si="11"/>
        <v>814776202865</v>
      </c>
      <c r="B187" s="32">
        <v>814776</v>
      </c>
      <c r="C187" s="32" t="s">
        <v>57</v>
      </c>
      <c r="D187" s="17">
        <v>202865</v>
      </c>
      <c r="E187" s="15" t="s">
        <v>55</v>
      </c>
      <c r="F187" s="26">
        <v>64</v>
      </c>
      <c r="G187" s="26">
        <v>0</v>
      </c>
      <c r="H187" s="26">
        <v>0</v>
      </c>
      <c r="I187" s="26">
        <v>70</v>
      </c>
      <c r="J187" s="26">
        <v>0</v>
      </c>
      <c r="K187" s="26">
        <v>0</v>
      </c>
      <c r="L187" s="26">
        <v>102</v>
      </c>
      <c r="M187" s="26">
        <v>0</v>
      </c>
      <c r="N187" s="26">
        <v>0</v>
      </c>
      <c r="O187" s="27">
        <v>99</v>
      </c>
      <c r="P187" s="27">
        <v>0</v>
      </c>
      <c r="Q187" s="27">
        <v>0</v>
      </c>
      <c r="R187" s="27">
        <v>72</v>
      </c>
      <c r="S187" s="27">
        <v>0</v>
      </c>
      <c r="T187" s="27">
        <v>0</v>
      </c>
      <c r="U187" s="27">
        <v>116</v>
      </c>
      <c r="V187" s="27">
        <v>0</v>
      </c>
      <c r="W187" s="27">
        <v>0</v>
      </c>
      <c r="X187" s="27">
        <v>45</v>
      </c>
      <c r="Y187" s="27">
        <v>0</v>
      </c>
      <c r="Z187" s="27">
        <v>0</v>
      </c>
      <c r="AA187" s="27">
        <v>84.5</v>
      </c>
      <c r="AB187" s="27">
        <v>0</v>
      </c>
      <c r="AC187" s="27">
        <v>0</v>
      </c>
      <c r="AD187" s="27">
        <v>127.9</v>
      </c>
      <c r="AE187" s="27">
        <v>0</v>
      </c>
      <c r="AF187" s="27">
        <v>0</v>
      </c>
      <c r="AG187" s="26">
        <f t="shared" si="12"/>
        <v>780.4</v>
      </c>
      <c r="AH187" s="26">
        <f t="shared" si="13"/>
        <v>0</v>
      </c>
      <c r="AI187" s="26">
        <f t="shared" si="14"/>
        <v>0</v>
      </c>
      <c r="AJ187" s="15" t="s">
        <v>0</v>
      </c>
      <c r="AK187" s="15" t="s">
        <v>11</v>
      </c>
      <c r="AL187" s="15" t="s">
        <v>317</v>
      </c>
      <c r="AM187" s="19">
        <v>44272</v>
      </c>
    </row>
    <row r="188" spans="1:39" x14ac:dyDescent="0.2">
      <c r="A188" s="15" t="str">
        <f t="shared" si="11"/>
        <v>815440144996</v>
      </c>
      <c r="B188" s="32">
        <v>815440</v>
      </c>
      <c r="C188" s="32" t="s">
        <v>348</v>
      </c>
      <c r="D188" s="15">
        <v>144996</v>
      </c>
      <c r="E188" s="15" t="s">
        <v>349</v>
      </c>
      <c r="F188" s="26">
        <v>63</v>
      </c>
      <c r="G188" s="26">
        <v>0</v>
      </c>
      <c r="H188" s="26">
        <v>0</v>
      </c>
      <c r="I188" s="26">
        <v>50</v>
      </c>
      <c r="J188" s="26">
        <v>0</v>
      </c>
      <c r="K188" s="26">
        <v>0</v>
      </c>
      <c r="L188" s="26">
        <v>51</v>
      </c>
      <c r="M188" s="26">
        <v>0</v>
      </c>
      <c r="N188" s="26">
        <v>0</v>
      </c>
      <c r="O188" s="27">
        <v>51</v>
      </c>
      <c r="P188" s="27">
        <v>0</v>
      </c>
      <c r="Q188" s="27">
        <v>0</v>
      </c>
      <c r="R188" s="27">
        <v>26</v>
      </c>
      <c r="S188" s="27">
        <v>0</v>
      </c>
      <c r="T188" s="27">
        <v>0</v>
      </c>
      <c r="U188" s="27">
        <v>20</v>
      </c>
      <c r="V188" s="27">
        <v>0</v>
      </c>
      <c r="W188" s="27">
        <v>0</v>
      </c>
      <c r="X188" s="27">
        <v>32</v>
      </c>
      <c r="Y188" s="27">
        <v>0</v>
      </c>
      <c r="Z188" s="27">
        <v>0</v>
      </c>
      <c r="AA188" s="27">
        <v>36.5</v>
      </c>
      <c r="AB188" s="27">
        <v>0</v>
      </c>
      <c r="AC188" s="27">
        <v>0</v>
      </c>
      <c r="AD188" s="27">
        <v>59.2</v>
      </c>
      <c r="AE188" s="27">
        <v>0</v>
      </c>
      <c r="AF188" s="27">
        <v>0</v>
      </c>
      <c r="AG188" s="26">
        <f t="shared" si="12"/>
        <v>388.7</v>
      </c>
      <c r="AH188" s="26">
        <f t="shared" si="13"/>
        <v>0</v>
      </c>
      <c r="AI188" s="26">
        <f t="shared" si="14"/>
        <v>0</v>
      </c>
      <c r="AJ188" s="15" t="s">
        <v>0</v>
      </c>
      <c r="AK188" s="15" t="s">
        <v>11</v>
      </c>
      <c r="AL188" s="15" t="s">
        <v>317</v>
      </c>
      <c r="AM188" s="19">
        <v>44386</v>
      </c>
    </row>
    <row r="189" spans="1:39" x14ac:dyDescent="0.2">
      <c r="A189" s="15" t="str">
        <f t="shared" si="11"/>
        <v>815576119047</v>
      </c>
      <c r="B189" s="32">
        <v>815576</v>
      </c>
      <c r="C189" s="32" t="s">
        <v>353</v>
      </c>
      <c r="D189" s="15">
        <v>119047</v>
      </c>
      <c r="E189" s="15" t="s">
        <v>23</v>
      </c>
      <c r="F189" s="26">
        <v>80</v>
      </c>
      <c r="G189" s="26">
        <v>0</v>
      </c>
      <c r="H189" s="26">
        <v>0</v>
      </c>
      <c r="I189" s="26">
        <v>91</v>
      </c>
      <c r="J189" s="26">
        <v>0</v>
      </c>
      <c r="K189" s="26">
        <v>0</v>
      </c>
      <c r="L189" s="26">
        <v>67</v>
      </c>
      <c r="M189" s="26">
        <v>0</v>
      </c>
      <c r="N189" s="26">
        <v>0</v>
      </c>
      <c r="O189" s="27">
        <v>82</v>
      </c>
      <c r="P189" s="27">
        <v>0</v>
      </c>
      <c r="Q189" s="27">
        <v>0</v>
      </c>
      <c r="R189" s="27">
        <v>46</v>
      </c>
      <c r="S189" s="27">
        <v>0</v>
      </c>
      <c r="T189" s="27">
        <v>9</v>
      </c>
      <c r="U189" s="27">
        <v>76</v>
      </c>
      <c r="V189" s="27">
        <v>0</v>
      </c>
      <c r="W189" s="27">
        <v>0</v>
      </c>
      <c r="X189" s="27">
        <v>101.5</v>
      </c>
      <c r="Y189" s="27">
        <v>0</v>
      </c>
      <c r="Z189" s="27">
        <v>0</v>
      </c>
      <c r="AA189" s="27">
        <v>46.5</v>
      </c>
      <c r="AB189" s="27">
        <v>0</v>
      </c>
      <c r="AC189" s="27">
        <v>0</v>
      </c>
      <c r="AD189" s="27">
        <v>82.2</v>
      </c>
      <c r="AE189" s="27">
        <v>0</v>
      </c>
      <c r="AF189" s="27">
        <v>0</v>
      </c>
      <c r="AG189" s="26">
        <f t="shared" si="12"/>
        <v>672.2</v>
      </c>
      <c r="AH189" s="26">
        <f t="shared" si="13"/>
        <v>0</v>
      </c>
      <c r="AI189" s="26">
        <f t="shared" si="14"/>
        <v>9</v>
      </c>
      <c r="AJ189" s="15" t="s">
        <v>0</v>
      </c>
      <c r="AK189" s="15" t="s">
        <v>11</v>
      </c>
      <c r="AL189" s="15" t="s">
        <v>317</v>
      </c>
      <c r="AM189" s="19">
        <v>44398</v>
      </c>
    </row>
    <row r="190" spans="1:39" x14ac:dyDescent="0.2">
      <c r="A190" s="15" t="str">
        <f t="shared" si="11"/>
        <v>815713119023</v>
      </c>
      <c r="B190" s="32">
        <v>815713</v>
      </c>
      <c r="C190" s="32" t="s">
        <v>461</v>
      </c>
      <c r="D190" s="15">
        <v>119023</v>
      </c>
      <c r="E190" s="15" t="s">
        <v>17</v>
      </c>
      <c r="F190" s="26">
        <v>0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7">
        <v>0</v>
      </c>
      <c r="P190" s="27">
        <v>0</v>
      </c>
      <c r="Q190" s="27">
        <v>0</v>
      </c>
      <c r="R190" s="27">
        <v>22</v>
      </c>
      <c r="S190" s="27">
        <v>0</v>
      </c>
      <c r="T190" s="27">
        <v>0</v>
      </c>
      <c r="U190" s="27">
        <v>0</v>
      </c>
      <c r="V190" s="27">
        <v>0</v>
      </c>
      <c r="W190" s="27">
        <v>0</v>
      </c>
      <c r="X190" s="27">
        <v>0</v>
      </c>
      <c r="Y190" s="27">
        <v>0</v>
      </c>
      <c r="Z190" s="27">
        <v>0</v>
      </c>
      <c r="AA190" s="27">
        <v>0</v>
      </c>
      <c r="AB190" s="27">
        <v>0</v>
      </c>
      <c r="AC190" s="27">
        <v>0</v>
      </c>
      <c r="AD190" s="27">
        <v>0</v>
      </c>
      <c r="AE190" s="27">
        <v>0</v>
      </c>
      <c r="AF190" s="27">
        <v>0</v>
      </c>
      <c r="AG190" s="26">
        <f t="shared" si="12"/>
        <v>22</v>
      </c>
      <c r="AH190" s="26">
        <f t="shared" si="13"/>
        <v>0</v>
      </c>
      <c r="AI190" s="26">
        <f t="shared" si="14"/>
        <v>0</v>
      </c>
      <c r="AJ190" s="15" t="s">
        <v>0</v>
      </c>
      <c r="AK190" s="15" t="s">
        <v>11</v>
      </c>
      <c r="AL190" s="15" t="s">
        <v>317</v>
      </c>
      <c r="AM190" s="19">
        <v>44405</v>
      </c>
    </row>
    <row r="191" spans="1:39" x14ac:dyDescent="0.2">
      <c r="A191" s="15" t="str">
        <f t="shared" si="11"/>
        <v>816352119047</v>
      </c>
      <c r="B191" s="32">
        <v>816352</v>
      </c>
      <c r="C191" s="32" t="s">
        <v>101</v>
      </c>
      <c r="D191" s="15">
        <v>119047</v>
      </c>
      <c r="E191" s="15" t="s">
        <v>23</v>
      </c>
      <c r="F191" s="26">
        <v>27</v>
      </c>
      <c r="G191" s="26">
        <v>0</v>
      </c>
      <c r="H191" s="26">
        <v>0</v>
      </c>
      <c r="I191" s="26">
        <v>0</v>
      </c>
      <c r="J191" s="26">
        <v>0</v>
      </c>
      <c r="K191" s="26">
        <v>0</v>
      </c>
      <c r="L191" s="26">
        <v>56</v>
      </c>
      <c r="M191" s="26">
        <v>0</v>
      </c>
      <c r="N191" s="26">
        <v>0</v>
      </c>
      <c r="O191" s="27">
        <v>26</v>
      </c>
      <c r="P191" s="27">
        <v>0</v>
      </c>
      <c r="Q191" s="27">
        <v>0</v>
      </c>
      <c r="R191" s="27">
        <v>21</v>
      </c>
      <c r="S191" s="27">
        <v>0</v>
      </c>
      <c r="T191" s="27">
        <v>0</v>
      </c>
      <c r="U191" s="27">
        <v>30</v>
      </c>
      <c r="V191" s="27">
        <v>0</v>
      </c>
      <c r="W191" s="27">
        <v>0</v>
      </c>
      <c r="X191" s="27">
        <v>65</v>
      </c>
      <c r="Y191" s="27">
        <v>0</v>
      </c>
      <c r="Z191" s="27">
        <v>2.5</v>
      </c>
      <c r="AA191" s="27">
        <v>22.5</v>
      </c>
      <c r="AB191" s="27">
        <v>0</v>
      </c>
      <c r="AC191" s="27">
        <v>0</v>
      </c>
      <c r="AD191" s="27">
        <v>49</v>
      </c>
      <c r="AE191" s="27">
        <v>0</v>
      </c>
      <c r="AF191" s="27">
        <v>0</v>
      </c>
      <c r="AG191" s="26">
        <f t="shared" si="12"/>
        <v>296.5</v>
      </c>
      <c r="AH191" s="26">
        <f t="shared" si="13"/>
        <v>0</v>
      </c>
      <c r="AI191" s="26">
        <f t="shared" si="14"/>
        <v>2.5</v>
      </c>
      <c r="AJ191" s="15" t="s">
        <v>0</v>
      </c>
      <c r="AK191" s="15" t="s">
        <v>11</v>
      </c>
      <c r="AL191" s="15" t="s">
        <v>317</v>
      </c>
      <c r="AM191" s="19">
        <v>44455</v>
      </c>
    </row>
    <row r="192" spans="1:39" x14ac:dyDescent="0.2">
      <c r="A192" s="15" t="str">
        <f t="shared" si="11"/>
        <v>816437177245</v>
      </c>
      <c r="B192" s="32">
        <v>816437</v>
      </c>
      <c r="C192" s="32" t="s">
        <v>415</v>
      </c>
      <c r="D192" s="15">
        <v>177245</v>
      </c>
      <c r="E192" s="15" t="s">
        <v>376</v>
      </c>
      <c r="F192" s="26">
        <v>0</v>
      </c>
      <c r="G192" s="26">
        <v>0</v>
      </c>
      <c r="H192" s="26">
        <v>0</v>
      </c>
      <c r="I192" s="26">
        <v>0</v>
      </c>
      <c r="J192" s="26">
        <v>0</v>
      </c>
      <c r="K192" s="26">
        <v>0</v>
      </c>
      <c r="L192" s="26">
        <v>0</v>
      </c>
      <c r="M192" s="26">
        <v>0</v>
      </c>
      <c r="N192" s="26">
        <v>0</v>
      </c>
      <c r="O192" s="27">
        <v>0</v>
      </c>
      <c r="P192" s="27">
        <v>0</v>
      </c>
      <c r="Q192" s="27">
        <v>0</v>
      </c>
      <c r="R192" s="27">
        <v>0</v>
      </c>
      <c r="S192" s="27">
        <v>0</v>
      </c>
      <c r="T192" s="27">
        <v>0</v>
      </c>
      <c r="U192" s="27">
        <v>0</v>
      </c>
      <c r="V192" s="27">
        <v>0</v>
      </c>
      <c r="W192" s="27">
        <v>0</v>
      </c>
      <c r="X192" s="27">
        <v>0</v>
      </c>
      <c r="Y192" s="27">
        <v>0</v>
      </c>
      <c r="Z192" s="27">
        <v>0</v>
      </c>
      <c r="AA192" s="27">
        <v>0</v>
      </c>
      <c r="AB192" s="27">
        <v>0</v>
      </c>
      <c r="AC192" s="27">
        <v>0</v>
      </c>
      <c r="AD192" s="27">
        <v>0</v>
      </c>
      <c r="AE192" s="27">
        <v>0</v>
      </c>
      <c r="AF192" s="27">
        <v>0</v>
      </c>
      <c r="AG192" s="26">
        <f t="shared" si="12"/>
        <v>0</v>
      </c>
      <c r="AH192" s="26">
        <f t="shared" si="13"/>
        <v>0</v>
      </c>
      <c r="AI192" s="26">
        <f t="shared" si="14"/>
        <v>0</v>
      </c>
      <c r="AJ192" s="15" t="s">
        <v>0</v>
      </c>
      <c r="AK192" s="15" t="s">
        <v>11</v>
      </c>
      <c r="AL192" s="15" t="s">
        <v>317</v>
      </c>
      <c r="AM192" s="19">
        <v>44461</v>
      </c>
    </row>
    <row r="193" spans="1:39" x14ac:dyDescent="0.2">
      <c r="A193" s="15" t="str">
        <f t="shared" si="11"/>
        <v>816534119047</v>
      </c>
      <c r="B193" s="32">
        <v>816534</v>
      </c>
      <c r="C193" s="32" t="s">
        <v>408</v>
      </c>
      <c r="D193" s="15">
        <v>119047</v>
      </c>
      <c r="E193" s="15" t="s">
        <v>23</v>
      </c>
      <c r="F193" s="26">
        <v>51</v>
      </c>
      <c r="G193" s="26">
        <v>0</v>
      </c>
      <c r="H193" s="26">
        <v>0</v>
      </c>
      <c r="I193" s="26">
        <v>104</v>
      </c>
      <c r="J193" s="26">
        <v>0</v>
      </c>
      <c r="K193" s="26">
        <v>0</v>
      </c>
      <c r="L193" s="26">
        <v>92</v>
      </c>
      <c r="M193" s="26">
        <v>0</v>
      </c>
      <c r="N193" s="26">
        <v>0</v>
      </c>
      <c r="O193" s="27">
        <v>68</v>
      </c>
      <c r="P193" s="27">
        <v>0</v>
      </c>
      <c r="Q193" s="27">
        <v>0</v>
      </c>
      <c r="R193" s="27">
        <v>72</v>
      </c>
      <c r="S193" s="27">
        <v>0</v>
      </c>
      <c r="T193" s="27">
        <v>0</v>
      </c>
      <c r="U193" s="27">
        <v>120</v>
      </c>
      <c r="V193" s="27">
        <v>0</v>
      </c>
      <c r="W193" s="27">
        <v>0</v>
      </c>
      <c r="X193" s="27">
        <v>81.5</v>
      </c>
      <c r="Y193" s="27">
        <v>0</v>
      </c>
      <c r="Z193" s="27">
        <v>0</v>
      </c>
      <c r="AA193" s="27">
        <v>141</v>
      </c>
      <c r="AB193" s="27">
        <v>0</v>
      </c>
      <c r="AC193" s="27">
        <v>0</v>
      </c>
      <c r="AD193" s="27">
        <v>108.7</v>
      </c>
      <c r="AE193" s="27">
        <v>0</v>
      </c>
      <c r="AF193" s="27">
        <v>0</v>
      </c>
      <c r="AG193" s="26">
        <f t="shared" si="12"/>
        <v>838.2</v>
      </c>
      <c r="AH193" s="26">
        <f t="shared" si="13"/>
        <v>0</v>
      </c>
      <c r="AI193" s="26">
        <f t="shared" si="14"/>
        <v>0</v>
      </c>
      <c r="AJ193" s="15" t="s">
        <v>0</v>
      </c>
      <c r="AK193" s="15" t="s">
        <v>11</v>
      </c>
      <c r="AL193" s="15" t="s">
        <v>317</v>
      </c>
      <c r="AM193" s="19">
        <v>44466</v>
      </c>
    </row>
    <row r="194" spans="1:39" x14ac:dyDescent="0.2">
      <c r="A194" s="15" t="str">
        <f t="shared" si="11"/>
        <v>816555170708</v>
      </c>
      <c r="B194" s="32">
        <v>816555</v>
      </c>
      <c r="C194" s="32" t="s">
        <v>402</v>
      </c>
      <c r="D194" s="15">
        <v>170708</v>
      </c>
      <c r="E194" s="15" t="s">
        <v>98</v>
      </c>
      <c r="F194" s="26">
        <v>34.5</v>
      </c>
      <c r="G194" s="26">
        <v>0</v>
      </c>
      <c r="H194" s="26">
        <v>0</v>
      </c>
      <c r="I194" s="26">
        <v>0</v>
      </c>
      <c r="J194" s="26">
        <v>0</v>
      </c>
      <c r="K194" s="26">
        <v>0</v>
      </c>
      <c r="L194" s="26">
        <v>79</v>
      </c>
      <c r="M194" s="26">
        <v>0</v>
      </c>
      <c r="N194" s="26">
        <v>0</v>
      </c>
      <c r="O194" s="27">
        <v>27</v>
      </c>
      <c r="P194" s="27">
        <v>0</v>
      </c>
      <c r="Q194" s="27">
        <v>0</v>
      </c>
      <c r="R194" s="27">
        <v>43</v>
      </c>
      <c r="S194" s="27">
        <v>0</v>
      </c>
      <c r="T194" s="27">
        <v>0</v>
      </c>
      <c r="U194" s="27">
        <v>12.5</v>
      </c>
      <c r="V194" s="27">
        <v>0</v>
      </c>
      <c r="W194" s="27">
        <v>0</v>
      </c>
      <c r="X194" s="27">
        <v>0</v>
      </c>
      <c r="Y194" s="27">
        <v>0</v>
      </c>
      <c r="Z194" s="27">
        <v>0</v>
      </c>
      <c r="AA194" s="27">
        <v>40.5</v>
      </c>
      <c r="AB194" s="27">
        <v>0</v>
      </c>
      <c r="AC194" s="27">
        <v>0</v>
      </c>
      <c r="AD194" s="27">
        <v>34.700000000000003</v>
      </c>
      <c r="AE194" s="27">
        <v>0</v>
      </c>
      <c r="AF194" s="27">
        <v>0</v>
      </c>
      <c r="AG194" s="26">
        <f t="shared" si="12"/>
        <v>271.2</v>
      </c>
      <c r="AH194" s="26">
        <f t="shared" si="13"/>
        <v>0</v>
      </c>
      <c r="AI194" s="26">
        <f t="shared" si="14"/>
        <v>0</v>
      </c>
      <c r="AJ194" s="15" t="s">
        <v>0</v>
      </c>
      <c r="AK194" s="15" t="s">
        <v>11</v>
      </c>
      <c r="AL194" s="15" t="s">
        <v>317</v>
      </c>
      <c r="AM194" s="19">
        <v>44467</v>
      </c>
    </row>
    <row r="195" spans="1:39" x14ac:dyDescent="0.2">
      <c r="A195" s="15" t="str">
        <f t="shared" ref="A195:A258" si="15">B195&amp;D195</f>
        <v>816742170708</v>
      </c>
      <c r="B195" s="32">
        <v>816742</v>
      </c>
      <c r="C195" s="32" t="s">
        <v>416</v>
      </c>
      <c r="D195" s="15">
        <v>170708</v>
      </c>
      <c r="E195" s="15" t="s">
        <v>98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7">
        <v>10</v>
      </c>
      <c r="P195" s="27">
        <v>0</v>
      </c>
      <c r="Q195" s="27">
        <v>0</v>
      </c>
      <c r="R195" s="27">
        <v>0</v>
      </c>
      <c r="S195" s="27">
        <v>0</v>
      </c>
      <c r="T195" s="27">
        <v>0</v>
      </c>
      <c r="U195" s="27">
        <v>0</v>
      </c>
      <c r="V195" s="27">
        <v>0</v>
      </c>
      <c r="W195" s="27">
        <v>0</v>
      </c>
      <c r="X195" s="27">
        <v>0</v>
      </c>
      <c r="Y195" s="27">
        <v>0</v>
      </c>
      <c r="Z195" s="27">
        <v>0</v>
      </c>
      <c r="AA195" s="27">
        <v>44</v>
      </c>
      <c r="AB195" s="27">
        <v>0</v>
      </c>
      <c r="AC195" s="27">
        <v>0</v>
      </c>
      <c r="AD195" s="27">
        <v>57.7</v>
      </c>
      <c r="AE195" s="27">
        <v>0</v>
      </c>
      <c r="AF195" s="27">
        <v>0</v>
      </c>
      <c r="AG195" s="26">
        <f t="shared" si="12"/>
        <v>111.7</v>
      </c>
      <c r="AH195" s="26">
        <f t="shared" si="13"/>
        <v>0</v>
      </c>
      <c r="AI195" s="26">
        <f t="shared" si="14"/>
        <v>0</v>
      </c>
      <c r="AJ195" s="15" t="s">
        <v>0</v>
      </c>
      <c r="AK195" s="15" t="s">
        <v>11</v>
      </c>
      <c r="AL195" s="15" t="s">
        <v>317</v>
      </c>
      <c r="AM195" s="19">
        <v>44484</v>
      </c>
    </row>
    <row r="196" spans="1:39" x14ac:dyDescent="0.2">
      <c r="A196" s="15" t="str">
        <f t="shared" si="15"/>
        <v>817167210440</v>
      </c>
      <c r="B196" s="32">
        <v>817167</v>
      </c>
      <c r="C196" s="32" t="s">
        <v>75</v>
      </c>
      <c r="D196" s="15">
        <v>210440</v>
      </c>
      <c r="E196" s="15" t="s">
        <v>438</v>
      </c>
      <c r="F196" s="26">
        <v>0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7">
        <v>0</v>
      </c>
      <c r="P196" s="27">
        <v>0</v>
      </c>
      <c r="Q196" s="27">
        <v>0</v>
      </c>
      <c r="R196" s="27">
        <v>0</v>
      </c>
      <c r="S196" s="27">
        <v>0</v>
      </c>
      <c r="T196" s="27">
        <v>0</v>
      </c>
      <c r="U196" s="27">
        <v>0</v>
      </c>
      <c r="V196" s="27">
        <v>0</v>
      </c>
      <c r="W196" s="27">
        <v>0</v>
      </c>
      <c r="X196" s="27">
        <v>0</v>
      </c>
      <c r="Y196" s="27">
        <v>0</v>
      </c>
      <c r="Z196" s="27">
        <v>0</v>
      </c>
      <c r="AA196" s="27">
        <v>0</v>
      </c>
      <c r="AB196" s="27">
        <v>0</v>
      </c>
      <c r="AC196" s="27">
        <v>0</v>
      </c>
      <c r="AD196" s="27">
        <v>0</v>
      </c>
      <c r="AE196" s="27">
        <v>0</v>
      </c>
      <c r="AF196" s="27">
        <v>0</v>
      </c>
      <c r="AG196" s="26">
        <f t="shared" si="12"/>
        <v>0</v>
      </c>
      <c r="AH196" s="26">
        <f t="shared" si="13"/>
        <v>0</v>
      </c>
      <c r="AI196" s="26">
        <f t="shared" si="14"/>
        <v>0</v>
      </c>
      <c r="AJ196" s="15" t="s">
        <v>0</v>
      </c>
      <c r="AK196" s="15" t="s">
        <v>11</v>
      </c>
      <c r="AL196" s="15" t="s">
        <v>317</v>
      </c>
      <c r="AM196" s="19">
        <v>44529</v>
      </c>
    </row>
    <row r="197" spans="1:39" x14ac:dyDescent="0.2">
      <c r="A197" s="15" t="str">
        <f t="shared" si="15"/>
        <v>817352171479</v>
      </c>
      <c r="B197" s="32">
        <v>817352</v>
      </c>
      <c r="C197" s="32" t="s">
        <v>442</v>
      </c>
      <c r="D197" s="15">
        <v>171479</v>
      </c>
      <c r="E197" s="15" t="s">
        <v>46</v>
      </c>
      <c r="F197" s="26">
        <v>97</v>
      </c>
      <c r="G197" s="26">
        <v>0</v>
      </c>
      <c r="H197" s="26">
        <v>0</v>
      </c>
      <c r="I197" s="26">
        <v>107</v>
      </c>
      <c r="J197" s="26">
        <v>0</v>
      </c>
      <c r="K197" s="26">
        <v>0</v>
      </c>
      <c r="L197" s="26">
        <v>142.5</v>
      </c>
      <c r="M197" s="26">
        <v>0</v>
      </c>
      <c r="N197" s="26">
        <v>0</v>
      </c>
      <c r="O197" s="27">
        <v>189.7</v>
      </c>
      <c r="P197" s="27">
        <v>0</v>
      </c>
      <c r="Q197" s="27">
        <v>0</v>
      </c>
      <c r="R197" s="27">
        <v>155</v>
      </c>
      <c r="S197" s="27">
        <v>0</v>
      </c>
      <c r="T197" s="27">
        <v>0</v>
      </c>
      <c r="U197" s="27">
        <v>64.5</v>
      </c>
      <c r="V197" s="27">
        <v>12.5</v>
      </c>
      <c r="W197" s="27">
        <v>0</v>
      </c>
      <c r="X197" s="27">
        <v>54.7</v>
      </c>
      <c r="Y197" s="27">
        <v>0</v>
      </c>
      <c r="Z197" s="27">
        <v>0</v>
      </c>
      <c r="AA197" s="27">
        <v>132.69999999999999</v>
      </c>
      <c r="AB197" s="27">
        <v>0</v>
      </c>
      <c r="AC197" s="27">
        <v>0</v>
      </c>
      <c r="AD197" s="27">
        <v>100</v>
      </c>
      <c r="AE197" s="27">
        <v>0</v>
      </c>
      <c r="AF197" s="27">
        <v>0</v>
      </c>
      <c r="AG197" s="26">
        <f t="shared" si="12"/>
        <v>1043.1000000000001</v>
      </c>
      <c r="AH197" s="26">
        <f t="shared" si="13"/>
        <v>12.5</v>
      </c>
      <c r="AI197" s="26">
        <f t="shared" si="14"/>
        <v>0</v>
      </c>
      <c r="AJ197" s="15" t="s">
        <v>0</v>
      </c>
      <c r="AK197" s="15" t="s">
        <v>11</v>
      </c>
      <c r="AL197" s="15" t="s">
        <v>317</v>
      </c>
      <c r="AM197" s="19">
        <v>44547</v>
      </c>
    </row>
    <row r="198" spans="1:39" x14ac:dyDescent="0.2">
      <c r="A198" s="15" t="str">
        <f t="shared" si="15"/>
        <v>817835119023</v>
      </c>
      <c r="B198" s="32">
        <v>817835</v>
      </c>
      <c r="C198" s="32" t="s">
        <v>476</v>
      </c>
      <c r="D198" s="15">
        <v>119023</v>
      </c>
      <c r="E198" s="15" t="s">
        <v>17</v>
      </c>
      <c r="F198" s="26">
        <v>0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6">
        <v>139.5</v>
      </c>
      <c r="M198" s="26">
        <v>0</v>
      </c>
      <c r="N198" s="26">
        <v>0</v>
      </c>
      <c r="O198" s="27">
        <v>83.7</v>
      </c>
      <c r="P198" s="27">
        <v>0</v>
      </c>
      <c r="Q198" s="27">
        <v>0</v>
      </c>
      <c r="R198" s="27">
        <v>127</v>
      </c>
      <c r="S198" s="27">
        <v>0</v>
      </c>
      <c r="T198" s="27">
        <v>0</v>
      </c>
      <c r="U198" s="27">
        <v>0</v>
      </c>
      <c r="V198" s="27">
        <v>0</v>
      </c>
      <c r="W198" s="27">
        <v>0</v>
      </c>
      <c r="X198" s="27">
        <v>0</v>
      </c>
      <c r="Y198" s="27">
        <v>0</v>
      </c>
      <c r="Z198" s="27">
        <v>0</v>
      </c>
      <c r="AA198" s="27">
        <v>142.5</v>
      </c>
      <c r="AB198" s="27">
        <v>0</v>
      </c>
      <c r="AC198" s="27">
        <v>0</v>
      </c>
      <c r="AD198" s="27">
        <v>110.5</v>
      </c>
      <c r="AE198" s="27">
        <v>0</v>
      </c>
      <c r="AF198" s="27">
        <v>0</v>
      </c>
      <c r="AG198" s="26">
        <f t="shared" si="12"/>
        <v>603.20000000000005</v>
      </c>
      <c r="AH198" s="26">
        <f t="shared" si="13"/>
        <v>0</v>
      </c>
      <c r="AI198" s="26">
        <f t="shared" si="14"/>
        <v>0</v>
      </c>
      <c r="AJ198" s="15" t="s">
        <v>0</v>
      </c>
      <c r="AK198" s="15" t="s">
        <v>11</v>
      </c>
      <c r="AL198" s="15" t="s">
        <v>317</v>
      </c>
      <c r="AM198" s="19">
        <v>44586</v>
      </c>
    </row>
    <row r="199" spans="1:39" x14ac:dyDescent="0.2">
      <c r="A199" s="15" t="str">
        <f t="shared" si="15"/>
        <v>818218206986</v>
      </c>
      <c r="B199" s="32">
        <v>818218</v>
      </c>
      <c r="C199" s="32" t="s">
        <v>501</v>
      </c>
      <c r="D199" s="15">
        <v>206986</v>
      </c>
      <c r="E199" s="15" t="s">
        <v>502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7">
        <v>0</v>
      </c>
      <c r="P199" s="27">
        <v>0</v>
      </c>
      <c r="Q199" s="27">
        <v>0</v>
      </c>
      <c r="R199" s="27">
        <v>0</v>
      </c>
      <c r="S199" s="27">
        <v>0</v>
      </c>
      <c r="T199" s="27">
        <v>0</v>
      </c>
      <c r="U199" s="27">
        <v>0</v>
      </c>
      <c r="V199" s="27">
        <v>0</v>
      </c>
      <c r="W199" s="27">
        <v>0</v>
      </c>
      <c r="X199" s="27">
        <v>0</v>
      </c>
      <c r="Y199" s="27">
        <v>0</v>
      </c>
      <c r="Z199" s="27">
        <v>0</v>
      </c>
      <c r="AA199" s="27">
        <v>0</v>
      </c>
      <c r="AB199" s="27">
        <v>0</v>
      </c>
      <c r="AC199" s="27">
        <v>0</v>
      </c>
      <c r="AD199" s="27">
        <v>0</v>
      </c>
      <c r="AE199" s="27">
        <v>0</v>
      </c>
      <c r="AF199" s="27">
        <v>0</v>
      </c>
      <c r="AG199" s="26">
        <f t="shared" si="12"/>
        <v>0</v>
      </c>
      <c r="AH199" s="26">
        <f t="shared" si="13"/>
        <v>0</v>
      </c>
      <c r="AI199" s="26">
        <f t="shared" si="14"/>
        <v>0</v>
      </c>
      <c r="AJ199" s="15" t="s">
        <v>0</v>
      </c>
      <c r="AK199" s="15" t="s">
        <v>11</v>
      </c>
      <c r="AL199" s="15" t="s">
        <v>317</v>
      </c>
      <c r="AM199" s="19">
        <v>44620</v>
      </c>
    </row>
    <row r="200" spans="1:39" x14ac:dyDescent="0.2">
      <c r="A200" s="15" t="str">
        <f t="shared" si="15"/>
        <v>818218171469</v>
      </c>
      <c r="B200" s="14">
        <v>818218</v>
      </c>
      <c r="C200" s="14" t="s">
        <v>501</v>
      </c>
      <c r="D200" s="16">
        <v>171469</v>
      </c>
      <c r="E200" s="18" t="s">
        <v>44</v>
      </c>
      <c r="F200" s="26">
        <v>0</v>
      </c>
      <c r="G200" s="26">
        <v>0</v>
      </c>
      <c r="H200" s="26">
        <v>0</v>
      </c>
      <c r="I200" s="26">
        <v>0</v>
      </c>
      <c r="J200" s="26">
        <v>0</v>
      </c>
      <c r="K200" s="26">
        <v>0</v>
      </c>
      <c r="L200" s="26">
        <v>0</v>
      </c>
      <c r="M200" s="26">
        <v>0</v>
      </c>
      <c r="N200" s="26">
        <v>0</v>
      </c>
      <c r="O200" s="27">
        <v>84</v>
      </c>
      <c r="P200" s="27">
        <v>0</v>
      </c>
      <c r="Q200" s="27">
        <v>0</v>
      </c>
      <c r="R200" s="27">
        <v>54</v>
      </c>
      <c r="S200" s="27">
        <v>0</v>
      </c>
      <c r="T200" s="27">
        <v>0</v>
      </c>
      <c r="U200" s="27">
        <v>14</v>
      </c>
      <c r="V200" s="27">
        <v>0</v>
      </c>
      <c r="W200" s="27">
        <v>0</v>
      </c>
      <c r="X200" s="27">
        <v>17</v>
      </c>
      <c r="Y200" s="27">
        <v>0</v>
      </c>
      <c r="Z200" s="27">
        <v>0</v>
      </c>
      <c r="AA200" s="27">
        <v>0</v>
      </c>
      <c r="AB200" s="27">
        <v>0</v>
      </c>
      <c r="AC200" s="27">
        <v>0</v>
      </c>
      <c r="AD200" s="27">
        <v>85.2</v>
      </c>
      <c r="AE200" s="27">
        <v>0</v>
      </c>
      <c r="AF200" s="27">
        <v>0</v>
      </c>
      <c r="AG200" s="26">
        <f t="shared" si="12"/>
        <v>254.2</v>
      </c>
      <c r="AH200" s="26">
        <f t="shared" si="13"/>
        <v>0</v>
      </c>
      <c r="AI200" s="26">
        <f t="shared" si="14"/>
        <v>0</v>
      </c>
      <c r="AJ200" s="15" t="s">
        <v>0</v>
      </c>
      <c r="AK200" s="15" t="s">
        <v>11</v>
      </c>
      <c r="AL200" s="15" t="s">
        <v>317</v>
      </c>
      <c r="AM200" s="19">
        <v>44620</v>
      </c>
    </row>
    <row r="201" spans="1:39" x14ac:dyDescent="0.2">
      <c r="A201" s="15" t="str">
        <f t="shared" si="15"/>
        <v>818406177829</v>
      </c>
      <c r="B201" s="14">
        <v>818406</v>
      </c>
      <c r="C201" s="14" t="s">
        <v>385</v>
      </c>
      <c r="D201" s="14">
        <v>177829</v>
      </c>
      <c r="E201" s="18" t="s">
        <v>43</v>
      </c>
      <c r="F201" s="26">
        <v>25</v>
      </c>
      <c r="G201" s="26">
        <v>10</v>
      </c>
      <c r="H201" s="26">
        <v>0</v>
      </c>
      <c r="I201" s="26">
        <v>0</v>
      </c>
      <c r="J201" s="26">
        <v>10</v>
      </c>
      <c r="K201" s="26">
        <v>0</v>
      </c>
      <c r="L201" s="26">
        <v>34.5</v>
      </c>
      <c r="M201" s="26">
        <v>0</v>
      </c>
      <c r="N201" s="26">
        <v>0</v>
      </c>
      <c r="O201" s="27">
        <v>25.5</v>
      </c>
      <c r="P201" s="27">
        <v>0</v>
      </c>
      <c r="Q201" s="27">
        <v>0</v>
      </c>
      <c r="R201" s="27">
        <v>32.5</v>
      </c>
      <c r="S201" s="27">
        <v>0</v>
      </c>
      <c r="T201" s="27">
        <v>0</v>
      </c>
      <c r="U201" s="27">
        <v>0</v>
      </c>
      <c r="V201" s="27">
        <v>0</v>
      </c>
      <c r="W201" s="27">
        <v>0</v>
      </c>
      <c r="X201" s="27">
        <v>62.5</v>
      </c>
      <c r="Y201" s="27">
        <v>0</v>
      </c>
      <c r="Z201" s="27">
        <v>0</v>
      </c>
      <c r="AA201" s="27">
        <v>50</v>
      </c>
      <c r="AB201" s="27">
        <v>0</v>
      </c>
      <c r="AC201" s="27">
        <v>0</v>
      </c>
      <c r="AD201" s="27">
        <v>101.5</v>
      </c>
      <c r="AE201" s="27">
        <v>0</v>
      </c>
      <c r="AF201" s="27">
        <v>28</v>
      </c>
      <c r="AG201" s="26">
        <f t="shared" si="12"/>
        <v>331.5</v>
      </c>
      <c r="AH201" s="26">
        <f t="shared" si="13"/>
        <v>20</v>
      </c>
      <c r="AI201" s="26">
        <f t="shared" si="14"/>
        <v>28</v>
      </c>
      <c r="AJ201" s="15" t="s">
        <v>0</v>
      </c>
      <c r="AK201" s="15" t="s">
        <v>11</v>
      </c>
      <c r="AL201" s="15" t="s">
        <v>317</v>
      </c>
      <c r="AM201" s="19">
        <v>44639</v>
      </c>
    </row>
    <row r="202" spans="1:39" x14ac:dyDescent="0.2">
      <c r="A202" s="15" t="str">
        <f t="shared" si="15"/>
        <v>818587177829</v>
      </c>
      <c r="B202" s="14">
        <v>818587</v>
      </c>
      <c r="C202" s="14" t="s">
        <v>522</v>
      </c>
      <c r="D202" s="14">
        <v>177829</v>
      </c>
      <c r="E202" s="18" t="s">
        <v>43</v>
      </c>
      <c r="F202" s="26">
        <v>28.5</v>
      </c>
      <c r="G202" s="26">
        <v>0</v>
      </c>
      <c r="H202" s="26">
        <v>0</v>
      </c>
      <c r="I202" s="26">
        <v>0</v>
      </c>
      <c r="J202" s="26">
        <v>0</v>
      </c>
      <c r="K202" s="26">
        <v>0</v>
      </c>
      <c r="L202" s="26">
        <v>32.5</v>
      </c>
      <c r="M202" s="26">
        <v>0</v>
      </c>
      <c r="N202" s="26">
        <v>0</v>
      </c>
      <c r="O202" s="27">
        <v>25</v>
      </c>
      <c r="P202" s="27">
        <v>0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  <c r="V202" s="27">
        <v>0</v>
      </c>
      <c r="W202" s="27">
        <v>0</v>
      </c>
      <c r="X202" s="27">
        <v>0</v>
      </c>
      <c r="Y202" s="27">
        <v>0</v>
      </c>
      <c r="Z202" s="27">
        <v>0</v>
      </c>
      <c r="AA202" s="27">
        <v>0</v>
      </c>
      <c r="AB202" s="27">
        <v>0</v>
      </c>
      <c r="AC202" s="27">
        <v>0</v>
      </c>
      <c r="AD202" s="27">
        <v>0</v>
      </c>
      <c r="AE202" s="27">
        <v>0</v>
      </c>
      <c r="AF202" s="27">
        <v>0</v>
      </c>
      <c r="AG202" s="26">
        <f t="shared" si="12"/>
        <v>86</v>
      </c>
      <c r="AH202" s="26">
        <f t="shared" si="13"/>
        <v>0</v>
      </c>
      <c r="AI202" s="26">
        <f t="shared" si="14"/>
        <v>0</v>
      </c>
      <c r="AJ202" s="15" t="s">
        <v>0</v>
      </c>
      <c r="AK202" s="15" t="s">
        <v>11</v>
      </c>
      <c r="AL202" s="15" t="s">
        <v>317</v>
      </c>
      <c r="AM202" s="19">
        <v>44657</v>
      </c>
    </row>
    <row r="203" spans="1:39" x14ac:dyDescent="0.2">
      <c r="A203" s="15" t="str">
        <f t="shared" si="15"/>
        <v>819337206986</v>
      </c>
      <c r="B203" s="14">
        <v>819337</v>
      </c>
      <c r="C203" s="14" t="s">
        <v>551</v>
      </c>
      <c r="D203" s="16">
        <v>206986</v>
      </c>
      <c r="E203" s="18" t="s">
        <v>502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6">
        <v>5.75</v>
      </c>
      <c r="M203" s="26">
        <v>0.75</v>
      </c>
      <c r="N203" s="26">
        <v>0</v>
      </c>
      <c r="O203" s="27">
        <v>42</v>
      </c>
      <c r="P203" s="27">
        <v>0</v>
      </c>
      <c r="Q203" s="27">
        <v>0</v>
      </c>
      <c r="R203" s="27">
        <v>25</v>
      </c>
      <c r="S203" s="27">
        <v>0</v>
      </c>
      <c r="T203" s="27">
        <v>0</v>
      </c>
      <c r="U203" s="27">
        <v>22</v>
      </c>
      <c r="V203" s="27">
        <v>0</v>
      </c>
      <c r="W203" s="27">
        <v>0</v>
      </c>
      <c r="X203" s="27">
        <v>40</v>
      </c>
      <c r="Y203" s="27">
        <v>0</v>
      </c>
      <c r="Z203" s="27">
        <v>0</v>
      </c>
      <c r="AA203" s="27">
        <v>43.5</v>
      </c>
      <c r="AB203" s="27">
        <v>0</v>
      </c>
      <c r="AC203" s="27">
        <v>0</v>
      </c>
      <c r="AD203" s="27">
        <v>31.5</v>
      </c>
      <c r="AE203" s="27">
        <v>0</v>
      </c>
      <c r="AF203" s="27">
        <v>0</v>
      </c>
      <c r="AG203" s="26">
        <f t="shared" si="12"/>
        <v>209.75</v>
      </c>
      <c r="AH203" s="26">
        <f t="shared" si="13"/>
        <v>0.75</v>
      </c>
      <c r="AI203" s="26">
        <f t="shared" si="14"/>
        <v>0</v>
      </c>
      <c r="AJ203" s="15" t="s">
        <v>0</v>
      </c>
      <c r="AK203" s="15" t="s">
        <v>11</v>
      </c>
      <c r="AL203" s="15" t="s">
        <v>317</v>
      </c>
      <c r="AM203" s="19">
        <v>44726</v>
      </c>
    </row>
    <row r="204" spans="1:39" x14ac:dyDescent="0.2">
      <c r="A204" s="15" t="str">
        <f t="shared" si="15"/>
        <v>819538204013</v>
      </c>
      <c r="B204" s="14">
        <v>819538</v>
      </c>
      <c r="C204" s="14" t="s">
        <v>564</v>
      </c>
      <c r="D204" s="16">
        <v>204013</v>
      </c>
      <c r="E204" s="18" t="s">
        <v>51</v>
      </c>
      <c r="F204" s="26">
        <v>0</v>
      </c>
      <c r="G204" s="26">
        <v>0</v>
      </c>
      <c r="H204" s="26">
        <v>0</v>
      </c>
      <c r="I204" s="26">
        <v>0</v>
      </c>
      <c r="J204" s="26">
        <v>0</v>
      </c>
      <c r="K204" s="26">
        <v>0</v>
      </c>
      <c r="L204" s="26">
        <v>0</v>
      </c>
      <c r="M204" s="26">
        <v>0</v>
      </c>
      <c r="N204" s="26">
        <v>0</v>
      </c>
      <c r="O204" s="27">
        <v>20</v>
      </c>
      <c r="P204" s="27">
        <v>0</v>
      </c>
      <c r="Q204" s="27">
        <v>0</v>
      </c>
      <c r="R204" s="27">
        <v>0</v>
      </c>
      <c r="S204" s="27">
        <v>0</v>
      </c>
      <c r="T204" s="27">
        <v>0</v>
      </c>
      <c r="U204" s="27">
        <v>32</v>
      </c>
      <c r="V204" s="27">
        <v>2.5</v>
      </c>
      <c r="W204" s="27">
        <v>0</v>
      </c>
      <c r="X204" s="27">
        <v>10</v>
      </c>
      <c r="Y204" s="27">
        <v>0</v>
      </c>
      <c r="Z204" s="27">
        <v>0</v>
      </c>
      <c r="AA204" s="27">
        <v>10</v>
      </c>
      <c r="AB204" s="27">
        <v>3</v>
      </c>
      <c r="AC204" s="27">
        <v>0</v>
      </c>
      <c r="AD204" s="27">
        <v>32</v>
      </c>
      <c r="AE204" s="27">
        <v>0</v>
      </c>
      <c r="AF204" s="27">
        <v>0</v>
      </c>
      <c r="AG204" s="26">
        <f t="shared" si="12"/>
        <v>104</v>
      </c>
      <c r="AH204" s="26">
        <f t="shared" si="13"/>
        <v>5.5</v>
      </c>
      <c r="AI204" s="26">
        <f t="shared" si="14"/>
        <v>0</v>
      </c>
      <c r="AJ204" s="15" t="s">
        <v>0</v>
      </c>
      <c r="AK204" s="15" t="s">
        <v>11</v>
      </c>
      <c r="AL204" s="15" t="s">
        <v>317</v>
      </c>
      <c r="AM204" s="19">
        <v>44739</v>
      </c>
    </row>
    <row r="205" spans="1:39" x14ac:dyDescent="0.2">
      <c r="A205" s="15" t="str">
        <f t="shared" si="15"/>
        <v>820917119047</v>
      </c>
      <c r="B205" s="14">
        <v>820917</v>
      </c>
      <c r="C205" s="14" t="s">
        <v>615</v>
      </c>
      <c r="D205" s="16">
        <v>119047</v>
      </c>
      <c r="E205" s="18" t="s">
        <v>23</v>
      </c>
      <c r="F205" s="26">
        <v>0</v>
      </c>
      <c r="G205" s="26">
        <v>0</v>
      </c>
      <c r="H205" s="26">
        <v>0</v>
      </c>
      <c r="I205" s="26">
        <v>0</v>
      </c>
      <c r="J205" s="26">
        <v>0</v>
      </c>
      <c r="K205" s="26">
        <v>0</v>
      </c>
      <c r="L205" s="26">
        <v>0</v>
      </c>
      <c r="M205" s="26">
        <v>0</v>
      </c>
      <c r="N205" s="26">
        <v>0</v>
      </c>
      <c r="O205" s="27">
        <v>0</v>
      </c>
      <c r="P205" s="27">
        <v>0</v>
      </c>
      <c r="Q205" s="27">
        <v>0</v>
      </c>
      <c r="R205" s="27">
        <v>0</v>
      </c>
      <c r="S205" s="27">
        <v>0</v>
      </c>
      <c r="T205" s="27">
        <v>0</v>
      </c>
      <c r="U205" s="27">
        <v>0</v>
      </c>
      <c r="V205" s="27">
        <v>0</v>
      </c>
      <c r="W205" s="27">
        <v>0</v>
      </c>
      <c r="X205" s="27">
        <v>55</v>
      </c>
      <c r="Y205" s="27">
        <v>0</v>
      </c>
      <c r="Z205" s="27">
        <v>0</v>
      </c>
      <c r="AA205" s="27">
        <v>52.7</v>
      </c>
      <c r="AB205" s="27">
        <v>0</v>
      </c>
      <c r="AC205" s="27">
        <v>0</v>
      </c>
      <c r="AD205" s="27">
        <v>52</v>
      </c>
      <c r="AE205" s="27">
        <v>0</v>
      </c>
      <c r="AF205" s="27">
        <v>4</v>
      </c>
      <c r="AG205" s="26">
        <f t="shared" si="12"/>
        <v>159.69999999999999</v>
      </c>
      <c r="AH205" s="26">
        <f t="shared" si="13"/>
        <v>0</v>
      </c>
      <c r="AI205" s="26">
        <f t="shared" si="14"/>
        <v>4</v>
      </c>
      <c r="AJ205" s="15" t="s">
        <v>0</v>
      </c>
      <c r="AK205" s="15" t="s">
        <v>11</v>
      </c>
      <c r="AL205" s="15" t="s">
        <v>317</v>
      </c>
      <c r="AM205" s="19">
        <v>44846</v>
      </c>
    </row>
    <row r="206" spans="1:39" x14ac:dyDescent="0.2">
      <c r="A206" s="15" t="str">
        <f t="shared" si="15"/>
        <v>803820171469</v>
      </c>
      <c r="B206" s="14">
        <v>803820</v>
      </c>
      <c r="C206" s="14" t="s">
        <v>7</v>
      </c>
      <c r="D206" s="16">
        <v>171469</v>
      </c>
      <c r="E206" s="18" t="s">
        <v>44</v>
      </c>
      <c r="F206" s="26">
        <v>0</v>
      </c>
      <c r="G206" s="26">
        <v>0</v>
      </c>
      <c r="H206" s="26">
        <v>0</v>
      </c>
      <c r="I206" s="26">
        <v>0</v>
      </c>
      <c r="J206" s="26">
        <v>0</v>
      </c>
      <c r="K206" s="26">
        <v>0</v>
      </c>
      <c r="L206" s="26">
        <v>0</v>
      </c>
      <c r="M206" s="26">
        <v>0</v>
      </c>
      <c r="N206" s="26">
        <v>0</v>
      </c>
      <c r="O206" s="27">
        <v>0</v>
      </c>
      <c r="P206" s="27">
        <v>0</v>
      </c>
      <c r="Q206" s="27">
        <v>0</v>
      </c>
      <c r="R206" s="27">
        <v>0</v>
      </c>
      <c r="S206" s="27">
        <v>0</v>
      </c>
      <c r="T206" s="27">
        <v>0</v>
      </c>
      <c r="U206" s="27">
        <v>0</v>
      </c>
      <c r="V206" s="27">
        <v>0</v>
      </c>
      <c r="W206" s="27">
        <v>0</v>
      </c>
      <c r="X206" s="27">
        <v>45</v>
      </c>
      <c r="Y206" s="27">
        <v>0</v>
      </c>
      <c r="Z206" s="27">
        <v>0</v>
      </c>
      <c r="AA206" s="27">
        <v>84</v>
      </c>
      <c r="AB206" s="27">
        <v>0</v>
      </c>
      <c r="AC206" s="27">
        <v>0</v>
      </c>
      <c r="AD206" s="27">
        <v>84.7</v>
      </c>
      <c r="AE206" s="27">
        <v>0</v>
      </c>
      <c r="AF206" s="27">
        <v>0</v>
      </c>
      <c r="AG206" s="26">
        <f t="shared" si="12"/>
        <v>213.7</v>
      </c>
      <c r="AH206" s="26">
        <f t="shared" si="13"/>
        <v>0</v>
      </c>
      <c r="AI206" s="26">
        <f t="shared" si="14"/>
        <v>0</v>
      </c>
      <c r="AJ206" s="15" t="s">
        <v>0</v>
      </c>
      <c r="AK206" s="15" t="s">
        <v>11</v>
      </c>
      <c r="AL206" s="15" t="s">
        <v>317</v>
      </c>
      <c r="AM206" s="19">
        <v>42032</v>
      </c>
    </row>
    <row r="207" spans="1:39" x14ac:dyDescent="0.2">
      <c r="A207" s="15" t="str">
        <f t="shared" si="15"/>
        <v>806754208959</v>
      </c>
      <c r="B207" s="14">
        <v>806754</v>
      </c>
      <c r="C207" s="14" t="s">
        <v>233</v>
      </c>
      <c r="D207" s="14">
        <v>208959</v>
      </c>
      <c r="E207" s="18" t="s">
        <v>635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7">
        <v>0</v>
      </c>
      <c r="P207" s="27">
        <v>0</v>
      </c>
      <c r="Q207" s="27">
        <v>0</v>
      </c>
      <c r="R207" s="27">
        <v>0</v>
      </c>
      <c r="S207" s="27">
        <v>0</v>
      </c>
      <c r="T207" s="27">
        <v>0</v>
      </c>
      <c r="U207" s="27">
        <v>0</v>
      </c>
      <c r="V207" s="27">
        <v>0</v>
      </c>
      <c r="W207" s="27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27">
        <v>50</v>
      </c>
      <c r="AE207" s="27">
        <v>0</v>
      </c>
      <c r="AF207" s="27">
        <v>0</v>
      </c>
      <c r="AG207" s="26">
        <f t="shared" si="12"/>
        <v>50</v>
      </c>
      <c r="AH207" s="26">
        <f t="shared" si="13"/>
        <v>0</v>
      </c>
      <c r="AI207" s="26">
        <f t="shared" si="14"/>
        <v>0</v>
      </c>
      <c r="AJ207" s="18" t="s">
        <v>0</v>
      </c>
      <c r="AK207" s="18" t="s">
        <v>11</v>
      </c>
      <c r="AL207" s="18" t="s">
        <v>317</v>
      </c>
      <c r="AM207" s="31">
        <v>42895</v>
      </c>
    </row>
    <row r="208" spans="1:39" x14ac:dyDescent="0.2">
      <c r="A208" s="15" t="str">
        <f t="shared" si="15"/>
        <v>807200174713</v>
      </c>
      <c r="B208" s="15">
        <v>807200</v>
      </c>
      <c r="C208" s="15" t="s">
        <v>318</v>
      </c>
      <c r="D208" s="15">
        <v>174713</v>
      </c>
      <c r="E208" s="15" t="s">
        <v>320</v>
      </c>
      <c r="F208" s="26">
        <v>0</v>
      </c>
      <c r="G208" s="26">
        <v>0</v>
      </c>
      <c r="H208" s="26">
        <v>0</v>
      </c>
      <c r="I208" s="26">
        <v>0</v>
      </c>
      <c r="J208" s="26">
        <v>0</v>
      </c>
      <c r="K208" s="26">
        <v>0</v>
      </c>
      <c r="L208" s="26">
        <v>27.5</v>
      </c>
      <c r="M208" s="26">
        <v>0</v>
      </c>
      <c r="N208" s="26">
        <v>0</v>
      </c>
      <c r="O208" s="27">
        <v>0</v>
      </c>
      <c r="P208" s="27">
        <v>0</v>
      </c>
      <c r="Q208" s="27">
        <v>0</v>
      </c>
      <c r="R208" s="27">
        <v>0</v>
      </c>
      <c r="S208" s="27">
        <v>0</v>
      </c>
      <c r="T208" s="27">
        <v>0</v>
      </c>
      <c r="U208" s="27">
        <v>22</v>
      </c>
      <c r="V208" s="27">
        <v>0</v>
      </c>
      <c r="W208" s="27">
        <v>0</v>
      </c>
      <c r="X208" s="27">
        <v>25</v>
      </c>
      <c r="Y208" s="27">
        <v>0</v>
      </c>
      <c r="Z208" s="27">
        <v>0</v>
      </c>
      <c r="AA208" s="27">
        <v>30</v>
      </c>
      <c r="AB208" s="27">
        <v>0</v>
      </c>
      <c r="AC208" s="27">
        <v>0</v>
      </c>
      <c r="AD208" s="27">
        <v>12.5</v>
      </c>
      <c r="AE208" s="27">
        <v>0</v>
      </c>
      <c r="AF208" s="27">
        <v>12.5</v>
      </c>
      <c r="AG208" s="26">
        <f t="shared" si="12"/>
        <v>117</v>
      </c>
      <c r="AH208" s="26">
        <f t="shared" si="13"/>
        <v>0</v>
      </c>
      <c r="AI208" s="26">
        <f t="shared" si="14"/>
        <v>12.5</v>
      </c>
      <c r="AJ208" s="15" t="s">
        <v>19</v>
      </c>
      <c r="AK208" s="15" t="s">
        <v>11</v>
      </c>
      <c r="AL208" s="15" t="s">
        <v>317</v>
      </c>
      <c r="AM208" s="19">
        <v>43427</v>
      </c>
    </row>
    <row r="209" spans="1:39" x14ac:dyDescent="0.2">
      <c r="A209" s="15" t="str">
        <f t="shared" si="15"/>
        <v>811848202758</v>
      </c>
      <c r="B209" s="32">
        <v>811848</v>
      </c>
      <c r="C209" s="32" t="s">
        <v>231</v>
      </c>
      <c r="D209" s="17">
        <v>202758</v>
      </c>
      <c r="E209" s="15" t="s">
        <v>126</v>
      </c>
      <c r="F209" s="26">
        <v>12</v>
      </c>
      <c r="G209" s="26">
        <v>0</v>
      </c>
      <c r="H209" s="26">
        <v>0</v>
      </c>
      <c r="I209" s="26">
        <v>0</v>
      </c>
      <c r="J209" s="26">
        <v>0</v>
      </c>
      <c r="K209" s="26">
        <v>0</v>
      </c>
      <c r="L209" s="26">
        <v>42</v>
      </c>
      <c r="M209" s="26">
        <v>0</v>
      </c>
      <c r="N209" s="26">
        <v>0</v>
      </c>
      <c r="O209" s="27">
        <v>62</v>
      </c>
      <c r="P209" s="27">
        <v>0</v>
      </c>
      <c r="Q209" s="27">
        <v>0</v>
      </c>
      <c r="R209" s="27">
        <v>0</v>
      </c>
      <c r="S209" s="27">
        <v>0</v>
      </c>
      <c r="T209" s="27">
        <v>0</v>
      </c>
      <c r="U209" s="27">
        <v>47</v>
      </c>
      <c r="V209" s="27">
        <v>0</v>
      </c>
      <c r="W209" s="27">
        <v>0</v>
      </c>
      <c r="X209" s="27">
        <v>0</v>
      </c>
      <c r="Y209" s="27">
        <v>0</v>
      </c>
      <c r="Z209" s="27">
        <v>0</v>
      </c>
      <c r="AA209" s="27">
        <v>35</v>
      </c>
      <c r="AB209" s="27">
        <v>0</v>
      </c>
      <c r="AC209" s="27">
        <v>0</v>
      </c>
      <c r="AD209" s="27">
        <v>25</v>
      </c>
      <c r="AE209" s="27">
        <v>0</v>
      </c>
      <c r="AF209" s="27">
        <v>0</v>
      </c>
      <c r="AG209" s="26">
        <f t="shared" si="12"/>
        <v>223</v>
      </c>
      <c r="AH209" s="26">
        <f t="shared" si="13"/>
        <v>0</v>
      </c>
      <c r="AI209" s="26">
        <f t="shared" si="14"/>
        <v>0</v>
      </c>
      <c r="AJ209" s="15" t="s">
        <v>19</v>
      </c>
      <c r="AK209" s="15" t="s">
        <v>11</v>
      </c>
      <c r="AL209" s="15" t="s">
        <v>317</v>
      </c>
      <c r="AM209" s="19">
        <v>43982</v>
      </c>
    </row>
    <row r="210" spans="1:39" x14ac:dyDescent="0.2">
      <c r="A210" s="15" t="str">
        <f t="shared" si="15"/>
        <v>811944179894</v>
      </c>
      <c r="B210" s="32">
        <v>811944</v>
      </c>
      <c r="C210" s="32" t="s">
        <v>70</v>
      </c>
      <c r="D210" s="17">
        <v>179894</v>
      </c>
      <c r="E210" s="15" t="s">
        <v>20</v>
      </c>
      <c r="F210" s="26">
        <v>15</v>
      </c>
      <c r="G210" s="26">
        <v>0</v>
      </c>
      <c r="H210" s="26">
        <v>0</v>
      </c>
      <c r="I210" s="26">
        <v>25</v>
      </c>
      <c r="J210" s="26">
        <v>0</v>
      </c>
      <c r="K210" s="26">
        <v>0</v>
      </c>
      <c r="L210" s="26">
        <v>40</v>
      </c>
      <c r="M210" s="26">
        <v>0</v>
      </c>
      <c r="N210" s="26">
        <v>0</v>
      </c>
      <c r="O210" s="27">
        <v>9.5</v>
      </c>
      <c r="P210" s="27">
        <v>0</v>
      </c>
      <c r="Q210" s="27">
        <v>0</v>
      </c>
      <c r="R210" s="27">
        <v>25</v>
      </c>
      <c r="S210" s="27">
        <v>0</v>
      </c>
      <c r="T210" s="27">
        <v>0</v>
      </c>
      <c r="U210" s="27">
        <v>15</v>
      </c>
      <c r="V210" s="27">
        <v>0</v>
      </c>
      <c r="W210" s="27">
        <v>0</v>
      </c>
      <c r="X210" s="27">
        <v>0</v>
      </c>
      <c r="Y210" s="27">
        <v>0</v>
      </c>
      <c r="Z210" s="27">
        <v>0</v>
      </c>
      <c r="AA210" s="27">
        <v>10</v>
      </c>
      <c r="AB210" s="27">
        <v>0</v>
      </c>
      <c r="AC210" s="27">
        <v>0</v>
      </c>
      <c r="AD210" s="27">
        <v>0</v>
      </c>
      <c r="AE210" s="27">
        <v>0</v>
      </c>
      <c r="AF210" s="27">
        <v>0</v>
      </c>
      <c r="AG210" s="26">
        <f t="shared" si="12"/>
        <v>139.5</v>
      </c>
      <c r="AH210" s="26">
        <f t="shared" si="13"/>
        <v>0</v>
      </c>
      <c r="AI210" s="26">
        <f t="shared" si="14"/>
        <v>0</v>
      </c>
      <c r="AJ210" s="15" t="s">
        <v>19</v>
      </c>
      <c r="AK210" s="15" t="s">
        <v>11</v>
      </c>
      <c r="AL210" s="15" t="s">
        <v>317</v>
      </c>
      <c r="AM210" s="19">
        <v>44001</v>
      </c>
    </row>
    <row r="211" spans="1:39" x14ac:dyDescent="0.2">
      <c r="A211" s="15" t="str">
        <f t="shared" si="15"/>
        <v>812372202849</v>
      </c>
      <c r="B211" s="32">
        <v>812372</v>
      </c>
      <c r="C211" s="32" t="s">
        <v>405</v>
      </c>
      <c r="D211" s="15">
        <v>202849</v>
      </c>
      <c r="E211" s="15" t="s">
        <v>406</v>
      </c>
      <c r="F211" s="26">
        <v>22</v>
      </c>
      <c r="G211" s="26">
        <v>0</v>
      </c>
      <c r="H211" s="26">
        <v>0</v>
      </c>
      <c r="I211" s="26">
        <v>37.5</v>
      </c>
      <c r="J211" s="26">
        <v>0</v>
      </c>
      <c r="K211" s="26">
        <v>0</v>
      </c>
      <c r="L211" s="26">
        <v>59.5</v>
      </c>
      <c r="M211" s="26">
        <v>4.5</v>
      </c>
      <c r="N211" s="26">
        <v>0</v>
      </c>
      <c r="O211" s="27">
        <v>34.5</v>
      </c>
      <c r="P211" s="27">
        <v>0</v>
      </c>
      <c r="Q211" s="27">
        <v>0</v>
      </c>
      <c r="R211" s="27">
        <v>88.5</v>
      </c>
      <c r="S211" s="27">
        <v>0</v>
      </c>
      <c r="T211" s="27">
        <v>0</v>
      </c>
      <c r="U211" s="27">
        <v>55</v>
      </c>
      <c r="V211" s="27">
        <v>0</v>
      </c>
      <c r="W211" s="27">
        <v>0</v>
      </c>
      <c r="X211" s="27">
        <v>70</v>
      </c>
      <c r="Y211" s="27">
        <v>12.5</v>
      </c>
      <c r="Z211" s="27">
        <v>37.5</v>
      </c>
      <c r="AA211" s="27">
        <v>67</v>
      </c>
      <c r="AB211" s="27">
        <v>0</v>
      </c>
      <c r="AC211" s="27">
        <v>15</v>
      </c>
      <c r="AD211" s="27">
        <v>80</v>
      </c>
      <c r="AE211" s="27">
        <v>0</v>
      </c>
      <c r="AF211" s="27">
        <v>20</v>
      </c>
      <c r="AG211" s="26">
        <f t="shared" si="12"/>
        <v>514</v>
      </c>
      <c r="AH211" s="26">
        <f t="shared" si="13"/>
        <v>17</v>
      </c>
      <c r="AI211" s="26">
        <f t="shared" si="14"/>
        <v>72.5</v>
      </c>
      <c r="AJ211" s="15" t="s">
        <v>19</v>
      </c>
      <c r="AK211" s="15" t="s">
        <v>11</v>
      </c>
      <c r="AL211" s="15" t="s">
        <v>317</v>
      </c>
      <c r="AM211" s="19">
        <v>44039</v>
      </c>
    </row>
    <row r="212" spans="1:39" x14ac:dyDescent="0.2">
      <c r="A212" s="15" t="str">
        <f t="shared" si="15"/>
        <v>812404179894</v>
      </c>
      <c r="B212" s="32">
        <v>812404</v>
      </c>
      <c r="C212" s="32" t="s">
        <v>69</v>
      </c>
      <c r="D212" s="17">
        <v>179894</v>
      </c>
      <c r="E212" s="15" t="s">
        <v>20</v>
      </c>
      <c r="F212" s="26">
        <v>0</v>
      </c>
      <c r="G212" s="26">
        <v>0</v>
      </c>
      <c r="H212" s="26">
        <v>0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7">
        <v>0</v>
      </c>
      <c r="P212" s="27">
        <v>0</v>
      </c>
      <c r="Q212" s="27">
        <v>0</v>
      </c>
      <c r="R212" s="27">
        <v>0</v>
      </c>
      <c r="S212" s="27">
        <v>0</v>
      </c>
      <c r="T212" s="27">
        <v>0</v>
      </c>
      <c r="U212" s="27">
        <v>58</v>
      </c>
      <c r="V212" s="27">
        <v>0</v>
      </c>
      <c r="W212" s="27">
        <v>7.5</v>
      </c>
      <c r="X212" s="27">
        <v>10</v>
      </c>
      <c r="Y212" s="27">
        <v>0</v>
      </c>
      <c r="Z212" s="27">
        <v>0</v>
      </c>
      <c r="AA212" s="27">
        <v>37.5</v>
      </c>
      <c r="AB212" s="27">
        <v>0</v>
      </c>
      <c r="AC212" s="27">
        <v>0</v>
      </c>
      <c r="AD212" s="27">
        <v>0</v>
      </c>
      <c r="AE212" s="27">
        <v>0</v>
      </c>
      <c r="AF212" s="27">
        <v>0</v>
      </c>
      <c r="AG212" s="26">
        <f t="shared" si="12"/>
        <v>105.5</v>
      </c>
      <c r="AH212" s="26">
        <f t="shared" si="13"/>
        <v>0</v>
      </c>
      <c r="AI212" s="26">
        <f t="shared" si="14"/>
        <v>7.5</v>
      </c>
      <c r="AJ212" s="15" t="s">
        <v>19</v>
      </c>
      <c r="AK212" s="15" t="s">
        <v>11</v>
      </c>
      <c r="AL212" s="15" t="s">
        <v>317</v>
      </c>
      <c r="AM212" s="19">
        <v>44042</v>
      </c>
    </row>
    <row r="213" spans="1:39" x14ac:dyDescent="0.2">
      <c r="A213" s="15" t="str">
        <f t="shared" si="15"/>
        <v>813151179892</v>
      </c>
      <c r="B213" s="32">
        <v>813151</v>
      </c>
      <c r="C213" s="32" t="s">
        <v>366</v>
      </c>
      <c r="D213" s="15">
        <v>179892</v>
      </c>
      <c r="E213" s="15" t="s">
        <v>367</v>
      </c>
      <c r="F213" s="26">
        <v>50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41</v>
      </c>
      <c r="M213" s="26">
        <v>0</v>
      </c>
      <c r="N213" s="26">
        <v>0</v>
      </c>
      <c r="O213" s="27">
        <v>17.5</v>
      </c>
      <c r="P213" s="27">
        <v>0</v>
      </c>
      <c r="Q213" s="27">
        <v>0</v>
      </c>
      <c r="R213" s="27">
        <v>0</v>
      </c>
      <c r="S213" s="27">
        <v>0</v>
      </c>
      <c r="T213" s="27">
        <v>0</v>
      </c>
      <c r="U213" s="27">
        <v>0</v>
      </c>
      <c r="V213" s="27">
        <v>0</v>
      </c>
      <c r="W213" s="27">
        <v>0</v>
      </c>
      <c r="X213" s="27">
        <v>15</v>
      </c>
      <c r="Y213" s="27">
        <v>0</v>
      </c>
      <c r="Z213" s="27">
        <v>15</v>
      </c>
      <c r="AA213" s="27">
        <v>35</v>
      </c>
      <c r="AB213" s="27">
        <v>0</v>
      </c>
      <c r="AC213" s="27">
        <v>0</v>
      </c>
      <c r="AD213" s="27">
        <v>93.5</v>
      </c>
      <c r="AE213" s="27">
        <v>0</v>
      </c>
      <c r="AF213" s="27">
        <v>0</v>
      </c>
      <c r="AG213" s="26">
        <f t="shared" si="12"/>
        <v>252</v>
      </c>
      <c r="AH213" s="26">
        <f t="shared" si="13"/>
        <v>0</v>
      </c>
      <c r="AI213" s="26">
        <f t="shared" si="14"/>
        <v>15</v>
      </c>
      <c r="AJ213" s="15" t="s">
        <v>19</v>
      </c>
      <c r="AK213" s="15" t="s">
        <v>11</v>
      </c>
      <c r="AL213" s="15" t="s">
        <v>317</v>
      </c>
      <c r="AM213" s="19">
        <v>44104</v>
      </c>
    </row>
    <row r="214" spans="1:39" x14ac:dyDescent="0.2">
      <c r="A214" s="15" t="str">
        <f t="shared" si="15"/>
        <v>813299179894</v>
      </c>
      <c r="B214" s="32">
        <v>813299</v>
      </c>
      <c r="C214" s="32" t="s">
        <v>111</v>
      </c>
      <c r="D214" s="15">
        <v>179894</v>
      </c>
      <c r="E214" s="15" t="s">
        <v>20</v>
      </c>
      <c r="F214" s="26">
        <v>20</v>
      </c>
      <c r="G214" s="26">
        <v>0</v>
      </c>
      <c r="H214" s="26">
        <v>0</v>
      </c>
      <c r="I214" s="26">
        <v>50.5</v>
      </c>
      <c r="J214" s="26">
        <v>0</v>
      </c>
      <c r="K214" s="26">
        <v>0</v>
      </c>
      <c r="L214" s="26">
        <v>10</v>
      </c>
      <c r="M214" s="26">
        <v>0</v>
      </c>
      <c r="N214" s="26">
        <v>0</v>
      </c>
      <c r="O214" s="27">
        <v>11.5</v>
      </c>
      <c r="P214" s="27">
        <v>0</v>
      </c>
      <c r="Q214" s="27">
        <v>0</v>
      </c>
      <c r="R214" s="27">
        <v>15</v>
      </c>
      <c r="S214" s="27">
        <v>0</v>
      </c>
      <c r="T214" s="27">
        <v>0</v>
      </c>
      <c r="U214" s="27">
        <v>0</v>
      </c>
      <c r="V214" s="27">
        <v>0</v>
      </c>
      <c r="W214" s="27">
        <v>0</v>
      </c>
      <c r="X214" s="27">
        <v>15</v>
      </c>
      <c r="Y214" s="27">
        <v>0</v>
      </c>
      <c r="Z214" s="27">
        <v>0</v>
      </c>
      <c r="AA214" s="27">
        <v>27.5</v>
      </c>
      <c r="AB214" s="27">
        <v>0</v>
      </c>
      <c r="AC214" s="27">
        <v>0</v>
      </c>
      <c r="AD214" s="27">
        <v>5</v>
      </c>
      <c r="AE214" s="27">
        <v>0</v>
      </c>
      <c r="AF214" s="27">
        <v>5</v>
      </c>
      <c r="AG214" s="26">
        <f t="shared" si="12"/>
        <v>154.5</v>
      </c>
      <c r="AH214" s="26">
        <f t="shared" si="13"/>
        <v>0</v>
      </c>
      <c r="AI214" s="26">
        <f t="shared" si="14"/>
        <v>5</v>
      </c>
      <c r="AJ214" s="15" t="s">
        <v>19</v>
      </c>
      <c r="AK214" s="15" t="s">
        <v>11</v>
      </c>
      <c r="AL214" s="15" t="s">
        <v>317</v>
      </c>
      <c r="AM214" s="19">
        <v>44120</v>
      </c>
    </row>
    <row r="215" spans="1:39" x14ac:dyDescent="0.2">
      <c r="A215" s="15" t="str">
        <f t="shared" si="15"/>
        <v>815101208026</v>
      </c>
      <c r="B215" s="32">
        <v>815101</v>
      </c>
      <c r="C215" s="32" t="s">
        <v>123</v>
      </c>
      <c r="D215" s="17">
        <v>208026</v>
      </c>
      <c r="E215" s="15" t="s">
        <v>325</v>
      </c>
      <c r="F215" s="26">
        <v>24</v>
      </c>
      <c r="G215" s="26">
        <v>0</v>
      </c>
      <c r="H215" s="26">
        <v>0</v>
      </c>
      <c r="I215" s="26">
        <v>36</v>
      </c>
      <c r="J215" s="26">
        <v>0</v>
      </c>
      <c r="K215" s="26">
        <v>0</v>
      </c>
      <c r="L215" s="26">
        <v>95</v>
      </c>
      <c r="M215" s="26">
        <v>10.5</v>
      </c>
      <c r="N215" s="26">
        <v>18.5</v>
      </c>
      <c r="O215" s="27">
        <v>23</v>
      </c>
      <c r="P215" s="27">
        <v>3</v>
      </c>
      <c r="Q215" s="27">
        <v>0</v>
      </c>
      <c r="R215" s="27">
        <v>61</v>
      </c>
      <c r="S215" s="27">
        <v>0</v>
      </c>
      <c r="T215" s="27">
        <v>11</v>
      </c>
      <c r="U215" s="27">
        <v>68.5</v>
      </c>
      <c r="V215" s="27">
        <v>0</v>
      </c>
      <c r="W215" s="27">
        <v>20.5</v>
      </c>
      <c r="X215" s="27">
        <v>75</v>
      </c>
      <c r="Y215" s="27">
        <v>0</v>
      </c>
      <c r="Z215" s="27">
        <v>18</v>
      </c>
      <c r="AA215" s="27">
        <v>70.5</v>
      </c>
      <c r="AB215" s="27">
        <v>9</v>
      </c>
      <c r="AC215" s="27">
        <v>15.5</v>
      </c>
      <c r="AD215" s="27">
        <v>85.75</v>
      </c>
      <c r="AE215" s="27">
        <v>0</v>
      </c>
      <c r="AF215" s="27">
        <v>32.25</v>
      </c>
      <c r="AG215" s="26">
        <f t="shared" si="12"/>
        <v>538.75</v>
      </c>
      <c r="AH215" s="26">
        <f t="shared" si="13"/>
        <v>22.5</v>
      </c>
      <c r="AI215" s="26">
        <f t="shared" si="14"/>
        <v>115.75</v>
      </c>
      <c r="AJ215" s="15" t="s">
        <v>19</v>
      </c>
      <c r="AK215" s="15" t="s">
        <v>11</v>
      </c>
      <c r="AL215" s="15" t="s">
        <v>317</v>
      </c>
      <c r="AM215" s="19">
        <v>44347</v>
      </c>
    </row>
    <row r="216" spans="1:39" x14ac:dyDescent="0.2">
      <c r="A216" s="15" t="str">
        <f t="shared" si="15"/>
        <v>816037179894</v>
      </c>
      <c r="B216" s="32">
        <v>816037</v>
      </c>
      <c r="C216" s="32" t="s">
        <v>378</v>
      </c>
      <c r="D216" s="15">
        <v>179894</v>
      </c>
      <c r="E216" s="15" t="s">
        <v>20</v>
      </c>
      <c r="F216" s="26">
        <v>107</v>
      </c>
      <c r="G216" s="26">
        <v>0</v>
      </c>
      <c r="H216" s="26">
        <v>0</v>
      </c>
      <c r="I216" s="26">
        <v>112.5</v>
      </c>
      <c r="J216" s="26">
        <v>0</v>
      </c>
      <c r="K216" s="26">
        <v>0</v>
      </c>
      <c r="L216" s="26">
        <v>150</v>
      </c>
      <c r="M216" s="26">
        <v>0</v>
      </c>
      <c r="N216" s="26">
        <v>20</v>
      </c>
      <c r="O216" s="27">
        <v>121.5</v>
      </c>
      <c r="P216" s="27">
        <v>0</v>
      </c>
      <c r="Q216" s="27">
        <v>15.5</v>
      </c>
      <c r="R216" s="27">
        <v>105</v>
      </c>
      <c r="S216" s="27">
        <v>0</v>
      </c>
      <c r="T216" s="27">
        <v>10</v>
      </c>
      <c r="U216" s="27">
        <v>47</v>
      </c>
      <c r="V216" s="27">
        <v>0</v>
      </c>
      <c r="W216" s="27">
        <v>45</v>
      </c>
      <c r="X216" s="27">
        <v>77.5</v>
      </c>
      <c r="Y216" s="27">
        <v>5</v>
      </c>
      <c r="Z216" s="27">
        <v>27.5</v>
      </c>
      <c r="AA216" s="27">
        <v>101</v>
      </c>
      <c r="AB216" s="27">
        <v>0</v>
      </c>
      <c r="AC216" s="27">
        <v>0</v>
      </c>
      <c r="AD216" s="27">
        <v>65</v>
      </c>
      <c r="AE216" s="27">
        <v>0</v>
      </c>
      <c r="AF216" s="27">
        <v>0</v>
      </c>
      <c r="AG216" s="26">
        <f t="shared" si="12"/>
        <v>886.5</v>
      </c>
      <c r="AH216" s="26">
        <f t="shared" si="13"/>
        <v>5</v>
      </c>
      <c r="AI216" s="26">
        <f t="shared" si="14"/>
        <v>118</v>
      </c>
      <c r="AJ216" s="15" t="s">
        <v>19</v>
      </c>
      <c r="AK216" s="15" t="s">
        <v>11</v>
      </c>
      <c r="AL216" s="15" t="s">
        <v>317</v>
      </c>
      <c r="AM216" s="19">
        <v>44428</v>
      </c>
    </row>
    <row r="217" spans="1:39" x14ac:dyDescent="0.2">
      <c r="A217" s="15" t="str">
        <f t="shared" si="15"/>
        <v>817789179894</v>
      </c>
      <c r="B217" s="32">
        <v>817789</v>
      </c>
      <c r="C217" s="32" t="s">
        <v>472</v>
      </c>
      <c r="D217" s="15">
        <v>179894</v>
      </c>
      <c r="E217" s="15" t="s">
        <v>20</v>
      </c>
      <c r="F217" s="26">
        <v>15</v>
      </c>
      <c r="G217" s="26">
        <v>0</v>
      </c>
      <c r="H217" s="26">
        <v>0</v>
      </c>
      <c r="I217" s="26">
        <v>0</v>
      </c>
      <c r="J217" s="26">
        <v>0</v>
      </c>
      <c r="K217" s="26">
        <v>0</v>
      </c>
      <c r="L217" s="26">
        <v>15</v>
      </c>
      <c r="M217" s="26">
        <v>0</v>
      </c>
      <c r="N217" s="26">
        <v>0</v>
      </c>
      <c r="O217" s="27">
        <v>13</v>
      </c>
      <c r="P217" s="27">
        <v>0</v>
      </c>
      <c r="Q217" s="27">
        <v>0</v>
      </c>
      <c r="R217" s="27">
        <v>15</v>
      </c>
      <c r="S217" s="27">
        <v>0</v>
      </c>
      <c r="T217" s="27">
        <v>0</v>
      </c>
      <c r="U217" s="27">
        <v>26.5</v>
      </c>
      <c r="V217" s="27">
        <v>0</v>
      </c>
      <c r="W217" s="27">
        <v>0</v>
      </c>
      <c r="X217" s="27">
        <v>40</v>
      </c>
      <c r="Y217" s="27">
        <v>0</v>
      </c>
      <c r="Z217" s="27">
        <v>0</v>
      </c>
      <c r="AA217" s="27">
        <v>17.5</v>
      </c>
      <c r="AB217" s="27">
        <v>0</v>
      </c>
      <c r="AC217" s="27">
        <v>0</v>
      </c>
      <c r="AD217" s="27">
        <v>5</v>
      </c>
      <c r="AE217" s="27">
        <v>0</v>
      </c>
      <c r="AF217" s="27">
        <v>5</v>
      </c>
      <c r="AG217" s="26">
        <f t="shared" si="12"/>
        <v>147</v>
      </c>
      <c r="AH217" s="26">
        <f t="shared" si="13"/>
        <v>0</v>
      </c>
      <c r="AI217" s="26">
        <f t="shared" si="14"/>
        <v>5</v>
      </c>
      <c r="AJ217" s="15" t="s">
        <v>19</v>
      </c>
      <c r="AK217" s="15" t="s">
        <v>11</v>
      </c>
      <c r="AL217" s="15" t="s">
        <v>317</v>
      </c>
      <c r="AM217" s="19">
        <v>44583</v>
      </c>
    </row>
    <row r="218" spans="1:39" x14ac:dyDescent="0.2">
      <c r="A218" s="15" t="str">
        <f t="shared" si="15"/>
        <v>817871174713</v>
      </c>
      <c r="B218" s="32">
        <v>817871</v>
      </c>
      <c r="C218" s="32" t="s">
        <v>466</v>
      </c>
      <c r="D218" s="15">
        <v>174713</v>
      </c>
      <c r="E218" s="15" t="s">
        <v>320</v>
      </c>
      <c r="F218" s="26">
        <v>0</v>
      </c>
      <c r="G218" s="26">
        <v>0</v>
      </c>
      <c r="H218" s="26">
        <v>0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0</v>
      </c>
      <c r="O218" s="27">
        <v>1</v>
      </c>
      <c r="P218" s="27">
        <v>0</v>
      </c>
      <c r="Q218" s="27">
        <v>0</v>
      </c>
      <c r="R218" s="27">
        <v>0</v>
      </c>
      <c r="S218" s="27">
        <v>0</v>
      </c>
      <c r="T218" s="27">
        <v>0</v>
      </c>
      <c r="U218" s="27">
        <v>20</v>
      </c>
      <c r="V218" s="27">
        <v>0</v>
      </c>
      <c r="W218" s="27">
        <v>0</v>
      </c>
      <c r="X218" s="27">
        <v>0</v>
      </c>
      <c r="Y218" s="27">
        <v>0</v>
      </c>
      <c r="Z218" s="27">
        <v>0</v>
      </c>
      <c r="AA218" s="27">
        <v>0</v>
      </c>
      <c r="AB218" s="27">
        <v>0</v>
      </c>
      <c r="AC218" s="27">
        <v>0</v>
      </c>
      <c r="AD218" s="27">
        <v>0</v>
      </c>
      <c r="AE218" s="27">
        <v>0</v>
      </c>
      <c r="AF218" s="27">
        <v>0</v>
      </c>
      <c r="AG218" s="26">
        <f t="shared" si="12"/>
        <v>21</v>
      </c>
      <c r="AH218" s="26">
        <f t="shared" si="13"/>
        <v>0</v>
      </c>
      <c r="AI218" s="26">
        <f t="shared" si="14"/>
        <v>0</v>
      </c>
      <c r="AJ218" s="15" t="s">
        <v>19</v>
      </c>
      <c r="AK218" s="15" t="s">
        <v>11</v>
      </c>
      <c r="AL218" s="15" t="s">
        <v>317</v>
      </c>
      <c r="AM218" s="19">
        <v>44589</v>
      </c>
    </row>
    <row r="219" spans="1:39" x14ac:dyDescent="0.2">
      <c r="A219" s="15" t="str">
        <f t="shared" si="15"/>
        <v>818073208516</v>
      </c>
      <c r="B219" s="32">
        <v>818073</v>
      </c>
      <c r="C219" s="32" t="s">
        <v>178</v>
      </c>
      <c r="D219" s="15">
        <v>208516</v>
      </c>
      <c r="E219" s="15" t="s">
        <v>475</v>
      </c>
      <c r="F219" s="26">
        <v>43.5</v>
      </c>
      <c r="G219" s="26">
        <v>7.5</v>
      </c>
      <c r="H219" s="26">
        <v>0</v>
      </c>
      <c r="I219" s="26">
        <v>16</v>
      </c>
      <c r="J219" s="26">
        <v>7.5</v>
      </c>
      <c r="K219" s="26">
        <v>0</v>
      </c>
      <c r="L219" s="26">
        <v>66</v>
      </c>
      <c r="M219" s="26">
        <v>0</v>
      </c>
      <c r="N219" s="26">
        <v>0</v>
      </c>
      <c r="O219" s="27">
        <v>12</v>
      </c>
      <c r="P219" s="27">
        <v>0</v>
      </c>
      <c r="Q219" s="27">
        <v>2</v>
      </c>
      <c r="R219" s="27">
        <v>73</v>
      </c>
      <c r="S219" s="27">
        <v>0</v>
      </c>
      <c r="T219" s="27">
        <v>18</v>
      </c>
      <c r="U219" s="27">
        <v>47.5</v>
      </c>
      <c r="V219" s="27">
        <v>0</v>
      </c>
      <c r="W219" s="27">
        <v>3</v>
      </c>
      <c r="X219" s="27">
        <v>0</v>
      </c>
      <c r="Y219" s="27">
        <v>0</v>
      </c>
      <c r="Z219" s="27">
        <v>0</v>
      </c>
      <c r="AA219" s="27">
        <v>32</v>
      </c>
      <c r="AB219" s="27">
        <v>0</v>
      </c>
      <c r="AC219" s="27">
        <v>32</v>
      </c>
      <c r="AD219" s="27">
        <v>70.75</v>
      </c>
      <c r="AE219" s="27">
        <v>0</v>
      </c>
      <c r="AF219" s="27">
        <v>37.75</v>
      </c>
      <c r="AG219" s="26">
        <f t="shared" si="12"/>
        <v>360.75</v>
      </c>
      <c r="AH219" s="26">
        <f t="shared" si="13"/>
        <v>15</v>
      </c>
      <c r="AI219" s="26">
        <f t="shared" si="14"/>
        <v>92.75</v>
      </c>
      <c r="AJ219" s="15" t="s">
        <v>19</v>
      </c>
      <c r="AK219" s="15" t="s">
        <v>11</v>
      </c>
      <c r="AL219" s="15" t="s">
        <v>317</v>
      </c>
      <c r="AM219" s="19">
        <v>44610</v>
      </c>
    </row>
    <row r="220" spans="1:39" x14ac:dyDescent="0.2">
      <c r="A220" s="15" t="str">
        <f t="shared" si="15"/>
        <v>818100179894</v>
      </c>
      <c r="B220" s="14">
        <v>818100</v>
      </c>
      <c r="C220" s="14" t="s">
        <v>516</v>
      </c>
      <c r="D220" s="14">
        <v>179894</v>
      </c>
      <c r="E220" s="18" t="s">
        <v>20</v>
      </c>
      <c r="F220" s="26">
        <v>25</v>
      </c>
      <c r="G220" s="26">
        <v>0</v>
      </c>
      <c r="H220" s="26">
        <v>0</v>
      </c>
      <c r="I220" s="26">
        <v>0</v>
      </c>
      <c r="J220" s="26">
        <v>0</v>
      </c>
      <c r="K220" s="26">
        <v>0</v>
      </c>
      <c r="L220" s="26">
        <v>5</v>
      </c>
      <c r="M220" s="26">
        <v>0</v>
      </c>
      <c r="N220" s="26">
        <v>0</v>
      </c>
      <c r="O220" s="27">
        <v>5</v>
      </c>
      <c r="P220" s="27">
        <v>0</v>
      </c>
      <c r="Q220" s="27">
        <v>0</v>
      </c>
      <c r="R220" s="27">
        <v>10</v>
      </c>
      <c r="S220" s="27">
        <v>0</v>
      </c>
      <c r="T220" s="27">
        <v>0</v>
      </c>
      <c r="U220" s="27">
        <v>7.5</v>
      </c>
      <c r="V220" s="27">
        <v>0</v>
      </c>
      <c r="W220" s="27">
        <v>0</v>
      </c>
      <c r="X220" s="27">
        <v>2</v>
      </c>
      <c r="Y220" s="27">
        <v>0</v>
      </c>
      <c r="Z220" s="27">
        <v>0</v>
      </c>
      <c r="AA220" s="27">
        <v>5</v>
      </c>
      <c r="AB220" s="27">
        <v>0</v>
      </c>
      <c r="AC220" s="27">
        <v>0</v>
      </c>
      <c r="AD220" s="27">
        <v>5</v>
      </c>
      <c r="AE220" s="27">
        <v>0</v>
      </c>
      <c r="AF220" s="27">
        <v>5</v>
      </c>
      <c r="AG220" s="26">
        <f t="shared" si="12"/>
        <v>64.5</v>
      </c>
      <c r="AH220" s="26">
        <f t="shared" si="13"/>
        <v>0</v>
      </c>
      <c r="AI220" s="26">
        <f t="shared" si="14"/>
        <v>5</v>
      </c>
      <c r="AJ220" s="15" t="s">
        <v>19</v>
      </c>
      <c r="AK220" s="15" t="s">
        <v>11</v>
      </c>
      <c r="AL220" s="15" t="s">
        <v>317</v>
      </c>
      <c r="AM220" s="19">
        <v>44614</v>
      </c>
    </row>
    <row r="221" spans="1:39" x14ac:dyDescent="0.2">
      <c r="A221" s="15" t="str">
        <f t="shared" si="15"/>
        <v>818484179894</v>
      </c>
      <c r="B221" s="14">
        <v>818484</v>
      </c>
      <c r="C221" s="14" t="s">
        <v>517</v>
      </c>
      <c r="D221" s="14">
        <v>179894</v>
      </c>
      <c r="E221" s="18" t="s">
        <v>20</v>
      </c>
      <c r="F221" s="26">
        <v>25</v>
      </c>
      <c r="G221" s="26">
        <v>0</v>
      </c>
      <c r="H221" s="26">
        <v>0</v>
      </c>
      <c r="I221" s="26">
        <v>0</v>
      </c>
      <c r="J221" s="26">
        <v>0</v>
      </c>
      <c r="K221" s="26">
        <v>0</v>
      </c>
      <c r="L221" s="26">
        <v>2.5</v>
      </c>
      <c r="M221" s="26">
        <v>0</v>
      </c>
      <c r="N221" s="26">
        <v>0</v>
      </c>
      <c r="O221" s="27">
        <v>5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7.5</v>
      </c>
      <c r="V221" s="27">
        <v>0</v>
      </c>
      <c r="W221" s="27">
        <v>0</v>
      </c>
      <c r="X221" s="27">
        <v>5</v>
      </c>
      <c r="Y221" s="27">
        <v>0</v>
      </c>
      <c r="Z221" s="27">
        <v>0</v>
      </c>
      <c r="AA221" s="27">
        <v>0</v>
      </c>
      <c r="AB221" s="27">
        <v>0</v>
      </c>
      <c r="AC221" s="27">
        <v>0</v>
      </c>
      <c r="AD221" s="27">
        <v>0</v>
      </c>
      <c r="AE221" s="27">
        <v>0</v>
      </c>
      <c r="AF221" s="27">
        <v>0</v>
      </c>
      <c r="AG221" s="26">
        <f t="shared" si="12"/>
        <v>45</v>
      </c>
      <c r="AH221" s="26">
        <f t="shared" si="13"/>
        <v>0</v>
      </c>
      <c r="AI221" s="26">
        <f t="shared" si="14"/>
        <v>0</v>
      </c>
      <c r="AJ221" s="15" t="s">
        <v>19</v>
      </c>
      <c r="AK221" s="15" t="s">
        <v>11</v>
      </c>
      <c r="AL221" s="15" t="s">
        <v>317</v>
      </c>
      <c r="AM221" s="19">
        <v>44646</v>
      </c>
    </row>
    <row r="222" spans="1:39" x14ac:dyDescent="0.2">
      <c r="A222" s="15" t="str">
        <f t="shared" si="15"/>
        <v>819817208516</v>
      </c>
      <c r="B222" s="14">
        <v>819817</v>
      </c>
      <c r="C222" s="14" t="s">
        <v>586</v>
      </c>
      <c r="D222" s="16" t="s">
        <v>587</v>
      </c>
      <c r="E222" s="18" t="s">
        <v>475</v>
      </c>
      <c r="F222" s="26">
        <v>0</v>
      </c>
      <c r="G222" s="26">
        <v>0</v>
      </c>
      <c r="H222" s="26">
        <v>0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  <c r="N222" s="26">
        <v>0</v>
      </c>
      <c r="O222" s="27">
        <v>0</v>
      </c>
      <c r="P222" s="27">
        <v>0</v>
      </c>
      <c r="Q222" s="27">
        <v>0</v>
      </c>
      <c r="R222" s="27">
        <v>18</v>
      </c>
      <c r="S222" s="27">
        <v>0</v>
      </c>
      <c r="T222" s="27">
        <v>0</v>
      </c>
      <c r="U222" s="27">
        <v>22.5</v>
      </c>
      <c r="V222" s="27">
        <v>0</v>
      </c>
      <c r="W222" s="27">
        <v>0</v>
      </c>
      <c r="X222" s="27">
        <v>0</v>
      </c>
      <c r="Y222" s="27">
        <v>0</v>
      </c>
      <c r="Z222" s="27">
        <v>0</v>
      </c>
      <c r="AA222" s="27">
        <v>8</v>
      </c>
      <c r="AB222" s="27">
        <v>0</v>
      </c>
      <c r="AC222" s="27">
        <v>0</v>
      </c>
      <c r="AD222" s="27">
        <v>10</v>
      </c>
      <c r="AE222" s="27">
        <v>0</v>
      </c>
      <c r="AF222" s="27">
        <v>10</v>
      </c>
      <c r="AG222" s="26">
        <f t="shared" si="12"/>
        <v>58.5</v>
      </c>
      <c r="AH222" s="26">
        <f t="shared" si="13"/>
        <v>0</v>
      </c>
      <c r="AI222" s="26">
        <f t="shared" si="14"/>
        <v>10</v>
      </c>
      <c r="AJ222" s="15" t="s">
        <v>19</v>
      </c>
      <c r="AK222" s="15" t="s">
        <v>11</v>
      </c>
      <c r="AL222" s="15" t="s">
        <v>317</v>
      </c>
      <c r="AM222" s="19">
        <v>44760</v>
      </c>
    </row>
    <row r="223" spans="1:39" x14ac:dyDescent="0.2">
      <c r="A223" s="15" t="str">
        <f t="shared" si="15"/>
        <v>820008179894</v>
      </c>
      <c r="B223" s="14">
        <v>820008</v>
      </c>
      <c r="C223" s="14" t="s">
        <v>577</v>
      </c>
      <c r="D223" s="16">
        <v>179894</v>
      </c>
      <c r="E223" s="18" t="s">
        <v>20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7">
        <v>0</v>
      </c>
      <c r="P223" s="27">
        <v>0</v>
      </c>
      <c r="Q223" s="27">
        <v>0</v>
      </c>
      <c r="R223" s="27">
        <v>42.5</v>
      </c>
      <c r="S223" s="27">
        <v>0</v>
      </c>
      <c r="T223" s="27">
        <v>0</v>
      </c>
      <c r="U223" s="27">
        <v>20</v>
      </c>
      <c r="V223" s="27">
        <v>0</v>
      </c>
      <c r="W223" s="27">
        <v>0</v>
      </c>
      <c r="X223" s="27">
        <v>33</v>
      </c>
      <c r="Y223" s="27">
        <v>8</v>
      </c>
      <c r="Z223" s="27">
        <v>0</v>
      </c>
      <c r="AA223" s="27">
        <v>5</v>
      </c>
      <c r="AB223" s="27">
        <v>0</v>
      </c>
      <c r="AC223" s="27">
        <v>0</v>
      </c>
      <c r="AD223" s="27">
        <v>5</v>
      </c>
      <c r="AE223" s="27">
        <v>0</v>
      </c>
      <c r="AF223" s="27">
        <v>5</v>
      </c>
      <c r="AG223" s="26">
        <f t="shared" si="12"/>
        <v>105.5</v>
      </c>
      <c r="AH223" s="26">
        <f t="shared" si="13"/>
        <v>8</v>
      </c>
      <c r="AI223" s="26">
        <f t="shared" si="14"/>
        <v>5</v>
      </c>
      <c r="AJ223" s="15" t="s">
        <v>19</v>
      </c>
      <c r="AK223" s="15" t="s">
        <v>11</v>
      </c>
      <c r="AL223" s="15" t="s">
        <v>317</v>
      </c>
      <c r="AM223" s="19">
        <v>44771</v>
      </c>
    </row>
    <row r="224" spans="1:39" x14ac:dyDescent="0.2">
      <c r="A224" s="15" t="str">
        <f t="shared" si="15"/>
        <v>820429210479</v>
      </c>
      <c r="B224" s="14">
        <v>820429</v>
      </c>
      <c r="C224" s="14" t="s">
        <v>105</v>
      </c>
      <c r="D224" s="16">
        <v>210479</v>
      </c>
      <c r="E224" s="18" t="s">
        <v>591</v>
      </c>
      <c r="F224" s="26">
        <v>0</v>
      </c>
      <c r="G224" s="26">
        <v>0</v>
      </c>
      <c r="H224" s="26">
        <v>0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7">
        <v>0</v>
      </c>
      <c r="P224" s="27">
        <v>0</v>
      </c>
      <c r="Q224" s="27">
        <v>0</v>
      </c>
      <c r="R224" s="27">
        <v>0</v>
      </c>
      <c r="S224" s="27">
        <v>0</v>
      </c>
      <c r="T224" s="27">
        <v>0</v>
      </c>
      <c r="U224" s="27">
        <v>54.5</v>
      </c>
      <c r="V224" s="27">
        <v>0</v>
      </c>
      <c r="W224" s="27">
        <v>6</v>
      </c>
      <c r="X224" s="27">
        <v>63</v>
      </c>
      <c r="Y224" s="27">
        <v>0</v>
      </c>
      <c r="Z224" s="27">
        <v>45</v>
      </c>
      <c r="AA224" s="27">
        <v>37.1</v>
      </c>
      <c r="AB224" s="27">
        <v>2.1</v>
      </c>
      <c r="AC224" s="27">
        <v>5</v>
      </c>
      <c r="AD224" s="27">
        <v>48</v>
      </c>
      <c r="AE224" s="27">
        <v>0</v>
      </c>
      <c r="AF224" s="27">
        <v>25</v>
      </c>
      <c r="AG224" s="26">
        <f t="shared" si="12"/>
        <v>202.6</v>
      </c>
      <c r="AH224" s="26">
        <f t="shared" si="13"/>
        <v>2.1</v>
      </c>
      <c r="AI224" s="26">
        <f t="shared" si="14"/>
        <v>81</v>
      </c>
      <c r="AJ224" s="15" t="s">
        <v>19</v>
      </c>
      <c r="AK224" s="15" t="s">
        <v>11</v>
      </c>
      <c r="AL224" s="15" t="s">
        <v>317</v>
      </c>
      <c r="AM224" s="19">
        <v>44811</v>
      </c>
    </row>
    <row r="225" spans="1:39" x14ac:dyDescent="0.2">
      <c r="A225" s="15" t="str">
        <f t="shared" si="15"/>
        <v>820486179894</v>
      </c>
      <c r="B225" s="14">
        <v>820486</v>
      </c>
      <c r="C225" s="14" t="s">
        <v>594</v>
      </c>
      <c r="D225" s="16">
        <v>179894</v>
      </c>
      <c r="E225" s="18" t="s">
        <v>20</v>
      </c>
      <c r="F225" s="26">
        <v>0</v>
      </c>
      <c r="G225" s="26">
        <v>0</v>
      </c>
      <c r="H225" s="26">
        <v>0</v>
      </c>
      <c r="I225" s="26">
        <v>0</v>
      </c>
      <c r="J225" s="26">
        <v>0</v>
      </c>
      <c r="K225" s="26">
        <v>0</v>
      </c>
      <c r="L225" s="26">
        <v>0</v>
      </c>
      <c r="M225" s="26">
        <v>0</v>
      </c>
      <c r="N225" s="26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21</v>
      </c>
      <c r="V225" s="27">
        <v>0</v>
      </c>
      <c r="W225" s="27">
        <v>0</v>
      </c>
      <c r="X225" s="27">
        <v>20</v>
      </c>
      <c r="Y225" s="27">
        <v>0</v>
      </c>
      <c r="Z225" s="27">
        <v>0</v>
      </c>
      <c r="AA225" s="27">
        <v>7.5</v>
      </c>
      <c r="AB225" s="27">
        <v>0</v>
      </c>
      <c r="AC225" s="27">
        <v>0</v>
      </c>
      <c r="AD225" s="27">
        <v>12.5</v>
      </c>
      <c r="AE225" s="27">
        <v>0</v>
      </c>
      <c r="AF225" s="27">
        <v>0</v>
      </c>
      <c r="AG225" s="26">
        <f t="shared" si="12"/>
        <v>61</v>
      </c>
      <c r="AH225" s="26">
        <f t="shared" si="13"/>
        <v>0</v>
      </c>
      <c r="AI225" s="26">
        <f t="shared" si="14"/>
        <v>0</v>
      </c>
      <c r="AJ225" s="15" t="s">
        <v>19</v>
      </c>
      <c r="AK225" s="15" t="s">
        <v>11</v>
      </c>
      <c r="AL225" s="15" t="s">
        <v>317</v>
      </c>
      <c r="AM225" s="19">
        <v>44816</v>
      </c>
    </row>
    <row r="226" spans="1:39" x14ac:dyDescent="0.2">
      <c r="A226" s="15" t="str">
        <f t="shared" si="15"/>
        <v>820702179894</v>
      </c>
      <c r="B226" s="14">
        <v>820702</v>
      </c>
      <c r="C226" s="14" t="s">
        <v>616</v>
      </c>
      <c r="D226" s="16">
        <v>179894</v>
      </c>
      <c r="E226" s="18" t="s">
        <v>20</v>
      </c>
      <c r="F226" s="26">
        <v>0</v>
      </c>
      <c r="G226" s="26">
        <v>0</v>
      </c>
      <c r="H226" s="26">
        <v>0</v>
      </c>
      <c r="I226" s="26">
        <v>0</v>
      </c>
      <c r="J226" s="26">
        <v>0</v>
      </c>
      <c r="K226" s="26">
        <v>0</v>
      </c>
      <c r="L226" s="26">
        <v>0</v>
      </c>
      <c r="M226" s="26">
        <v>0</v>
      </c>
      <c r="N226" s="26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  <c r="V226" s="27">
        <v>0</v>
      </c>
      <c r="W226" s="27">
        <v>0</v>
      </c>
      <c r="X226" s="27">
        <v>48</v>
      </c>
      <c r="Y226" s="27">
        <v>0</v>
      </c>
      <c r="Z226" s="27">
        <v>10</v>
      </c>
      <c r="AA226" s="27">
        <v>7.5</v>
      </c>
      <c r="AB226" s="27">
        <v>0</v>
      </c>
      <c r="AC226" s="27">
        <v>0</v>
      </c>
      <c r="AD226" s="27">
        <v>15</v>
      </c>
      <c r="AE226" s="27">
        <v>0</v>
      </c>
      <c r="AF226" s="27">
        <v>5</v>
      </c>
      <c r="AG226" s="26">
        <f t="shared" si="12"/>
        <v>70.5</v>
      </c>
      <c r="AH226" s="26">
        <f t="shared" si="13"/>
        <v>0</v>
      </c>
      <c r="AI226" s="26">
        <f t="shared" si="14"/>
        <v>15</v>
      </c>
      <c r="AJ226" s="15" t="s">
        <v>19</v>
      </c>
      <c r="AK226" s="15" t="s">
        <v>11</v>
      </c>
      <c r="AL226" s="15" t="s">
        <v>317</v>
      </c>
      <c r="AM226" s="19">
        <v>44828</v>
      </c>
    </row>
    <row r="227" spans="1:39" x14ac:dyDescent="0.2">
      <c r="A227" s="15" t="str">
        <f t="shared" si="15"/>
        <v>820866179894</v>
      </c>
      <c r="B227" s="14">
        <v>820866</v>
      </c>
      <c r="C227" s="14" t="s">
        <v>623</v>
      </c>
      <c r="D227" s="16">
        <v>179894</v>
      </c>
      <c r="E227" s="18" t="s">
        <v>20</v>
      </c>
      <c r="F227" s="26">
        <v>0</v>
      </c>
      <c r="G227" s="26">
        <v>0</v>
      </c>
      <c r="H227" s="26">
        <v>0</v>
      </c>
      <c r="I227" s="26">
        <v>0</v>
      </c>
      <c r="J227" s="26">
        <v>0</v>
      </c>
      <c r="K227" s="26">
        <v>0</v>
      </c>
      <c r="L227" s="26">
        <v>0</v>
      </c>
      <c r="M227" s="26">
        <v>0</v>
      </c>
      <c r="N227" s="26">
        <v>0</v>
      </c>
      <c r="O227" s="27">
        <v>0</v>
      </c>
      <c r="P227" s="27">
        <v>0</v>
      </c>
      <c r="Q227" s="27">
        <v>0</v>
      </c>
      <c r="R227" s="27">
        <v>0</v>
      </c>
      <c r="S227" s="27">
        <v>0</v>
      </c>
      <c r="T227" s="27">
        <v>0</v>
      </c>
      <c r="U227" s="27">
        <v>0</v>
      </c>
      <c r="V227" s="27">
        <v>0</v>
      </c>
      <c r="W227" s="27">
        <v>0</v>
      </c>
      <c r="X227" s="27">
        <v>20</v>
      </c>
      <c r="Y227" s="27">
        <v>0</v>
      </c>
      <c r="Z227" s="27">
        <v>0</v>
      </c>
      <c r="AA227" s="27">
        <v>10</v>
      </c>
      <c r="AB227" s="27">
        <v>0</v>
      </c>
      <c r="AC227" s="27">
        <v>0</v>
      </c>
      <c r="AD227" s="27">
        <v>0</v>
      </c>
      <c r="AE227" s="27">
        <v>0</v>
      </c>
      <c r="AF227" s="27">
        <v>0</v>
      </c>
      <c r="AG227" s="26">
        <f t="shared" si="12"/>
        <v>30</v>
      </c>
      <c r="AH227" s="26">
        <f t="shared" si="13"/>
        <v>0</v>
      </c>
      <c r="AI227" s="26">
        <f t="shared" si="14"/>
        <v>0</v>
      </c>
      <c r="AJ227" s="15" t="s">
        <v>19</v>
      </c>
      <c r="AK227" s="15" t="s">
        <v>11</v>
      </c>
      <c r="AL227" s="15" t="s">
        <v>317</v>
      </c>
      <c r="AM227" s="19">
        <v>44838</v>
      </c>
    </row>
    <row r="228" spans="1:39" x14ac:dyDescent="0.2">
      <c r="A228" s="15" t="str">
        <f t="shared" si="15"/>
        <v>808980175717</v>
      </c>
      <c r="B228" s="32">
        <v>808980</v>
      </c>
      <c r="C228" s="32" t="s">
        <v>281</v>
      </c>
      <c r="D228" s="17">
        <v>175717</v>
      </c>
      <c r="E228" s="15" t="s">
        <v>137</v>
      </c>
      <c r="F228" s="26">
        <v>15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59.5</v>
      </c>
      <c r="M228" s="26">
        <v>0</v>
      </c>
      <c r="N228" s="26">
        <v>0</v>
      </c>
      <c r="O228" s="27">
        <v>0</v>
      </c>
      <c r="P228" s="27">
        <v>0</v>
      </c>
      <c r="Q228" s="27">
        <v>0</v>
      </c>
      <c r="R228" s="27">
        <v>25</v>
      </c>
      <c r="S228" s="27">
        <v>0</v>
      </c>
      <c r="T228" s="27">
        <v>0</v>
      </c>
      <c r="U228" s="27">
        <v>0</v>
      </c>
      <c r="V228" s="27">
        <v>0</v>
      </c>
      <c r="W228" s="27">
        <v>0</v>
      </c>
      <c r="X228" s="27">
        <v>37</v>
      </c>
      <c r="Y228" s="27">
        <v>0</v>
      </c>
      <c r="Z228" s="27">
        <v>0</v>
      </c>
      <c r="AA228" s="27">
        <v>0</v>
      </c>
      <c r="AB228" s="27">
        <v>0</v>
      </c>
      <c r="AC228" s="27">
        <v>0</v>
      </c>
      <c r="AD228" s="27">
        <v>67</v>
      </c>
      <c r="AE228" s="27">
        <v>0</v>
      </c>
      <c r="AF228" s="27">
        <v>0</v>
      </c>
      <c r="AG228" s="26">
        <f t="shared" si="12"/>
        <v>203.5</v>
      </c>
      <c r="AH228" s="26">
        <f t="shared" si="13"/>
        <v>0</v>
      </c>
      <c r="AI228" s="26">
        <f t="shared" si="14"/>
        <v>0</v>
      </c>
      <c r="AJ228" s="15" t="s">
        <v>61</v>
      </c>
      <c r="AK228" s="15" t="s">
        <v>424</v>
      </c>
      <c r="AL228" s="15" t="s">
        <v>317</v>
      </c>
      <c r="AM228" s="19">
        <v>43355</v>
      </c>
    </row>
    <row r="229" spans="1:39" x14ac:dyDescent="0.2">
      <c r="A229" s="15" t="str">
        <f t="shared" si="15"/>
        <v>811106178237</v>
      </c>
      <c r="B229" s="32">
        <v>811106</v>
      </c>
      <c r="C229" s="32" t="s">
        <v>174</v>
      </c>
      <c r="D229" s="17">
        <v>178237</v>
      </c>
      <c r="E229" s="15" t="s">
        <v>62</v>
      </c>
      <c r="F229" s="26">
        <v>220.5</v>
      </c>
      <c r="G229" s="26">
        <v>0</v>
      </c>
      <c r="H229" s="26">
        <v>0</v>
      </c>
      <c r="I229" s="26">
        <v>178</v>
      </c>
      <c r="J229" s="26">
        <v>0</v>
      </c>
      <c r="K229" s="26">
        <v>0</v>
      </c>
      <c r="L229" s="26">
        <v>233.5</v>
      </c>
      <c r="M229" s="26">
        <v>0</v>
      </c>
      <c r="N229" s="26">
        <v>9</v>
      </c>
      <c r="O229" s="27">
        <v>218</v>
      </c>
      <c r="P229" s="27">
        <v>26</v>
      </c>
      <c r="Q229" s="27">
        <v>10</v>
      </c>
      <c r="R229" s="27">
        <v>143</v>
      </c>
      <c r="S229" s="27">
        <v>10</v>
      </c>
      <c r="T229" s="27">
        <v>10</v>
      </c>
      <c r="U229" s="27">
        <v>161</v>
      </c>
      <c r="V229" s="27">
        <v>5</v>
      </c>
      <c r="W229" s="27">
        <v>5</v>
      </c>
      <c r="X229" s="27">
        <v>197.05</v>
      </c>
      <c r="Y229" s="27">
        <v>0</v>
      </c>
      <c r="Z229" s="27">
        <v>0</v>
      </c>
      <c r="AA229" s="27">
        <v>236</v>
      </c>
      <c r="AB229" s="27">
        <v>0</v>
      </c>
      <c r="AC229" s="27">
        <v>0</v>
      </c>
      <c r="AD229" s="27">
        <v>306.35000000000002</v>
      </c>
      <c r="AE229" s="27">
        <v>0</v>
      </c>
      <c r="AF229" s="27">
        <v>5.35</v>
      </c>
      <c r="AG229" s="26">
        <f t="shared" si="12"/>
        <v>1893.4</v>
      </c>
      <c r="AH229" s="26">
        <f t="shared" si="13"/>
        <v>41</v>
      </c>
      <c r="AI229" s="26">
        <f t="shared" si="14"/>
        <v>39.35</v>
      </c>
      <c r="AJ229" s="15" t="s">
        <v>61</v>
      </c>
      <c r="AK229" s="15" t="s">
        <v>424</v>
      </c>
      <c r="AL229" s="15" t="s">
        <v>317</v>
      </c>
      <c r="AM229" s="19">
        <v>43826</v>
      </c>
    </row>
    <row r="230" spans="1:39" x14ac:dyDescent="0.2">
      <c r="A230" s="15" t="str">
        <f t="shared" si="15"/>
        <v>812076178234</v>
      </c>
      <c r="B230" s="32">
        <v>812076</v>
      </c>
      <c r="C230" s="32" t="s">
        <v>294</v>
      </c>
      <c r="D230" s="17">
        <v>178234</v>
      </c>
      <c r="E230" s="15" t="s">
        <v>207</v>
      </c>
      <c r="F230" s="26">
        <v>55</v>
      </c>
      <c r="G230" s="26">
        <v>0</v>
      </c>
      <c r="H230" s="26">
        <v>0</v>
      </c>
      <c r="I230" s="26">
        <v>25</v>
      </c>
      <c r="J230" s="26">
        <v>0</v>
      </c>
      <c r="K230" s="26">
        <v>0</v>
      </c>
      <c r="L230" s="26">
        <v>40</v>
      </c>
      <c r="M230" s="26">
        <v>0</v>
      </c>
      <c r="N230" s="26">
        <v>0</v>
      </c>
      <c r="O230" s="27">
        <v>62.5</v>
      </c>
      <c r="P230" s="27">
        <v>0</v>
      </c>
      <c r="Q230" s="27">
        <v>20</v>
      </c>
      <c r="R230" s="27">
        <v>43.5</v>
      </c>
      <c r="S230" s="27">
        <v>0</v>
      </c>
      <c r="T230" s="27">
        <v>10</v>
      </c>
      <c r="U230" s="27">
        <v>30</v>
      </c>
      <c r="V230" s="27">
        <v>0</v>
      </c>
      <c r="W230" s="27">
        <v>0</v>
      </c>
      <c r="X230" s="27">
        <v>26.5</v>
      </c>
      <c r="Y230" s="27">
        <v>0</v>
      </c>
      <c r="Z230" s="27">
        <v>16.5</v>
      </c>
      <c r="AA230" s="27">
        <v>40</v>
      </c>
      <c r="AB230" s="27">
        <v>10</v>
      </c>
      <c r="AC230" s="27">
        <v>10</v>
      </c>
      <c r="AD230" s="27">
        <v>63</v>
      </c>
      <c r="AE230" s="27">
        <v>0</v>
      </c>
      <c r="AF230" s="27">
        <v>0</v>
      </c>
      <c r="AG230" s="26">
        <f t="shared" si="12"/>
        <v>385.5</v>
      </c>
      <c r="AH230" s="26">
        <f t="shared" si="13"/>
        <v>10</v>
      </c>
      <c r="AI230" s="26">
        <f t="shared" si="14"/>
        <v>56.5</v>
      </c>
      <c r="AJ230" s="15" t="s">
        <v>61</v>
      </c>
      <c r="AK230" s="15" t="s">
        <v>424</v>
      </c>
      <c r="AL230" s="15" t="s">
        <v>317</v>
      </c>
      <c r="AM230" s="19">
        <v>44012</v>
      </c>
    </row>
    <row r="231" spans="1:39" x14ac:dyDescent="0.2">
      <c r="A231" s="15" t="str">
        <f t="shared" si="15"/>
        <v>812100203236</v>
      </c>
      <c r="B231" s="32">
        <v>812100</v>
      </c>
      <c r="C231" s="15" t="s">
        <v>276</v>
      </c>
      <c r="D231" s="17">
        <v>203236</v>
      </c>
      <c r="E231" s="15" t="s">
        <v>172</v>
      </c>
      <c r="F231" s="26">
        <v>0</v>
      </c>
      <c r="G231" s="26">
        <v>0</v>
      </c>
      <c r="H231" s="26">
        <v>0</v>
      </c>
      <c r="I231" s="26">
        <v>0</v>
      </c>
      <c r="J231" s="26">
        <v>0</v>
      </c>
      <c r="K231" s="26">
        <v>0</v>
      </c>
      <c r="L231" s="26">
        <v>5</v>
      </c>
      <c r="M231" s="26">
        <v>0</v>
      </c>
      <c r="N231" s="26">
        <v>0</v>
      </c>
      <c r="O231" s="27">
        <v>0</v>
      </c>
      <c r="P231" s="27">
        <v>0</v>
      </c>
      <c r="Q231" s="27">
        <v>0</v>
      </c>
      <c r="R231" s="27">
        <v>0</v>
      </c>
      <c r="S231" s="27">
        <v>0</v>
      </c>
      <c r="T231" s="27">
        <v>0</v>
      </c>
      <c r="U231" s="27">
        <v>0</v>
      </c>
      <c r="V231" s="27">
        <v>0</v>
      </c>
      <c r="W231" s="27">
        <v>0</v>
      </c>
      <c r="X231" s="27">
        <v>0</v>
      </c>
      <c r="Y231" s="27">
        <v>0</v>
      </c>
      <c r="Z231" s="27">
        <v>0</v>
      </c>
      <c r="AA231" s="27">
        <v>0</v>
      </c>
      <c r="AB231" s="27">
        <v>0</v>
      </c>
      <c r="AC231" s="27">
        <v>0</v>
      </c>
      <c r="AD231" s="27">
        <v>0</v>
      </c>
      <c r="AE231" s="27">
        <v>0</v>
      </c>
      <c r="AF231" s="27">
        <v>0</v>
      </c>
      <c r="AG231" s="26">
        <f t="shared" si="12"/>
        <v>5</v>
      </c>
      <c r="AH231" s="26">
        <f t="shared" si="13"/>
        <v>0</v>
      </c>
      <c r="AI231" s="26">
        <f t="shared" si="14"/>
        <v>0</v>
      </c>
      <c r="AJ231" s="15" t="s">
        <v>61</v>
      </c>
      <c r="AK231" s="15" t="s">
        <v>424</v>
      </c>
      <c r="AL231" s="15" t="s">
        <v>317</v>
      </c>
      <c r="AM231" s="19">
        <v>44015</v>
      </c>
    </row>
    <row r="232" spans="1:39" x14ac:dyDescent="0.2">
      <c r="A232" s="15" t="str">
        <f t="shared" si="15"/>
        <v>812384178234</v>
      </c>
      <c r="B232" s="14">
        <v>812384</v>
      </c>
      <c r="C232" s="14" t="s">
        <v>74</v>
      </c>
      <c r="D232" s="14">
        <v>178234</v>
      </c>
      <c r="E232" s="18" t="s">
        <v>207</v>
      </c>
      <c r="F232" s="26">
        <v>18</v>
      </c>
      <c r="G232" s="26">
        <v>0</v>
      </c>
      <c r="H232" s="26">
        <v>0</v>
      </c>
      <c r="I232" s="26">
        <v>0</v>
      </c>
      <c r="J232" s="26">
        <v>0</v>
      </c>
      <c r="K232" s="26">
        <v>0</v>
      </c>
      <c r="L232" s="26">
        <v>0</v>
      </c>
      <c r="M232" s="26">
        <v>0</v>
      </c>
      <c r="N232" s="26">
        <v>0</v>
      </c>
      <c r="O232" s="27">
        <v>0</v>
      </c>
      <c r="P232" s="27">
        <v>0</v>
      </c>
      <c r="Q232" s="27">
        <v>0</v>
      </c>
      <c r="R232" s="27">
        <v>0</v>
      </c>
      <c r="S232" s="27">
        <v>0</v>
      </c>
      <c r="T232" s="27">
        <v>0</v>
      </c>
      <c r="U232" s="27">
        <v>0</v>
      </c>
      <c r="V232" s="27">
        <v>0</v>
      </c>
      <c r="W232" s="27">
        <v>0</v>
      </c>
      <c r="X232" s="27">
        <v>0</v>
      </c>
      <c r="Y232" s="27">
        <v>0</v>
      </c>
      <c r="Z232" s="27">
        <v>0</v>
      </c>
      <c r="AA232" s="27">
        <v>0</v>
      </c>
      <c r="AB232" s="27">
        <v>0</v>
      </c>
      <c r="AC232" s="27">
        <v>0</v>
      </c>
      <c r="AD232" s="27">
        <v>0</v>
      </c>
      <c r="AE232" s="27">
        <v>0</v>
      </c>
      <c r="AF232" s="27">
        <v>0</v>
      </c>
      <c r="AG232" s="26">
        <f t="shared" si="12"/>
        <v>18</v>
      </c>
      <c r="AH232" s="26">
        <f t="shared" si="13"/>
        <v>0</v>
      </c>
      <c r="AI232" s="26">
        <f t="shared" si="14"/>
        <v>0</v>
      </c>
      <c r="AJ232" s="15" t="s">
        <v>61</v>
      </c>
      <c r="AK232" s="15" t="s">
        <v>424</v>
      </c>
      <c r="AL232" s="15" t="s">
        <v>317</v>
      </c>
      <c r="AM232" s="19">
        <v>44040</v>
      </c>
    </row>
    <row r="233" spans="1:39" x14ac:dyDescent="0.2">
      <c r="A233" s="15" t="str">
        <f t="shared" si="15"/>
        <v>812384178298</v>
      </c>
      <c r="B233" s="32">
        <v>812384</v>
      </c>
      <c r="C233" s="32" t="s">
        <v>74</v>
      </c>
      <c r="D233" s="17">
        <v>178298</v>
      </c>
      <c r="E233" s="15" t="s">
        <v>15</v>
      </c>
      <c r="F233" s="26">
        <v>207</v>
      </c>
      <c r="G233" s="26">
        <v>0</v>
      </c>
      <c r="H233" s="26">
        <v>0</v>
      </c>
      <c r="I233" s="26">
        <v>196</v>
      </c>
      <c r="J233" s="26">
        <v>0</v>
      </c>
      <c r="K233" s="26">
        <v>0</v>
      </c>
      <c r="L233" s="26">
        <v>224</v>
      </c>
      <c r="M233" s="26">
        <v>5</v>
      </c>
      <c r="N233" s="26">
        <v>0</v>
      </c>
      <c r="O233" s="27">
        <v>154.80000000000001</v>
      </c>
      <c r="P233" s="27">
        <v>10</v>
      </c>
      <c r="Q233" s="27">
        <v>0</v>
      </c>
      <c r="R233" s="27">
        <v>157.80000000000001</v>
      </c>
      <c r="S233" s="27">
        <v>10</v>
      </c>
      <c r="T233" s="27">
        <v>0</v>
      </c>
      <c r="U233" s="27">
        <v>147</v>
      </c>
      <c r="V233" s="27">
        <v>24</v>
      </c>
      <c r="W233" s="27">
        <v>0</v>
      </c>
      <c r="X233" s="27">
        <v>217</v>
      </c>
      <c r="Y233" s="27">
        <v>0</v>
      </c>
      <c r="Z233" s="27">
        <v>0</v>
      </c>
      <c r="AA233" s="27">
        <v>187</v>
      </c>
      <c r="AB233" s="27">
        <v>0</v>
      </c>
      <c r="AC233" s="27">
        <v>0</v>
      </c>
      <c r="AD233" s="27">
        <v>222.3</v>
      </c>
      <c r="AE233" s="27">
        <v>0</v>
      </c>
      <c r="AF233" s="27">
        <v>0</v>
      </c>
      <c r="AG233" s="26">
        <f t="shared" si="12"/>
        <v>1712.8999999999999</v>
      </c>
      <c r="AH233" s="26">
        <f t="shared" si="13"/>
        <v>49</v>
      </c>
      <c r="AI233" s="26">
        <f t="shared" si="14"/>
        <v>0</v>
      </c>
      <c r="AJ233" s="15" t="s">
        <v>61</v>
      </c>
      <c r="AK233" s="15" t="s">
        <v>424</v>
      </c>
      <c r="AL233" s="15" t="s">
        <v>317</v>
      </c>
      <c r="AM233" s="19">
        <v>44040</v>
      </c>
    </row>
    <row r="234" spans="1:39" x14ac:dyDescent="0.2">
      <c r="A234" s="15" t="str">
        <f t="shared" si="15"/>
        <v>812392178237</v>
      </c>
      <c r="B234" s="32">
        <v>812392</v>
      </c>
      <c r="C234" s="32" t="s">
        <v>208</v>
      </c>
      <c r="D234" s="17">
        <v>178237</v>
      </c>
      <c r="E234" s="15" t="s">
        <v>62</v>
      </c>
      <c r="F234" s="26">
        <v>10</v>
      </c>
      <c r="G234" s="26">
        <v>10</v>
      </c>
      <c r="H234" s="26">
        <v>0</v>
      </c>
      <c r="I234" s="26">
        <v>15</v>
      </c>
      <c r="J234" s="26">
        <v>10</v>
      </c>
      <c r="K234" s="26">
        <v>0</v>
      </c>
      <c r="L234" s="26">
        <v>42</v>
      </c>
      <c r="M234" s="26">
        <v>0</v>
      </c>
      <c r="N234" s="26">
        <v>0</v>
      </c>
      <c r="O234" s="27">
        <v>15</v>
      </c>
      <c r="P234" s="27">
        <v>0</v>
      </c>
      <c r="Q234" s="27">
        <v>0</v>
      </c>
      <c r="R234" s="27">
        <v>15</v>
      </c>
      <c r="S234" s="27">
        <v>0</v>
      </c>
      <c r="T234" s="27">
        <v>0</v>
      </c>
      <c r="U234" s="27">
        <v>0</v>
      </c>
      <c r="V234" s="27">
        <v>0</v>
      </c>
      <c r="W234" s="27">
        <v>0</v>
      </c>
      <c r="X234" s="27">
        <v>18.5</v>
      </c>
      <c r="Y234" s="27">
        <v>3.5</v>
      </c>
      <c r="Z234" s="27">
        <v>0</v>
      </c>
      <c r="AA234" s="27">
        <v>31</v>
      </c>
      <c r="AB234" s="27">
        <v>0</v>
      </c>
      <c r="AC234" s="27">
        <v>0</v>
      </c>
      <c r="AD234" s="27">
        <v>48</v>
      </c>
      <c r="AE234" s="27">
        <v>0</v>
      </c>
      <c r="AF234" s="27">
        <v>7</v>
      </c>
      <c r="AG234" s="26">
        <f t="shared" si="12"/>
        <v>194.5</v>
      </c>
      <c r="AH234" s="26">
        <f t="shared" si="13"/>
        <v>23.5</v>
      </c>
      <c r="AI234" s="26">
        <f t="shared" si="14"/>
        <v>7</v>
      </c>
      <c r="AJ234" s="15" t="s">
        <v>61</v>
      </c>
      <c r="AK234" s="15" t="s">
        <v>424</v>
      </c>
      <c r="AL234" s="15" t="s">
        <v>317</v>
      </c>
      <c r="AM234" s="19">
        <v>44041</v>
      </c>
    </row>
    <row r="235" spans="1:39" x14ac:dyDescent="0.2">
      <c r="A235" s="15" t="str">
        <f t="shared" si="15"/>
        <v>812407178237</v>
      </c>
      <c r="B235" s="32">
        <v>812407</v>
      </c>
      <c r="C235" s="32" t="s">
        <v>331</v>
      </c>
      <c r="D235" s="17">
        <v>178237</v>
      </c>
      <c r="E235" s="15" t="s">
        <v>62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2</v>
      </c>
      <c r="M235" s="26">
        <v>0</v>
      </c>
      <c r="N235" s="26">
        <v>0</v>
      </c>
      <c r="O235" s="27">
        <v>0</v>
      </c>
      <c r="P235" s="27">
        <v>0</v>
      </c>
      <c r="Q235" s="27">
        <v>0</v>
      </c>
      <c r="R235" s="27">
        <v>0</v>
      </c>
      <c r="S235" s="27">
        <v>0</v>
      </c>
      <c r="T235" s="27">
        <v>0</v>
      </c>
      <c r="U235" s="27">
        <v>0</v>
      </c>
      <c r="V235" s="27">
        <v>0</v>
      </c>
      <c r="W235" s="27">
        <v>0</v>
      </c>
      <c r="X235" s="27">
        <v>0</v>
      </c>
      <c r="Y235" s="27">
        <v>0</v>
      </c>
      <c r="Z235" s="27">
        <v>0</v>
      </c>
      <c r="AA235" s="27">
        <v>0</v>
      </c>
      <c r="AB235" s="27">
        <v>0</v>
      </c>
      <c r="AC235" s="27">
        <v>0</v>
      </c>
      <c r="AD235" s="27">
        <v>0</v>
      </c>
      <c r="AE235" s="27">
        <v>0</v>
      </c>
      <c r="AF235" s="27">
        <v>0</v>
      </c>
      <c r="AG235" s="26">
        <f t="shared" si="12"/>
        <v>2</v>
      </c>
      <c r="AH235" s="26">
        <f t="shared" si="13"/>
        <v>0</v>
      </c>
      <c r="AI235" s="26">
        <f t="shared" si="14"/>
        <v>0</v>
      </c>
      <c r="AJ235" s="15" t="s">
        <v>61</v>
      </c>
      <c r="AK235" s="15" t="s">
        <v>424</v>
      </c>
      <c r="AL235" s="15" t="s">
        <v>317</v>
      </c>
      <c r="AM235" s="19">
        <v>44042</v>
      </c>
    </row>
    <row r="236" spans="1:39" x14ac:dyDescent="0.2">
      <c r="A236" s="15" t="str">
        <f t="shared" si="15"/>
        <v>812474178234</v>
      </c>
      <c r="B236" s="32">
        <v>812474</v>
      </c>
      <c r="C236" s="32" t="s">
        <v>275</v>
      </c>
      <c r="D236" s="17">
        <v>178234</v>
      </c>
      <c r="E236" s="15" t="s">
        <v>207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20</v>
      </c>
      <c r="M236" s="26">
        <v>0</v>
      </c>
      <c r="N236" s="26">
        <v>0</v>
      </c>
      <c r="O236" s="27">
        <v>15</v>
      </c>
      <c r="P236" s="27">
        <v>0</v>
      </c>
      <c r="Q236" s="27">
        <v>0</v>
      </c>
      <c r="R236" s="27">
        <v>22.5</v>
      </c>
      <c r="S236" s="27">
        <v>0</v>
      </c>
      <c r="T236" s="27">
        <v>9</v>
      </c>
      <c r="U236" s="27">
        <v>55</v>
      </c>
      <c r="V236" s="27">
        <v>0</v>
      </c>
      <c r="W236" s="27">
        <v>0</v>
      </c>
      <c r="X236" s="27">
        <v>23.6</v>
      </c>
      <c r="Y236" s="27">
        <v>0</v>
      </c>
      <c r="Z236" s="27">
        <v>3.6</v>
      </c>
      <c r="AA236" s="27">
        <v>10</v>
      </c>
      <c r="AB236" s="27">
        <v>0</v>
      </c>
      <c r="AC236" s="27">
        <v>0</v>
      </c>
      <c r="AD236" s="27">
        <v>0</v>
      </c>
      <c r="AE236" s="27">
        <v>0</v>
      </c>
      <c r="AF236" s="27">
        <v>0</v>
      </c>
      <c r="AG236" s="26">
        <f t="shared" si="12"/>
        <v>146.1</v>
      </c>
      <c r="AH236" s="26">
        <f t="shared" si="13"/>
        <v>0</v>
      </c>
      <c r="AI236" s="26">
        <f t="shared" si="14"/>
        <v>12.6</v>
      </c>
      <c r="AJ236" s="15" t="s">
        <v>61</v>
      </c>
      <c r="AK236" s="15" t="s">
        <v>424</v>
      </c>
      <c r="AL236" s="15" t="s">
        <v>317</v>
      </c>
      <c r="AM236" s="19">
        <v>44053</v>
      </c>
    </row>
    <row r="237" spans="1:39" x14ac:dyDescent="0.2">
      <c r="A237" s="15" t="str">
        <f t="shared" si="15"/>
        <v>812562178237</v>
      </c>
      <c r="B237" s="32">
        <v>812562</v>
      </c>
      <c r="C237" s="32" t="s">
        <v>434</v>
      </c>
      <c r="D237" s="15">
        <v>178237</v>
      </c>
      <c r="E237" s="15" t="s">
        <v>62</v>
      </c>
      <c r="F237" s="26">
        <v>0</v>
      </c>
      <c r="G237" s="26">
        <v>0</v>
      </c>
      <c r="H237" s="26">
        <v>0</v>
      </c>
      <c r="I237" s="26">
        <v>0</v>
      </c>
      <c r="J237" s="26">
        <v>0</v>
      </c>
      <c r="K237" s="26">
        <v>0</v>
      </c>
      <c r="L237" s="26">
        <v>1</v>
      </c>
      <c r="M237" s="26">
        <v>0</v>
      </c>
      <c r="N237" s="26">
        <v>1</v>
      </c>
      <c r="O237" s="27">
        <v>0</v>
      </c>
      <c r="P237" s="27">
        <v>0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  <c r="V237" s="27">
        <v>0</v>
      </c>
      <c r="W237" s="27">
        <v>0</v>
      </c>
      <c r="X237" s="27">
        <v>0</v>
      </c>
      <c r="Y237" s="27">
        <v>0</v>
      </c>
      <c r="Z237" s="27">
        <v>0</v>
      </c>
      <c r="AA237" s="27">
        <v>0</v>
      </c>
      <c r="AB237" s="27">
        <v>0</v>
      </c>
      <c r="AC237" s="27">
        <v>0</v>
      </c>
      <c r="AD237" s="27">
        <v>0</v>
      </c>
      <c r="AE237" s="27">
        <v>0</v>
      </c>
      <c r="AF237" s="27">
        <v>0</v>
      </c>
      <c r="AG237" s="26">
        <f t="shared" ref="AG237:AG300" si="16">SUMIF($F$2:$AF$2,"Total",F237:AF237)</f>
        <v>1</v>
      </c>
      <c r="AH237" s="26">
        <f t="shared" ref="AH237:AH300" si="17">SUMIF($F$2:$AF$2,"WS",F237:AF237)</f>
        <v>0</v>
      </c>
      <c r="AI237" s="26">
        <f t="shared" ref="AI237:AI300" si="18">SUMIF($F$2:$AF$2,"PPCSS",F237:AF237)</f>
        <v>1</v>
      </c>
      <c r="AJ237" s="15" t="s">
        <v>61</v>
      </c>
      <c r="AK237" s="15" t="s">
        <v>424</v>
      </c>
      <c r="AL237" s="15" t="s">
        <v>317</v>
      </c>
      <c r="AM237" s="19">
        <v>44061</v>
      </c>
    </row>
    <row r="238" spans="1:39" x14ac:dyDescent="0.2">
      <c r="A238" s="15" t="str">
        <f t="shared" si="15"/>
        <v>812751178237</v>
      </c>
      <c r="B238" s="32">
        <v>812751</v>
      </c>
      <c r="C238" s="32" t="s">
        <v>196</v>
      </c>
      <c r="D238" s="17">
        <v>178237</v>
      </c>
      <c r="E238" s="15" t="s">
        <v>62</v>
      </c>
      <c r="F238" s="26">
        <v>32</v>
      </c>
      <c r="G238" s="26">
        <v>0</v>
      </c>
      <c r="H238" s="26">
        <v>0</v>
      </c>
      <c r="I238" s="26">
        <v>15</v>
      </c>
      <c r="J238" s="26">
        <v>0</v>
      </c>
      <c r="K238" s="26">
        <v>0</v>
      </c>
      <c r="L238" s="26">
        <v>67</v>
      </c>
      <c r="M238" s="26">
        <v>0</v>
      </c>
      <c r="N238" s="26">
        <v>0</v>
      </c>
      <c r="O238" s="27">
        <v>35</v>
      </c>
      <c r="P238" s="27">
        <v>0</v>
      </c>
      <c r="Q238" s="27">
        <v>5</v>
      </c>
      <c r="R238" s="27">
        <v>47</v>
      </c>
      <c r="S238" s="27">
        <v>0</v>
      </c>
      <c r="T238" s="27">
        <v>0</v>
      </c>
      <c r="U238" s="27">
        <v>35</v>
      </c>
      <c r="V238" s="27">
        <v>8</v>
      </c>
      <c r="W238" s="27">
        <v>0</v>
      </c>
      <c r="X238" s="27">
        <v>65</v>
      </c>
      <c r="Y238" s="27">
        <v>0</v>
      </c>
      <c r="Z238" s="27">
        <v>0</v>
      </c>
      <c r="AA238" s="27">
        <v>70</v>
      </c>
      <c r="AB238" s="27">
        <v>0</v>
      </c>
      <c r="AC238" s="27">
        <v>0</v>
      </c>
      <c r="AD238" s="27">
        <v>35</v>
      </c>
      <c r="AE238" s="27">
        <v>0</v>
      </c>
      <c r="AF238" s="27">
        <v>5</v>
      </c>
      <c r="AG238" s="26">
        <f t="shared" si="16"/>
        <v>401</v>
      </c>
      <c r="AH238" s="26">
        <f t="shared" si="17"/>
        <v>8</v>
      </c>
      <c r="AI238" s="26">
        <f t="shared" si="18"/>
        <v>10</v>
      </c>
      <c r="AJ238" s="15" t="s">
        <v>61</v>
      </c>
      <c r="AK238" s="15" t="s">
        <v>424</v>
      </c>
      <c r="AL238" s="15" t="s">
        <v>317</v>
      </c>
      <c r="AM238" s="19">
        <v>44076</v>
      </c>
    </row>
    <row r="239" spans="1:39" x14ac:dyDescent="0.2">
      <c r="A239" s="15" t="str">
        <f t="shared" si="15"/>
        <v>812810203236</v>
      </c>
      <c r="B239" s="32">
        <v>812810</v>
      </c>
      <c r="C239" s="32" t="s">
        <v>510</v>
      </c>
      <c r="D239" s="15">
        <v>203236</v>
      </c>
      <c r="E239" s="15" t="s">
        <v>172</v>
      </c>
      <c r="F239" s="26">
        <v>0</v>
      </c>
      <c r="G239" s="26">
        <v>0</v>
      </c>
      <c r="H239" s="26">
        <v>0</v>
      </c>
      <c r="I239" s="26">
        <v>0</v>
      </c>
      <c r="J239" s="26">
        <v>0</v>
      </c>
      <c r="K239" s="26">
        <v>0</v>
      </c>
      <c r="L239" s="26">
        <v>10</v>
      </c>
      <c r="M239" s="26">
        <v>0</v>
      </c>
      <c r="N239" s="26">
        <v>0</v>
      </c>
      <c r="O239" s="27">
        <v>10</v>
      </c>
      <c r="P239" s="27">
        <v>0</v>
      </c>
      <c r="Q239" s="27">
        <v>0</v>
      </c>
      <c r="R239" s="27">
        <v>30</v>
      </c>
      <c r="S239" s="27">
        <v>0</v>
      </c>
      <c r="T239" s="27">
        <v>10</v>
      </c>
      <c r="U239" s="27">
        <v>0</v>
      </c>
      <c r="V239" s="27">
        <v>0</v>
      </c>
      <c r="W239" s="27">
        <v>0</v>
      </c>
      <c r="X239" s="27">
        <v>0</v>
      </c>
      <c r="Y239" s="27">
        <v>0</v>
      </c>
      <c r="Z239" s="27">
        <v>0</v>
      </c>
      <c r="AA239" s="27">
        <v>20</v>
      </c>
      <c r="AB239" s="27">
        <v>0</v>
      </c>
      <c r="AC239" s="27">
        <v>0</v>
      </c>
      <c r="AD239" s="27">
        <v>20</v>
      </c>
      <c r="AE239" s="27">
        <v>0</v>
      </c>
      <c r="AF239" s="27">
        <v>0</v>
      </c>
      <c r="AG239" s="26">
        <f t="shared" si="16"/>
        <v>90</v>
      </c>
      <c r="AH239" s="26">
        <f t="shared" si="17"/>
        <v>0</v>
      </c>
      <c r="AI239" s="26">
        <f t="shared" si="18"/>
        <v>10</v>
      </c>
      <c r="AJ239" s="15" t="s">
        <v>61</v>
      </c>
      <c r="AK239" s="15" t="s">
        <v>424</v>
      </c>
      <c r="AL239" s="15" t="s">
        <v>317</v>
      </c>
      <c r="AM239" s="19">
        <v>44081</v>
      </c>
    </row>
    <row r="240" spans="1:39" x14ac:dyDescent="0.2">
      <c r="A240" s="15" t="str">
        <f t="shared" si="15"/>
        <v>812811178237</v>
      </c>
      <c r="B240" s="32">
        <v>812811</v>
      </c>
      <c r="C240" s="32" t="s">
        <v>347</v>
      </c>
      <c r="D240" s="15">
        <v>178237</v>
      </c>
      <c r="E240" s="15" t="s">
        <v>62</v>
      </c>
      <c r="F240" s="26">
        <v>0</v>
      </c>
      <c r="G240" s="26">
        <v>0</v>
      </c>
      <c r="H240" s="26">
        <v>0</v>
      </c>
      <c r="I240" s="26">
        <v>0</v>
      </c>
      <c r="J240" s="26">
        <v>0</v>
      </c>
      <c r="K240" s="26">
        <v>0</v>
      </c>
      <c r="L240" s="26">
        <v>1</v>
      </c>
      <c r="M240" s="26">
        <v>0</v>
      </c>
      <c r="N240" s="26">
        <v>0</v>
      </c>
      <c r="O240" s="27">
        <v>0</v>
      </c>
      <c r="P240" s="27">
        <v>0</v>
      </c>
      <c r="Q240" s="27">
        <v>0</v>
      </c>
      <c r="R240" s="27">
        <v>0</v>
      </c>
      <c r="S240" s="27">
        <v>0</v>
      </c>
      <c r="T240" s="27">
        <v>0</v>
      </c>
      <c r="U240" s="27">
        <v>0</v>
      </c>
      <c r="V240" s="27">
        <v>0</v>
      </c>
      <c r="W240" s="27">
        <v>0</v>
      </c>
      <c r="X240" s="27">
        <v>0</v>
      </c>
      <c r="Y240" s="27">
        <v>0</v>
      </c>
      <c r="Z240" s="27">
        <v>0</v>
      </c>
      <c r="AA240" s="27">
        <v>0</v>
      </c>
      <c r="AB240" s="27">
        <v>0</v>
      </c>
      <c r="AC240" s="27">
        <v>0</v>
      </c>
      <c r="AD240" s="27">
        <v>0</v>
      </c>
      <c r="AE240" s="27">
        <v>0</v>
      </c>
      <c r="AF240" s="27">
        <v>0</v>
      </c>
      <c r="AG240" s="26">
        <f t="shared" si="16"/>
        <v>1</v>
      </c>
      <c r="AH240" s="26">
        <f t="shared" si="17"/>
        <v>0</v>
      </c>
      <c r="AI240" s="26">
        <f t="shared" si="18"/>
        <v>0</v>
      </c>
      <c r="AJ240" s="15" t="s">
        <v>61</v>
      </c>
      <c r="AK240" s="15" t="s">
        <v>424</v>
      </c>
      <c r="AL240" s="15" t="s">
        <v>317</v>
      </c>
      <c r="AM240" s="19">
        <v>44081</v>
      </c>
    </row>
    <row r="241" spans="1:39" x14ac:dyDescent="0.2">
      <c r="A241" s="15" t="str">
        <f t="shared" si="15"/>
        <v>813378178234</v>
      </c>
      <c r="B241" s="14">
        <v>813378</v>
      </c>
      <c r="C241" s="14" t="s">
        <v>407</v>
      </c>
      <c r="D241" s="16">
        <v>178234</v>
      </c>
      <c r="E241" s="18" t="s">
        <v>207</v>
      </c>
      <c r="F241" s="26">
        <v>0</v>
      </c>
      <c r="G241" s="26">
        <v>0</v>
      </c>
      <c r="H241" s="26">
        <v>0</v>
      </c>
      <c r="I241" s="26">
        <v>25</v>
      </c>
      <c r="J241" s="26">
        <v>0</v>
      </c>
      <c r="K241" s="26">
        <v>0</v>
      </c>
      <c r="L241" s="26">
        <v>20</v>
      </c>
      <c r="M241" s="26">
        <v>0</v>
      </c>
      <c r="N241" s="26">
        <v>0</v>
      </c>
      <c r="O241" s="27">
        <v>14</v>
      </c>
      <c r="P241" s="27">
        <v>0</v>
      </c>
      <c r="Q241" s="27">
        <v>0</v>
      </c>
      <c r="R241" s="27">
        <v>0</v>
      </c>
      <c r="S241" s="27">
        <v>0</v>
      </c>
      <c r="T241" s="27">
        <v>0</v>
      </c>
      <c r="U241" s="27">
        <v>0</v>
      </c>
      <c r="V241" s="27">
        <v>0</v>
      </c>
      <c r="W241" s="27">
        <v>0</v>
      </c>
      <c r="X241" s="27">
        <v>0</v>
      </c>
      <c r="Y241" s="27">
        <v>0</v>
      </c>
      <c r="Z241" s="27">
        <v>0</v>
      </c>
      <c r="AA241" s="27">
        <v>20</v>
      </c>
      <c r="AB241" s="27">
        <v>0</v>
      </c>
      <c r="AC241" s="27">
        <v>0</v>
      </c>
      <c r="AD241" s="27">
        <v>71</v>
      </c>
      <c r="AE241" s="27">
        <v>0</v>
      </c>
      <c r="AF241" s="27">
        <v>10</v>
      </c>
      <c r="AG241" s="26">
        <f t="shared" si="16"/>
        <v>150</v>
      </c>
      <c r="AH241" s="26">
        <f t="shared" si="17"/>
        <v>0</v>
      </c>
      <c r="AI241" s="26">
        <f t="shared" si="18"/>
        <v>10</v>
      </c>
      <c r="AJ241" s="15" t="s">
        <v>61</v>
      </c>
      <c r="AK241" s="15" t="s">
        <v>424</v>
      </c>
      <c r="AL241" s="15" t="s">
        <v>317</v>
      </c>
      <c r="AM241" s="19">
        <v>44128</v>
      </c>
    </row>
    <row r="242" spans="1:39" x14ac:dyDescent="0.2">
      <c r="A242" s="15" t="str">
        <f t="shared" si="15"/>
        <v>813378178298</v>
      </c>
      <c r="B242" s="32">
        <v>813378</v>
      </c>
      <c r="C242" s="32" t="s">
        <v>407</v>
      </c>
      <c r="D242" s="15">
        <v>178298</v>
      </c>
      <c r="E242" s="15" t="s">
        <v>15</v>
      </c>
      <c r="F242" s="26">
        <v>20</v>
      </c>
      <c r="G242" s="26">
        <v>0</v>
      </c>
      <c r="H242" s="26">
        <v>0</v>
      </c>
      <c r="I242" s="26">
        <v>8</v>
      </c>
      <c r="J242" s="26">
        <v>0</v>
      </c>
      <c r="K242" s="26">
        <v>0</v>
      </c>
      <c r="L242" s="26">
        <v>0</v>
      </c>
      <c r="M242" s="26">
        <v>0</v>
      </c>
      <c r="N242" s="26">
        <v>0</v>
      </c>
      <c r="O242" s="27">
        <v>0</v>
      </c>
      <c r="P242" s="27">
        <v>0</v>
      </c>
      <c r="Q242" s="27">
        <v>0</v>
      </c>
      <c r="R242" s="27">
        <v>0</v>
      </c>
      <c r="S242" s="27">
        <v>0</v>
      </c>
      <c r="T242" s="27">
        <v>0</v>
      </c>
      <c r="U242" s="27">
        <v>0</v>
      </c>
      <c r="V242" s="27">
        <v>0</v>
      </c>
      <c r="W242" s="27">
        <v>0</v>
      </c>
      <c r="X242" s="27">
        <v>0</v>
      </c>
      <c r="Y242" s="27">
        <v>0</v>
      </c>
      <c r="Z242" s="27">
        <v>0</v>
      </c>
      <c r="AA242" s="27">
        <v>0</v>
      </c>
      <c r="AB242" s="27">
        <v>0</v>
      </c>
      <c r="AC242" s="27">
        <v>0</v>
      </c>
      <c r="AD242" s="27">
        <v>0</v>
      </c>
      <c r="AE242" s="27">
        <v>0</v>
      </c>
      <c r="AF242" s="27">
        <v>0</v>
      </c>
      <c r="AG242" s="26">
        <f t="shared" si="16"/>
        <v>28</v>
      </c>
      <c r="AH242" s="26">
        <f t="shared" si="17"/>
        <v>0</v>
      </c>
      <c r="AI242" s="26">
        <f t="shared" si="18"/>
        <v>0</v>
      </c>
      <c r="AJ242" s="15" t="s">
        <v>61</v>
      </c>
      <c r="AK242" s="15" t="s">
        <v>424</v>
      </c>
      <c r="AL242" s="15" t="s">
        <v>317</v>
      </c>
      <c r="AM242" s="19">
        <v>44128</v>
      </c>
    </row>
    <row r="243" spans="1:39" x14ac:dyDescent="0.2">
      <c r="A243" s="15" t="str">
        <f t="shared" si="15"/>
        <v>813821178237</v>
      </c>
      <c r="B243" s="32">
        <v>813821</v>
      </c>
      <c r="C243" s="32" t="s">
        <v>173</v>
      </c>
      <c r="D243" s="17">
        <v>178237</v>
      </c>
      <c r="E243" s="15" t="s">
        <v>62</v>
      </c>
      <c r="F243" s="26">
        <v>0</v>
      </c>
      <c r="G243" s="26">
        <v>0</v>
      </c>
      <c r="H243" s="26">
        <v>0</v>
      </c>
      <c r="I243" s="26">
        <v>0</v>
      </c>
      <c r="J243" s="26">
        <v>0</v>
      </c>
      <c r="K243" s="26">
        <v>0</v>
      </c>
      <c r="L243" s="26">
        <v>0</v>
      </c>
      <c r="M243" s="26">
        <v>0</v>
      </c>
      <c r="N243" s="26">
        <v>0</v>
      </c>
      <c r="O243" s="27">
        <v>0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  <c r="V243" s="27">
        <v>0</v>
      </c>
      <c r="W243" s="27">
        <v>0</v>
      </c>
      <c r="X243" s="27">
        <v>0</v>
      </c>
      <c r="Y243" s="27">
        <v>0</v>
      </c>
      <c r="Z243" s="27">
        <v>0</v>
      </c>
      <c r="AA243" s="27">
        <v>0</v>
      </c>
      <c r="AB243" s="27">
        <v>0</v>
      </c>
      <c r="AC243" s="27">
        <v>0</v>
      </c>
      <c r="AD243" s="27">
        <v>0</v>
      </c>
      <c r="AE243" s="27">
        <v>0</v>
      </c>
      <c r="AF243" s="27">
        <v>0</v>
      </c>
      <c r="AG243" s="26">
        <f t="shared" si="16"/>
        <v>0</v>
      </c>
      <c r="AH243" s="26">
        <f t="shared" si="17"/>
        <v>0</v>
      </c>
      <c r="AI243" s="26">
        <f t="shared" si="18"/>
        <v>0</v>
      </c>
      <c r="AJ243" s="15" t="s">
        <v>61</v>
      </c>
      <c r="AK243" s="15" t="s">
        <v>424</v>
      </c>
      <c r="AL243" s="15" t="s">
        <v>317</v>
      </c>
      <c r="AM243" s="19">
        <v>44177</v>
      </c>
    </row>
    <row r="244" spans="1:39" x14ac:dyDescent="0.2">
      <c r="A244" s="15" t="str">
        <f t="shared" si="15"/>
        <v>813842178298</v>
      </c>
      <c r="B244" s="14">
        <v>813842</v>
      </c>
      <c r="C244" s="14" t="s">
        <v>287</v>
      </c>
      <c r="D244" s="16">
        <v>178298</v>
      </c>
      <c r="E244" s="18" t="s">
        <v>15</v>
      </c>
      <c r="F244" s="26">
        <v>0</v>
      </c>
      <c r="G244" s="26">
        <v>0</v>
      </c>
      <c r="H244" s="26">
        <v>0</v>
      </c>
      <c r="I244" s="26">
        <v>6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7">
        <v>5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  <c r="V244" s="27">
        <v>0</v>
      </c>
      <c r="W244" s="27">
        <v>0</v>
      </c>
      <c r="X244" s="27">
        <v>0</v>
      </c>
      <c r="Y244" s="27">
        <v>0</v>
      </c>
      <c r="Z244" s="27">
        <v>0</v>
      </c>
      <c r="AA244" s="27">
        <v>0</v>
      </c>
      <c r="AB244" s="27">
        <v>0</v>
      </c>
      <c r="AC244" s="27">
        <v>0</v>
      </c>
      <c r="AD244" s="27">
        <v>0</v>
      </c>
      <c r="AE244" s="27">
        <v>0</v>
      </c>
      <c r="AF244" s="27">
        <v>0</v>
      </c>
      <c r="AG244" s="26">
        <f t="shared" si="16"/>
        <v>11</v>
      </c>
      <c r="AH244" s="26">
        <f t="shared" si="17"/>
        <v>0</v>
      </c>
      <c r="AI244" s="26">
        <f t="shared" si="18"/>
        <v>0</v>
      </c>
      <c r="AJ244" s="15" t="s">
        <v>61</v>
      </c>
      <c r="AK244" s="15" t="s">
        <v>424</v>
      </c>
      <c r="AL244" s="15" t="s">
        <v>317</v>
      </c>
      <c r="AM244" s="19">
        <v>44180</v>
      </c>
    </row>
    <row r="245" spans="1:39" x14ac:dyDescent="0.2">
      <c r="A245" s="15" t="str">
        <f t="shared" si="15"/>
        <v>813842202478</v>
      </c>
      <c r="B245" s="32">
        <v>813842</v>
      </c>
      <c r="C245" s="32" t="s">
        <v>287</v>
      </c>
      <c r="D245" s="17">
        <v>202478</v>
      </c>
      <c r="E245" s="15" t="s">
        <v>252</v>
      </c>
      <c r="F245" s="26">
        <v>10</v>
      </c>
      <c r="G245" s="26">
        <v>0</v>
      </c>
      <c r="H245" s="26">
        <v>0</v>
      </c>
      <c r="I245" s="26">
        <v>50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7">
        <v>0</v>
      </c>
      <c r="P245" s="27">
        <v>0</v>
      </c>
      <c r="Q245" s="27">
        <v>0</v>
      </c>
      <c r="R245" s="27">
        <v>0</v>
      </c>
      <c r="S245" s="27">
        <v>0</v>
      </c>
      <c r="T245" s="27">
        <v>0</v>
      </c>
      <c r="U245" s="27">
        <v>0</v>
      </c>
      <c r="V245" s="27">
        <v>0</v>
      </c>
      <c r="W245" s="27">
        <v>0</v>
      </c>
      <c r="X245" s="27">
        <v>83</v>
      </c>
      <c r="Y245" s="27">
        <v>0</v>
      </c>
      <c r="Z245" s="27">
        <v>0</v>
      </c>
      <c r="AA245" s="27">
        <v>24.5</v>
      </c>
      <c r="AB245" s="27">
        <v>0</v>
      </c>
      <c r="AC245" s="27">
        <v>0</v>
      </c>
      <c r="AD245" s="27">
        <v>48.5</v>
      </c>
      <c r="AE245" s="27">
        <v>0</v>
      </c>
      <c r="AF245" s="27">
        <v>0</v>
      </c>
      <c r="AG245" s="26">
        <f t="shared" si="16"/>
        <v>216</v>
      </c>
      <c r="AH245" s="26">
        <f t="shared" si="17"/>
        <v>0</v>
      </c>
      <c r="AI245" s="26">
        <f t="shared" si="18"/>
        <v>0</v>
      </c>
      <c r="AJ245" s="15" t="s">
        <v>61</v>
      </c>
      <c r="AK245" s="15" t="s">
        <v>424</v>
      </c>
      <c r="AL245" s="15" t="s">
        <v>317</v>
      </c>
      <c r="AM245" s="19">
        <v>44180</v>
      </c>
    </row>
    <row r="246" spans="1:39" x14ac:dyDescent="0.2">
      <c r="A246" s="15" t="str">
        <f t="shared" si="15"/>
        <v>814109119052</v>
      </c>
      <c r="B246" s="32">
        <v>814109</v>
      </c>
      <c r="C246" s="32" t="s">
        <v>79</v>
      </c>
      <c r="D246" s="17">
        <v>119052</v>
      </c>
      <c r="E246" s="15" t="s">
        <v>78</v>
      </c>
      <c r="F246" s="26">
        <v>84</v>
      </c>
      <c r="G246" s="26">
        <v>0</v>
      </c>
      <c r="H246" s="26">
        <v>0</v>
      </c>
      <c r="I246" s="26">
        <v>142</v>
      </c>
      <c r="J246" s="26">
        <v>0</v>
      </c>
      <c r="K246" s="26">
        <v>0</v>
      </c>
      <c r="L246" s="26">
        <v>183.5</v>
      </c>
      <c r="M246" s="26">
        <v>2.5</v>
      </c>
      <c r="N246" s="26">
        <v>0</v>
      </c>
      <c r="O246" s="27">
        <v>94</v>
      </c>
      <c r="P246" s="27">
        <v>0</v>
      </c>
      <c r="Q246" s="27">
        <v>0</v>
      </c>
      <c r="R246" s="27">
        <v>98</v>
      </c>
      <c r="S246" s="27">
        <v>0</v>
      </c>
      <c r="T246" s="27">
        <v>0</v>
      </c>
      <c r="U246" s="27">
        <v>84</v>
      </c>
      <c r="V246" s="27">
        <v>0</v>
      </c>
      <c r="W246" s="27">
        <v>0</v>
      </c>
      <c r="X246" s="27">
        <v>66</v>
      </c>
      <c r="Y246" s="27">
        <v>0</v>
      </c>
      <c r="Z246" s="27">
        <v>0</v>
      </c>
      <c r="AA246" s="27">
        <v>116</v>
      </c>
      <c r="AB246" s="27">
        <v>0</v>
      </c>
      <c r="AC246" s="27">
        <v>0</v>
      </c>
      <c r="AD246" s="27">
        <v>97</v>
      </c>
      <c r="AE246" s="27">
        <v>0</v>
      </c>
      <c r="AF246" s="27">
        <v>0</v>
      </c>
      <c r="AG246" s="26">
        <f t="shared" si="16"/>
        <v>964.5</v>
      </c>
      <c r="AH246" s="26">
        <f t="shared" si="17"/>
        <v>2.5</v>
      </c>
      <c r="AI246" s="26">
        <f t="shared" si="18"/>
        <v>0</v>
      </c>
      <c r="AJ246" s="15" t="s">
        <v>61</v>
      </c>
      <c r="AK246" s="15" t="s">
        <v>424</v>
      </c>
      <c r="AL246" s="15" t="s">
        <v>317</v>
      </c>
      <c r="AM246" s="19">
        <v>44204</v>
      </c>
    </row>
    <row r="247" spans="1:39" x14ac:dyDescent="0.2">
      <c r="A247" s="15" t="str">
        <f t="shared" si="15"/>
        <v>814116178298</v>
      </c>
      <c r="B247" s="32">
        <v>814116</v>
      </c>
      <c r="C247" s="32" t="s">
        <v>81</v>
      </c>
      <c r="D247" s="17">
        <v>178298</v>
      </c>
      <c r="E247" s="15" t="s">
        <v>15</v>
      </c>
      <c r="F247" s="26">
        <v>37</v>
      </c>
      <c r="G247" s="26">
        <v>0</v>
      </c>
      <c r="H247" s="26">
        <v>0</v>
      </c>
      <c r="I247" s="26">
        <v>19</v>
      </c>
      <c r="J247" s="26">
        <v>0</v>
      </c>
      <c r="K247" s="26">
        <v>0</v>
      </c>
      <c r="L247" s="26">
        <v>57</v>
      </c>
      <c r="M247" s="26">
        <v>0</v>
      </c>
      <c r="N247" s="26">
        <v>0</v>
      </c>
      <c r="O247" s="27">
        <v>58.5</v>
      </c>
      <c r="P247" s="27">
        <v>0</v>
      </c>
      <c r="Q247" s="27">
        <v>0</v>
      </c>
      <c r="R247" s="27">
        <v>72</v>
      </c>
      <c r="S247" s="27">
        <v>0</v>
      </c>
      <c r="T247" s="27">
        <v>0</v>
      </c>
      <c r="U247" s="27">
        <v>73</v>
      </c>
      <c r="V247" s="27">
        <v>0</v>
      </c>
      <c r="W247" s="27">
        <v>0</v>
      </c>
      <c r="X247" s="27">
        <v>70</v>
      </c>
      <c r="Y247" s="27">
        <v>0</v>
      </c>
      <c r="Z247" s="27">
        <v>0</v>
      </c>
      <c r="AA247" s="27">
        <v>46</v>
      </c>
      <c r="AB247" s="27">
        <v>0</v>
      </c>
      <c r="AC247" s="27">
        <v>0</v>
      </c>
      <c r="AD247" s="27">
        <v>60</v>
      </c>
      <c r="AE247" s="27">
        <v>0</v>
      </c>
      <c r="AF247" s="27">
        <v>0</v>
      </c>
      <c r="AG247" s="26">
        <f t="shared" si="16"/>
        <v>492.5</v>
      </c>
      <c r="AH247" s="26">
        <f t="shared" si="17"/>
        <v>0</v>
      </c>
      <c r="AI247" s="26">
        <f t="shared" si="18"/>
        <v>0</v>
      </c>
      <c r="AJ247" s="15" t="s">
        <v>61</v>
      </c>
      <c r="AK247" s="15" t="s">
        <v>424</v>
      </c>
      <c r="AL247" s="15" t="s">
        <v>317</v>
      </c>
      <c r="AM247" s="19">
        <v>44205</v>
      </c>
    </row>
    <row r="248" spans="1:39" x14ac:dyDescent="0.2">
      <c r="A248" s="15" t="str">
        <f t="shared" si="15"/>
        <v>814116202478</v>
      </c>
      <c r="B248" s="14">
        <v>814116</v>
      </c>
      <c r="C248" s="14" t="s">
        <v>81</v>
      </c>
      <c r="D248" s="14">
        <v>202478</v>
      </c>
      <c r="E248" s="18" t="s">
        <v>252</v>
      </c>
      <c r="F248" s="26">
        <v>40</v>
      </c>
      <c r="G248" s="26">
        <v>0</v>
      </c>
      <c r="H248" s="26">
        <v>0</v>
      </c>
      <c r="I248" s="26">
        <v>0</v>
      </c>
      <c r="J248" s="26">
        <v>0</v>
      </c>
      <c r="K248" s="26">
        <v>0</v>
      </c>
      <c r="L248" s="26">
        <v>31</v>
      </c>
      <c r="M248" s="26">
        <v>0</v>
      </c>
      <c r="N248" s="26">
        <v>0</v>
      </c>
      <c r="O248" s="27">
        <v>10</v>
      </c>
      <c r="P248" s="27">
        <v>0</v>
      </c>
      <c r="Q248" s="27">
        <v>0</v>
      </c>
      <c r="R248" s="27">
        <v>20</v>
      </c>
      <c r="S248" s="27">
        <v>0</v>
      </c>
      <c r="T248" s="27">
        <v>0</v>
      </c>
      <c r="U248" s="27">
        <v>24</v>
      </c>
      <c r="V248" s="27">
        <v>0</v>
      </c>
      <c r="W248" s="27">
        <v>0</v>
      </c>
      <c r="X248" s="27">
        <v>0</v>
      </c>
      <c r="Y248" s="27">
        <v>0</v>
      </c>
      <c r="Z248" s="27">
        <v>0</v>
      </c>
      <c r="AA248" s="27">
        <v>0</v>
      </c>
      <c r="AB248" s="27">
        <v>0</v>
      </c>
      <c r="AC248" s="27">
        <v>0</v>
      </c>
      <c r="AD248" s="27">
        <v>0</v>
      </c>
      <c r="AE248" s="27">
        <v>0</v>
      </c>
      <c r="AF248" s="27">
        <v>0</v>
      </c>
      <c r="AG248" s="26">
        <f t="shared" si="16"/>
        <v>125</v>
      </c>
      <c r="AH248" s="26">
        <f t="shared" si="17"/>
        <v>0</v>
      </c>
      <c r="AI248" s="26">
        <f t="shared" si="18"/>
        <v>0</v>
      </c>
      <c r="AJ248" s="15" t="s">
        <v>61</v>
      </c>
      <c r="AK248" s="15" t="s">
        <v>424</v>
      </c>
      <c r="AL248" s="15" t="s">
        <v>317</v>
      </c>
      <c r="AM248" s="19">
        <v>44205</v>
      </c>
    </row>
    <row r="249" spans="1:39" x14ac:dyDescent="0.2">
      <c r="A249" s="15" t="str">
        <f t="shared" si="15"/>
        <v>814350175717</v>
      </c>
      <c r="B249" s="32">
        <v>814350</v>
      </c>
      <c r="C249" s="32" t="s">
        <v>138</v>
      </c>
      <c r="D249" s="17">
        <v>175717</v>
      </c>
      <c r="E249" s="15" t="s">
        <v>137</v>
      </c>
      <c r="F249" s="26">
        <v>59</v>
      </c>
      <c r="G249" s="26">
        <v>0</v>
      </c>
      <c r="H249" s="26">
        <v>0</v>
      </c>
      <c r="I249" s="26">
        <v>67</v>
      </c>
      <c r="J249" s="26">
        <v>0</v>
      </c>
      <c r="K249" s="26">
        <v>0</v>
      </c>
      <c r="L249" s="26">
        <v>99.449999999999989</v>
      </c>
      <c r="M249" s="26">
        <v>0</v>
      </c>
      <c r="N249" s="26">
        <v>0</v>
      </c>
      <c r="O249" s="27">
        <v>75</v>
      </c>
      <c r="P249" s="27">
        <v>0</v>
      </c>
      <c r="Q249" s="27">
        <v>0</v>
      </c>
      <c r="R249" s="27">
        <v>25</v>
      </c>
      <c r="S249" s="27">
        <v>0</v>
      </c>
      <c r="T249" s="27">
        <v>0</v>
      </c>
      <c r="U249" s="27">
        <v>55</v>
      </c>
      <c r="V249" s="27">
        <v>0</v>
      </c>
      <c r="W249" s="27">
        <v>0</v>
      </c>
      <c r="X249" s="27">
        <v>65</v>
      </c>
      <c r="Y249" s="27">
        <v>0</v>
      </c>
      <c r="Z249" s="27">
        <v>0</v>
      </c>
      <c r="AA249" s="27">
        <v>83</v>
      </c>
      <c r="AB249" s="27">
        <v>0</v>
      </c>
      <c r="AC249" s="27">
        <v>0</v>
      </c>
      <c r="AD249" s="27">
        <v>99</v>
      </c>
      <c r="AE249" s="27">
        <v>0</v>
      </c>
      <c r="AF249" s="27">
        <v>0</v>
      </c>
      <c r="AG249" s="26">
        <f t="shared" si="16"/>
        <v>627.45000000000005</v>
      </c>
      <c r="AH249" s="26">
        <f t="shared" si="17"/>
        <v>0</v>
      </c>
      <c r="AI249" s="26">
        <f t="shared" si="18"/>
        <v>0</v>
      </c>
      <c r="AJ249" s="15" t="s">
        <v>61</v>
      </c>
      <c r="AK249" s="15" t="s">
        <v>424</v>
      </c>
      <c r="AL249" s="15" t="s">
        <v>317</v>
      </c>
      <c r="AM249" s="19">
        <v>44226</v>
      </c>
    </row>
    <row r="250" spans="1:39" x14ac:dyDescent="0.2">
      <c r="A250" s="15" t="str">
        <f t="shared" si="15"/>
        <v>815467203236</v>
      </c>
      <c r="B250" s="32">
        <v>815467</v>
      </c>
      <c r="C250" s="32" t="s">
        <v>358</v>
      </c>
      <c r="D250" s="15">
        <v>203236</v>
      </c>
      <c r="E250" s="15" t="s">
        <v>172</v>
      </c>
      <c r="F250" s="26">
        <v>70</v>
      </c>
      <c r="G250" s="26">
        <v>0</v>
      </c>
      <c r="H250" s="26">
        <v>0</v>
      </c>
      <c r="I250" s="26">
        <v>81</v>
      </c>
      <c r="J250" s="26">
        <v>0</v>
      </c>
      <c r="K250" s="26">
        <v>0</v>
      </c>
      <c r="L250" s="26">
        <v>126</v>
      </c>
      <c r="M250" s="26">
        <v>1.75</v>
      </c>
      <c r="N250" s="26">
        <v>1</v>
      </c>
      <c r="O250" s="27">
        <v>85.5</v>
      </c>
      <c r="P250" s="27">
        <v>0</v>
      </c>
      <c r="Q250" s="27">
        <v>5.9</v>
      </c>
      <c r="R250" s="27">
        <v>39</v>
      </c>
      <c r="S250" s="27">
        <v>0</v>
      </c>
      <c r="T250" s="27">
        <v>2.25</v>
      </c>
      <c r="U250" s="27">
        <v>37.1</v>
      </c>
      <c r="V250" s="27">
        <v>0</v>
      </c>
      <c r="W250" s="27">
        <v>6.1</v>
      </c>
      <c r="X250" s="27">
        <v>0</v>
      </c>
      <c r="Y250" s="27">
        <v>0</v>
      </c>
      <c r="Z250" s="27">
        <v>0</v>
      </c>
      <c r="AA250" s="27">
        <v>39.65</v>
      </c>
      <c r="AB250" s="27">
        <v>0</v>
      </c>
      <c r="AC250" s="27">
        <v>0</v>
      </c>
      <c r="AD250" s="27">
        <v>84.5</v>
      </c>
      <c r="AE250" s="27">
        <v>0</v>
      </c>
      <c r="AF250" s="27">
        <v>21.5</v>
      </c>
      <c r="AG250" s="26">
        <f t="shared" si="16"/>
        <v>562.75</v>
      </c>
      <c r="AH250" s="26">
        <f t="shared" si="17"/>
        <v>1.75</v>
      </c>
      <c r="AI250" s="26">
        <f t="shared" si="18"/>
        <v>36.75</v>
      </c>
      <c r="AJ250" s="15" t="s">
        <v>61</v>
      </c>
      <c r="AK250" s="15" t="s">
        <v>424</v>
      </c>
      <c r="AL250" s="15" t="s">
        <v>317</v>
      </c>
      <c r="AM250" s="19">
        <v>44389</v>
      </c>
    </row>
    <row r="251" spans="1:39" x14ac:dyDescent="0.2">
      <c r="A251" s="15" t="str">
        <f t="shared" si="15"/>
        <v>815468178234</v>
      </c>
      <c r="B251" s="32">
        <v>815468</v>
      </c>
      <c r="C251" s="32" t="s">
        <v>359</v>
      </c>
      <c r="D251" s="15">
        <v>178234</v>
      </c>
      <c r="E251" s="15" t="s">
        <v>207</v>
      </c>
      <c r="F251" s="26">
        <v>0</v>
      </c>
      <c r="G251" s="26">
        <v>0</v>
      </c>
      <c r="H251" s="26">
        <v>0</v>
      </c>
      <c r="I251" s="26">
        <v>10</v>
      </c>
      <c r="J251" s="26">
        <v>0</v>
      </c>
      <c r="K251" s="26">
        <v>0</v>
      </c>
      <c r="L251" s="26">
        <v>20</v>
      </c>
      <c r="M251" s="26">
        <v>0</v>
      </c>
      <c r="N251" s="26">
        <v>6</v>
      </c>
      <c r="O251" s="27">
        <v>15</v>
      </c>
      <c r="P251" s="27">
        <v>0</v>
      </c>
      <c r="Q251" s="27">
        <v>0</v>
      </c>
      <c r="R251" s="27">
        <v>27.5</v>
      </c>
      <c r="S251" s="27">
        <v>0</v>
      </c>
      <c r="T251" s="27">
        <v>0</v>
      </c>
      <c r="U251" s="27">
        <v>35</v>
      </c>
      <c r="V251" s="27">
        <v>0</v>
      </c>
      <c r="W251" s="27">
        <v>4</v>
      </c>
      <c r="X251" s="27">
        <v>55</v>
      </c>
      <c r="Y251" s="27">
        <v>0</v>
      </c>
      <c r="Z251" s="27">
        <v>0</v>
      </c>
      <c r="AA251" s="27">
        <v>30</v>
      </c>
      <c r="AB251" s="27">
        <v>0</v>
      </c>
      <c r="AC251" s="27">
        <v>0</v>
      </c>
      <c r="AD251" s="27">
        <v>60</v>
      </c>
      <c r="AE251" s="27">
        <v>0</v>
      </c>
      <c r="AF251" s="27">
        <v>0</v>
      </c>
      <c r="AG251" s="26">
        <f t="shared" si="16"/>
        <v>252.5</v>
      </c>
      <c r="AH251" s="26">
        <f t="shared" si="17"/>
        <v>0</v>
      </c>
      <c r="AI251" s="26">
        <f t="shared" si="18"/>
        <v>10</v>
      </c>
      <c r="AJ251" s="15" t="s">
        <v>61</v>
      </c>
      <c r="AK251" s="15" t="s">
        <v>424</v>
      </c>
      <c r="AL251" s="15" t="s">
        <v>317</v>
      </c>
      <c r="AM251" s="19">
        <v>44389</v>
      </c>
    </row>
    <row r="252" spans="1:39" x14ac:dyDescent="0.2">
      <c r="A252" s="15" t="str">
        <f t="shared" si="15"/>
        <v>815479203236</v>
      </c>
      <c r="B252" s="32">
        <v>815479</v>
      </c>
      <c r="C252" s="32" t="s">
        <v>360</v>
      </c>
      <c r="D252" s="15">
        <v>203236</v>
      </c>
      <c r="E252" s="15" t="s">
        <v>172</v>
      </c>
      <c r="F252" s="26">
        <v>0</v>
      </c>
      <c r="G252" s="26">
        <v>0</v>
      </c>
      <c r="H252" s="26">
        <v>0</v>
      </c>
      <c r="I252" s="26">
        <v>0</v>
      </c>
      <c r="J252" s="26">
        <v>0</v>
      </c>
      <c r="K252" s="26">
        <v>0</v>
      </c>
      <c r="L252" s="26">
        <v>5</v>
      </c>
      <c r="M252" s="26">
        <v>0</v>
      </c>
      <c r="N252" s="26">
        <v>0</v>
      </c>
      <c r="O252" s="27">
        <v>0</v>
      </c>
      <c r="P252" s="27">
        <v>0</v>
      </c>
      <c r="Q252" s="27">
        <v>0</v>
      </c>
      <c r="R252" s="27">
        <v>0</v>
      </c>
      <c r="S252" s="27">
        <v>0</v>
      </c>
      <c r="T252" s="27">
        <v>0</v>
      </c>
      <c r="U252" s="27">
        <v>0</v>
      </c>
      <c r="V252" s="27">
        <v>0</v>
      </c>
      <c r="W252" s="27">
        <v>0</v>
      </c>
      <c r="X252" s="27">
        <v>0</v>
      </c>
      <c r="Y252" s="27">
        <v>0</v>
      </c>
      <c r="Z252" s="27">
        <v>0</v>
      </c>
      <c r="AA252" s="27">
        <v>0</v>
      </c>
      <c r="AB252" s="27">
        <v>0</v>
      </c>
      <c r="AC252" s="27">
        <v>0</v>
      </c>
      <c r="AD252" s="27">
        <v>0</v>
      </c>
      <c r="AE252" s="27">
        <v>0</v>
      </c>
      <c r="AF252" s="27">
        <v>0</v>
      </c>
      <c r="AG252" s="26">
        <f t="shared" si="16"/>
        <v>5</v>
      </c>
      <c r="AH252" s="26">
        <f t="shared" si="17"/>
        <v>0</v>
      </c>
      <c r="AI252" s="26">
        <f t="shared" si="18"/>
        <v>0</v>
      </c>
      <c r="AJ252" s="15" t="s">
        <v>61</v>
      </c>
      <c r="AK252" s="15" t="s">
        <v>424</v>
      </c>
      <c r="AL252" s="15" t="s">
        <v>317</v>
      </c>
      <c r="AM252" s="19">
        <v>44389</v>
      </c>
    </row>
    <row r="253" spans="1:39" x14ac:dyDescent="0.2">
      <c r="A253" s="15" t="str">
        <f t="shared" si="15"/>
        <v>815924178237</v>
      </c>
      <c r="B253" s="32">
        <v>815924</v>
      </c>
      <c r="C253" s="32" t="s">
        <v>414</v>
      </c>
      <c r="D253" s="15">
        <v>178237</v>
      </c>
      <c r="E253" s="15" t="s">
        <v>62</v>
      </c>
      <c r="F253" s="26">
        <v>20</v>
      </c>
      <c r="G253" s="26">
        <v>0</v>
      </c>
      <c r="H253" s="26">
        <v>0</v>
      </c>
      <c r="I253" s="26">
        <v>35</v>
      </c>
      <c r="J253" s="26">
        <v>0</v>
      </c>
      <c r="K253" s="26">
        <v>0</v>
      </c>
      <c r="L253" s="26">
        <v>40</v>
      </c>
      <c r="M253" s="26">
        <v>0</v>
      </c>
      <c r="N253" s="26">
        <v>0</v>
      </c>
      <c r="O253" s="27">
        <v>30</v>
      </c>
      <c r="P253" s="27">
        <v>0</v>
      </c>
      <c r="Q253" s="27">
        <v>10</v>
      </c>
      <c r="R253" s="27">
        <v>22.5</v>
      </c>
      <c r="S253" s="27">
        <v>0</v>
      </c>
      <c r="T253" s="27">
        <v>0</v>
      </c>
      <c r="U253" s="27">
        <v>10</v>
      </c>
      <c r="V253" s="27">
        <v>0</v>
      </c>
      <c r="W253" s="27">
        <v>0</v>
      </c>
      <c r="X253" s="27">
        <v>35</v>
      </c>
      <c r="Y253" s="27">
        <v>0</v>
      </c>
      <c r="Z253" s="27">
        <v>5</v>
      </c>
      <c r="AA253" s="27">
        <v>41</v>
      </c>
      <c r="AB253" s="27">
        <v>0</v>
      </c>
      <c r="AC253" s="27">
        <v>0</v>
      </c>
      <c r="AD253" s="27">
        <v>10</v>
      </c>
      <c r="AE253" s="27">
        <v>0</v>
      </c>
      <c r="AF253" s="27">
        <v>0</v>
      </c>
      <c r="AG253" s="26">
        <f t="shared" si="16"/>
        <v>243.5</v>
      </c>
      <c r="AH253" s="26">
        <f t="shared" si="17"/>
        <v>0</v>
      </c>
      <c r="AI253" s="26">
        <f t="shared" si="18"/>
        <v>15</v>
      </c>
      <c r="AJ253" s="15" t="s">
        <v>61</v>
      </c>
      <c r="AK253" s="15" t="s">
        <v>424</v>
      </c>
      <c r="AL253" s="15" t="s">
        <v>317</v>
      </c>
      <c r="AM253" s="19">
        <v>44421</v>
      </c>
    </row>
    <row r="254" spans="1:39" x14ac:dyDescent="0.2">
      <c r="A254" s="15" t="str">
        <f t="shared" si="15"/>
        <v>817366210355</v>
      </c>
      <c r="B254" s="32">
        <v>817366</v>
      </c>
      <c r="C254" s="32" t="s">
        <v>443</v>
      </c>
      <c r="D254" s="15">
        <v>210355</v>
      </c>
      <c r="E254" s="15" t="s">
        <v>388</v>
      </c>
      <c r="F254" s="26">
        <v>0</v>
      </c>
      <c r="G254" s="26">
        <v>0</v>
      </c>
      <c r="H254" s="26">
        <v>0</v>
      </c>
      <c r="I254" s="26">
        <v>0</v>
      </c>
      <c r="J254" s="26">
        <v>0</v>
      </c>
      <c r="K254" s="26">
        <v>0</v>
      </c>
      <c r="L254" s="26">
        <v>21</v>
      </c>
      <c r="M254" s="26">
        <v>0</v>
      </c>
      <c r="N254" s="26">
        <v>0</v>
      </c>
      <c r="O254" s="27">
        <v>29</v>
      </c>
      <c r="P254" s="27">
        <v>0</v>
      </c>
      <c r="Q254" s="27">
        <v>0</v>
      </c>
      <c r="R254" s="27">
        <v>0</v>
      </c>
      <c r="S254" s="27">
        <v>0</v>
      </c>
      <c r="T254" s="27">
        <v>0</v>
      </c>
      <c r="U254" s="27">
        <v>0</v>
      </c>
      <c r="V254" s="27">
        <v>0</v>
      </c>
      <c r="W254" s="27">
        <v>0</v>
      </c>
      <c r="X254" s="27">
        <v>0</v>
      </c>
      <c r="Y254" s="27">
        <v>0</v>
      </c>
      <c r="Z254" s="27">
        <v>0</v>
      </c>
      <c r="AA254" s="27">
        <v>0</v>
      </c>
      <c r="AB254" s="27">
        <v>0</v>
      </c>
      <c r="AC254" s="27">
        <v>0</v>
      </c>
      <c r="AD254" s="27">
        <v>0</v>
      </c>
      <c r="AE254" s="27">
        <v>0</v>
      </c>
      <c r="AF254" s="27">
        <v>0</v>
      </c>
      <c r="AG254" s="26">
        <f t="shared" si="16"/>
        <v>50</v>
      </c>
      <c r="AH254" s="26">
        <f t="shared" si="17"/>
        <v>0</v>
      </c>
      <c r="AI254" s="26">
        <f t="shared" si="18"/>
        <v>0</v>
      </c>
      <c r="AJ254" s="15" t="s">
        <v>61</v>
      </c>
      <c r="AK254" s="15" t="s">
        <v>424</v>
      </c>
      <c r="AL254" s="15" t="s">
        <v>317</v>
      </c>
      <c r="AM254" s="19">
        <v>44548</v>
      </c>
    </row>
    <row r="255" spans="1:39" x14ac:dyDescent="0.2">
      <c r="A255" s="15" t="str">
        <f t="shared" si="15"/>
        <v>817404178234</v>
      </c>
      <c r="B255" s="32">
        <v>817404</v>
      </c>
      <c r="C255" s="32" t="s">
        <v>357</v>
      </c>
      <c r="D255" s="15">
        <v>178234</v>
      </c>
      <c r="E255" s="15" t="s">
        <v>207</v>
      </c>
      <c r="F255" s="26">
        <v>158.5</v>
      </c>
      <c r="G255" s="26">
        <v>0</v>
      </c>
      <c r="H255" s="26">
        <v>0</v>
      </c>
      <c r="I255" s="26">
        <v>142</v>
      </c>
      <c r="J255" s="26">
        <v>0</v>
      </c>
      <c r="K255" s="26">
        <v>0</v>
      </c>
      <c r="L255" s="26">
        <v>94</v>
      </c>
      <c r="M255" s="26">
        <v>0</v>
      </c>
      <c r="N255" s="26">
        <v>0</v>
      </c>
      <c r="O255" s="27">
        <v>148.69999999999999</v>
      </c>
      <c r="P255" s="27">
        <v>0</v>
      </c>
      <c r="Q255" s="27">
        <v>0</v>
      </c>
      <c r="R255" s="27">
        <v>40</v>
      </c>
      <c r="S255" s="27">
        <v>0</v>
      </c>
      <c r="T255" s="27">
        <v>0</v>
      </c>
      <c r="U255" s="27">
        <v>21.4</v>
      </c>
      <c r="V255" s="27">
        <v>0</v>
      </c>
      <c r="W255" s="27">
        <v>3.9</v>
      </c>
      <c r="X255" s="27">
        <v>73</v>
      </c>
      <c r="Y255" s="27">
        <v>0</v>
      </c>
      <c r="Z255" s="27">
        <v>0</v>
      </c>
      <c r="AA255" s="27">
        <v>67</v>
      </c>
      <c r="AB255" s="27">
        <v>0</v>
      </c>
      <c r="AC255" s="27">
        <v>0</v>
      </c>
      <c r="AD255" s="27">
        <v>0</v>
      </c>
      <c r="AE255" s="27">
        <v>0</v>
      </c>
      <c r="AF255" s="27">
        <v>0</v>
      </c>
      <c r="AG255" s="26">
        <f t="shared" si="16"/>
        <v>744.6</v>
      </c>
      <c r="AH255" s="26">
        <f t="shared" si="17"/>
        <v>0</v>
      </c>
      <c r="AI255" s="26">
        <f t="shared" si="18"/>
        <v>3.9</v>
      </c>
      <c r="AJ255" s="15" t="s">
        <v>61</v>
      </c>
      <c r="AK255" s="15" t="s">
        <v>424</v>
      </c>
      <c r="AL255" s="15" t="s">
        <v>317</v>
      </c>
      <c r="AM255" s="19">
        <v>44551</v>
      </c>
    </row>
    <row r="256" spans="1:39" x14ac:dyDescent="0.2">
      <c r="A256" s="15" t="str">
        <f t="shared" si="15"/>
        <v>817913178298</v>
      </c>
      <c r="B256" s="32">
        <v>817913</v>
      </c>
      <c r="C256" s="32" t="s">
        <v>473</v>
      </c>
      <c r="D256" s="15">
        <v>178298</v>
      </c>
      <c r="E256" s="15" t="s">
        <v>15</v>
      </c>
      <c r="F256" s="26">
        <v>15</v>
      </c>
      <c r="G256" s="26">
        <v>0</v>
      </c>
      <c r="H256" s="26">
        <v>0</v>
      </c>
      <c r="I256" s="26">
        <v>15</v>
      </c>
      <c r="J256" s="26">
        <v>0</v>
      </c>
      <c r="K256" s="26">
        <v>0</v>
      </c>
      <c r="L256" s="26">
        <v>21</v>
      </c>
      <c r="M256" s="26">
        <v>0</v>
      </c>
      <c r="N256" s="26">
        <v>0</v>
      </c>
      <c r="O256" s="27">
        <v>30</v>
      </c>
      <c r="P256" s="27">
        <v>0</v>
      </c>
      <c r="Q256" s="27">
        <v>0</v>
      </c>
      <c r="R256" s="27">
        <v>22.5</v>
      </c>
      <c r="S256" s="27">
        <v>0</v>
      </c>
      <c r="T256" s="27">
        <v>7.5</v>
      </c>
      <c r="U256" s="27">
        <v>33</v>
      </c>
      <c r="V256" s="27">
        <v>0</v>
      </c>
      <c r="W256" s="27">
        <v>0</v>
      </c>
      <c r="X256" s="27">
        <v>25</v>
      </c>
      <c r="Y256" s="27">
        <v>0</v>
      </c>
      <c r="Z256" s="27">
        <v>0</v>
      </c>
      <c r="AA256" s="27">
        <v>40</v>
      </c>
      <c r="AB256" s="27">
        <v>0</v>
      </c>
      <c r="AC256" s="27">
        <v>7.5</v>
      </c>
      <c r="AD256" s="27">
        <v>27</v>
      </c>
      <c r="AE256" s="27">
        <v>0</v>
      </c>
      <c r="AF256" s="27">
        <v>0</v>
      </c>
      <c r="AG256" s="26">
        <f t="shared" si="16"/>
        <v>228.5</v>
      </c>
      <c r="AH256" s="26">
        <f t="shared" si="17"/>
        <v>0</v>
      </c>
      <c r="AI256" s="26">
        <f t="shared" si="18"/>
        <v>15</v>
      </c>
      <c r="AJ256" s="15" t="s">
        <v>61</v>
      </c>
      <c r="AK256" s="15" t="s">
        <v>424</v>
      </c>
      <c r="AL256" s="15" t="s">
        <v>317</v>
      </c>
      <c r="AM256" s="19">
        <v>44592</v>
      </c>
    </row>
    <row r="257" spans="1:39" x14ac:dyDescent="0.2">
      <c r="A257" s="15" t="str">
        <f t="shared" si="15"/>
        <v>817914210355</v>
      </c>
      <c r="B257" s="32">
        <v>817914</v>
      </c>
      <c r="C257" s="32" t="s">
        <v>463</v>
      </c>
      <c r="D257" s="15">
        <v>210355</v>
      </c>
      <c r="E257" s="15" t="s">
        <v>388</v>
      </c>
      <c r="F257" s="26">
        <v>21</v>
      </c>
      <c r="G257" s="26">
        <v>0</v>
      </c>
      <c r="H257" s="26">
        <v>0</v>
      </c>
      <c r="I257" s="26">
        <v>68</v>
      </c>
      <c r="J257" s="26">
        <v>0</v>
      </c>
      <c r="K257" s="26">
        <v>0</v>
      </c>
      <c r="L257" s="26">
        <v>95.25</v>
      </c>
      <c r="M257" s="26">
        <v>0</v>
      </c>
      <c r="N257" s="26">
        <v>0</v>
      </c>
      <c r="O257" s="27">
        <v>67</v>
      </c>
      <c r="P257" s="27">
        <v>0</v>
      </c>
      <c r="Q257" s="27">
        <v>0</v>
      </c>
      <c r="R257" s="27">
        <v>88.75</v>
      </c>
      <c r="S257" s="27">
        <v>0</v>
      </c>
      <c r="T257" s="27">
        <v>0</v>
      </c>
      <c r="U257" s="27">
        <v>111.7</v>
      </c>
      <c r="V257" s="27">
        <v>0</v>
      </c>
      <c r="W257" s="27">
        <v>0</v>
      </c>
      <c r="X257" s="27">
        <v>125</v>
      </c>
      <c r="Y257" s="27">
        <v>0</v>
      </c>
      <c r="Z257" s="27">
        <v>0</v>
      </c>
      <c r="AA257" s="27">
        <v>67</v>
      </c>
      <c r="AB257" s="27">
        <v>0</v>
      </c>
      <c r="AC257" s="27">
        <v>0</v>
      </c>
      <c r="AD257" s="27">
        <v>50</v>
      </c>
      <c r="AE257" s="27">
        <v>0</v>
      </c>
      <c r="AF257" s="27">
        <v>0</v>
      </c>
      <c r="AG257" s="26">
        <f t="shared" si="16"/>
        <v>693.7</v>
      </c>
      <c r="AH257" s="26">
        <f t="shared" si="17"/>
        <v>0</v>
      </c>
      <c r="AI257" s="26">
        <f t="shared" si="18"/>
        <v>0</v>
      </c>
      <c r="AJ257" s="15" t="s">
        <v>61</v>
      </c>
      <c r="AK257" s="15" t="s">
        <v>424</v>
      </c>
      <c r="AL257" s="15" t="s">
        <v>317</v>
      </c>
      <c r="AM257" s="19">
        <v>44592</v>
      </c>
    </row>
    <row r="258" spans="1:39" x14ac:dyDescent="0.2">
      <c r="A258" s="15" t="str">
        <f t="shared" si="15"/>
        <v>817916178298</v>
      </c>
      <c r="B258" s="32">
        <v>817916</v>
      </c>
      <c r="C258" s="32" t="s">
        <v>474</v>
      </c>
      <c r="D258" s="15">
        <v>178298</v>
      </c>
      <c r="E258" s="15" t="s">
        <v>15</v>
      </c>
      <c r="F258" s="26">
        <v>15</v>
      </c>
      <c r="G258" s="26">
        <v>0</v>
      </c>
      <c r="H258" s="26">
        <v>0</v>
      </c>
      <c r="I258" s="26">
        <v>15</v>
      </c>
      <c r="J258" s="26">
        <v>0</v>
      </c>
      <c r="K258" s="26">
        <v>0</v>
      </c>
      <c r="L258" s="26">
        <v>37</v>
      </c>
      <c r="M258" s="26">
        <v>0</v>
      </c>
      <c r="N258" s="26">
        <v>0</v>
      </c>
      <c r="O258" s="27">
        <v>35</v>
      </c>
      <c r="P258" s="27">
        <v>0</v>
      </c>
      <c r="Q258" s="27">
        <v>0</v>
      </c>
      <c r="R258" s="27">
        <v>15</v>
      </c>
      <c r="S258" s="27">
        <v>0</v>
      </c>
      <c r="T258" s="27">
        <v>0</v>
      </c>
      <c r="U258" s="27">
        <v>23.05</v>
      </c>
      <c r="V258" s="27">
        <v>0</v>
      </c>
      <c r="W258" s="27">
        <v>0</v>
      </c>
      <c r="X258" s="27">
        <v>24.5</v>
      </c>
      <c r="Y258" s="27">
        <v>0</v>
      </c>
      <c r="Z258" s="27">
        <v>0</v>
      </c>
      <c r="AA258" s="27">
        <v>17</v>
      </c>
      <c r="AB258" s="27">
        <v>0</v>
      </c>
      <c r="AC258" s="27">
        <v>0</v>
      </c>
      <c r="AD258" s="27">
        <v>62</v>
      </c>
      <c r="AE258" s="27">
        <v>0</v>
      </c>
      <c r="AF258" s="27">
        <v>0</v>
      </c>
      <c r="AG258" s="26">
        <f t="shared" si="16"/>
        <v>243.55</v>
      </c>
      <c r="AH258" s="26">
        <f t="shared" si="17"/>
        <v>0</v>
      </c>
      <c r="AI258" s="26">
        <f t="shared" si="18"/>
        <v>0</v>
      </c>
      <c r="AJ258" s="15" t="s">
        <v>61</v>
      </c>
      <c r="AK258" s="15" t="s">
        <v>424</v>
      </c>
      <c r="AL258" s="15" t="s">
        <v>317</v>
      </c>
      <c r="AM258" s="19">
        <v>44592</v>
      </c>
    </row>
    <row r="259" spans="1:39" x14ac:dyDescent="0.2">
      <c r="A259" s="15" t="str">
        <f t="shared" ref="A259:A322" si="19">B259&amp;D259</f>
        <v>817934210355</v>
      </c>
      <c r="B259" s="32">
        <v>817934</v>
      </c>
      <c r="C259" s="32" t="s">
        <v>285</v>
      </c>
      <c r="D259" s="15">
        <v>210355</v>
      </c>
      <c r="E259" s="15" t="s">
        <v>388</v>
      </c>
      <c r="F259" s="26">
        <v>0</v>
      </c>
      <c r="G259" s="26">
        <v>0</v>
      </c>
      <c r="H259" s="26">
        <v>0</v>
      </c>
      <c r="I259" s="26">
        <v>0</v>
      </c>
      <c r="J259" s="26">
        <v>0</v>
      </c>
      <c r="K259" s="26">
        <v>0</v>
      </c>
      <c r="L259" s="26">
        <v>5</v>
      </c>
      <c r="M259" s="26">
        <v>0</v>
      </c>
      <c r="N259" s="26">
        <v>0</v>
      </c>
      <c r="O259" s="27">
        <v>0</v>
      </c>
      <c r="P259" s="27">
        <v>0</v>
      </c>
      <c r="Q259" s="27">
        <v>0</v>
      </c>
      <c r="R259" s="27">
        <v>0</v>
      </c>
      <c r="S259" s="27">
        <v>0</v>
      </c>
      <c r="T259" s="27">
        <v>0</v>
      </c>
      <c r="U259" s="27">
        <v>0</v>
      </c>
      <c r="V259" s="27">
        <v>0</v>
      </c>
      <c r="W259" s="27">
        <v>0</v>
      </c>
      <c r="X259" s="27">
        <v>0</v>
      </c>
      <c r="Y259" s="27">
        <v>0</v>
      </c>
      <c r="Z259" s="27">
        <v>0</v>
      </c>
      <c r="AA259" s="27">
        <v>0</v>
      </c>
      <c r="AB259" s="27">
        <v>0</v>
      </c>
      <c r="AC259" s="27">
        <v>0</v>
      </c>
      <c r="AD259" s="27">
        <v>0</v>
      </c>
      <c r="AE259" s="27">
        <v>0</v>
      </c>
      <c r="AF259" s="27">
        <v>0</v>
      </c>
      <c r="AG259" s="26">
        <f t="shared" si="16"/>
        <v>5</v>
      </c>
      <c r="AH259" s="26">
        <f t="shared" si="17"/>
        <v>0</v>
      </c>
      <c r="AI259" s="26">
        <f t="shared" si="18"/>
        <v>0</v>
      </c>
      <c r="AJ259" s="15" t="s">
        <v>61</v>
      </c>
      <c r="AK259" s="15" t="s">
        <v>424</v>
      </c>
      <c r="AL259" s="15" t="s">
        <v>317</v>
      </c>
      <c r="AM259" s="19">
        <v>44593</v>
      </c>
    </row>
    <row r="260" spans="1:39" x14ac:dyDescent="0.2">
      <c r="A260" s="15" t="str">
        <f t="shared" si="19"/>
        <v>818071202478</v>
      </c>
      <c r="B260" s="32">
        <v>818071</v>
      </c>
      <c r="C260" s="32" t="s">
        <v>478</v>
      </c>
      <c r="D260" s="15">
        <v>202478</v>
      </c>
      <c r="E260" s="15" t="s">
        <v>252</v>
      </c>
      <c r="F260" s="26">
        <v>0</v>
      </c>
      <c r="G260" s="26">
        <v>0</v>
      </c>
      <c r="H260" s="26">
        <v>0</v>
      </c>
      <c r="I260" s="26">
        <v>0</v>
      </c>
      <c r="J260" s="26">
        <v>0</v>
      </c>
      <c r="K260" s="26">
        <v>0</v>
      </c>
      <c r="L260" s="26">
        <v>5</v>
      </c>
      <c r="M260" s="26">
        <v>0</v>
      </c>
      <c r="N260" s="26">
        <v>0</v>
      </c>
      <c r="O260" s="27">
        <v>0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0</v>
      </c>
      <c r="V260" s="27">
        <v>0</v>
      </c>
      <c r="W260" s="27">
        <v>0</v>
      </c>
      <c r="X260" s="27">
        <v>7.5</v>
      </c>
      <c r="Y260" s="27">
        <v>0</v>
      </c>
      <c r="Z260" s="27">
        <v>0</v>
      </c>
      <c r="AA260" s="27">
        <v>38.5</v>
      </c>
      <c r="AB260" s="27">
        <v>0</v>
      </c>
      <c r="AC260" s="27">
        <v>0</v>
      </c>
      <c r="AD260" s="27">
        <v>38.5</v>
      </c>
      <c r="AE260" s="27">
        <v>1.5</v>
      </c>
      <c r="AF260" s="27">
        <v>0</v>
      </c>
      <c r="AG260" s="26">
        <f t="shared" si="16"/>
        <v>89.5</v>
      </c>
      <c r="AH260" s="26">
        <f t="shared" si="17"/>
        <v>1.5</v>
      </c>
      <c r="AI260" s="26">
        <f t="shared" si="18"/>
        <v>0</v>
      </c>
      <c r="AJ260" s="15" t="s">
        <v>61</v>
      </c>
      <c r="AK260" s="15" t="s">
        <v>424</v>
      </c>
      <c r="AL260" s="15" t="s">
        <v>317</v>
      </c>
      <c r="AM260" s="19">
        <v>44610</v>
      </c>
    </row>
    <row r="261" spans="1:39" x14ac:dyDescent="0.2">
      <c r="A261" s="15" t="str">
        <f t="shared" si="19"/>
        <v>818239178237</v>
      </c>
      <c r="B261" s="14">
        <v>818239</v>
      </c>
      <c r="C261" s="14" t="s">
        <v>539</v>
      </c>
      <c r="D261" s="16">
        <v>178237</v>
      </c>
      <c r="E261" s="18" t="s">
        <v>62</v>
      </c>
      <c r="F261" s="26">
        <v>0</v>
      </c>
      <c r="G261" s="26">
        <v>0</v>
      </c>
      <c r="H261" s="26">
        <v>0</v>
      </c>
      <c r="I261" s="26">
        <v>0</v>
      </c>
      <c r="J261" s="26">
        <v>0</v>
      </c>
      <c r="K261" s="26">
        <v>0</v>
      </c>
      <c r="L261" s="26">
        <v>10</v>
      </c>
      <c r="M261" s="26">
        <v>0</v>
      </c>
      <c r="N261" s="26">
        <v>0</v>
      </c>
      <c r="O261" s="27">
        <v>15</v>
      </c>
      <c r="P261" s="27">
        <v>0</v>
      </c>
      <c r="Q261" s="27">
        <v>0</v>
      </c>
      <c r="R261" s="27">
        <v>0</v>
      </c>
      <c r="S261" s="27">
        <v>0</v>
      </c>
      <c r="T261" s="27">
        <v>0</v>
      </c>
      <c r="U261" s="27">
        <v>25</v>
      </c>
      <c r="V261" s="27">
        <v>5</v>
      </c>
      <c r="W261" s="27">
        <v>0</v>
      </c>
      <c r="X261" s="27">
        <v>0</v>
      </c>
      <c r="Y261" s="27">
        <v>0</v>
      </c>
      <c r="Z261" s="27">
        <v>0</v>
      </c>
      <c r="AA261" s="27">
        <v>8</v>
      </c>
      <c r="AB261" s="27">
        <v>0</v>
      </c>
      <c r="AC261" s="27">
        <v>0</v>
      </c>
      <c r="AD261" s="27">
        <v>50</v>
      </c>
      <c r="AE261" s="27">
        <v>0</v>
      </c>
      <c r="AF261" s="27">
        <v>0</v>
      </c>
      <c r="AG261" s="26">
        <f t="shared" si="16"/>
        <v>108</v>
      </c>
      <c r="AH261" s="26">
        <f t="shared" si="17"/>
        <v>5</v>
      </c>
      <c r="AI261" s="26">
        <f t="shared" si="18"/>
        <v>0</v>
      </c>
      <c r="AJ261" s="15" t="s">
        <v>61</v>
      </c>
      <c r="AK261" s="15" t="s">
        <v>424</v>
      </c>
      <c r="AL261" s="15" t="s">
        <v>317</v>
      </c>
      <c r="AM261" s="19">
        <v>44622</v>
      </c>
    </row>
    <row r="262" spans="1:39" x14ac:dyDescent="0.2">
      <c r="A262" s="15" t="str">
        <f t="shared" si="19"/>
        <v>818867178298</v>
      </c>
      <c r="B262" s="14">
        <v>818867</v>
      </c>
      <c r="C262" s="14" t="s">
        <v>536</v>
      </c>
      <c r="D262" s="16">
        <v>178298</v>
      </c>
      <c r="E262" s="18" t="s">
        <v>15</v>
      </c>
      <c r="F262" s="26">
        <v>0</v>
      </c>
      <c r="G262" s="26">
        <v>0</v>
      </c>
      <c r="H262" s="26">
        <v>0</v>
      </c>
      <c r="I262" s="26">
        <v>35</v>
      </c>
      <c r="J262" s="26">
        <v>0</v>
      </c>
      <c r="K262" s="26">
        <v>0</v>
      </c>
      <c r="L262" s="26">
        <v>30</v>
      </c>
      <c r="M262" s="26">
        <v>0</v>
      </c>
      <c r="N262" s="26">
        <v>0</v>
      </c>
      <c r="O262" s="27">
        <v>30</v>
      </c>
      <c r="P262" s="27">
        <v>0</v>
      </c>
      <c r="Q262" s="27">
        <v>0</v>
      </c>
      <c r="R262" s="27">
        <v>25</v>
      </c>
      <c r="S262" s="27">
        <v>0</v>
      </c>
      <c r="T262" s="27">
        <v>0</v>
      </c>
      <c r="U262" s="27">
        <v>27.5</v>
      </c>
      <c r="V262" s="27">
        <v>0</v>
      </c>
      <c r="W262" s="27">
        <v>0</v>
      </c>
      <c r="X262" s="27">
        <v>17</v>
      </c>
      <c r="Y262" s="27">
        <v>0</v>
      </c>
      <c r="Z262" s="27">
        <v>0</v>
      </c>
      <c r="AA262" s="27">
        <v>10</v>
      </c>
      <c r="AB262" s="27">
        <v>0</v>
      </c>
      <c r="AC262" s="27">
        <v>0</v>
      </c>
      <c r="AD262" s="27">
        <v>25</v>
      </c>
      <c r="AE262" s="27">
        <v>0</v>
      </c>
      <c r="AF262" s="27">
        <v>0</v>
      </c>
      <c r="AG262" s="26">
        <f t="shared" si="16"/>
        <v>199.5</v>
      </c>
      <c r="AH262" s="26">
        <f t="shared" si="17"/>
        <v>0</v>
      </c>
      <c r="AI262" s="26">
        <f t="shared" si="18"/>
        <v>0</v>
      </c>
      <c r="AJ262" s="15" t="s">
        <v>61</v>
      </c>
      <c r="AK262" s="15" t="s">
        <v>424</v>
      </c>
      <c r="AL262" s="15" t="s">
        <v>317</v>
      </c>
      <c r="AM262" s="19">
        <v>44690</v>
      </c>
    </row>
    <row r="263" spans="1:39" x14ac:dyDescent="0.2">
      <c r="A263" s="15" t="str">
        <f t="shared" si="19"/>
        <v>819240212215</v>
      </c>
      <c r="B263" s="14">
        <v>819240</v>
      </c>
      <c r="C263" s="14" t="s">
        <v>556</v>
      </c>
      <c r="D263" s="16">
        <v>212215</v>
      </c>
      <c r="E263" s="18" t="s">
        <v>544</v>
      </c>
      <c r="F263" s="26">
        <v>0</v>
      </c>
      <c r="G263" s="26">
        <v>0</v>
      </c>
      <c r="H263" s="26">
        <v>0</v>
      </c>
      <c r="I263" s="26">
        <v>0</v>
      </c>
      <c r="J263" s="26">
        <v>0</v>
      </c>
      <c r="K263" s="26">
        <v>0</v>
      </c>
      <c r="L263" s="26">
        <v>0</v>
      </c>
      <c r="M263" s="26">
        <v>0</v>
      </c>
      <c r="N263" s="26">
        <v>0</v>
      </c>
      <c r="O263" s="27">
        <v>67.5</v>
      </c>
      <c r="P263" s="27">
        <v>0</v>
      </c>
      <c r="Q263" s="27">
        <v>13.5</v>
      </c>
      <c r="R263" s="27">
        <v>61</v>
      </c>
      <c r="S263" s="27">
        <v>0</v>
      </c>
      <c r="T263" s="27">
        <v>0</v>
      </c>
      <c r="U263" s="27">
        <v>69</v>
      </c>
      <c r="V263" s="27">
        <v>0</v>
      </c>
      <c r="W263" s="27">
        <v>0</v>
      </c>
      <c r="X263" s="27">
        <v>7</v>
      </c>
      <c r="Y263" s="27">
        <v>0</v>
      </c>
      <c r="Z263" s="27">
        <v>0</v>
      </c>
      <c r="AA263" s="27">
        <v>14</v>
      </c>
      <c r="AB263" s="27">
        <v>0</v>
      </c>
      <c r="AC263" s="27">
        <v>0</v>
      </c>
      <c r="AD263" s="27">
        <v>30</v>
      </c>
      <c r="AE263" s="27">
        <v>0</v>
      </c>
      <c r="AF263" s="27">
        <v>0</v>
      </c>
      <c r="AG263" s="26">
        <f t="shared" si="16"/>
        <v>248.5</v>
      </c>
      <c r="AH263" s="26">
        <f t="shared" si="17"/>
        <v>0</v>
      </c>
      <c r="AI263" s="26">
        <f t="shared" si="18"/>
        <v>13.5</v>
      </c>
      <c r="AJ263" s="15" t="s">
        <v>61</v>
      </c>
      <c r="AK263" s="15" t="s">
        <v>424</v>
      </c>
      <c r="AL263" s="15" t="s">
        <v>317</v>
      </c>
      <c r="AM263" s="19">
        <v>44721</v>
      </c>
    </row>
    <row r="264" spans="1:39" x14ac:dyDescent="0.2">
      <c r="A264" s="15" t="str">
        <f t="shared" si="19"/>
        <v>819248212215</v>
      </c>
      <c r="B264" s="14">
        <v>819248</v>
      </c>
      <c r="C264" s="14" t="s">
        <v>543</v>
      </c>
      <c r="D264" s="16">
        <v>212215</v>
      </c>
      <c r="E264" s="18" t="s">
        <v>544</v>
      </c>
      <c r="F264" s="26">
        <v>0</v>
      </c>
      <c r="G264" s="26">
        <v>0</v>
      </c>
      <c r="H264" s="26">
        <v>0</v>
      </c>
      <c r="I264" s="26">
        <v>0</v>
      </c>
      <c r="J264" s="26">
        <v>0</v>
      </c>
      <c r="K264" s="26">
        <v>0</v>
      </c>
      <c r="L264" s="26">
        <v>21.5</v>
      </c>
      <c r="M264" s="26">
        <v>0</v>
      </c>
      <c r="N264" s="26">
        <v>0</v>
      </c>
      <c r="O264" s="27">
        <v>34.5</v>
      </c>
      <c r="P264" s="27">
        <v>0.5</v>
      </c>
      <c r="Q264" s="27">
        <v>0</v>
      </c>
      <c r="R264" s="27">
        <v>10</v>
      </c>
      <c r="S264" s="27">
        <v>0</v>
      </c>
      <c r="T264" s="27">
        <v>0</v>
      </c>
      <c r="U264" s="27">
        <v>49.449999999999996</v>
      </c>
      <c r="V264" s="27">
        <v>0</v>
      </c>
      <c r="W264" s="27">
        <v>10</v>
      </c>
      <c r="X264" s="27">
        <v>0</v>
      </c>
      <c r="Y264" s="27">
        <v>0</v>
      </c>
      <c r="Z264" s="27">
        <v>0</v>
      </c>
      <c r="AA264" s="27">
        <v>15</v>
      </c>
      <c r="AB264" s="27">
        <v>0</v>
      </c>
      <c r="AC264" s="27">
        <v>0</v>
      </c>
      <c r="AD264" s="27">
        <v>20</v>
      </c>
      <c r="AE264" s="27">
        <v>0</v>
      </c>
      <c r="AF264" s="27">
        <v>0</v>
      </c>
      <c r="AG264" s="26">
        <f t="shared" si="16"/>
        <v>150.44999999999999</v>
      </c>
      <c r="AH264" s="26">
        <f t="shared" si="17"/>
        <v>0.5</v>
      </c>
      <c r="AI264" s="26">
        <f t="shared" si="18"/>
        <v>10</v>
      </c>
      <c r="AJ264" s="15" t="s">
        <v>61</v>
      </c>
      <c r="AK264" s="15" t="s">
        <v>424</v>
      </c>
      <c r="AL264" s="15" t="s">
        <v>317</v>
      </c>
      <c r="AM264" s="19">
        <v>44722</v>
      </c>
    </row>
    <row r="265" spans="1:39" x14ac:dyDescent="0.2">
      <c r="A265" s="15" t="str">
        <f t="shared" si="19"/>
        <v>819249212829</v>
      </c>
      <c r="B265" s="14">
        <v>819249</v>
      </c>
      <c r="C265" s="14" t="s">
        <v>545</v>
      </c>
      <c r="D265" s="16">
        <v>212829</v>
      </c>
      <c r="E265" s="18" t="s">
        <v>546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26">
        <v>0</v>
      </c>
      <c r="L265" s="26">
        <v>38.5</v>
      </c>
      <c r="M265" s="26">
        <v>0</v>
      </c>
      <c r="N265" s="26">
        <v>10</v>
      </c>
      <c r="O265" s="27">
        <v>119</v>
      </c>
      <c r="P265" s="27">
        <v>0</v>
      </c>
      <c r="Q265" s="27">
        <v>15</v>
      </c>
      <c r="R265" s="27">
        <v>57</v>
      </c>
      <c r="S265" s="27">
        <v>0</v>
      </c>
      <c r="T265" s="27">
        <v>0</v>
      </c>
      <c r="U265" s="27">
        <v>58</v>
      </c>
      <c r="V265" s="27">
        <v>0</v>
      </c>
      <c r="W265" s="27">
        <v>3</v>
      </c>
      <c r="X265" s="27">
        <v>25.8</v>
      </c>
      <c r="Y265" s="27">
        <v>0</v>
      </c>
      <c r="Z265" s="27">
        <v>0</v>
      </c>
      <c r="AA265" s="27">
        <v>46</v>
      </c>
      <c r="AB265" s="27">
        <v>0</v>
      </c>
      <c r="AC265" s="27">
        <v>0</v>
      </c>
      <c r="AD265" s="27">
        <v>44.5</v>
      </c>
      <c r="AE265" s="27">
        <v>0</v>
      </c>
      <c r="AF265" s="27">
        <v>0</v>
      </c>
      <c r="AG265" s="26">
        <f t="shared" si="16"/>
        <v>388.8</v>
      </c>
      <c r="AH265" s="26">
        <f t="shared" si="17"/>
        <v>0</v>
      </c>
      <c r="AI265" s="26">
        <f t="shared" si="18"/>
        <v>28</v>
      </c>
      <c r="AJ265" s="15" t="s">
        <v>61</v>
      </c>
      <c r="AK265" s="15" t="s">
        <v>424</v>
      </c>
      <c r="AL265" s="15" t="s">
        <v>317</v>
      </c>
      <c r="AM265" s="19">
        <v>44722</v>
      </c>
    </row>
    <row r="266" spans="1:39" x14ac:dyDescent="0.2">
      <c r="A266" s="15" t="str">
        <f t="shared" si="19"/>
        <v>819813210355</v>
      </c>
      <c r="B266" s="14">
        <v>819813</v>
      </c>
      <c r="C266" s="14" t="s">
        <v>105</v>
      </c>
      <c r="D266" s="16">
        <v>210355</v>
      </c>
      <c r="E266" s="18" t="s">
        <v>388</v>
      </c>
      <c r="F266" s="26">
        <v>0</v>
      </c>
      <c r="G266" s="26">
        <v>0</v>
      </c>
      <c r="H266" s="26">
        <v>0</v>
      </c>
      <c r="I266" s="26">
        <v>0</v>
      </c>
      <c r="J266" s="26">
        <v>0</v>
      </c>
      <c r="K266" s="26">
        <v>0</v>
      </c>
      <c r="L266" s="26">
        <v>0</v>
      </c>
      <c r="M266" s="26">
        <v>0</v>
      </c>
      <c r="N266" s="26">
        <v>0</v>
      </c>
      <c r="O266" s="27">
        <v>66</v>
      </c>
      <c r="P266" s="27">
        <v>0</v>
      </c>
      <c r="Q266" s="27">
        <v>0</v>
      </c>
      <c r="R266" s="27">
        <v>104.5</v>
      </c>
      <c r="S266" s="27">
        <v>0</v>
      </c>
      <c r="T266" s="27">
        <v>0</v>
      </c>
      <c r="U266" s="27">
        <v>75.45</v>
      </c>
      <c r="V266" s="27">
        <v>0</v>
      </c>
      <c r="W266" s="27">
        <v>0</v>
      </c>
      <c r="X266" s="27">
        <v>97</v>
      </c>
      <c r="Y266" s="27">
        <v>0</v>
      </c>
      <c r="Z266" s="27">
        <v>0</v>
      </c>
      <c r="AA266" s="27">
        <v>175.25</v>
      </c>
      <c r="AB266" s="27">
        <v>5.5</v>
      </c>
      <c r="AC266" s="27">
        <v>5.25</v>
      </c>
      <c r="AD266" s="27">
        <v>62</v>
      </c>
      <c r="AE266" s="27">
        <v>0</v>
      </c>
      <c r="AF266" s="27">
        <v>0</v>
      </c>
      <c r="AG266" s="26">
        <f t="shared" si="16"/>
        <v>580.20000000000005</v>
      </c>
      <c r="AH266" s="26">
        <f t="shared" si="17"/>
        <v>5.5</v>
      </c>
      <c r="AI266" s="26">
        <f t="shared" si="18"/>
        <v>5.25</v>
      </c>
      <c r="AJ266" s="15" t="s">
        <v>61</v>
      </c>
      <c r="AK266" s="15" t="s">
        <v>424</v>
      </c>
      <c r="AL266" s="15" t="s">
        <v>317</v>
      </c>
      <c r="AM266" s="19">
        <v>44760</v>
      </c>
    </row>
    <row r="267" spans="1:39" x14ac:dyDescent="0.2">
      <c r="A267" s="15" t="str">
        <f t="shared" si="19"/>
        <v>820755178237</v>
      </c>
      <c r="B267" s="14">
        <v>820755</v>
      </c>
      <c r="C267" s="14" t="s">
        <v>607</v>
      </c>
      <c r="D267" s="16">
        <v>178237</v>
      </c>
      <c r="E267" s="18" t="s">
        <v>62</v>
      </c>
      <c r="F267" s="26">
        <v>0</v>
      </c>
      <c r="G267" s="26">
        <v>0</v>
      </c>
      <c r="H267" s="26">
        <v>0</v>
      </c>
      <c r="I267" s="26">
        <v>0</v>
      </c>
      <c r="J267" s="26">
        <v>0</v>
      </c>
      <c r="K267" s="26">
        <v>0</v>
      </c>
      <c r="L267" s="26">
        <v>0</v>
      </c>
      <c r="M267" s="26">
        <v>0</v>
      </c>
      <c r="N267" s="26">
        <v>0</v>
      </c>
      <c r="O267" s="27">
        <v>0</v>
      </c>
      <c r="P267" s="27">
        <v>0</v>
      </c>
      <c r="Q267" s="27">
        <v>0</v>
      </c>
      <c r="R267" s="27">
        <v>0</v>
      </c>
      <c r="S267" s="27">
        <v>0</v>
      </c>
      <c r="T267" s="27">
        <v>0</v>
      </c>
      <c r="U267" s="27">
        <v>20</v>
      </c>
      <c r="V267" s="27">
        <v>0</v>
      </c>
      <c r="W267" s="27">
        <v>0</v>
      </c>
      <c r="X267" s="27">
        <v>33</v>
      </c>
      <c r="Y267" s="27">
        <v>0</v>
      </c>
      <c r="Z267" s="27">
        <v>0</v>
      </c>
      <c r="AA267" s="27">
        <v>0</v>
      </c>
      <c r="AB267" s="27">
        <v>0</v>
      </c>
      <c r="AC267" s="27">
        <v>0</v>
      </c>
      <c r="AD267" s="27">
        <v>22</v>
      </c>
      <c r="AE267" s="27">
        <v>0</v>
      </c>
      <c r="AF267" s="27">
        <v>0</v>
      </c>
      <c r="AG267" s="26">
        <f t="shared" si="16"/>
        <v>75</v>
      </c>
      <c r="AH267" s="26">
        <f t="shared" si="17"/>
        <v>0</v>
      </c>
      <c r="AI267" s="26">
        <f t="shared" si="18"/>
        <v>0</v>
      </c>
      <c r="AJ267" s="15" t="s">
        <v>61</v>
      </c>
      <c r="AK267" s="15" t="s">
        <v>424</v>
      </c>
      <c r="AL267" s="15" t="s">
        <v>317</v>
      </c>
      <c r="AM267" s="19">
        <v>44831</v>
      </c>
    </row>
    <row r="268" spans="1:39" x14ac:dyDescent="0.2">
      <c r="A268" s="15" t="str">
        <f t="shared" si="19"/>
        <v>820759203236</v>
      </c>
      <c r="B268" s="14">
        <v>820759</v>
      </c>
      <c r="C268" s="14" t="s">
        <v>608</v>
      </c>
      <c r="D268" s="16">
        <v>203236</v>
      </c>
      <c r="E268" s="18" t="s">
        <v>172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0</v>
      </c>
      <c r="U268" s="27">
        <v>10</v>
      </c>
      <c r="V268" s="27">
        <v>0</v>
      </c>
      <c r="W268" s="27">
        <v>0</v>
      </c>
      <c r="X268" s="27">
        <v>0</v>
      </c>
      <c r="Y268" s="27">
        <v>0</v>
      </c>
      <c r="Z268" s="27">
        <v>0</v>
      </c>
      <c r="AA268" s="27">
        <v>59</v>
      </c>
      <c r="AB268" s="27">
        <v>0</v>
      </c>
      <c r="AC268" s="27">
        <v>0</v>
      </c>
      <c r="AD268" s="27">
        <v>31</v>
      </c>
      <c r="AE268" s="27">
        <v>0</v>
      </c>
      <c r="AF268" s="27">
        <v>0</v>
      </c>
      <c r="AG268" s="26">
        <f t="shared" si="16"/>
        <v>100</v>
      </c>
      <c r="AH268" s="26">
        <f t="shared" si="17"/>
        <v>0</v>
      </c>
      <c r="AI268" s="26">
        <f t="shared" si="18"/>
        <v>0</v>
      </c>
      <c r="AJ268" s="15" t="s">
        <v>61</v>
      </c>
      <c r="AK268" s="15" t="s">
        <v>424</v>
      </c>
      <c r="AL268" s="15" t="s">
        <v>317</v>
      </c>
      <c r="AM268" s="19">
        <v>44831</v>
      </c>
    </row>
    <row r="269" spans="1:39" x14ac:dyDescent="0.2">
      <c r="A269" s="15" t="str">
        <f t="shared" si="19"/>
        <v>820760212215</v>
      </c>
      <c r="B269" s="14">
        <v>820760</v>
      </c>
      <c r="C269" s="14" t="s">
        <v>609</v>
      </c>
      <c r="D269" s="16">
        <v>212215</v>
      </c>
      <c r="E269" s="18" t="s">
        <v>544</v>
      </c>
      <c r="F269" s="26">
        <v>0</v>
      </c>
      <c r="G269" s="26">
        <v>0</v>
      </c>
      <c r="H269" s="26">
        <v>0</v>
      </c>
      <c r="I269" s="26">
        <v>0</v>
      </c>
      <c r="J269" s="26">
        <v>0</v>
      </c>
      <c r="K269" s="26">
        <v>0</v>
      </c>
      <c r="L269" s="26">
        <v>0</v>
      </c>
      <c r="M269" s="26">
        <v>0</v>
      </c>
      <c r="N269" s="26">
        <v>0</v>
      </c>
      <c r="O269" s="27">
        <v>0</v>
      </c>
      <c r="P269" s="27">
        <v>0</v>
      </c>
      <c r="Q269" s="27">
        <v>0</v>
      </c>
      <c r="R269" s="27">
        <v>0</v>
      </c>
      <c r="S269" s="27">
        <v>0</v>
      </c>
      <c r="T269" s="27">
        <v>0</v>
      </c>
      <c r="U269" s="27">
        <v>0</v>
      </c>
      <c r="V269" s="27">
        <v>0</v>
      </c>
      <c r="W269" s="27">
        <v>0</v>
      </c>
      <c r="X269" s="27">
        <v>30</v>
      </c>
      <c r="Y269" s="27">
        <v>0</v>
      </c>
      <c r="Z269" s="27">
        <v>0</v>
      </c>
      <c r="AA269" s="27">
        <v>55</v>
      </c>
      <c r="AB269" s="27">
        <v>0</v>
      </c>
      <c r="AC269" s="27">
        <v>0</v>
      </c>
      <c r="AD269" s="27">
        <v>126.95</v>
      </c>
      <c r="AE269" s="27">
        <v>0</v>
      </c>
      <c r="AF269" s="27">
        <v>0</v>
      </c>
      <c r="AG269" s="26">
        <f t="shared" si="16"/>
        <v>211.95</v>
      </c>
      <c r="AH269" s="26">
        <f t="shared" si="17"/>
        <v>0</v>
      </c>
      <c r="AI269" s="26">
        <f t="shared" si="18"/>
        <v>0</v>
      </c>
      <c r="AJ269" s="15" t="s">
        <v>61</v>
      </c>
      <c r="AK269" s="15" t="s">
        <v>424</v>
      </c>
      <c r="AL269" s="15" t="s">
        <v>317</v>
      </c>
      <c r="AM269" s="19">
        <v>44831</v>
      </c>
    </row>
    <row r="270" spans="1:39" x14ac:dyDescent="0.2">
      <c r="A270" s="15" t="str">
        <f t="shared" si="19"/>
        <v>821009212829</v>
      </c>
      <c r="B270" s="14">
        <v>821009</v>
      </c>
      <c r="C270" s="14" t="s">
        <v>621</v>
      </c>
      <c r="D270" s="16">
        <v>212829</v>
      </c>
      <c r="E270" s="18" t="s">
        <v>546</v>
      </c>
      <c r="F270" s="26">
        <v>0</v>
      </c>
      <c r="G270" s="26">
        <v>0</v>
      </c>
      <c r="H270" s="26">
        <v>0</v>
      </c>
      <c r="I270" s="26">
        <v>0</v>
      </c>
      <c r="J270" s="26">
        <v>0</v>
      </c>
      <c r="K270" s="26">
        <v>0</v>
      </c>
      <c r="L270" s="26">
        <v>0</v>
      </c>
      <c r="M270" s="26">
        <v>0</v>
      </c>
      <c r="N270" s="26">
        <v>0</v>
      </c>
      <c r="O270" s="27">
        <v>0</v>
      </c>
      <c r="P270" s="27">
        <v>0</v>
      </c>
      <c r="Q270" s="27">
        <v>0</v>
      </c>
      <c r="R270" s="27">
        <v>0</v>
      </c>
      <c r="S270" s="27">
        <v>0</v>
      </c>
      <c r="T270" s="27">
        <v>0</v>
      </c>
      <c r="U270" s="27">
        <v>0</v>
      </c>
      <c r="V270" s="27">
        <v>0</v>
      </c>
      <c r="W270" s="27">
        <v>0</v>
      </c>
      <c r="X270" s="27">
        <v>17</v>
      </c>
      <c r="Y270" s="27">
        <v>0</v>
      </c>
      <c r="Z270" s="27">
        <v>0</v>
      </c>
      <c r="AA270" s="27">
        <v>48</v>
      </c>
      <c r="AB270" s="27">
        <v>0</v>
      </c>
      <c r="AC270" s="27">
        <v>0</v>
      </c>
      <c r="AD270" s="27">
        <v>70.5</v>
      </c>
      <c r="AE270" s="27">
        <v>0</v>
      </c>
      <c r="AF270" s="27">
        <v>0</v>
      </c>
      <c r="AG270" s="26">
        <f t="shared" si="16"/>
        <v>135.5</v>
      </c>
      <c r="AH270" s="26">
        <f t="shared" si="17"/>
        <v>0</v>
      </c>
      <c r="AI270" s="26">
        <f t="shared" si="18"/>
        <v>0</v>
      </c>
      <c r="AJ270" s="15" t="s">
        <v>61</v>
      </c>
      <c r="AK270" s="15" t="s">
        <v>424</v>
      </c>
      <c r="AL270" s="15" t="s">
        <v>317</v>
      </c>
      <c r="AM270" s="19">
        <v>44853</v>
      </c>
    </row>
    <row r="271" spans="1:39" x14ac:dyDescent="0.2">
      <c r="A271" s="15" t="str">
        <f t="shared" si="19"/>
        <v>820498201172</v>
      </c>
      <c r="B271" s="14">
        <v>820498</v>
      </c>
      <c r="C271" s="14" t="s">
        <v>599</v>
      </c>
      <c r="D271" s="16">
        <v>201172</v>
      </c>
      <c r="E271" s="18" t="s">
        <v>144</v>
      </c>
      <c r="F271" s="26">
        <v>0</v>
      </c>
      <c r="G271" s="26">
        <v>0</v>
      </c>
      <c r="H271" s="26">
        <v>0</v>
      </c>
      <c r="I271" s="26">
        <v>0</v>
      </c>
      <c r="J271" s="26">
        <v>0</v>
      </c>
      <c r="K271" s="26">
        <v>0</v>
      </c>
      <c r="L271" s="26">
        <v>0</v>
      </c>
      <c r="M271" s="26">
        <v>0</v>
      </c>
      <c r="N271" s="26">
        <v>0</v>
      </c>
      <c r="O271" s="27">
        <v>0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83.5</v>
      </c>
      <c r="V271" s="27">
        <v>0</v>
      </c>
      <c r="W271" s="27">
        <v>0</v>
      </c>
      <c r="X271" s="27">
        <v>161.5</v>
      </c>
      <c r="Y271" s="27">
        <v>0</v>
      </c>
      <c r="Z271" s="27">
        <v>12.5</v>
      </c>
      <c r="AA271" s="27">
        <v>83.75</v>
      </c>
      <c r="AB271" s="27">
        <v>0</v>
      </c>
      <c r="AC271" s="27">
        <v>8.75</v>
      </c>
      <c r="AD271" s="27">
        <v>180.85</v>
      </c>
      <c r="AE271" s="27">
        <v>0</v>
      </c>
      <c r="AF271" s="27">
        <v>22.25</v>
      </c>
      <c r="AG271" s="26">
        <f t="shared" si="16"/>
        <v>509.6</v>
      </c>
      <c r="AH271" s="26">
        <f t="shared" si="17"/>
        <v>0</v>
      </c>
      <c r="AI271" s="26">
        <f t="shared" si="18"/>
        <v>43.5</v>
      </c>
      <c r="AJ271" s="15" t="s">
        <v>604</v>
      </c>
      <c r="AK271" s="15" t="s">
        <v>424</v>
      </c>
      <c r="AL271" s="15" t="s">
        <v>317</v>
      </c>
      <c r="AM271" s="19">
        <v>44817</v>
      </c>
    </row>
    <row r="272" spans="1:39" x14ac:dyDescent="0.2">
      <c r="A272" s="15" t="str">
        <f t="shared" si="19"/>
        <v>820510171947</v>
      </c>
      <c r="B272" s="14">
        <v>820510</v>
      </c>
      <c r="C272" s="14" t="s">
        <v>600</v>
      </c>
      <c r="D272" s="16">
        <v>171947</v>
      </c>
      <c r="E272" s="18" t="s">
        <v>170</v>
      </c>
      <c r="F272" s="26">
        <v>0</v>
      </c>
      <c r="G272" s="26">
        <v>0</v>
      </c>
      <c r="H272" s="26">
        <v>0</v>
      </c>
      <c r="I272" s="26">
        <v>0</v>
      </c>
      <c r="J272" s="26">
        <v>0</v>
      </c>
      <c r="K272" s="26">
        <v>0</v>
      </c>
      <c r="L272" s="26">
        <v>0</v>
      </c>
      <c r="M272" s="26">
        <v>0</v>
      </c>
      <c r="N272" s="26">
        <v>0</v>
      </c>
      <c r="O272" s="27">
        <v>0</v>
      </c>
      <c r="P272" s="27">
        <v>0</v>
      </c>
      <c r="Q272" s="27">
        <v>0</v>
      </c>
      <c r="R272" s="27">
        <v>0</v>
      </c>
      <c r="S272" s="27">
        <v>0</v>
      </c>
      <c r="T272" s="27">
        <v>0</v>
      </c>
      <c r="U272" s="27">
        <v>15</v>
      </c>
      <c r="V272" s="27">
        <v>0</v>
      </c>
      <c r="W272" s="27">
        <v>0</v>
      </c>
      <c r="X272" s="27">
        <v>7.5</v>
      </c>
      <c r="Y272" s="27">
        <v>0</v>
      </c>
      <c r="Z272" s="27">
        <v>0</v>
      </c>
      <c r="AA272" s="27">
        <v>3</v>
      </c>
      <c r="AB272" s="27">
        <v>0</v>
      </c>
      <c r="AC272" s="27">
        <v>0</v>
      </c>
      <c r="AD272" s="27">
        <v>30</v>
      </c>
      <c r="AE272" s="27">
        <v>0</v>
      </c>
      <c r="AF272" s="27">
        <v>0</v>
      </c>
      <c r="AG272" s="26">
        <f t="shared" si="16"/>
        <v>55.5</v>
      </c>
      <c r="AH272" s="26">
        <f t="shared" si="17"/>
        <v>0</v>
      </c>
      <c r="AI272" s="26">
        <f t="shared" si="18"/>
        <v>0</v>
      </c>
      <c r="AJ272" s="15" t="s">
        <v>604</v>
      </c>
      <c r="AK272" s="15" t="s">
        <v>424</v>
      </c>
      <c r="AL272" s="15" t="s">
        <v>317</v>
      </c>
      <c r="AM272" s="19">
        <v>44817</v>
      </c>
    </row>
    <row r="273" spans="1:39" x14ac:dyDescent="0.2">
      <c r="A273" s="15" t="str">
        <f t="shared" si="19"/>
        <v>820513144868</v>
      </c>
      <c r="B273" s="14">
        <v>820513</v>
      </c>
      <c r="C273" s="14" t="s">
        <v>27</v>
      </c>
      <c r="D273" s="16">
        <v>144868</v>
      </c>
      <c r="E273" s="18" t="s">
        <v>158</v>
      </c>
      <c r="F273" s="26">
        <v>0</v>
      </c>
      <c r="G273" s="26">
        <v>0</v>
      </c>
      <c r="H273" s="26">
        <v>0</v>
      </c>
      <c r="I273" s="26">
        <v>0</v>
      </c>
      <c r="J273" s="26">
        <v>0</v>
      </c>
      <c r="K273" s="26">
        <v>0</v>
      </c>
      <c r="L273" s="26">
        <v>0</v>
      </c>
      <c r="M273" s="26">
        <v>0</v>
      </c>
      <c r="N273" s="26">
        <v>0</v>
      </c>
      <c r="O273" s="27">
        <v>0</v>
      </c>
      <c r="P273" s="27">
        <v>0</v>
      </c>
      <c r="Q273" s="27">
        <v>0</v>
      </c>
      <c r="R273" s="27">
        <v>0</v>
      </c>
      <c r="S273" s="27">
        <v>0</v>
      </c>
      <c r="T273" s="27">
        <v>0</v>
      </c>
      <c r="U273" s="27">
        <v>15</v>
      </c>
      <c r="V273" s="27">
        <v>0</v>
      </c>
      <c r="W273" s="27">
        <v>0</v>
      </c>
      <c r="X273" s="27">
        <v>17.5</v>
      </c>
      <c r="Y273" s="27">
        <v>0</v>
      </c>
      <c r="Z273" s="27">
        <v>0</v>
      </c>
      <c r="AA273" s="27">
        <v>28</v>
      </c>
      <c r="AB273" s="27">
        <v>0</v>
      </c>
      <c r="AC273" s="27">
        <v>0</v>
      </c>
      <c r="AD273" s="27">
        <v>10</v>
      </c>
      <c r="AE273" s="27">
        <v>0</v>
      </c>
      <c r="AF273" s="27">
        <v>0</v>
      </c>
      <c r="AG273" s="26">
        <f t="shared" si="16"/>
        <v>70.5</v>
      </c>
      <c r="AH273" s="26">
        <f t="shared" si="17"/>
        <v>0</v>
      </c>
      <c r="AI273" s="26">
        <f t="shared" si="18"/>
        <v>0</v>
      </c>
      <c r="AJ273" s="15" t="s">
        <v>604</v>
      </c>
      <c r="AK273" s="15" t="s">
        <v>424</v>
      </c>
      <c r="AL273" s="15" t="s">
        <v>317</v>
      </c>
      <c r="AM273" s="19">
        <v>44818</v>
      </c>
    </row>
    <row r="274" spans="1:39" x14ac:dyDescent="0.2">
      <c r="A274" s="15" t="str">
        <f t="shared" si="19"/>
        <v>820530119261</v>
      </c>
      <c r="B274" s="14">
        <v>820530</v>
      </c>
      <c r="C274" s="14" t="s">
        <v>601</v>
      </c>
      <c r="D274" s="16">
        <v>119261</v>
      </c>
      <c r="E274" s="18" t="s">
        <v>140</v>
      </c>
      <c r="F274" s="26">
        <v>0</v>
      </c>
      <c r="G274" s="26">
        <v>0</v>
      </c>
      <c r="H274" s="26">
        <v>0</v>
      </c>
      <c r="I274" s="26">
        <v>0</v>
      </c>
      <c r="J274" s="26">
        <v>0</v>
      </c>
      <c r="K274" s="26">
        <v>0</v>
      </c>
      <c r="L274" s="26">
        <v>0</v>
      </c>
      <c r="M274" s="26">
        <v>0</v>
      </c>
      <c r="N274" s="26">
        <v>0</v>
      </c>
      <c r="O274" s="27">
        <v>0</v>
      </c>
      <c r="P274" s="27">
        <v>0</v>
      </c>
      <c r="Q274" s="27">
        <v>0</v>
      </c>
      <c r="R274" s="27">
        <v>0</v>
      </c>
      <c r="S274" s="27">
        <v>0</v>
      </c>
      <c r="T274" s="27">
        <v>0</v>
      </c>
      <c r="U274" s="27">
        <v>37.5</v>
      </c>
      <c r="V274" s="27">
        <v>0</v>
      </c>
      <c r="W274" s="27">
        <v>0</v>
      </c>
      <c r="X274" s="27">
        <v>79.5</v>
      </c>
      <c r="Y274" s="27">
        <v>0</v>
      </c>
      <c r="Z274" s="27">
        <v>0</v>
      </c>
      <c r="AA274" s="27">
        <v>86</v>
      </c>
      <c r="AB274" s="27">
        <v>0</v>
      </c>
      <c r="AC274" s="27">
        <v>0</v>
      </c>
      <c r="AD274" s="27">
        <v>110</v>
      </c>
      <c r="AE274" s="27">
        <v>0</v>
      </c>
      <c r="AF274" s="27">
        <v>0</v>
      </c>
      <c r="AG274" s="26">
        <f t="shared" si="16"/>
        <v>313</v>
      </c>
      <c r="AH274" s="26">
        <f t="shared" si="17"/>
        <v>0</v>
      </c>
      <c r="AI274" s="26">
        <f t="shared" si="18"/>
        <v>0</v>
      </c>
      <c r="AJ274" s="15" t="s">
        <v>604</v>
      </c>
      <c r="AK274" s="15" t="s">
        <v>424</v>
      </c>
      <c r="AL274" s="15" t="s">
        <v>317</v>
      </c>
      <c r="AM274" s="19">
        <v>44819</v>
      </c>
    </row>
    <row r="275" spans="1:39" x14ac:dyDescent="0.2">
      <c r="A275" s="15" t="str">
        <f t="shared" si="19"/>
        <v>820566141512</v>
      </c>
      <c r="B275" s="14">
        <v>820566</v>
      </c>
      <c r="C275" s="14" t="s">
        <v>130</v>
      </c>
      <c r="D275" s="16">
        <v>141512</v>
      </c>
      <c r="E275" s="18" t="s">
        <v>106</v>
      </c>
      <c r="F275" s="26">
        <v>0</v>
      </c>
      <c r="G275" s="26">
        <v>0</v>
      </c>
      <c r="H275" s="26">
        <v>0</v>
      </c>
      <c r="I275" s="26">
        <v>0</v>
      </c>
      <c r="J275" s="26">
        <v>0</v>
      </c>
      <c r="K275" s="26">
        <v>0</v>
      </c>
      <c r="L275" s="26">
        <v>0</v>
      </c>
      <c r="M275" s="26">
        <v>0</v>
      </c>
      <c r="N275" s="26">
        <v>0</v>
      </c>
      <c r="O275" s="27">
        <v>0</v>
      </c>
      <c r="P275" s="27">
        <v>0</v>
      </c>
      <c r="Q275" s="27">
        <v>0</v>
      </c>
      <c r="R275" s="27">
        <v>0</v>
      </c>
      <c r="S275" s="27">
        <v>0</v>
      </c>
      <c r="T275" s="27">
        <v>0</v>
      </c>
      <c r="U275" s="27">
        <v>29</v>
      </c>
      <c r="V275" s="27">
        <v>0</v>
      </c>
      <c r="W275" s="27">
        <v>6.25</v>
      </c>
      <c r="X275" s="27">
        <v>43</v>
      </c>
      <c r="Y275" s="27">
        <v>0</v>
      </c>
      <c r="Z275" s="27">
        <v>0</v>
      </c>
      <c r="AA275" s="27">
        <v>51</v>
      </c>
      <c r="AB275" s="27">
        <v>0</v>
      </c>
      <c r="AC275" s="27">
        <v>0</v>
      </c>
      <c r="AD275" s="27">
        <v>52.5</v>
      </c>
      <c r="AE275" s="27">
        <v>0</v>
      </c>
      <c r="AF275" s="27">
        <v>0</v>
      </c>
      <c r="AG275" s="26">
        <f t="shared" si="16"/>
        <v>175.5</v>
      </c>
      <c r="AH275" s="26">
        <f t="shared" si="17"/>
        <v>0</v>
      </c>
      <c r="AI275" s="26">
        <f t="shared" si="18"/>
        <v>6.25</v>
      </c>
      <c r="AJ275" s="15" t="s">
        <v>604</v>
      </c>
      <c r="AK275" s="15" t="s">
        <v>424</v>
      </c>
      <c r="AL275" s="15" t="s">
        <v>317</v>
      </c>
      <c r="AM275" s="19">
        <v>44820</v>
      </c>
    </row>
    <row r="276" spans="1:39" x14ac:dyDescent="0.2">
      <c r="A276" s="15" t="str">
        <f t="shared" si="19"/>
        <v>820629205225</v>
      </c>
      <c r="B276" s="14">
        <v>820629</v>
      </c>
      <c r="C276" s="14" t="s">
        <v>603</v>
      </c>
      <c r="D276" s="16">
        <v>205225</v>
      </c>
      <c r="E276" s="18" t="s">
        <v>26</v>
      </c>
      <c r="F276" s="26">
        <v>0</v>
      </c>
      <c r="G276" s="26">
        <v>0</v>
      </c>
      <c r="H276" s="26">
        <v>0</v>
      </c>
      <c r="I276" s="26">
        <v>0</v>
      </c>
      <c r="J276" s="26">
        <v>0</v>
      </c>
      <c r="K276" s="26">
        <v>0</v>
      </c>
      <c r="L276" s="26">
        <v>0</v>
      </c>
      <c r="M276" s="26">
        <v>0</v>
      </c>
      <c r="N276" s="26">
        <v>0</v>
      </c>
      <c r="O276" s="27">
        <v>0</v>
      </c>
      <c r="P276" s="27">
        <v>0</v>
      </c>
      <c r="Q276" s="27">
        <v>0</v>
      </c>
      <c r="R276" s="27">
        <v>0</v>
      </c>
      <c r="S276" s="27">
        <v>0</v>
      </c>
      <c r="T276" s="27">
        <v>0</v>
      </c>
      <c r="U276" s="27">
        <v>50</v>
      </c>
      <c r="V276" s="27">
        <v>0</v>
      </c>
      <c r="W276" s="27">
        <v>0</v>
      </c>
      <c r="X276" s="27">
        <v>116.3</v>
      </c>
      <c r="Y276" s="27">
        <v>6.8</v>
      </c>
      <c r="Z276" s="27">
        <v>0</v>
      </c>
      <c r="AA276" s="27">
        <v>102.5</v>
      </c>
      <c r="AB276" s="27">
        <v>0</v>
      </c>
      <c r="AC276" s="27">
        <v>0</v>
      </c>
      <c r="AD276" s="27">
        <v>125</v>
      </c>
      <c r="AE276" s="27">
        <v>0</v>
      </c>
      <c r="AF276" s="27">
        <v>15</v>
      </c>
      <c r="AG276" s="26">
        <f t="shared" si="16"/>
        <v>393.8</v>
      </c>
      <c r="AH276" s="26">
        <f t="shared" si="17"/>
        <v>6.8</v>
      </c>
      <c r="AI276" s="26">
        <f t="shared" si="18"/>
        <v>15</v>
      </c>
      <c r="AJ276" s="15" t="s">
        <v>604</v>
      </c>
      <c r="AK276" s="15" t="s">
        <v>424</v>
      </c>
      <c r="AL276" s="15" t="s">
        <v>317</v>
      </c>
      <c r="AM276" s="19">
        <v>44824</v>
      </c>
    </row>
    <row r="277" spans="1:39" x14ac:dyDescent="0.2">
      <c r="A277" s="15" t="str">
        <f t="shared" si="19"/>
        <v>803018176276</v>
      </c>
      <c r="B277" s="32">
        <v>803018</v>
      </c>
      <c r="C277" s="32" t="s">
        <v>173</v>
      </c>
      <c r="D277" s="17">
        <v>176276</v>
      </c>
      <c r="E277" s="15" t="s">
        <v>151</v>
      </c>
      <c r="F277" s="26">
        <v>25</v>
      </c>
      <c r="G277" s="26">
        <v>0</v>
      </c>
      <c r="H277" s="26">
        <v>0</v>
      </c>
      <c r="I277" s="26">
        <v>7.5</v>
      </c>
      <c r="J277" s="26">
        <v>0</v>
      </c>
      <c r="K277" s="26">
        <v>0</v>
      </c>
      <c r="L277" s="26">
        <v>10</v>
      </c>
      <c r="M277" s="26">
        <v>0</v>
      </c>
      <c r="N277" s="26">
        <v>0</v>
      </c>
      <c r="O277" s="27">
        <v>10</v>
      </c>
      <c r="P277" s="27">
        <v>0</v>
      </c>
      <c r="Q277" s="27">
        <v>0</v>
      </c>
      <c r="R277" s="27">
        <v>12.5</v>
      </c>
      <c r="S277" s="27">
        <v>0</v>
      </c>
      <c r="T277" s="27">
        <v>0</v>
      </c>
      <c r="U277" s="27">
        <v>30</v>
      </c>
      <c r="V277" s="27">
        <v>0</v>
      </c>
      <c r="W277" s="27">
        <v>0</v>
      </c>
      <c r="X277" s="27">
        <v>0</v>
      </c>
      <c r="Y277" s="27">
        <v>0</v>
      </c>
      <c r="Z277" s="27">
        <v>0</v>
      </c>
      <c r="AA277" s="27">
        <v>0</v>
      </c>
      <c r="AB277" s="27">
        <v>0</v>
      </c>
      <c r="AC277" s="27">
        <v>0</v>
      </c>
      <c r="AD277" s="27">
        <v>5</v>
      </c>
      <c r="AE277" s="27">
        <v>0</v>
      </c>
      <c r="AF277" s="27">
        <v>0</v>
      </c>
      <c r="AG277" s="26">
        <f t="shared" si="16"/>
        <v>100</v>
      </c>
      <c r="AH277" s="26">
        <f t="shared" si="17"/>
        <v>0</v>
      </c>
      <c r="AI277" s="26">
        <f t="shared" si="18"/>
        <v>0</v>
      </c>
      <c r="AJ277" s="15" t="s">
        <v>424</v>
      </c>
      <c r="AK277" s="15" t="s">
        <v>424</v>
      </c>
      <c r="AL277" s="15" t="s">
        <v>317</v>
      </c>
      <c r="AM277" s="19">
        <v>41607</v>
      </c>
    </row>
    <row r="278" spans="1:39" x14ac:dyDescent="0.2">
      <c r="A278" s="15" t="str">
        <f t="shared" si="19"/>
        <v>803698172976</v>
      </c>
      <c r="B278" s="32">
        <v>803698</v>
      </c>
      <c r="C278" s="32" t="s">
        <v>305</v>
      </c>
      <c r="D278" s="17">
        <v>172976</v>
      </c>
      <c r="E278" s="15" t="s">
        <v>218</v>
      </c>
      <c r="F278" s="26">
        <v>40</v>
      </c>
      <c r="G278" s="26">
        <v>0</v>
      </c>
      <c r="H278" s="26">
        <v>0</v>
      </c>
      <c r="I278" s="26">
        <v>30</v>
      </c>
      <c r="J278" s="26">
        <v>0</v>
      </c>
      <c r="K278" s="26">
        <v>0</v>
      </c>
      <c r="L278" s="26">
        <v>27.5</v>
      </c>
      <c r="M278" s="26">
        <v>0</v>
      </c>
      <c r="N278" s="26">
        <v>0</v>
      </c>
      <c r="O278" s="27">
        <v>24</v>
      </c>
      <c r="P278" s="27">
        <v>0</v>
      </c>
      <c r="Q278" s="27">
        <v>0</v>
      </c>
      <c r="R278" s="27">
        <v>15</v>
      </c>
      <c r="S278" s="27">
        <v>3.5</v>
      </c>
      <c r="T278" s="27">
        <v>0</v>
      </c>
      <c r="U278" s="27">
        <v>27.5</v>
      </c>
      <c r="V278" s="27">
        <v>0</v>
      </c>
      <c r="W278" s="27">
        <v>0</v>
      </c>
      <c r="X278" s="27">
        <v>36</v>
      </c>
      <c r="Y278" s="27">
        <v>0</v>
      </c>
      <c r="Z278" s="27">
        <v>3.5</v>
      </c>
      <c r="AA278" s="27">
        <v>20</v>
      </c>
      <c r="AB278" s="27">
        <v>0</v>
      </c>
      <c r="AC278" s="27">
        <v>0</v>
      </c>
      <c r="AD278" s="27">
        <v>29.5</v>
      </c>
      <c r="AE278" s="27">
        <v>0</v>
      </c>
      <c r="AF278" s="27">
        <v>0</v>
      </c>
      <c r="AG278" s="26">
        <f t="shared" si="16"/>
        <v>249.5</v>
      </c>
      <c r="AH278" s="26">
        <f t="shared" si="17"/>
        <v>3.5</v>
      </c>
      <c r="AI278" s="26">
        <f t="shared" si="18"/>
        <v>3.5</v>
      </c>
      <c r="AJ278" s="15" t="s">
        <v>424</v>
      </c>
      <c r="AK278" s="15" t="s">
        <v>424</v>
      </c>
      <c r="AL278" s="15" t="s">
        <v>317</v>
      </c>
      <c r="AM278" s="19">
        <v>41962</v>
      </c>
    </row>
    <row r="279" spans="1:39" x14ac:dyDescent="0.2">
      <c r="A279" s="15" t="str">
        <f t="shared" si="19"/>
        <v>804818119261</v>
      </c>
      <c r="B279" s="32">
        <v>804818</v>
      </c>
      <c r="C279" s="32" t="s">
        <v>235</v>
      </c>
      <c r="D279" s="17">
        <v>119261</v>
      </c>
      <c r="E279" s="15" t="s">
        <v>140</v>
      </c>
      <c r="F279" s="26">
        <v>50</v>
      </c>
      <c r="G279" s="26">
        <v>0</v>
      </c>
      <c r="H279" s="26">
        <v>0</v>
      </c>
      <c r="I279" s="26">
        <v>35</v>
      </c>
      <c r="J279" s="26">
        <v>0</v>
      </c>
      <c r="K279" s="26">
        <v>0</v>
      </c>
      <c r="L279" s="26">
        <v>75</v>
      </c>
      <c r="M279" s="26">
        <v>0</v>
      </c>
      <c r="N279" s="26">
        <v>0</v>
      </c>
      <c r="O279" s="27">
        <v>50</v>
      </c>
      <c r="P279" s="27">
        <v>0</v>
      </c>
      <c r="Q279" s="27">
        <v>0</v>
      </c>
      <c r="R279" s="27">
        <v>0</v>
      </c>
      <c r="S279" s="27">
        <v>0</v>
      </c>
      <c r="T279" s="27">
        <v>0</v>
      </c>
      <c r="U279" s="27">
        <v>75</v>
      </c>
      <c r="V279" s="27">
        <v>0</v>
      </c>
      <c r="W279" s="27">
        <v>0</v>
      </c>
      <c r="X279" s="27">
        <v>79.5</v>
      </c>
      <c r="Y279" s="27">
        <v>0</v>
      </c>
      <c r="Z279" s="27">
        <v>0</v>
      </c>
      <c r="AA279" s="27">
        <v>75</v>
      </c>
      <c r="AB279" s="27">
        <v>0</v>
      </c>
      <c r="AC279" s="27">
        <v>0</v>
      </c>
      <c r="AD279" s="27">
        <v>135</v>
      </c>
      <c r="AE279" s="27">
        <v>0</v>
      </c>
      <c r="AF279" s="27">
        <v>0</v>
      </c>
      <c r="AG279" s="26">
        <f t="shared" si="16"/>
        <v>574.5</v>
      </c>
      <c r="AH279" s="26">
        <f t="shared" si="17"/>
        <v>0</v>
      </c>
      <c r="AI279" s="26">
        <f t="shared" si="18"/>
        <v>0</v>
      </c>
      <c r="AJ279" s="15" t="s">
        <v>424</v>
      </c>
      <c r="AK279" s="15" t="s">
        <v>424</v>
      </c>
      <c r="AL279" s="15" t="s">
        <v>317</v>
      </c>
      <c r="AM279" s="19">
        <v>42408</v>
      </c>
    </row>
    <row r="280" spans="1:39" x14ac:dyDescent="0.2">
      <c r="A280" s="15" t="str">
        <f t="shared" si="19"/>
        <v>804978176276</v>
      </c>
      <c r="B280" s="32">
        <v>804978</v>
      </c>
      <c r="C280" s="32" t="s">
        <v>426</v>
      </c>
      <c r="D280" s="15">
        <v>176276</v>
      </c>
      <c r="E280" s="15" t="s">
        <v>151</v>
      </c>
      <c r="F280" s="26">
        <v>0</v>
      </c>
      <c r="G280" s="26">
        <v>0</v>
      </c>
      <c r="H280" s="26">
        <v>0</v>
      </c>
      <c r="I280" s="26">
        <v>0</v>
      </c>
      <c r="J280" s="26">
        <v>0</v>
      </c>
      <c r="K280" s="26">
        <v>0</v>
      </c>
      <c r="L280" s="26">
        <v>0</v>
      </c>
      <c r="M280" s="26">
        <v>0</v>
      </c>
      <c r="N280" s="26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  <c r="V280" s="27">
        <v>0</v>
      </c>
      <c r="W280" s="27">
        <v>0</v>
      </c>
      <c r="X280" s="27">
        <v>0</v>
      </c>
      <c r="Y280" s="27">
        <v>0</v>
      </c>
      <c r="Z280" s="27">
        <v>0</v>
      </c>
      <c r="AA280" s="27">
        <v>0</v>
      </c>
      <c r="AB280" s="27">
        <v>0</v>
      </c>
      <c r="AC280" s="27">
        <v>0</v>
      </c>
      <c r="AD280" s="27">
        <v>0</v>
      </c>
      <c r="AE280" s="27">
        <v>0</v>
      </c>
      <c r="AF280" s="27">
        <v>0</v>
      </c>
      <c r="AG280" s="26">
        <f t="shared" si="16"/>
        <v>0</v>
      </c>
      <c r="AH280" s="26">
        <f t="shared" si="17"/>
        <v>0</v>
      </c>
      <c r="AI280" s="26">
        <f t="shared" si="18"/>
        <v>0</v>
      </c>
      <c r="AJ280" s="15" t="s">
        <v>424</v>
      </c>
      <c r="AK280" s="15" t="s">
        <v>424</v>
      </c>
      <c r="AL280" s="15" t="s">
        <v>317</v>
      </c>
      <c r="AM280" s="19">
        <v>42485</v>
      </c>
    </row>
    <row r="281" spans="1:39" x14ac:dyDescent="0.2">
      <c r="A281" s="15" t="str">
        <f t="shared" si="19"/>
        <v>805005146845</v>
      </c>
      <c r="B281" s="32">
        <v>805005</v>
      </c>
      <c r="C281" s="32" t="s">
        <v>234</v>
      </c>
      <c r="D281" s="17">
        <v>146845</v>
      </c>
      <c r="E281" s="15" t="s">
        <v>205</v>
      </c>
      <c r="F281" s="26">
        <v>45</v>
      </c>
      <c r="G281" s="26">
        <v>0</v>
      </c>
      <c r="H281" s="26">
        <v>0</v>
      </c>
      <c r="I281" s="26">
        <v>7.5</v>
      </c>
      <c r="J281" s="26">
        <v>0</v>
      </c>
      <c r="K281" s="26">
        <v>0</v>
      </c>
      <c r="L281" s="26">
        <v>0</v>
      </c>
      <c r="M281" s="26">
        <v>0</v>
      </c>
      <c r="N281" s="26">
        <v>0</v>
      </c>
      <c r="O281" s="27">
        <v>0</v>
      </c>
      <c r="P281" s="27">
        <v>0</v>
      </c>
      <c r="Q281" s="27">
        <v>0</v>
      </c>
      <c r="R281" s="27">
        <v>0</v>
      </c>
      <c r="S281" s="27">
        <v>0</v>
      </c>
      <c r="T281" s="27">
        <v>0</v>
      </c>
      <c r="U281" s="27">
        <v>0</v>
      </c>
      <c r="V281" s="27">
        <v>0</v>
      </c>
      <c r="W281" s="27">
        <v>0</v>
      </c>
      <c r="X281" s="27">
        <v>0</v>
      </c>
      <c r="Y281" s="27">
        <v>0</v>
      </c>
      <c r="Z281" s="27">
        <v>0</v>
      </c>
      <c r="AA281" s="27">
        <v>0</v>
      </c>
      <c r="AB281" s="27">
        <v>0</v>
      </c>
      <c r="AC281" s="27">
        <v>0</v>
      </c>
      <c r="AD281" s="27">
        <v>0</v>
      </c>
      <c r="AE281" s="27">
        <v>0</v>
      </c>
      <c r="AF281" s="27">
        <v>0</v>
      </c>
      <c r="AG281" s="26">
        <f t="shared" si="16"/>
        <v>52.5</v>
      </c>
      <c r="AH281" s="26">
        <f t="shared" si="17"/>
        <v>0</v>
      </c>
      <c r="AI281" s="26">
        <f t="shared" si="18"/>
        <v>0</v>
      </c>
      <c r="AJ281" s="15" t="s">
        <v>424</v>
      </c>
      <c r="AK281" s="15" t="s">
        <v>424</v>
      </c>
      <c r="AL281" s="15" t="s">
        <v>317</v>
      </c>
      <c r="AM281" s="19">
        <v>42490</v>
      </c>
    </row>
    <row r="282" spans="1:39" x14ac:dyDescent="0.2">
      <c r="A282" s="15" t="str">
        <f t="shared" si="19"/>
        <v>805378176276</v>
      </c>
      <c r="B282" s="32">
        <v>805378</v>
      </c>
      <c r="C282" s="32" t="s">
        <v>175</v>
      </c>
      <c r="D282" s="17">
        <v>176276</v>
      </c>
      <c r="E282" s="15" t="s">
        <v>151</v>
      </c>
      <c r="F282" s="26">
        <v>259.5</v>
      </c>
      <c r="G282" s="26">
        <v>0</v>
      </c>
      <c r="H282" s="26">
        <v>0</v>
      </c>
      <c r="I282" s="26">
        <v>105</v>
      </c>
      <c r="J282" s="26">
        <v>0</v>
      </c>
      <c r="K282" s="26">
        <v>0</v>
      </c>
      <c r="L282" s="26">
        <v>125</v>
      </c>
      <c r="M282" s="26">
        <v>0</v>
      </c>
      <c r="N282" s="26">
        <v>15</v>
      </c>
      <c r="O282" s="27">
        <v>69</v>
      </c>
      <c r="P282" s="27">
        <v>0</v>
      </c>
      <c r="Q282" s="27">
        <v>5</v>
      </c>
      <c r="R282" s="27">
        <v>141.5</v>
      </c>
      <c r="S282" s="27">
        <v>5</v>
      </c>
      <c r="T282" s="27">
        <v>0</v>
      </c>
      <c r="U282" s="27">
        <v>125</v>
      </c>
      <c r="V282" s="27">
        <v>0</v>
      </c>
      <c r="W282" s="27">
        <v>0</v>
      </c>
      <c r="X282" s="27">
        <v>20</v>
      </c>
      <c r="Y282" s="27">
        <v>0</v>
      </c>
      <c r="Z282" s="27">
        <v>0</v>
      </c>
      <c r="AA282" s="27">
        <v>30</v>
      </c>
      <c r="AB282" s="27">
        <v>0</v>
      </c>
      <c r="AC282" s="27">
        <v>0</v>
      </c>
      <c r="AD282" s="27">
        <v>157.5</v>
      </c>
      <c r="AE282" s="27">
        <v>0</v>
      </c>
      <c r="AF282" s="27">
        <v>0</v>
      </c>
      <c r="AG282" s="26">
        <f t="shared" si="16"/>
        <v>1032.5</v>
      </c>
      <c r="AH282" s="26">
        <f t="shared" si="17"/>
        <v>5</v>
      </c>
      <c r="AI282" s="26">
        <f t="shared" si="18"/>
        <v>20</v>
      </c>
      <c r="AJ282" s="15" t="s">
        <v>424</v>
      </c>
      <c r="AK282" s="15" t="s">
        <v>424</v>
      </c>
      <c r="AL282" s="15" t="s">
        <v>317</v>
      </c>
      <c r="AM282" s="19">
        <v>42580</v>
      </c>
    </row>
    <row r="283" spans="1:39" x14ac:dyDescent="0.2">
      <c r="A283" s="15" t="str">
        <f t="shared" si="19"/>
        <v>805869176821</v>
      </c>
      <c r="B283" s="32">
        <v>805869</v>
      </c>
      <c r="C283" s="32" t="s">
        <v>470</v>
      </c>
      <c r="D283" s="15">
        <v>176821</v>
      </c>
      <c r="E283" s="15" t="s">
        <v>471</v>
      </c>
      <c r="F283" s="26">
        <v>5</v>
      </c>
      <c r="G283" s="26">
        <v>5</v>
      </c>
      <c r="H283" s="26">
        <v>0</v>
      </c>
      <c r="I283" s="26">
        <v>0</v>
      </c>
      <c r="J283" s="26">
        <v>5</v>
      </c>
      <c r="K283" s="26">
        <v>0</v>
      </c>
      <c r="L283" s="26">
        <v>17.5</v>
      </c>
      <c r="M283" s="26">
        <v>14</v>
      </c>
      <c r="N283" s="26">
        <v>2.5</v>
      </c>
      <c r="O283" s="27">
        <v>0</v>
      </c>
      <c r="P283" s="27">
        <v>0</v>
      </c>
      <c r="Q283" s="27">
        <v>0</v>
      </c>
      <c r="R283" s="27">
        <v>0</v>
      </c>
      <c r="S283" s="27">
        <v>0</v>
      </c>
      <c r="T283" s="27">
        <v>0</v>
      </c>
      <c r="U283" s="27">
        <v>0</v>
      </c>
      <c r="V283" s="27">
        <v>0</v>
      </c>
      <c r="W283" s="27">
        <v>0</v>
      </c>
      <c r="X283" s="27">
        <v>0</v>
      </c>
      <c r="Y283" s="27">
        <v>0</v>
      </c>
      <c r="Z283" s="27">
        <v>0</v>
      </c>
      <c r="AA283" s="27">
        <v>0</v>
      </c>
      <c r="AB283" s="27">
        <v>0</v>
      </c>
      <c r="AC283" s="27">
        <v>0</v>
      </c>
      <c r="AD283" s="27">
        <v>0</v>
      </c>
      <c r="AE283" s="27">
        <v>0</v>
      </c>
      <c r="AF283" s="27">
        <v>0</v>
      </c>
      <c r="AG283" s="26">
        <f t="shared" si="16"/>
        <v>22.5</v>
      </c>
      <c r="AH283" s="26">
        <f t="shared" si="17"/>
        <v>24</v>
      </c>
      <c r="AI283" s="26">
        <f t="shared" si="18"/>
        <v>2.5</v>
      </c>
      <c r="AJ283" s="15" t="s">
        <v>424</v>
      </c>
      <c r="AK283" s="15" t="s">
        <v>424</v>
      </c>
      <c r="AL283" s="15" t="s">
        <v>317</v>
      </c>
      <c r="AM283" s="19">
        <v>42724</v>
      </c>
    </row>
    <row r="284" spans="1:39" x14ac:dyDescent="0.2">
      <c r="A284" s="15" t="str">
        <f t="shared" si="19"/>
        <v>806296179796</v>
      </c>
      <c r="B284" s="32">
        <v>806296</v>
      </c>
      <c r="C284" s="32" t="s">
        <v>259</v>
      </c>
      <c r="D284" s="17">
        <v>179796</v>
      </c>
      <c r="E284" s="15" t="s">
        <v>165</v>
      </c>
      <c r="F284" s="26">
        <v>16</v>
      </c>
      <c r="G284" s="26">
        <v>0</v>
      </c>
      <c r="H284" s="26">
        <v>0</v>
      </c>
      <c r="I284" s="26">
        <v>13.5</v>
      </c>
      <c r="J284" s="26">
        <v>0</v>
      </c>
      <c r="K284" s="26">
        <v>0</v>
      </c>
      <c r="L284" s="26">
        <v>43</v>
      </c>
      <c r="M284" s="26">
        <v>0</v>
      </c>
      <c r="N284" s="26">
        <v>0</v>
      </c>
      <c r="O284" s="27">
        <v>25.5</v>
      </c>
      <c r="P284" s="27">
        <v>0</v>
      </c>
      <c r="Q284" s="27">
        <v>0</v>
      </c>
      <c r="R284" s="27">
        <v>43</v>
      </c>
      <c r="S284" s="27">
        <v>0</v>
      </c>
      <c r="T284" s="27">
        <v>0</v>
      </c>
      <c r="U284" s="27">
        <v>54</v>
      </c>
      <c r="V284" s="27">
        <v>0</v>
      </c>
      <c r="W284" s="27">
        <v>0</v>
      </c>
      <c r="X284" s="27">
        <v>32</v>
      </c>
      <c r="Y284" s="27">
        <v>0</v>
      </c>
      <c r="Z284" s="27">
        <v>0</v>
      </c>
      <c r="AA284" s="27">
        <v>51.3</v>
      </c>
      <c r="AB284" s="27">
        <v>0</v>
      </c>
      <c r="AC284" s="27">
        <v>0</v>
      </c>
      <c r="AD284" s="27">
        <v>35</v>
      </c>
      <c r="AE284" s="27">
        <v>0</v>
      </c>
      <c r="AF284" s="27">
        <v>0</v>
      </c>
      <c r="AG284" s="26">
        <f t="shared" si="16"/>
        <v>313.3</v>
      </c>
      <c r="AH284" s="26">
        <f t="shared" si="17"/>
        <v>0</v>
      </c>
      <c r="AI284" s="26">
        <f t="shared" si="18"/>
        <v>0</v>
      </c>
      <c r="AJ284" s="15" t="s">
        <v>424</v>
      </c>
      <c r="AK284" s="15" t="s">
        <v>424</v>
      </c>
      <c r="AL284" s="15" t="s">
        <v>317</v>
      </c>
      <c r="AM284" s="19">
        <v>42853</v>
      </c>
    </row>
    <row r="285" spans="1:39" x14ac:dyDescent="0.2">
      <c r="A285" s="15" t="str">
        <f t="shared" si="19"/>
        <v>806511208268</v>
      </c>
      <c r="B285" s="32">
        <v>806511</v>
      </c>
      <c r="C285" s="32" t="s">
        <v>201</v>
      </c>
      <c r="D285" s="15">
        <v>208268</v>
      </c>
      <c r="E285" s="15" t="s">
        <v>351</v>
      </c>
      <c r="F285" s="26">
        <v>0</v>
      </c>
      <c r="G285" s="26">
        <v>0</v>
      </c>
      <c r="H285" s="26">
        <v>0</v>
      </c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7">
        <v>0</v>
      </c>
      <c r="P285" s="27">
        <v>0</v>
      </c>
      <c r="Q285" s="27">
        <v>0</v>
      </c>
      <c r="R285" s="27">
        <v>0</v>
      </c>
      <c r="S285" s="27">
        <v>0</v>
      </c>
      <c r="T285" s="27">
        <v>0</v>
      </c>
      <c r="U285" s="27">
        <v>0</v>
      </c>
      <c r="V285" s="27">
        <v>0</v>
      </c>
      <c r="W285" s="27">
        <v>0</v>
      </c>
      <c r="X285" s="27">
        <v>0</v>
      </c>
      <c r="Y285" s="27">
        <v>0</v>
      </c>
      <c r="Z285" s="27">
        <v>0</v>
      </c>
      <c r="AA285" s="27">
        <v>0</v>
      </c>
      <c r="AB285" s="27">
        <v>0</v>
      </c>
      <c r="AC285" s="27">
        <v>0</v>
      </c>
      <c r="AD285" s="27">
        <v>0</v>
      </c>
      <c r="AE285" s="27">
        <v>0</v>
      </c>
      <c r="AF285" s="27">
        <v>0</v>
      </c>
      <c r="AG285" s="26">
        <f t="shared" si="16"/>
        <v>0</v>
      </c>
      <c r="AH285" s="26">
        <f t="shared" si="17"/>
        <v>0</v>
      </c>
      <c r="AI285" s="26">
        <f t="shared" si="18"/>
        <v>0</v>
      </c>
      <c r="AJ285" s="15" t="s">
        <v>424</v>
      </c>
      <c r="AK285" s="15" t="s">
        <v>424</v>
      </c>
      <c r="AL285" s="15" t="s">
        <v>317</v>
      </c>
      <c r="AM285" s="19">
        <v>42909</v>
      </c>
    </row>
    <row r="286" spans="1:39" x14ac:dyDescent="0.2">
      <c r="A286" s="15" t="str">
        <f t="shared" si="19"/>
        <v>806511212409</v>
      </c>
      <c r="B286" s="14">
        <v>806511</v>
      </c>
      <c r="C286" s="14" t="s">
        <v>201</v>
      </c>
      <c r="D286" s="16">
        <v>212409</v>
      </c>
      <c r="E286" s="18" t="s">
        <v>529</v>
      </c>
      <c r="F286" s="26">
        <v>0</v>
      </c>
      <c r="G286" s="26">
        <v>0</v>
      </c>
      <c r="H286" s="26">
        <v>0</v>
      </c>
      <c r="I286" s="26">
        <v>4.5</v>
      </c>
      <c r="J286" s="26">
        <v>0</v>
      </c>
      <c r="K286" s="26">
        <v>0</v>
      </c>
      <c r="L286" s="26">
        <v>3</v>
      </c>
      <c r="M286" s="26">
        <v>0</v>
      </c>
      <c r="N286" s="26">
        <v>0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12</v>
      </c>
      <c r="V286" s="27">
        <v>0</v>
      </c>
      <c r="W286" s="27">
        <v>0</v>
      </c>
      <c r="X286" s="27">
        <v>2.5</v>
      </c>
      <c r="Y286" s="27">
        <v>0</v>
      </c>
      <c r="Z286" s="27">
        <v>0</v>
      </c>
      <c r="AA286" s="27">
        <v>5</v>
      </c>
      <c r="AB286" s="27">
        <v>0</v>
      </c>
      <c r="AC286" s="27">
        <v>0</v>
      </c>
      <c r="AD286" s="27">
        <v>5</v>
      </c>
      <c r="AE286" s="27">
        <v>0</v>
      </c>
      <c r="AF286" s="27">
        <v>0</v>
      </c>
      <c r="AG286" s="26">
        <f t="shared" si="16"/>
        <v>32</v>
      </c>
      <c r="AH286" s="26">
        <f t="shared" si="17"/>
        <v>0</v>
      </c>
      <c r="AI286" s="26">
        <f t="shared" si="18"/>
        <v>0</v>
      </c>
      <c r="AJ286" s="15" t="s">
        <v>424</v>
      </c>
      <c r="AK286" s="15" t="s">
        <v>424</v>
      </c>
      <c r="AL286" s="15" t="s">
        <v>317</v>
      </c>
      <c r="AM286" s="19">
        <v>42909</v>
      </c>
    </row>
    <row r="287" spans="1:39" x14ac:dyDescent="0.2">
      <c r="A287" s="15" t="str">
        <f t="shared" si="19"/>
        <v>806616141512</v>
      </c>
      <c r="B287" s="32">
        <v>806616</v>
      </c>
      <c r="C287" s="32" t="s">
        <v>189</v>
      </c>
      <c r="D287" s="17">
        <v>141512</v>
      </c>
      <c r="E287" s="15" t="s">
        <v>106</v>
      </c>
      <c r="F287" s="26">
        <v>15</v>
      </c>
      <c r="G287" s="26">
        <v>0</v>
      </c>
      <c r="H287" s="26">
        <v>0</v>
      </c>
      <c r="I287" s="26">
        <v>43.5</v>
      </c>
      <c r="J287" s="26">
        <v>0</v>
      </c>
      <c r="K287" s="26">
        <v>0</v>
      </c>
      <c r="L287" s="26">
        <v>76</v>
      </c>
      <c r="M287" s="26">
        <v>0</v>
      </c>
      <c r="N287" s="26">
        <v>0</v>
      </c>
      <c r="O287" s="27">
        <v>55</v>
      </c>
      <c r="P287" s="27">
        <v>0</v>
      </c>
      <c r="Q287" s="27">
        <v>0</v>
      </c>
      <c r="R287" s="27">
        <v>53</v>
      </c>
      <c r="S287" s="27">
        <v>0</v>
      </c>
      <c r="T287" s="27">
        <v>0</v>
      </c>
      <c r="U287" s="27">
        <v>55.5</v>
      </c>
      <c r="V287" s="27">
        <v>0</v>
      </c>
      <c r="W287" s="27">
        <v>0</v>
      </c>
      <c r="X287" s="27">
        <v>58.5</v>
      </c>
      <c r="Y287" s="27">
        <v>6.5</v>
      </c>
      <c r="Z287" s="27">
        <v>8.5</v>
      </c>
      <c r="AA287" s="27">
        <v>75.5</v>
      </c>
      <c r="AB287" s="27">
        <v>0</v>
      </c>
      <c r="AC287" s="27">
        <v>0</v>
      </c>
      <c r="AD287" s="27">
        <v>62.25</v>
      </c>
      <c r="AE287" s="27">
        <v>0</v>
      </c>
      <c r="AF287" s="27">
        <v>0</v>
      </c>
      <c r="AG287" s="26">
        <f t="shared" si="16"/>
        <v>494.25</v>
      </c>
      <c r="AH287" s="26">
        <f t="shared" si="17"/>
        <v>6.5</v>
      </c>
      <c r="AI287" s="26">
        <f t="shared" si="18"/>
        <v>8.5</v>
      </c>
      <c r="AJ287" s="15" t="s">
        <v>424</v>
      </c>
      <c r="AK287" s="15" t="s">
        <v>424</v>
      </c>
      <c r="AL287" s="15" t="s">
        <v>317</v>
      </c>
      <c r="AM287" s="19">
        <v>42935</v>
      </c>
    </row>
    <row r="288" spans="1:39" x14ac:dyDescent="0.2">
      <c r="A288" s="15" t="str">
        <f t="shared" si="19"/>
        <v>806887119071</v>
      </c>
      <c r="B288" s="32">
        <v>806887</v>
      </c>
      <c r="C288" s="32" t="s">
        <v>255</v>
      </c>
      <c r="D288" s="17">
        <v>119071</v>
      </c>
      <c r="E288" s="15" t="s">
        <v>154</v>
      </c>
      <c r="F288" s="26">
        <v>59.75</v>
      </c>
      <c r="G288" s="26">
        <v>0</v>
      </c>
      <c r="H288" s="26">
        <v>0</v>
      </c>
      <c r="I288" s="26">
        <v>47</v>
      </c>
      <c r="J288" s="26">
        <v>0</v>
      </c>
      <c r="K288" s="26">
        <v>0</v>
      </c>
      <c r="L288" s="26">
        <v>113</v>
      </c>
      <c r="M288" s="26">
        <v>0</v>
      </c>
      <c r="N288" s="26">
        <v>0</v>
      </c>
      <c r="O288" s="27">
        <v>70</v>
      </c>
      <c r="P288" s="27">
        <v>0</v>
      </c>
      <c r="Q288" s="27">
        <v>4.5</v>
      </c>
      <c r="R288" s="27">
        <v>40</v>
      </c>
      <c r="S288" s="27">
        <v>0</v>
      </c>
      <c r="T288" s="27">
        <v>0</v>
      </c>
      <c r="U288" s="27">
        <v>13.5</v>
      </c>
      <c r="V288" s="27">
        <v>0</v>
      </c>
      <c r="W288" s="27">
        <v>6</v>
      </c>
      <c r="X288" s="27">
        <v>33.049999999999997</v>
      </c>
      <c r="Y288" s="27">
        <v>0</v>
      </c>
      <c r="Z288" s="27">
        <v>0</v>
      </c>
      <c r="AA288" s="27">
        <v>30</v>
      </c>
      <c r="AB288" s="27">
        <v>0</v>
      </c>
      <c r="AC288" s="27">
        <v>0</v>
      </c>
      <c r="AD288" s="27">
        <v>57.5</v>
      </c>
      <c r="AE288" s="27">
        <v>0</v>
      </c>
      <c r="AF288" s="27">
        <v>0</v>
      </c>
      <c r="AG288" s="26">
        <f t="shared" si="16"/>
        <v>463.8</v>
      </c>
      <c r="AH288" s="26">
        <f t="shared" si="17"/>
        <v>0</v>
      </c>
      <c r="AI288" s="26">
        <f t="shared" si="18"/>
        <v>10.5</v>
      </c>
      <c r="AJ288" s="15" t="s">
        <v>424</v>
      </c>
      <c r="AK288" s="15" t="s">
        <v>424</v>
      </c>
      <c r="AL288" s="15" t="s">
        <v>317</v>
      </c>
      <c r="AM288" s="19">
        <v>42993</v>
      </c>
    </row>
    <row r="289" spans="1:39" x14ac:dyDescent="0.2">
      <c r="A289" s="15" t="str">
        <f t="shared" si="19"/>
        <v>806898141512</v>
      </c>
      <c r="B289" s="32">
        <v>806898</v>
      </c>
      <c r="C289" s="32" t="s">
        <v>129</v>
      </c>
      <c r="D289" s="17">
        <v>141512</v>
      </c>
      <c r="E289" s="15" t="s">
        <v>106</v>
      </c>
      <c r="F289" s="26">
        <v>50.5</v>
      </c>
      <c r="G289" s="26">
        <v>0</v>
      </c>
      <c r="H289" s="26">
        <v>0</v>
      </c>
      <c r="I289" s="26">
        <v>64</v>
      </c>
      <c r="J289" s="26">
        <v>0</v>
      </c>
      <c r="K289" s="26">
        <v>0</v>
      </c>
      <c r="L289" s="26">
        <v>115.5</v>
      </c>
      <c r="M289" s="26">
        <v>0</v>
      </c>
      <c r="N289" s="26">
        <v>0</v>
      </c>
      <c r="O289" s="27">
        <v>15</v>
      </c>
      <c r="P289" s="27">
        <v>0</v>
      </c>
      <c r="Q289" s="27">
        <v>0</v>
      </c>
      <c r="R289" s="27">
        <v>5</v>
      </c>
      <c r="S289" s="27">
        <v>0</v>
      </c>
      <c r="T289" s="27">
        <v>0</v>
      </c>
      <c r="U289" s="27">
        <v>0</v>
      </c>
      <c r="V289" s="27">
        <v>0</v>
      </c>
      <c r="W289" s="27">
        <v>0</v>
      </c>
      <c r="X289" s="27">
        <v>40</v>
      </c>
      <c r="Y289" s="27">
        <v>0</v>
      </c>
      <c r="Z289" s="27">
        <v>0</v>
      </c>
      <c r="AA289" s="27">
        <v>57.5</v>
      </c>
      <c r="AB289" s="27">
        <v>0</v>
      </c>
      <c r="AC289" s="27">
        <v>0</v>
      </c>
      <c r="AD289" s="27">
        <v>60</v>
      </c>
      <c r="AE289" s="27">
        <v>0</v>
      </c>
      <c r="AF289" s="27">
        <v>7.25</v>
      </c>
      <c r="AG289" s="26">
        <f t="shared" si="16"/>
        <v>407.5</v>
      </c>
      <c r="AH289" s="26">
        <f t="shared" si="17"/>
        <v>0</v>
      </c>
      <c r="AI289" s="26">
        <f t="shared" si="18"/>
        <v>7.25</v>
      </c>
      <c r="AJ289" s="15" t="s">
        <v>424</v>
      </c>
      <c r="AK289" s="15" t="s">
        <v>424</v>
      </c>
      <c r="AL289" s="15" t="s">
        <v>317</v>
      </c>
      <c r="AM289" s="19">
        <v>42907</v>
      </c>
    </row>
    <row r="290" spans="1:39" x14ac:dyDescent="0.2">
      <c r="A290" s="15" t="str">
        <f t="shared" si="19"/>
        <v>807065143301</v>
      </c>
      <c r="B290" s="32">
        <v>807065</v>
      </c>
      <c r="C290" s="32" t="s">
        <v>80</v>
      </c>
      <c r="D290" s="17">
        <v>143301</v>
      </c>
      <c r="E290" s="15" t="s">
        <v>58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7">
        <v>0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0</v>
      </c>
      <c r="V290" s="27">
        <v>0</v>
      </c>
      <c r="W290" s="27">
        <v>0</v>
      </c>
      <c r="X290" s="27">
        <v>0</v>
      </c>
      <c r="Y290" s="27">
        <v>0</v>
      </c>
      <c r="Z290" s="27">
        <v>0</v>
      </c>
      <c r="AA290" s="27">
        <v>0</v>
      </c>
      <c r="AB290" s="27">
        <v>0</v>
      </c>
      <c r="AC290" s="27">
        <v>0</v>
      </c>
      <c r="AD290" s="27">
        <v>0</v>
      </c>
      <c r="AE290" s="27">
        <v>0</v>
      </c>
      <c r="AF290" s="27">
        <v>0</v>
      </c>
      <c r="AG290" s="26">
        <f t="shared" si="16"/>
        <v>0</v>
      </c>
      <c r="AH290" s="26">
        <f t="shared" si="17"/>
        <v>0</v>
      </c>
      <c r="AI290" s="26">
        <f t="shared" si="18"/>
        <v>0</v>
      </c>
      <c r="AJ290" s="15" t="s">
        <v>424</v>
      </c>
      <c r="AK290" s="15" t="s">
        <v>424</v>
      </c>
      <c r="AL290" s="15" t="s">
        <v>317</v>
      </c>
      <c r="AM290" s="19">
        <v>43384</v>
      </c>
    </row>
    <row r="291" spans="1:39" x14ac:dyDescent="0.2">
      <c r="A291" s="15" t="str">
        <f t="shared" si="19"/>
        <v>807121146845</v>
      </c>
      <c r="B291" s="32">
        <v>807121</v>
      </c>
      <c r="C291" s="32" t="s">
        <v>206</v>
      </c>
      <c r="D291" s="17">
        <v>146845</v>
      </c>
      <c r="E291" s="15" t="s">
        <v>205</v>
      </c>
      <c r="F291" s="26">
        <v>56.25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26">
        <v>0</v>
      </c>
      <c r="M291" s="26">
        <v>0</v>
      </c>
      <c r="N291" s="26">
        <v>0</v>
      </c>
      <c r="O291" s="27">
        <v>0</v>
      </c>
      <c r="P291" s="27">
        <v>0</v>
      </c>
      <c r="Q291" s="27">
        <v>0</v>
      </c>
      <c r="R291" s="27">
        <v>0</v>
      </c>
      <c r="S291" s="27">
        <v>0</v>
      </c>
      <c r="T291" s="27">
        <v>0</v>
      </c>
      <c r="U291" s="27">
        <v>56</v>
      </c>
      <c r="V291" s="27">
        <v>0</v>
      </c>
      <c r="W291" s="27">
        <v>0</v>
      </c>
      <c r="X291" s="27">
        <v>52.75</v>
      </c>
      <c r="Y291" s="27">
        <v>0</v>
      </c>
      <c r="Z291" s="27">
        <v>8.5</v>
      </c>
      <c r="AA291" s="27">
        <v>84.75</v>
      </c>
      <c r="AB291" s="27">
        <v>0</v>
      </c>
      <c r="AC291" s="27">
        <v>0</v>
      </c>
      <c r="AD291" s="27">
        <v>83.75</v>
      </c>
      <c r="AE291" s="27">
        <v>0</v>
      </c>
      <c r="AF291" s="27">
        <v>0</v>
      </c>
      <c r="AG291" s="26">
        <f t="shared" si="16"/>
        <v>333.5</v>
      </c>
      <c r="AH291" s="26">
        <f t="shared" si="17"/>
        <v>0</v>
      </c>
      <c r="AI291" s="26">
        <f t="shared" si="18"/>
        <v>8.5</v>
      </c>
      <c r="AJ291" s="15" t="s">
        <v>424</v>
      </c>
      <c r="AK291" s="15" t="s">
        <v>424</v>
      </c>
      <c r="AL291" s="15" t="s">
        <v>317</v>
      </c>
      <c r="AM291" s="19">
        <v>43400</v>
      </c>
    </row>
    <row r="292" spans="1:39" x14ac:dyDescent="0.2">
      <c r="A292" s="15" t="str">
        <f t="shared" si="19"/>
        <v>807122176303</v>
      </c>
      <c r="B292" s="32">
        <v>807122</v>
      </c>
      <c r="C292" s="32" t="s">
        <v>245</v>
      </c>
      <c r="D292" s="17">
        <v>176303</v>
      </c>
      <c r="E292" s="15" t="s">
        <v>176</v>
      </c>
      <c r="F292" s="26">
        <v>22</v>
      </c>
      <c r="G292" s="26">
        <v>0</v>
      </c>
      <c r="H292" s="26">
        <v>0</v>
      </c>
      <c r="I292" s="26">
        <v>32.5</v>
      </c>
      <c r="J292" s="26">
        <v>0</v>
      </c>
      <c r="K292" s="26">
        <v>0</v>
      </c>
      <c r="L292" s="26">
        <v>47.5</v>
      </c>
      <c r="M292" s="26">
        <v>0</v>
      </c>
      <c r="N292" s="26">
        <v>11</v>
      </c>
      <c r="O292" s="27">
        <v>28.5</v>
      </c>
      <c r="P292" s="27">
        <v>0</v>
      </c>
      <c r="Q292" s="27">
        <v>0</v>
      </c>
      <c r="R292" s="27">
        <v>20</v>
      </c>
      <c r="S292" s="27">
        <v>0</v>
      </c>
      <c r="T292" s="27">
        <v>7.5</v>
      </c>
      <c r="U292" s="27">
        <v>32.5</v>
      </c>
      <c r="V292" s="27">
        <v>0</v>
      </c>
      <c r="W292" s="27">
        <v>0</v>
      </c>
      <c r="X292" s="27">
        <v>37</v>
      </c>
      <c r="Y292" s="27">
        <v>0</v>
      </c>
      <c r="Z292" s="27">
        <v>13.5</v>
      </c>
      <c r="AA292" s="27">
        <v>15</v>
      </c>
      <c r="AB292" s="27">
        <v>0</v>
      </c>
      <c r="AC292" s="27">
        <v>0</v>
      </c>
      <c r="AD292" s="27">
        <v>37.5</v>
      </c>
      <c r="AE292" s="27">
        <v>0</v>
      </c>
      <c r="AF292" s="27">
        <v>11</v>
      </c>
      <c r="AG292" s="26">
        <f t="shared" si="16"/>
        <v>272.5</v>
      </c>
      <c r="AH292" s="26">
        <f t="shared" si="17"/>
        <v>0</v>
      </c>
      <c r="AI292" s="26">
        <f t="shared" si="18"/>
        <v>43</v>
      </c>
      <c r="AJ292" s="15" t="s">
        <v>424</v>
      </c>
      <c r="AK292" s="15" t="s">
        <v>424</v>
      </c>
      <c r="AL292" s="15" t="s">
        <v>317</v>
      </c>
      <c r="AM292" s="19">
        <v>43400</v>
      </c>
    </row>
    <row r="293" spans="1:39" x14ac:dyDescent="0.2">
      <c r="A293" s="15" t="str">
        <f t="shared" si="19"/>
        <v>807141202994</v>
      </c>
      <c r="B293" s="32">
        <v>807141</v>
      </c>
      <c r="C293" s="32" t="s">
        <v>283</v>
      </c>
      <c r="D293" s="17">
        <v>202994</v>
      </c>
      <c r="E293" s="15" t="s">
        <v>220</v>
      </c>
      <c r="F293" s="26">
        <v>0</v>
      </c>
      <c r="G293" s="26">
        <v>0</v>
      </c>
      <c r="H293" s="26">
        <v>0</v>
      </c>
      <c r="I293" s="26">
        <v>10</v>
      </c>
      <c r="J293" s="26">
        <v>0</v>
      </c>
      <c r="K293" s="26">
        <v>0</v>
      </c>
      <c r="L293" s="26">
        <v>15</v>
      </c>
      <c r="M293" s="26">
        <v>0</v>
      </c>
      <c r="N293" s="26">
        <v>0</v>
      </c>
      <c r="O293" s="27">
        <v>10</v>
      </c>
      <c r="P293" s="27">
        <v>0</v>
      </c>
      <c r="Q293" s="27">
        <v>0</v>
      </c>
      <c r="R293" s="27">
        <v>10</v>
      </c>
      <c r="S293" s="27">
        <v>0</v>
      </c>
      <c r="T293" s="27">
        <v>0</v>
      </c>
      <c r="U293" s="27">
        <v>20</v>
      </c>
      <c r="V293" s="27">
        <v>0</v>
      </c>
      <c r="W293" s="27">
        <v>0</v>
      </c>
      <c r="X293" s="27">
        <v>0</v>
      </c>
      <c r="Y293" s="27">
        <v>0</v>
      </c>
      <c r="Z293" s="27">
        <v>0</v>
      </c>
      <c r="AA293" s="27">
        <v>0</v>
      </c>
      <c r="AB293" s="27">
        <v>0</v>
      </c>
      <c r="AC293" s="27">
        <v>0</v>
      </c>
      <c r="AD293" s="27">
        <v>0</v>
      </c>
      <c r="AE293" s="27">
        <v>0</v>
      </c>
      <c r="AF293" s="27">
        <v>0</v>
      </c>
      <c r="AG293" s="26">
        <f t="shared" si="16"/>
        <v>65</v>
      </c>
      <c r="AH293" s="26">
        <f t="shared" si="17"/>
        <v>0</v>
      </c>
      <c r="AI293" s="26">
        <f t="shared" si="18"/>
        <v>0</v>
      </c>
      <c r="AJ293" s="15" t="s">
        <v>424</v>
      </c>
      <c r="AK293" s="15" t="s">
        <v>424</v>
      </c>
      <c r="AL293" s="15" t="s">
        <v>317</v>
      </c>
      <c r="AM293" s="19">
        <v>43406</v>
      </c>
    </row>
    <row r="294" spans="1:39" x14ac:dyDescent="0.2">
      <c r="A294" s="15" t="str">
        <f t="shared" si="19"/>
        <v>807353119261</v>
      </c>
      <c r="B294" s="32">
        <v>807353</v>
      </c>
      <c r="C294" s="32" t="s">
        <v>212</v>
      </c>
      <c r="D294" s="17">
        <v>119261</v>
      </c>
      <c r="E294" s="15" t="s">
        <v>140</v>
      </c>
      <c r="F294" s="26">
        <v>50</v>
      </c>
      <c r="G294" s="26">
        <v>0</v>
      </c>
      <c r="H294" s="26">
        <v>0</v>
      </c>
      <c r="I294" s="26">
        <v>0</v>
      </c>
      <c r="J294" s="26">
        <v>0</v>
      </c>
      <c r="K294" s="26">
        <v>0</v>
      </c>
      <c r="L294" s="26">
        <v>50</v>
      </c>
      <c r="M294" s="26">
        <v>0</v>
      </c>
      <c r="N294" s="26">
        <v>0</v>
      </c>
      <c r="O294" s="27">
        <v>75</v>
      </c>
      <c r="P294" s="27">
        <v>0</v>
      </c>
      <c r="Q294" s="27">
        <v>0</v>
      </c>
      <c r="R294" s="27">
        <v>110</v>
      </c>
      <c r="S294" s="27">
        <v>0</v>
      </c>
      <c r="T294" s="27">
        <v>0</v>
      </c>
      <c r="U294" s="27">
        <v>83.5</v>
      </c>
      <c r="V294" s="27">
        <v>0</v>
      </c>
      <c r="W294" s="27">
        <v>0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0</v>
      </c>
      <c r="AF294" s="27">
        <v>0</v>
      </c>
      <c r="AG294" s="26">
        <f t="shared" si="16"/>
        <v>368.5</v>
      </c>
      <c r="AH294" s="26">
        <f t="shared" si="17"/>
        <v>0</v>
      </c>
      <c r="AI294" s="26">
        <f t="shared" si="18"/>
        <v>0</v>
      </c>
      <c r="AJ294" s="15" t="s">
        <v>424</v>
      </c>
      <c r="AK294" s="15" t="s">
        <v>424</v>
      </c>
      <c r="AL294" s="15" t="s">
        <v>317</v>
      </c>
      <c r="AM294" s="19">
        <v>43451</v>
      </c>
    </row>
    <row r="295" spans="1:39" x14ac:dyDescent="0.2">
      <c r="A295" s="15" t="str">
        <f t="shared" si="19"/>
        <v>807368176303</v>
      </c>
      <c r="B295" s="32">
        <v>807368</v>
      </c>
      <c r="C295" s="32" t="s">
        <v>307</v>
      </c>
      <c r="D295" s="17">
        <v>176303</v>
      </c>
      <c r="E295" s="15" t="s">
        <v>176</v>
      </c>
      <c r="F295" s="26">
        <v>9.5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26">
        <v>10</v>
      </c>
      <c r="M295" s="26">
        <v>0</v>
      </c>
      <c r="N295" s="26">
        <v>4</v>
      </c>
      <c r="O295" s="27">
        <v>6.75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  <c r="V295" s="27">
        <v>0</v>
      </c>
      <c r="W295" s="27">
        <v>0</v>
      </c>
      <c r="X295" s="27">
        <v>0</v>
      </c>
      <c r="Y295" s="27">
        <v>0</v>
      </c>
      <c r="Z295" s="27">
        <v>0</v>
      </c>
      <c r="AA295" s="27">
        <v>0</v>
      </c>
      <c r="AB295" s="27">
        <v>0</v>
      </c>
      <c r="AC295" s="27">
        <v>0</v>
      </c>
      <c r="AD295" s="27">
        <v>0</v>
      </c>
      <c r="AE295" s="27">
        <v>0</v>
      </c>
      <c r="AF295" s="27">
        <v>0</v>
      </c>
      <c r="AG295" s="26">
        <f t="shared" si="16"/>
        <v>26.25</v>
      </c>
      <c r="AH295" s="26">
        <f t="shared" si="17"/>
        <v>0</v>
      </c>
      <c r="AI295" s="26">
        <f t="shared" si="18"/>
        <v>4</v>
      </c>
      <c r="AJ295" s="15" t="s">
        <v>424</v>
      </c>
      <c r="AK295" s="15" t="s">
        <v>424</v>
      </c>
      <c r="AL295" s="15" t="s">
        <v>317</v>
      </c>
      <c r="AM295" s="19">
        <v>43453</v>
      </c>
    </row>
    <row r="296" spans="1:39" x14ac:dyDescent="0.2">
      <c r="A296" s="15" t="str">
        <f t="shared" si="19"/>
        <v>807690141512</v>
      </c>
      <c r="B296" s="32">
        <v>807690</v>
      </c>
      <c r="C296" s="32" t="s">
        <v>309</v>
      </c>
      <c r="D296" s="17">
        <v>141512</v>
      </c>
      <c r="E296" s="15" t="s">
        <v>106</v>
      </c>
      <c r="F296" s="26">
        <v>0</v>
      </c>
      <c r="G296" s="26">
        <v>0</v>
      </c>
      <c r="H296" s="26">
        <v>0</v>
      </c>
      <c r="I296" s="26">
        <v>0</v>
      </c>
      <c r="J296" s="26">
        <v>0</v>
      </c>
      <c r="K296" s="26">
        <v>0</v>
      </c>
      <c r="L296" s="26">
        <v>0</v>
      </c>
      <c r="M296" s="26">
        <v>0</v>
      </c>
      <c r="N296" s="26">
        <v>0</v>
      </c>
      <c r="O296" s="27">
        <v>0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0</v>
      </c>
      <c r="V296" s="27">
        <v>0</v>
      </c>
      <c r="W296" s="27">
        <v>0</v>
      </c>
      <c r="X296" s="27">
        <v>0</v>
      </c>
      <c r="Y296" s="27">
        <v>0</v>
      </c>
      <c r="Z296" s="27">
        <v>0</v>
      </c>
      <c r="AA296" s="27">
        <v>0</v>
      </c>
      <c r="AB296" s="27">
        <v>0</v>
      </c>
      <c r="AC296" s="27">
        <v>0</v>
      </c>
      <c r="AD296" s="27">
        <v>0</v>
      </c>
      <c r="AE296" s="27">
        <v>0</v>
      </c>
      <c r="AF296" s="27">
        <v>0</v>
      </c>
      <c r="AG296" s="26">
        <f t="shared" si="16"/>
        <v>0</v>
      </c>
      <c r="AH296" s="26">
        <f t="shared" si="17"/>
        <v>0</v>
      </c>
      <c r="AI296" s="26">
        <f t="shared" si="18"/>
        <v>0</v>
      </c>
      <c r="AJ296" s="15" t="s">
        <v>424</v>
      </c>
      <c r="AK296" s="15" t="s">
        <v>424</v>
      </c>
      <c r="AL296" s="15" t="s">
        <v>317</v>
      </c>
      <c r="AM296" s="19">
        <v>43388</v>
      </c>
    </row>
    <row r="297" spans="1:39" x14ac:dyDescent="0.2">
      <c r="A297" s="15" t="str">
        <f t="shared" si="19"/>
        <v>808419206011</v>
      </c>
      <c r="B297" s="32">
        <v>808419</v>
      </c>
      <c r="C297" s="32" t="s">
        <v>22</v>
      </c>
      <c r="D297" s="17">
        <v>206011</v>
      </c>
      <c r="E297" s="15" t="s">
        <v>21</v>
      </c>
      <c r="F297" s="26">
        <v>406</v>
      </c>
      <c r="G297" s="26">
        <v>50</v>
      </c>
      <c r="H297" s="26">
        <v>0</v>
      </c>
      <c r="I297" s="26">
        <v>433.34999999999997</v>
      </c>
      <c r="J297" s="26">
        <v>50</v>
      </c>
      <c r="K297" s="26">
        <v>0</v>
      </c>
      <c r="L297" s="26">
        <v>598.9</v>
      </c>
      <c r="M297" s="26">
        <v>68.95</v>
      </c>
      <c r="N297" s="26">
        <v>45</v>
      </c>
      <c r="O297" s="27">
        <v>233.35</v>
      </c>
      <c r="P297" s="27">
        <v>65</v>
      </c>
      <c r="Q297" s="27">
        <v>37.85</v>
      </c>
      <c r="R297" s="27">
        <v>230.64999999999998</v>
      </c>
      <c r="S297" s="27">
        <v>66.95</v>
      </c>
      <c r="T297" s="27">
        <v>9</v>
      </c>
      <c r="U297" s="27">
        <v>478.65</v>
      </c>
      <c r="V297" s="27">
        <v>84.5</v>
      </c>
      <c r="W297" s="27">
        <v>51.7</v>
      </c>
      <c r="X297" s="27">
        <v>338.25</v>
      </c>
      <c r="Y297" s="27">
        <v>123</v>
      </c>
      <c r="Z297" s="27">
        <v>52.5</v>
      </c>
      <c r="AA297" s="27">
        <v>421</v>
      </c>
      <c r="AB297" s="27">
        <v>87</v>
      </c>
      <c r="AC297" s="27">
        <v>20.75</v>
      </c>
      <c r="AD297" s="27">
        <v>646.70000000000005</v>
      </c>
      <c r="AE297" s="27">
        <v>50.5</v>
      </c>
      <c r="AF297" s="27">
        <v>82</v>
      </c>
      <c r="AG297" s="26">
        <f t="shared" si="16"/>
        <v>3786.8500000000004</v>
      </c>
      <c r="AH297" s="26">
        <f t="shared" si="17"/>
        <v>645.9</v>
      </c>
      <c r="AI297" s="26">
        <f t="shared" si="18"/>
        <v>298.8</v>
      </c>
      <c r="AJ297" s="15" t="s">
        <v>424</v>
      </c>
      <c r="AK297" s="15" t="s">
        <v>424</v>
      </c>
      <c r="AL297" s="15" t="s">
        <v>317</v>
      </c>
      <c r="AM297" s="19">
        <v>43245</v>
      </c>
    </row>
    <row r="298" spans="1:39" x14ac:dyDescent="0.2">
      <c r="A298" s="15" t="str">
        <f t="shared" si="19"/>
        <v>808731141512</v>
      </c>
      <c r="B298" s="32">
        <v>808731</v>
      </c>
      <c r="C298" s="32" t="s">
        <v>274</v>
      </c>
      <c r="D298" s="17">
        <v>141512</v>
      </c>
      <c r="E298" s="15" t="s">
        <v>106</v>
      </c>
      <c r="F298" s="26">
        <v>33.5</v>
      </c>
      <c r="G298" s="26">
        <v>0</v>
      </c>
      <c r="H298" s="26">
        <v>0</v>
      </c>
      <c r="I298" s="26">
        <v>57</v>
      </c>
      <c r="J298" s="26">
        <v>0</v>
      </c>
      <c r="K298" s="26">
        <v>0</v>
      </c>
      <c r="L298" s="26">
        <v>76</v>
      </c>
      <c r="M298" s="26">
        <v>0</v>
      </c>
      <c r="N298" s="26">
        <v>0</v>
      </c>
      <c r="O298" s="27">
        <v>65</v>
      </c>
      <c r="P298" s="27">
        <v>0</v>
      </c>
      <c r="Q298" s="27">
        <v>0</v>
      </c>
      <c r="R298" s="27">
        <v>48.5</v>
      </c>
      <c r="S298" s="27">
        <v>3</v>
      </c>
      <c r="T298" s="27">
        <v>0</v>
      </c>
      <c r="U298" s="27">
        <v>55.5</v>
      </c>
      <c r="V298" s="27">
        <v>0</v>
      </c>
      <c r="W298" s="27">
        <v>0</v>
      </c>
      <c r="X298" s="27">
        <v>43</v>
      </c>
      <c r="Y298" s="27">
        <v>0</v>
      </c>
      <c r="Z298" s="27">
        <v>0</v>
      </c>
      <c r="AA298" s="27">
        <v>70</v>
      </c>
      <c r="AB298" s="27">
        <v>0</v>
      </c>
      <c r="AC298" s="27">
        <v>0</v>
      </c>
      <c r="AD298" s="27">
        <v>77.5</v>
      </c>
      <c r="AE298" s="27">
        <v>0</v>
      </c>
      <c r="AF298" s="27">
        <v>14.5</v>
      </c>
      <c r="AG298" s="26">
        <f t="shared" si="16"/>
        <v>526</v>
      </c>
      <c r="AH298" s="26">
        <f t="shared" si="17"/>
        <v>3</v>
      </c>
      <c r="AI298" s="26">
        <f t="shared" si="18"/>
        <v>14.5</v>
      </c>
      <c r="AJ298" s="15" t="s">
        <v>424</v>
      </c>
      <c r="AK298" s="15" t="s">
        <v>424</v>
      </c>
      <c r="AL298" s="15" t="s">
        <v>317</v>
      </c>
      <c r="AM298" s="19">
        <v>43315</v>
      </c>
    </row>
    <row r="299" spans="1:39" x14ac:dyDescent="0.2">
      <c r="A299" s="15" t="str">
        <f t="shared" si="19"/>
        <v>809479176303</v>
      </c>
      <c r="B299" s="32">
        <v>809479</v>
      </c>
      <c r="C299" s="32" t="s">
        <v>177</v>
      </c>
      <c r="D299" s="17">
        <v>176303</v>
      </c>
      <c r="E299" s="15" t="s">
        <v>176</v>
      </c>
      <c r="F299" s="26">
        <v>29.5</v>
      </c>
      <c r="G299" s="26">
        <v>0</v>
      </c>
      <c r="H299" s="26">
        <v>0</v>
      </c>
      <c r="I299" s="26">
        <v>17.5</v>
      </c>
      <c r="J299" s="26">
        <v>0</v>
      </c>
      <c r="K299" s="26">
        <v>0</v>
      </c>
      <c r="L299" s="26">
        <v>26</v>
      </c>
      <c r="M299" s="26">
        <v>0</v>
      </c>
      <c r="N299" s="26">
        <v>0</v>
      </c>
      <c r="O299" s="27">
        <v>15.5</v>
      </c>
      <c r="P299" s="27">
        <v>0</v>
      </c>
      <c r="Q299" s="27">
        <v>0</v>
      </c>
      <c r="R299" s="27">
        <v>30</v>
      </c>
      <c r="S299" s="27">
        <v>0</v>
      </c>
      <c r="T299" s="27">
        <v>15</v>
      </c>
      <c r="U299" s="27">
        <v>30.5</v>
      </c>
      <c r="V299" s="27">
        <v>0</v>
      </c>
      <c r="W299" s="27">
        <v>0</v>
      </c>
      <c r="X299" s="27">
        <v>32.5</v>
      </c>
      <c r="Y299" s="27">
        <v>0</v>
      </c>
      <c r="Z299" s="27">
        <v>0</v>
      </c>
      <c r="AA299" s="27">
        <v>18.75</v>
      </c>
      <c r="AB299" s="27">
        <v>3.75</v>
      </c>
      <c r="AC299" s="27">
        <v>0</v>
      </c>
      <c r="AD299" s="27">
        <v>25</v>
      </c>
      <c r="AE299" s="27">
        <v>0</v>
      </c>
      <c r="AF299" s="27">
        <v>0</v>
      </c>
      <c r="AG299" s="26">
        <f t="shared" si="16"/>
        <v>225.25</v>
      </c>
      <c r="AH299" s="26">
        <f t="shared" si="17"/>
        <v>3.75</v>
      </c>
      <c r="AI299" s="26">
        <f t="shared" si="18"/>
        <v>15</v>
      </c>
      <c r="AJ299" s="15" t="s">
        <v>424</v>
      </c>
      <c r="AK299" s="15" t="s">
        <v>424</v>
      </c>
      <c r="AL299" s="15" t="s">
        <v>317</v>
      </c>
      <c r="AM299" s="19">
        <v>43588</v>
      </c>
    </row>
    <row r="300" spans="1:39" x14ac:dyDescent="0.2">
      <c r="A300" s="15" t="str">
        <f t="shared" si="19"/>
        <v>810821141512</v>
      </c>
      <c r="B300" s="32">
        <v>810821</v>
      </c>
      <c r="C300" s="32" t="s">
        <v>210</v>
      </c>
      <c r="D300" s="17">
        <v>141512</v>
      </c>
      <c r="E300" s="15" t="s">
        <v>106</v>
      </c>
      <c r="F300" s="26">
        <v>25</v>
      </c>
      <c r="G300" s="26">
        <v>0</v>
      </c>
      <c r="H300" s="26">
        <v>0</v>
      </c>
      <c r="I300" s="26">
        <v>40</v>
      </c>
      <c r="J300" s="26">
        <v>0</v>
      </c>
      <c r="K300" s="26">
        <v>0</v>
      </c>
      <c r="L300" s="26">
        <v>60</v>
      </c>
      <c r="M300" s="26">
        <v>0</v>
      </c>
      <c r="N300" s="26">
        <v>0</v>
      </c>
      <c r="O300" s="27">
        <v>29.9</v>
      </c>
      <c r="P300" s="27">
        <v>0</v>
      </c>
      <c r="Q300" s="27">
        <v>0</v>
      </c>
      <c r="R300" s="27">
        <v>54</v>
      </c>
      <c r="S300" s="27">
        <v>0</v>
      </c>
      <c r="T300" s="27">
        <v>4</v>
      </c>
      <c r="U300" s="27">
        <v>45.5</v>
      </c>
      <c r="V300" s="27">
        <v>0</v>
      </c>
      <c r="W300" s="27">
        <v>0</v>
      </c>
      <c r="X300" s="27">
        <v>30</v>
      </c>
      <c r="Y300" s="27">
        <v>0</v>
      </c>
      <c r="Z300" s="27">
        <v>0</v>
      </c>
      <c r="AA300" s="27">
        <v>36.299999999999997</v>
      </c>
      <c r="AB300" s="27">
        <v>0</v>
      </c>
      <c r="AC300" s="27">
        <v>0</v>
      </c>
      <c r="AD300" s="27">
        <v>30</v>
      </c>
      <c r="AE300" s="27">
        <v>0</v>
      </c>
      <c r="AF300" s="27">
        <v>0</v>
      </c>
      <c r="AG300" s="26">
        <f t="shared" si="16"/>
        <v>350.7</v>
      </c>
      <c r="AH300" s="26">
        <f t="shared" si="17"/>
        <v>0</v>
      </c>
      <c r="AI300" s="26">
        <f t="shared" si="18"/>
        <v>4</v>
      </c>
      <c r="AJ300" s="15" t="s">
        <v>424</v>
      </c>
      <c r="AK300" s="15" t="s">
        <v>424</v>
      </c>
      <c r="AL300" s="15" t="s">
        <v>317</v>
      </c>
      <c r="AM300" s="19">
        <v>43791</v>
      </c>
    </row>
    <row r="301" spans="1:39" x14ac:dyDescent="0.2">
      <c r="A301" s="15" t="str">
        <f t="shared" si="19"/>
        <v>811242147770</v>
      </c>
      <c r="B301" s="32">
        <v>811242</v>
      </c>
      <c r="C301" s="32" t="s">
        <v>432</v>
      </c>
      <c r="D301" s="15">
        <v>147770</v>
      </c>
      <c r="E301" s="15" t="s">
        <v>433</v>
      </c>
      <c r="F301" s="26">
        <v>10</v>
      </c>
      <c r="G301" s="26">
        <v>0</v>
      </c>
      <c r="H301" s="26">
        <v>0</v>
      </c>
      <c r="I301" s="26">
        <v>20</v>
      </c>
      <c r="J301" s="26">
        <v>0</v>
      </c>
      <c r="K301" s="26">
        <v>0</v>
      </c>
      <c r="L301" s="26">
        <v>7.5</v>
      </c>
      <c r="M301" s="26">
        <v>0</v>
      </c>
      <c r="N301" s="26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  <c r="V301" s="27">
        <v>0</v>
      </c>
      <c r="W301" s="27">
        <v>0</v>
      </c>
      <c r="X301" s="27">
        <v>0</v>
      </c>
      <c r="Y301" s="27">
        <v>0</v>
      </c>
      <c r="Z301" s="27">
        <v>0</v>
      </c>
      <c r="AA301" s="27">
        <v>0</v>
      </c>
      <c r="AB301" s="27">
        <v>0</v>
      </c>
      <c r="AC301" s="27">
        <v>0</v>
      </c>
      <c r="AD301" s="27">
        <v>0</v>
      </c>
      <c r="AE301" s="27">
        <v>0</v>
      </c>
      <c r="AF301" s="27">
        <v>0</v>
      </c>
      <c r="AG301" s="26">
        <f t="shared" ref="AG301:AG364" si="20">SUMIF($F$2:$AF$2,"Total",F301:AF301)</f>
        <v>37.5</v>
      </c>
      <c r="AH301" s="26">
        <f t="shared" ref="AH301:AH364" si="21">SUMIF($F$2:$AF$2,"WS",F301:AF301)</f>
        <v>0</v>
      </c>
      <c r="AI301" s="26">
        <f t="shared" ref="AI301:AI364" si="22">SUMIF($F$2:$AF$2,"PPCSS",F301:AF301)</f>
        <v>0</v>
      </c>
      <c r="AJ301" s="15" t="s">
        <v>424</v>
      </c>
      <c r="AK301" s="15" t="s">
        <v>424</v>
      </c>
      <c r="AL301" s="15" t="s">
        <v>317</v>
      </c>
      <c r="AM301" s="19">
        <v>43844</v>
      </c>
    </row>
    <row r="302" spans="1:39" x14ac:dyDescent="0.2">
      <c r="A302" s="15" t="str">
        <f t="shared" si="19"/>
        <v>811243176303</v>
      </c>
      <c r="B302" s="32">
        <v>811243</v>
      </c>
      <c r="C302" s="32" t="s">
        <v>300</v>
      </c>
      <c r="D302" s="17">
        <v>176303</v>
      </c>
      <c r="E302" s="15" t="s">
        <v>176</v>
      </c>
      <c r="F302" s="26">
        <v>9.5</v>
      </c>
      <c r="G302" s="26">
        <v>0</v>
      </c>
      <c r="H302" s="26">
        <v>0</v>
      </c>
      <c r="I302" s="26">
        <v>5.5</v>
      </c>
      <c r="J302" s="26">
        <v>0</v>
      </c>
      <c r="K302" s="26">
        <v>0</v>
      </c>
      <c r="L302" s="26">
        <v>8</v>
      </c>
      <c r="M302" s="26">
        <v>0</v>
      </c>
      <c r="N302" s="26">
        <v>0</v>
      </c>
      <c r="O302" s="27">
        <v>0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7.5</v>
      </c>
      <c r="V302" s="27">
        <v>0</v>
      </c>
      <c r="W302" s="27">
        <v>0</v>
      </c>
      <c r="X302" s="27">
        <v>7.5</v>
      </c>
      <c r="Y302" s="27">
        <v>0</v>
      </c>
      <c r="Z302" s="27">
        <v>0</v>
      </c>
      <c r="AA302" s="27">
        <v>0</v>
      </c>
      <c r="AB302" s="27">
        <v>0</v>
      </c>
      <c r="AC302" s="27">
        <v>0</v>
      </c>
      <c r="AD302" s="27">
        <v>0</v>
      </c>
      <c r="AE302" s="27">
        <v>0</v>
      </c>
      <c r="AF302" s="27">
        <v>0</v>
      </c>
      <c r="AG302" s="26">
        <f t="shared" si="20"/>
        <v>38</v>
      </c>
      <c r="AH302" s="26">
        <f t="shared" si="21"/>
        <v>0</v>
      </c>
      <c r="AI302" s="26">
        <f t="shared" si="22"/>
        <v>0</v>
      </c>
      <c r="AJ302" s="15" t="s">
        <v>424</v>
      </c>
      <c r="AK302" s="15" t="s">
        <v>424</v>
      </c>
      <c r="AL302" s="15" t="s">
        <v>317</v>
      </c>
      <c r="AM302" s="19">
        <v>43844</v>
      </c>
    </row>
    <row r="303" spans="1:39" x14ac:dyDescent="0.2">
      <c r="A303" s="15" t="str">
        <f t="shared" si="19"/>
        <v>812077202452</v>
      </c>
      <c r="B303" s="32">
        <v>812077</v>
      </c>
      <c r="C303" s="32" t="s">
        <v>150</v>
      </c>
      <c r="D303" s="17">
        <v>202452</v>
      </c>
      <c r="E303" s="15" t="s">
        <v>149</v>
      </c>
      <c r="F303" s="26">
        <v>15</v>
      </c>
      <c r="G303" s="26">
        <v>0</v>
      </c>
      <c r="H303" s="26">
        <v>0</v>
      </c>
      <c r="I303" s="26">
        <v>10</v>
      </c>
      <c r="J303" s="26">
        <v>0</v>
      </c>
      <c r="K303" s="26">
        <v>0</v>
      </c>
      <c r="L303" s="26">
        <v>15</v>
      </c>
      <c r="M303" s="26">
        <v>0</v>
      </c>
      <c r="N303" s="26">
        <v>6</v>
      </c>
      <c r="O303" s="27">
        <v>10</v>
      </c>
      <c r="P303" s="27">
        <v>0</v>
      </c>
      <c r="Q303" s="27">
        <v>0.5</v>
      </c>
      <c r="R303" s="27">
        <v>7.5</v>
      </c>
      <c r="S303" s="27">
        <v>0</v>
      </c>
      <c r="T303" s="27">
        <v>0</v>
      </c>
      <c r="U303" s="27">
        <v>27</v>
      </c>
      <c r="V303" s="27">
        <v>0</v>
      </c>
      <c r="W303" s="27">
        <v>0</v>
      </c>
      <c r="X303" s="27">
        <v>5</v>
      </c>
      <c r="Y303" s="27">
        <v>0</v>
      </c>
      <c r="Z303" s="27">
        <v>0</v>
      </c>
      <c r="AA303" s="27">
        <v>20</v>
      </c>
      <c r="AB303" s="27">
        <v>0</v>
      </c>
      <c r="AC303" s="27">
        <v>0</v>
      </c>
      <c r="AD303" s="27">
        <v>25</v>
      </c>
      <c r="AE303" s="27">
        <v>0</v>
      </c>
      <c r="AF303" s="27">
        <v>0</v>
      </c>
      <c r="AG303" s="26">
        <f t="shared" si="20"/>
        <v>134.5</v>
      </c>
      <c r="AH303" s="26">
        <f t="shared" si="21"/>
        <v>0</v>
      </c>
      <c r="AI303" s="26">
        <f t="shared" si="22"/>
        <v>6.5</v>
      </c>
      <c r="AJ303" s="15" t="s">
        <v>424</v>
      </c>
      <c r="AK303" s="15" t="s">
        <v>424</v>
      </c>
      <c r="AL303" s="15" t="s">
        <v>317</v>
      </c>
      <c r="AM303" s="19">
        <v>44012</v>
      </c>
    </row>
    <row r="304" spans="1:39" x14ac:dyDescent="0.2">
      <c r="A304" s="15" t="str">
        <f t="shared" si="19"/>
        <v>812102145639</v>
      </c>
      <c r="B304" s="32">
        <v>812102</v>
      </c>
      <c r="C304" s="32" t="s">
        <v>295</v>
      </c>
      <c r="D304" s="17">
        <v>145639</v>
      </c>
      <c r="E304" s="15" t="s">
        <v>152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0</v>
      </c>
      <c r="L304" s="26">
        <v>0</v>
      </c>
      <c r="M304" s="26">
        <v>0</v>
      </c>
      <c r="N304" s="26">
        <v>0</v>
      </c>
      <c r="O304" s="27">
        <v>10</v>
      </c>
      <c r="P304" s="27">
        <v>0</v>
      </c>
      <c r="Q304" s="27">
        <v>10</v>
      </c>
      <c r="R304" s="27">
        <v>0</v>
      </c>
      <c r="S304" s="27">
        <v>0</v>
      </c>
      <c r="T304" s="27">
        <v>0</v>
      </c>
      <c r="U304" s="27">
        <v>20.5</v>
      </c>
      <c r="V304" s="27">
        <v>0</v>
      </c>
      <c r="W304" s="27">
        <v>13</v>
      </c>
      <c r="X304" s="27">
        <v>13</v>
      </c>
      <c r="Y304" s="27">
        <v>0</v>
      </c>
      <c r="Z304" s="27">
        <v>0</v>
      </c>
      <c r="AA304" s="27">
        <v>0</v>
      </c>
      <c r="AB304" s="27">
        <v>0</v>
      </c>
      <c r="AC304" s="27">
        <v>0</v>
      </c>
      <c r="AD304" s="27">
        <v>41.5</v>
      </c>
      <c r="AE304" s="27">
        <v>0</v>
      </c>
      <c r="AF304" s="27">
        <v>2.5</v>
      </c>
      <c r="AG304" s="26">
        <f t="shared" si="20"/>
        <v>85</v>
      </c>
      <c r="AH304" s="26">
        <f t="shared" si="21"/>
        <v>0</v>
      </c>
      <c r="AI304" s="26">
        <f t="shared" si="22"/>
        <v>25.5</v>
      </c>
      <c r="AJ304" s="15" t="s">
        <v>424</v>
      </c>
      <c r="AK304" s="15" t="s">
        <v>424</v>
      </c>
      <c r="AL304" s="15" t="s">
        <v>317</v>
      </c>
      <c r="AM304" s="19">
        <v>44015</v>
      </c>
    </row>
    <row r="305" spans="1:39" x14ac:dyDescent="0.2">
      <c r="A305" s="15" t="str">
        <f t="shared" si="19"/>
        <v>812160203154</v>
      </c>
      <c r="B305" s="32">
        <v>812160</v>
      </c>
      <c r="C305" s="32" t="s">
        <v>31</v>
      </c>
      <c r="D305" s="17">
        <v>203154</v>
      </c>
      <c r="E305" s="15" t="s">
        <v>217</v>
      </c>
      <c r="F305" s="26">
        <v>182.75</v>
      </c>
      <c r="G305" s="26">
        <v>21</v>
      </c>
      <c r="H305" s="26">
        <v>0</v>
      </c>
      <c r="I305" s="26">
        <v>194.05</v>
      </c>
      <c r="J305" s="26">
        <v>21</v>
      </c>
      <c r="K305" s="26">
        <v>0</v>
      </c>
      <c r="L305" s="26">
        <v>171.6</v>
      </c>
      <c r="M305" s="26">
        <v>4</v>
      </c>
      <c r="N305" s="26">
        <v>18.850000000000001</v>
      </c>
      <c r="O305" s="27">
        <v>93.55</v>
      </c>
      <c r="P305" s="27">
        <v>10</v>
      </c>
      <c r="Q305" s="27">
        <v>5</v>
      </c>
      <c r="R305" s="27">
        <v>83.55</v>
      </c>
      <c r="S305" s="27">
        <v>19.05</v>
      </c>
      <c r="T305" s="27">
        <v>15.75</v>
      </c>
      <c r="U305" s="27">
        <v>131.5</v>
      </c>
      <c r="V305" s="27">
        <v>22.75</v>
      </c>
      <c r="W305" s="27">
        <v>0.5</v>
      </c>
      <c r="X305" s="27">
        <v>52.5</v>
      </c>
      <c r="Y305" s="27">
        <v>20</v>
      </c>
      <c r="Z305" s="27">
        <v>2</v>
      </c>
      <c r="AA305" s="27">
        <v>114.5</v>
      </c>
      <c r="AB305" s="27">
        <v>0</v>
      </c>
      <c r="AC305" s="27">
        <v>20</v>
      </c>
      <c r="AD305" s="27">
        <v>119.75</v>
      </c>
      <c r="AE305" s="27">
        <v>4</v>
      </c>
      <c r="AF305" s="27">
        <v>26.25</v>
      </c>
      <c r="AG305" s="26">
        <f t="shared" si="20"/>
        <v>1143.75</v>
      </c>
      <c r="AH305" s="26">
        <f t="shared" si="21"/>
        <v>121.8</v>
      </c>
      <c r="AI305" s="26">
        <f t="shared" si="22"/>
        <v>88.35</v>
      </c>
      <c r="AJ305" s="15" t="s">
        <v>424</v>
      </c>
      <c r="AK305" s="15" t="s">
        <v>424</v>
      </c>
      <c r="AL305" s="15" t="s">
        <v>317</v>
      </c>
      <c r="AM305" s="19">
        <v>44021</v>
      </c>
    </row>
    <row r="306" spans="1:39" x14ac:dyDescent="0.2">
      <c r="A306" s="15" t="str">
        <f t="shared" si="19"/>
        <v>812237174445</v>
      </c>
      <c r="B306" s="32">
        <v>812237</v>
      </c>
      <c r="C306" s="32" t="s">
        <v>282</v>
      </c>
      <c r="D306" s="17">
        <v>174445</v>
      </c>
      <c r="E306" s="15" t="s">
        <v>143</v>
      </c>
      <c r="F306" s="26">
        <v>58</v>
      </c>
      <c r="G306" s="26">
        <v>0</v>
      </c>
      <c r="H306" s="26">
        <v>0</v>
      </c>
      <c r="I306" s="26">
        <v>42</v>
      </c>
      <c r="J306" s="26">
        <v>0</v>
      </c>
      <c r="K306" s="26">
        <v>0</v>
      </c>
      <c r="L306" s="26">
        <v>35</v>
      </c>
      <c r="M306" s="26">
        <v>0</v>
      </c>
      <c r="N306" s="26">
        <v>0</v>
      </c>
      <c r="O306" s="27">
        <v>17.5</v>
      </c>
      <c r="P306" s="27">
        <v>0</v>
      </c>
      <c r="Q306" s="27">
        <v>0</v>
      </c>
      <c r="R306" s="27">
        <v>37</v>
      </c>
      <c r="S306" s="27">
        <v>0</v>
      </c>
      <c r="T306" s="27">
        <v>0</v>
      </c>
      <c r="U306" s="27">
        <v>48.75</v>
      </c>
      <c r="V306" s="27">
        <v>0</v>
      </c>
      <c r="W306" s="27">
        <v>0</v>
      </c>
      <c r="X306" s="27">
        <v>51.75</v>
      </c>
      <c r="Y306" s="27">
        <v>10.75</v>
      </c>
      <c r="Z306" s="27">
        <v>0</v>
      </c>
      <c r="AA306" s="27">
        <v>40</v>
      </c>
      <c r="AB306" s="27">
        <v>0</v>
      </c>
      <c r="AC306" s="27">
        <v>0</v>
      </c>
      <c r="AD306" s="27">
        <v>94.25</v>
      </c>
      <c r="AE306" s="27">
        <v>0</v>
      </c>
      <c r="AF306" s="27">
        <v>30</v>
      </c>
      <c r="AG306" s="26">
        <f t="shared" si="20"/>
        <v>424.25</v>
      </c>
      <c r="AH306" s="26">
        <f t="shared" si="21"/>
        <v>10.75</v>
      </c>
      <c r="AI306" s="26">
        <f t="shared" si="22"/>
        <v>30</v>
      </c>
      <c r="AJ306" s="15" t="s">
        <v>424</v>
      </c>
      <c r="AK306" s="15" t="s">
        <v>424</v>
      </c>
      <c r="AL306" s="15" t="s">
        <v>317</v>
      </c>
      <c r="AM306" s="19">
        <v>44027</v>
      </c>
    </row>
    <row r="307" spans="1:39" x14ac:dyDescent="0.2">
      <c r="A307" s="15" t="str">
        <f t="shared" si="19"/>
        <v>812546176388</v>
      </c>
      <c r="B307" s="32">
        <v>812546</v>
      </c>
      <c r="C307" s="32" t="s">
        <v>257</v>
      </c>
      <c r="D307" s="17">
        <v>176388</v>
      </c>
      <c r="E307" s="15" t="s">
        <v>119</v>
      </c>
      <c r="F307" s="26">
        <v>0</v>
      </c>
      <c r="G307" s="26">
        <v>0</v>
      </c>
      <c r="H307" s="26">
        <v>0</v>
      </c>
      <c r="I307" s="26">
        <v>0</v>
      </c>
      <c r="J307" s="26">
        <v>0</v>
      </c>
      <c r="K307" s="26">
        <v>0</v>
      </c>
      <c r="L307" s="26">
        <v>0</v>
      </c>
      <c r="M307" s="26">
        <v>0</v>
      </c>
      <c r="N307" s="26">
        <v>0</v>
      </c>
      <c r="O307" s="27">
        <v>0</v>
      </c>
      <c r="P307" s="27">
        <v>0</v>
      </c>
      <c r="Q307" s="27">
        <v>0</v>
      </c>
      <c r="R307" s="27">
        <v>0</v>
      </c>
      <c r="S307" s="27">
        <v>0</v>
      </c>
      <c r="T307" s="27">
        <v>0</v>
      </c>
      <c r="U307" s="27">
        <v>0</v>
      </c>
      <c r="V307" s="27">
        <v>0</v>
      </c>
      <c r="W307" s="27">
        <v>0</v>
      </c>
      <c r="X307" s="27">
        <v>0</v>
      </c>
      <c r="Y307" s="27">
        <v>0</v>
      </c>
      <c r="Z307" s="27">
        <v>0</v>
      </c>
      <c r="AA307" s="27">
        <v>0</v>
      </c>
      <c r="AB307" s="27">
        <v>0</v>
      </c>
      <c r="AC307" s="27">
        <v>0</v>
      </c>
      <c r="AD307" s="27">
        <v>0</v>
      </c>
      <c r="AE307" s="27">
        <v>0</v>
      </c>
      <c r="AF307" s="27">
        <v>0</v>
      </c>
      <c r="AG307" s="26">
        <f t="shared" si="20"/>
        <v>0</v>
      </c>
      <c r="AH307" s="26">
        <f t="shared" si="21"/>
        <v>0</v>
      </c>
      <c r="AI307" s="26">
        <f t="shared" si="22"/>
        <v>0</v>
      </c>
      <c r="AJ307" s="15" t="s">
        <v>424</v>
      </c>
      <c r="AK307" s="15" t="s">
        <v>424</v>
      </c>
      <c r="AL307" s="15" t="s">
        <v>317</v>
      </c>
      <c r="AM307" s="19">
        <v>44060</v>
      </c>
    </row>
    <row r="308" spans="1:39" x14ac:dyDescent="0.2">
      <c r="A308" s="15" t="str">
        <f t="shared" si="19"/>
        <v>812793202452</v>
      </c>
      <c r="B308" s="32">
        <v>812793</v>
      </c>
      <c r="C308" s="32" t="s">
        <v>250</v>
      </c>
      <c r="D308" s="17">
        <v>202452</v>
      </c>
      <c r="E308" s="15" t="s">
        <v>149</v>
      </c>
      <c r="F308" s="26">
        <v>16.25</v>
      </c>
      <c r="G308" s="26">
        <v>0</v>
      </c>
      <c r="H308" s="26">
        <v>0</v>
      </c>
      <c r="I308" s="26">
        <v>3</v>
      </c>
      <c r="J308" s="26">
        <v>0</v>
      </c>
      <c r="K308" s="26">
        <v>0</v>
      </c>
      <c r="L308" s="26">
        <v>15</v>
      </c>
      <c r="M308" s="26">
        <v>0</v>
      </c>
      <c r="N308" s="26">
        <v>5</v>
      </c>
      <c r="O308" s="27">
        <v>21.5</v>
      </c>
      <c r="P308" s="27">
        <v>0</v>
      </c>
      <c r="Q308" s="27">
        <v>0</v>
      </c>
      <c r="R308" s="27">
        <v>7.5</v>
      </c>
      <c r="S308" s="27">
        <v>0</v>
      </c>
      <c r="T308" s="27">
        <v>0</v>
      </c>
      <c r="U308" s="27">
        <v>20</v>
      </c>
      <c r="V308" s="27">
        <v>0</v>
      </c>
      <c r="W308" s="27">
        <v>0</v>
      </c>
      <c r="X308" s="27">
        <v>17.5</v>
      </c>
      <c r="Y308" s="27">
        <v>0</v>
      </c>
      <c r="Z308" s="27">
        <v>0</v>
      </c>
      <c r="AA308" s="27">
        <v>22.5</v>
      </c>
      <c r="AB308" s="27">
        <v>0</v>
      </c>
      <c r="AC308" s="27">
        <v>0</v>
      </c>
      <c r="AD308" s="27">
        <v>20</v>
      </c>
      <c r="AE308" s="27">
        <v>0</v>
      </c>
      <c r="AF308" s="27">
        <v>5</v>
      </c>
      <c r="AG308" s="26">
        <f t="shared" si="20"/>
        <v>143.25</v>
      </c>
      <c r="AH308" s="26">
        <f t="shared" si="21"/>
        <v>0</v>
      </c>
      <c r="AI308" s="26">
        <f t="shared" si="22"/>
        <v>10</v>
      </c>
      <c r="AJ308" s="15" t="s">
        <v>424</v>
      </c>
      <c r="AK308" s="15" t="s">
        <v>424</v>
      </c>
      <c r="AL308" s="15" t="s">
        <v>317</v>
      </c>
      <c r="AM308" s="19">
        <v>44079</v>
      </c>
    </row>
    <row r="309" spans="1:39" x14ac:dyDescent="0.2">
      <c r="A309" s="15" t="str">
        <f t="shared" si="19"/>
        <v>812794202994</v>
      </c>
      <c r="B309" s="32">
        <v>812794</v>
      </c>
      <c r="C309" s="32" t="s">
        <v>303</v>
      </c>
      <c r="D309" s="17">
        <v>202994</v>
      </c>
      <c r="E309" s="15" t="s">
        <v>220</v>
      </c>
      <c r="F309" s="26">
        <v>0</v>
      </c>
      <c r="G309" s="26">
        <v>0</v>
      </c>
      <c r="H309" s="26">
        <v>0</v>
      </c>
      <c r="I309" s="26">
        <v>0</v>
      </c>
      <c r="J309" s="26">
        <v>0</v>
      </c>
      <c r="K309" s="26">
        <v>0</v>
      </c>
      <c r="L309" s="26">
        <v>0</v>
      </c>
      <c r="M309" s="26">
        <v>0</v>
      </c>
      <c r="N309" s="26">
        <v>0</v>
      </c>
      <c r="O309" s="27">
        <v>0</v>
      </c>
      <c r="P309" s="27">
        <v>0</v>
      </c>
      <c r="Q309" s="27">
        <v>0</v>
      </c>
      <c r="R309" s="27">
        <v>0</v>
      </c>
      <c r="S309" s="27">
        <v>0</v>
      </c>
      <c r="T309" s="27">
        <v>0</v>
      </c>
      <c r="U309" s="27">
        <v>0</v>
      </c>
      <c r="V309" s="27">
        <v>0</v>
      </c>
      <c r="W309" s="27">
        <v>0</v>
      </c>
      <c r="X309" s="27">
        <v>0</v>
      </c>
      <c r="Y309" s="27">
        <v>0</v>
      </c>
      <c r="Z309" s="27">
        <v>0</v>
      </c>
      <c r="AA309" s="27">
        <v>0</v>
      </c>
      <c r="AB309" s="27">
        <v>0</v>
      </c>
      <c r="AC309" s="27">
        <v>0</v>
      </c>
      <c r="AD309" s="27">
        <v>0</v>
      </c>
      <c r="AE309" s="27">
        <v>0</v>
      </c>
      <c r="AF309" s="27">
        <v>0</v>
      </c>
      <c r="AG309" s="26">
        <f t="shared" si="20"/>
        <v>0</v>
      </c>
      <c r="AH309" s="26">
        <f t="shared" si="21"/>
        <v>0</v>
      </c>
      <c r="AI309" s="26">
        <f t="shared" si="22"/>
        <v>0</v>
      </c>
      <c r="AJ309" s="15" t="s">
        <v>424</v>
      </c>
      <c r="AK309" s="15" t="s">
        <v>424</v>
      </c>
      <c r="AL309" s="15" t="s">
        <v>317</v>
      </c>
      <c r="AM309" s="19">
        <v>44079</v>
      </c>
    </row>
    <row r="310" spans="1:39" x14ac:dyDescent="0.2">
      <c r="A310" s="15" t="str">
        <f t="shared" si="19"/>
        <v>812883149825</v>
      </c>
      <c r="B310" s="32">
        <v>812883</v>
      </c>
      <c r="C310" s="32" t="s">
        <v>248</v>
      </c>
      <c r="D310" s="17">
        <v>149825</v>
      </c>
      <c r="E310" s="15" t="s">
        <v>232</v>
      </c>
      <c r="F310" s="26">
        <v>17.5</v>
      </c>
      <c r="G310" s="26">
        <v>0</v>
      </c>
      <c r="H310" s="26">
        <v>0</v>
      </c>
      <c r="I310" s="26">
        <v>20</v>
      </c>
      <c r="J310" s="26">
        <v>0</v>
      </c>
      <c r="K310" s="26">
        <v>0</v>
      </c>
      <c r="L310" s="26">
        <v>43</v>
      </c>
      <c r="M310" s="26">
        <v>0</v>
      </c>
      <c r="N310" s="26">
        <v>18</v>
      </c>
      <c r="O310" s="27">
        <v>35</v>
      </c>
      <c r="P310" s="27">
        <v>0</v>
      </c>
      <c r="Q310" s="27">
        <v>0</v>
      </c>
      <c r="R310" s="27">
        <v>7.5</v>
      </c>
      <c r="S310" s="27">
        <v>0</v>
      </c>
      <c r="T310" s="27">
        <v>7.5</v>
      </c>
      <c r="U310" s="27">
        <v>32.5</v>
      </c>
      <c r="V310" s="27">
        <v>0</v>
      </c>
      <c r="W310" s="27">
        <v>0</v>
      </c>
      <c r="X310" s="27">
        <v>68.25</v>
      </c>
      <c r="Y310" s="27">
        <v>1.75</v>
      </c>
      <c r="Z310" s="27">
        <v>22.5</v>
      </c>
      <c r="AA310" s="27">
        <v>25</v>
      </c>
      <c r="AB310" s="27">
        <v>0</v>
      </c>
      <c r="AC310" s="27">
        <v>0</v>
      </c>
      <c r="AD310" s="27">
        <v>60</v>
      </c>
      <c r="AE310" s="27">
        <v>0</v>
      </c>
      <c r="AF310" s="27">
        <v>10</v>
      </c>
      <c r="AG310" s="26">
        <f t="shared" si="20"/>
        <v>308.75</v>
      </c>
      <c r="AH310" s="26">
        <f t="shared" si="21"/>
        <v>1.75</v>
      </c>
      <c r="AI310" s="26">
        <f t="shared" si="22"/>
        <v>58</v>
      </c>
      <c r="AJ310" s="15" t="s">
        <v>424</v>
      </c>
      <c r="AK310" s="15" t="s">
        <v>424</v>
      </c>
      <c r="AL310" s="15" t="s">
        <v>317</v>
      </c>
      <c r="AM310" s="19">
        <v>44085</v>
      </c>
    </row>
    <row r="311" spans="1:39" x14ac:dyDescent="0.2">
      <c r="A311" s="15" t="str">
        <f t="shared" si="19"/>
        <v>813149149583</v>
      </c>
      <c r="B311" s="32">
        <v>813149</v>
      </c>
      <c r="C311" s="32" t="s">
        <v>204</v>
      </c>
      <c r="D311" s="17">
        <v>149583</v>
      </c>
      <c r="E311" s="15" t="s">
        <v>203</v>
      </c>
      <c r="F311" s="26">
        <v>73.5</v>
      </c>
      <c r="G311" s="26">
        <v>0</v>
      </c>
      <c r="H311" s="26">
        <v>0</v>
      </c>
      <c r="I311" s="26">
        <v>57.5</v>
      </c>
      <c r="J311" s="26">
        <v>0</v>
      </c>
      <c r="K311" s="26">
        <v>0</v>
      </c>
      <c r="L311" s="26">
        <v>71</v>
      </c>
      <c r="M311" s="26">
        <v>0</v>
      </c>
      <c r="N311" s="26">
        <v>0</v>
      </c>
      <c r="O311" s="27">
        <v>50</v>
      </c>
      <c r="P311" s="27">
        <v>0</v>
      </c>
      <c r="Q311" s="27">
        <v>0</v>
      </c>
      <c r="R311" s="27">
        <v>17</v>
      </c>
      <c r="S311" s="27">
        <v>0</v>
      </c>
      <c r="T311" s="27">
        <v>0</v>
      </c>
      <c r="U311" s="27">
        <v>12</v>
      </c>
      <c r="V311" s="27">
        <v>0</v>
      </c>
      <c r="W311" s="27">
        <v>0</v>
      </c>
      <c r="X311" s="27">
        <v>25</v>
      </c>
      <c r="Y311" s="27">
        <v>0</v>
      </c>
      <c r="Z311" s="27">
        <v>0</v>
      </c>
      <c r="AA311" s="27">
        <v>22.5</v>
      </c>
      <c r="AB311" s="27">
        <v>0</v>
      </c>
      <c r="AC311" s="27">
        <v>0</v>
      </c>
      <c r="AD311" s="27">
        <v>47.5</v>
      </c>
      <c r="AE311" s="27">
        <v>0</v>
      </c>
      <c r="AF311" s="27">
        <v>0</v>
      </c>
      <c r="AG311" s="26">
        <f t="shared" si="20"/>
        <v>376</v>
      </c>
      <c r="AH311" s="26">
        <f t="shared" si="21"/>
        <v>0</v>
      </c>
      <c r="AI311" s="26">
        <f t="shared" si="22"/>
        <v>0</v>
      </c>
      <c r="AJ311" s="15" t="s">
        <v>424</v>
      </c>
      <c r="AK311" s="15" t="s">
        <v>424</v>
      </c>
      <c r="AL311" s="15" t="s">
        <v>317</v>
      </c>
      <c r="AM311" s="19">
        <v>44104</v>
      </c>
    </row>
    <row r="312" spans="1:39" x14ac:dyDescent="0.2">
      <c r="A312" s="15" t="str">
        <f t="shared" si="19"/>
        <v>813195176303</v>
      </c>
      <c r="B312" s="32">
        <v>813195</v>
      </c>
      <c r="C312" s="32" t="s">
        <v>299</v>
      </c>
      <c r="D312" s="17">
        <v>176303</v>
      </c>
      <c r="E312" s="15" t="s">
        <v>176</v>
      </c>
      <c r="F312" s="26">
        <v>9.5</v>
      </c>
      <c r="G312" s="26">
        <v>0</v>
      </c>
      <c r="H312" s="26">
        <v>0</v>
      </c>
      <c r="I312" s="26">
        <v>5</v>
      </c>
      <c r="J312" s="26">
        <v>0</v>
      </c>
      <c r="K312" s="26">
        <v>0</v>
      </c>
      <c r="L312" s="26">
        <v>0</v>
      </c>
      <c r="M312" s="26">
        <v>0</v>
      </c>
      <c r="N312" s="26">
        <v>0</v>
      </c>
      <c r="O312" s="27">
        <v>8</v>
      </c>
      <c r="P312" s="27">
        <v>0</v>
      </c>
      <c r="Q312" s="27">
        <v>0</v>
      </c>
      <c r="R312" s="27">
        <v>5</v>
      </c>
      <c r="S312" s="27">
        <v>0</v>
      </c>
      <c r="T312" s="27">
        <v>0</v>
      </c>
      <c r="U312" s="27">
        <v>10</v>
      </c>
      <c r="V312" s="27">
        <v>0</v>
      </c>
      <c r="W312" s="27">
        <v>0</v>
      </c>
      <c r="X312" s="27">
        <v>17.5</v>
      </c>
      <c r="Y312" s="27">
        <v>0</v>
      </c>
      <c r="Z312" s="27">
        <v>0</v>
      </c>
      <c r="AA312" s="27">
        <v>7.5</v>
      </c>
      <c r="AB312" s="27">
        <v>0</v>
      </c>
      <c r="AC312" s="27">
        <v>0</v>
      </c>
      <c r="AD312" s="27">
        <v>10</v>
      </c>
      <c r="AE312" s="27">
        <v>0</v>
      </c>
      <c r="AF312" s="27">
        <v>0</v>
      </c>
      <c r="AG312" s="26">
        <f t="shared" si="20"/>
        <v>72.5</v>
      </c>
      <c r="AH312" s="26">
        <f t="shared" si="21"/>
        <v>0</v>
      </c>
      <c r="AI312" s="26">
        <f t="shared" si="22"/>
        <v>0</v>
      </c>
      <c r="AJ312" s="15" t="s">
        <v>424</v>
      </c>
      <c r="AK312" s="15" t="s">
        <v>424</v>
      </c>
      <c r="AL312" s="15" t="s">
        <v>317</v>
      </c>
      <c r="AM312" s="19">
        <v>44111</v>
      </c>
    </row>
    <row r="313" spans="1:39" x14ac:dyDescent="0.2">
      <c r="A313" s="15" t="str">
        <f t="shared" si="19"/>
        <v>813271176276</v>
      </c>
      <c r="B313" s="32">
        <v>813271</v>
      </c>
      <c r="C313" s="32" t="s">
        <v>185</v>
      </c>
      <c r="D313" s="17">
        <v>176276</v>
      </c>
      <c r="E313" s="15" t="s">
        <v>151</v>
      </c>
      <c r="F313" s="26">
        <v>49.5</v>
      </c>
      <c r="G313" s="26">
        <v>0</v>
      </c>
      <c r="H313" s="26">
        <v>0</v>
      </c>
      <c r="I313" s="26">
        <v>35</v>
      </c>
      <c r="J313" s="26">
        <v>0</v>
      </c>
      <c r="K313" s="26">
        <v>0</v>
      </c>
      <c r="L313" s="26">
        <v>40</v>
      </c>
      <c r="M313" s="26">
        <v>0</v>
      </c>
      <c r="N313" s="26">
        <v>0.5</v>
      </c>
      <c r="O313" s="27">
        <v>30.75</v>
      </c>
      <c r="P313" s="27">
        <v>0</v>
      </c>
      <c r="Q313" s="27">
        <v>0</v>
      </c>
      <c r="R313" s="27">
        <v>57.5</v>
      </c>
      <c r="S313" s="27">
        <v>5</v>
      </c>
      <c r="T313" s="27">
        <v>3</v>
      </c>
      <c r="U313" s="27">
        <v>47.5</v>
      </c>
      <c r="V313" s="27">
        <v>0</v>
      </c>
      <c r="W313" s="27">
        <v>0</v>
      </c>
      <c r="X313" s="27">
        <v>10</v>
      </c>
      <c r="Y313" s="27">
        <v>0</v>
      </c>
      <c r="Z313" s="27">
        <v>0</v>
      </c>
      <c r="AA313" s="27">
        <v>15</v>
      </c>
      <c r="AB313" s="27">
        <v>0</v>
      </c>
      <c r="AC313" s="27">
        <v>0</v>
      </c>
      <c r="AD313" s="27">
        <v>38.5</v>
      </c>
      <c r="AE313" s="27">
        <v>0</v>
      </c>
      <c r="AF313" s="27">
        <v>0</v>
      </c>
      <c r="AG313" s="26">
        <f t="shared" si="20"/>
        <v>323.75</v>
      </c>
      <c r="AH313" s="26">
        <f t="shared" si="21"/>
        <v>5</v>
      </c>
      <c r="AI313" s="26">
        <f t="shared" si="22"/>
        <v>3.5</v>
      </c>
      <c r="AJ313" s="15" t="s">
        <v>424</v>
      </c>
      <c r="AK313" s="15" t="s">
        <v>424</v>
      </c>
      <c r="AL313" s="15" t="s">
        <v>317</v>
      </c>
      <c r="AM313" s="19">
        <v>44118</v>
      </c>
    </row>
    <row r="314" spans="1:39" x14ac:dyDescent="0.2">
      <c r="A314" s="15" t="str">
        <f t="shared" si="19"/>
        <v>813946205270</v>
      </c>
      <c r="B314" s="32">
        <v>813946</v>
      </c>
      <c r="C314" s="32" t="s">
        <v>164</v>
      </c>
      <c r="D314" s="17">
        <v>205270</v>
      </c>
      <c r="E314" s="15" t="s">
        <v>153</v>
      </c>
      <c r="F314" s="26">
        <v>154.5</v>
      </c>
      <c r="G314" s="26">
        <v>0</v>
      </c>
      <c r="H314" s="26">
        <v>0</v>
      </c>
      <c r="I314" s="26">
        <v>38.950000000000003</v>
      </c>
      <c r="J314" s="26">
        <v>0</v>
      </c>
      <c r="K314" s="26">
        <v>0</v>
      </c>
      <c r="L314" s="26">
        <v>32.5</v>
      </c>
      <c r="M314" s="26">
        <v>0</v>
      </c>
      <c r="N314" s="26">
        <v>0</v>
      </c>
      <c r="O314" s="27">
        <v>14.5</v>
      </c>
      <c r="P314" s="27">
        <v>0</v>
      </c>
      <c r="Q314" s="27">
        <v>0</v>
      </c>
      <c r="R314" s="27">
        <v>0</v>
      </c>
      <c r="S314" s="27">
        <v>0</v>
      </c>
      <c r="T314" s="27">
        <v>0</v>
      </c>
      <c r="U314" s="27">
        <v>37</v>
      </c>
      <c r="V314" s="27">
        <v>0</v>
      </c>
      <c r="W314" s="27">
        <v>0</v>
      </c>
      <c r="X314" s="27">
        <v>0</v>
      </c>
      <c r="Y314" s="27">
        <v>0</v>
      </c>
      <c r="Z314" s="27">
        <v>0</v>
      </c>
      <c r="AA314" s="27">
        <v>12.5</v>
      </c>
      <c r="AB314" s="27">
        <v>0</v>
      </c>
      <c r="AC314" s="27">
        <v>0</v>
      </c>
      <c r="AD314" s="27">
        <v>0</v>
      </c>
      <c r="AE314" s="27">
        <v>0</v>
      </c>
      <c r="AF314" s="27">
        <v>0</v>
      </c>
      <c r="AG314" s="26">
        <f t="shared" si="20"/>
        <v>289.95</v>
      </c>
      <c r="AH314" s="26">
        <f t="shared" si="21"/>
        <v>0</v>
      </c>
      <c r="AI314" s="26">
        <f t="shared" si="22"/>
        <v>0</v>
      </c>
      <c r="AJ314" s="15" t="s">
        <v>424</v>
      </c>
      <c r="AK314" s="15" t="s">
        <v>424</v>
      </c>
      <c r="AL314" s="15" t="s">
        <v>317</v>
      </c>
      <c r="AM314" s="19">
        <v>44189</v>
      </c>
    </row>
    <row r="315" spans="1:39" x14ac:dyDescent="0.2">
      <c r="A315" s="15" t="str">
        <f t="shared" si="19"/>
        <v>814097141512</v>
      </c>
      <c r="B315" s="32">
        <v>814097</v>
      </c>
      <c r="C315" s="32" t="s">
        <v>93</v>
      </c>
      <c r="D315" s="17">
        <v>141512</v>
      </c>
      <c r="E315" s="15" t="s">
        <v>106</v>
      </c>
      <c r="F315" s="26">
        <v>50</v>
      </c>
      <c r="G315" s="26">
        <v>0</v>
      </c>
      <c r="H315" s="26">
        <v>0</v>
      </c>
      <c r="I315" s="26">
        <v>32</v>
      </c>
      <c r="J315" s="26">
        <v>0</v>
      </c>
      <c r="K315" s="26">
        <v>0</v>
      </c>
      <c r="L315" s="26">
        <v>76.5</v>
      </c>
      <c r="M315" s="26">
        <v>0</v>
      </c>
      <c r="N315" s="26">
        <v>0</v>
      </c>
      <c r="O315" s="27">
        <v>67.5</v>
      </c>
      <c r="P315" s="27">
        <v>0</v>
      </c>
      <c r="Q315" s="27">
        <v>0</v>
      </c>
      <c r="R315" s="27">
        <v>71.5</v>
      </c>
      <c r="S315" s="27">
        <v>0</v>
      </c>
      <c r="T315" s="27">
        <v>0</v>
      </c>
      <c r="U315" s="27">
        <v>56.5</v>
      </c>
      <c r="V315" s="27">
        <v>0</v>
      </c>
      <c r="W315" s="27">
        <v>0</v>
      </c>
      <c r="X315" s="27">
        <v>68</v>
      </c>
      <c r="Y315" s="27">
        <v>6</v>
      </c>
      <c r="Z315" s="27">
        <v>18</v>
      </c>
      <c r="AA315" s="27">
        <v>57.5</v>
      </c>
      <c r="AB315" s="27">
        <v>0</v>
      </c>
      <c r="AC315" s="27">
        <v>0</v>
      </c>
      <c r="AD315" s="27">
        <v>60</v>
      </c>
      <c r="AE315" s="27">
        <v>0</v>
      </c>
      <c r="AF315" s="27">
        <v>15</v>
      </c>
      <c r="AG315" s="26">
        <f t="shared" si="20"/>
        <v>539.5</v>
      </c>
      <c r="AH315" s="26">
        <f t="shared" si="21"/>
        <v>6</v>
      </c>
      <c r="AI315" s="26">
        <f t="shared" si="22"/>
        <v>33</v>
      </c>
      <c r="AJ315" s="15" t="s">
        <v>424</v>
      </c>
      <c r="AK315" s="15" t="s">
        <v>424</v>
      </c>
      <c r="AL315" s="15" t="s">
        <v>317</v>
      </c>
      <c r="AM315" s="19">
        <v>44203</v>
      </c>
    </row>
    <row r="316" spans="1:39" x14ac:dyDescent="0.2">
      <c r="A316" s="15" t="str">
        <f t="shared" si="19"/>
        <v>814248174693</v>
      </c>
      <c r="B316" s="32">
        <v>814248</v>
      </c>
      <c r="C316" s="32" t="s">
        <v>147</v>
      </c>
      <c r="D316" s="17">
        <v>174693</v>
      </c>
      <c r="E316" s="15" t="s">
        <v>146</v>
      </c>
      <c r="F316" s="26">
        <v>0</v>
      </c>
      <c r="G316" s="26">
        <v>0</v>
      </c>
      <c r="H316" s="26">
        <v>0</v>
      </c>
      <c r="I316" s="26">
        <v>0</v>
      </c>
      <c r="J316" s="26">
        <v>0</v>
      </c>
      <c r="K316" s="26">
        <v>0</v>
      </c>
      <c r="L316" s="26">
        <v>0</v>
      </c>
      <c r="M316" s="26">
        <v>0</v>
      </c>
      <c r="N316" s="26">
        <v>0</v>
      </c>
      <c r="O316" s="27">
        <v>0</v>
      </c>
      <c r="P316" s="27">
        <v>0</v>
      </c>
      <c r="Q316" s="27">
        <v>0</v>
      </c>
      <c r="R316" s="27">
        <v>0</v>
      </c>
      <c r="S316" s="27">
        <v>0</v>
      </c>
      <c r="T316" s="27">
        <v>0</v>
      </c>
      <c r="U316" s="27">
        <v>0</v>
      </c>
      <c r="V316" s="27">
        <v>0</v>
      </c>
      <c r="W316" s="27">
        <v>0</v>
      </c>
      <c r="X316" s="27">
        <v>0</v>
      </c>
      <c r="Y316" s="27">
        <v>0</v>
      </c>
      <c r="Z316" s="27">
        <v>0</v>
      </c>
      <c r="AA316" s="27">
        <v>0</v>
      </c>
      <c r="AB316" s="27">
        <v>0</v>
      </c>
      <c r="AC316" s="27">
        <v>0</v>
      </c>
      <c r="AD316" s="27">
        <v>0</v>
      </c>
      <c r="AE316" s="27">
        <v>0</v>
      </c>
      <c r="AF316" s="27">
        <v>0</v>
      </c>
      <c r="AG316" s="26">
        <f t="shared" si="20"/>
        <v>0</v>
      </c>
      <c r="AH316" s="26">
        <f t="shared" si="21"/>
        <v>0</v>
      </c>
      <c r="AI316" s="26">
        <f t="shared" si="22"/>
        <v>0</v>
      </c>
      <c r="AJ316" s="15" t="s">
        <v>424</v>
      </c>
      <c r="AK316" s="15" t="s">
        <v>424</v>
      </c>
      <c r="AL316" s="15" t="s">
        <v>317</v>
      </c>
      <c r="AM316" s="19">
        <v>44219</v>
      </c>
    </row>
    <row r="317" spans="1:39" x14ac:dyDescent="0.2">
      <c r="A317" s="15" t="str">
        <f t="shared" si="19"/>
        <v>814284176303</v>
      </c>
      <c r="B317" s="32">
        <v>814284</v>
      </c>
      <c r="C317" s="32" t="s">
        <v>297</v>
      </c>
      <c r="D317" s="17">
        <v>176303</v>
      </c>
      <c r="E317" s="15" t="s">
        <v>176</v>
      </c>
      <c r="F317" s="26">
        <v>30</v>
      </c>
      <c r="G317" s="26">
        <v>0</v>
      </c>
      <c r="H317" s="26">
        <v>0</v>
      </c>
      <c r="I317" s="26">
        <v>7.5</v>
      </c>
      <c r="J317" s="26">
        <v>0</v>
      </c>
      <c r="K317" s="26">
        <v>0</v>
      </c>
      <c r="L317" s="26">
        <v>40.5</v>
      </c>
      <c r="M317" s="26">
        <v>0</v>
      </c>
      <c r="N317" s="26">
        <v>0</v>
      </c>
      <c r="O317" s="27">
        <v>39.25</v>
      </c>
      <c r="P317" s="27">
        <v>0</v>
      </c>
      <c r="Q317" s="27">
        <v>0</v>
      </c>
      <c r="R317" s="27">
        <v>22.5</v>
      </c>
      <c r="S317" s="27">
        <v>0</v>
      </c>
      <c r="T317" s="27">
        <v>0</v>
      </c>
      <c r="U317" s="27">
        <v>27.5</v>
      </c>
      <c r="V317" s="27">
        <v>0</v>
      </c>
      <c r="W317" s="27">
        <v>0</v>
      </c>
      <c r="X317" s="27">
        <v>0</v>
      </c>
      <c r="Y317" s="27">
        <v>0</v>
      </c>
      <c r="Z317" s="27">
        <v>0</v>
      </c>
      <c r="AA317" s="27">
        <v>11</v>
      </c>
      <c r="AB317" s="27">
        <v>0</v>
      </c>
      <c r="AC317" s="27">
        <v>11</v>
      </c>
      <c r="AD317" s="27">
        <v>45</v>
      </c>
      <c r="AE317" s="27">
        <v>0</v>
      </c>
      <c r="AF317" s="27">
        <v>4</v>
      </c>
      <c r="AG317" s="26">
        <f t="shared" si="20"/>
        <v>223.25</v>
      </c>
      <c r="AH317" s="26">
        <f t="shared" si="21"/>
        <v>0</v>
      </c>
      <c r="AI317" s="26">
        <f t="shared" si="22"/>
        <v>15</v>
      </c>
      <c r="AJ317" s="15" t="s">
        <v>424</v>
      </c>
      <c r="AK317" s="15" t="s">
        <v>424</v>
      </c>
      <c r="AL317" s="15" t="s">
        <v>317</v>
      </c>
      <c r="AM317" s="19">
        <v>44223</v>
      </c>
    </row>
    <row r="318" spans="1:39" x14ac:dyDescent="0.2">
      <c r="A318" s="15" t="str">
        <f t="shared" si="19"/>
        <v>814528141512</v>
      </c>
      <c r="B318" s="32">
        <v>814528</v>
      </c>
      <c r="C318" s="32" t="s">
        <v>107</v>
      </c>
      <c r="D318" s="17">
        <v>141512</v>
      </c>
      <c r="E318" s="15" t="s">
        <v>106</v>
      </c>
      <c r="F318" s="26">
        <v>215.79999999999998</v>
      </c>
      <c r="G318" s="26">
        <v>35.6</v>
      </c>
      <c r="H318" s="26">
        <v>0</v>
      </c>
      <c r="I318" s="26">
        <v>185.9</v>
      </c>
      <c r="J318" s="26">
        <v>35.6</v>
      </c>
      <c r="K318" s="26">
        <v>0</v>
      </c>
      <c r="L318" s="26">
        <v>237</v>
      </c>
      <c r="M318" s="26">
        <v>18.5</v>
      </c>
      <c r="N318" s="26">
        <v>43.5</v>
      </c>
      <c r="O318" s="27">
        <v>301.5</v>
      </c>
      <c r="P318" s="27">
        <v>38.25</v>
      </c>
      <c r="Q318" s="27">
        <v>47.5</v>
      </c>
      <c r="R318" s="27">
        <v>289.25</v>
      </c>
      <c r="S318" s="27">
        <v>15.75</v>
      </c>
      <c r="T318" s="27">
        <v>37.25</v>
      </c>
      <c r="U318" s="27">
        <v>213</v>
      </c>
      <c r="V318" s="27">
        <v>0</v>
      </c>
      <c r="W318" s="27">
        <v>33.5</v>
      </c>
      <c r="X318" s="27">
        <v>65.75</v>
      </c>
      <c r="Y318" s="27">
        <v>7.25</v>
      </c>
      <c r="Z318" s="27">
        <v>15</v>
      </c>
      <c r="AA318" s="27">
        <v>146.75</v>
      </c>
      <c r="AB318" s="27">
        <v>0</v>
      </c>
      <c r="AC318" s="27">
        <v>37.25</v>
      </c>
      <c r="AD318" s="27">
        <v>260</v>
      </c>
      <c r="AE318" s="27">
        <v>0</v>
      </c>
      <c r="AF318" s="27">
        <v>25.95</v>
      </c>
      <c r="AG318" s="26">
        <f t="shared" si="20"/>
        <v>1914.95</v>
      </c>
      <c r="AH318" s="26">
        <f t="shared" si="21"/>
        <v>150.94999999999999</v>
      </c>
      <c r="AI318" s="26">
        <f t="shared" si="22"/>
        <v>239.95</v>
      </c>
      <c r="AJ318" s="15" t="s">
        <v>424</v>
      </c>
      <c r="AK318" s="15" t="s">
        <v>424</v>
      </c>
      <c r="AL318" s="15" t="s">
        <v>317</v>
      </c>
      <c r="AM318" s="19">
        <v>44245</v>
      </c>
    </row>
    <row r="319" spans="1:39" x14ac:dyDescent="0.2">
      <c r="A319" s="15" t="str">
        <f t="shared" si="19"/>
        <v>814541141512</v>
      </c>
      <c r="B319" s="32">
        <v>814541</v>
      </c>
      <c r="C319" s="32" t="s">
        <v>209</v>
      </c>
      <c r="D319" s="17">
        <v>141512</v>
      </c>
      <c r="E319" s="15" t="s">
        <v>106</v>
      </c>
      <c r="F319" s="26">
        <v>10</v>
      </c>
      <c r="G319" s="26">
        <v>0</v>
      </c>
      <c r="H319" s="26">
        <v>0</v>
      </c>
      <c r="I319" s="26">
        <v>5</v>
      </c>
      <c r="J319" s="26">
        <v>0</v>
      </c>
      <c r="K319" s="26">
        <v>0</v>
      </c>
      <c r="L319" s="26">
        <v>30</v>
      </c>
      <c r="M319" s="26">
        <v>0</v>
      </c>
      <c r="N319" s="26">
        <v>0</v>
      </c>
      <c r="O319" s="27">
        <v>0</v>
      </c>
      <c r="P319" s="27">
        <v>0</v>
      </c>
      <c r="Q319" s="27">
        <v>0</v>
      </c>
      <c r="R319" s="27">
        <v>0</v>
      </c>
      <c r="S319" s="27">
        <v>0</v>
      </c>
      <c r="T319" s="27">
        <v>0</v>
      </c>
      <c r="U319" s="27">
        <v>21</v>
      </c>
      <c r="V319" s="27">
        <v>0</v>
      </c>
      <c r="W319" s="27">
        <v>0</v>
      </c>
      <c r="X319" s="27">
        <v>0</v>
      </c>
      <c r="Y319" s="27">
        <v>0</v>
      </c>
      <c r="Z319" s="27">
        <v>0</v>
      </c>
      <c r="AA319" s="27">
        <v>0</v>
      </c>
      <c r="AB319" s="27">
        <v>0</v>
      </c>
      <c r="AC319" s="27">
        <v>0</v>
      </c>
      <c r="AD319" s="27">
        <v>25</v>
      </c>
      <c r="AE319" s="27">
        <v>0</v>
      </c>
      <c r="AF319" s="27">
        <v>0</v>
      </c>
      <c r="AG319" s="26">
        <f t="shared" si="20"/>
        <v>91</v>
      </c>
      <c r="AH319" s="26">
        <f t="shared" si="21"/>
        <v>0</v>
      </c>
      <c r="AI319" s="26">
        <f t="shared" si="22"/>
        <v>0</v>
      </c>
      <c r="AJ319" s="15" t="s">
        <v>424</v>
      </c>
      <c r="AK319" s="15" t="s">
        <v>424</v>
      </c>
      <c r="AL319" s="15" t="s">
        <v>317</v>
      </c>
      <c r="AM319" s="19">
        <v>44246</v>
      </c>
    </row>
    <row r="320" spans="1:39" x14ac:dyDescent="0.2">
      <c r="A320" s="15" t="str">
        <f t="shared" si="19"/>
        <v>814711205266</v>
      </c>
      <c r="B320" s="32">
        <v>814711</v>
      </c>
      <c r="C320" s="32" t="s">
        <v>284</v>
      </c>
      <c r="D320" s="17">
        <v>205266</v>
      </c>
      <c r="E320" s="15" t="s">
        <v>226</v>
      </c>
      <c r="F320" s="26">
        <v>28</v>
      </c>
      <c r="G320" s="26">
        <v>0</v>
      </c>
      <c r="H320" s="26">
        <v>0</v>
      </c>
      <c r="I320" s="26">
        <v>5</v>
      </c>
      <c r="J320" s="26">
        <v>0</v>
      </c>
      <c r="K320" s="26">
        <v>0</v>
      </c>
      <c r="L320" s="26">
        <v>9</v>
      </c>
      <c r="M320" s="26">
        <v>0</v>
      </c>
      <c r="N320" s="26">
        <v>0</v>
      </c>
      <c r="O320" s="27">
        <v>0</v>
      </c>
      <c r="P320" s="27">
        <v>0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  <c r="V320" s="27">
        <v>0</v>
      </c>
      <c r="W320" s="27">
        <v>0</v>
      </c>
      <c r="X320" s="27">
        <v>0</v>
      </c>
      <c r="Y320" s="27">
        <v>0</v>
      </c>
      <c r="Z320" s="27">
        <v>0</v>
      </c>
      <c r="AA320" s="27">
        <v>0</v>
      </c>
      <c r="AB320" s="27">
        <v>0</v>
      </c>
      <c r="AC320" s="27">
        <v>0</v>
      </c>
      <c r="AD320" s="27">
        <v>0</v>
      </c>
      <c r="AE320" s="27">
        <v>0</v>
      </c>
      <c r="AF320" s="27">
        <v>0</v>
      </c>
      <c r="AG320" s="26">
        <f t="shared" si="20"/>
        <v>42</v>
      </c>
      <c r="AH320" s="26">
        <f t="shared" si="21"/>
        <v>0</v>
      </c>
      <c r="AI320" s="26">
        <f t="shared" si="22"/>
        <v>0</v>
      </c>
      <c r="AJ320" s="15" t="s">
        <v>424</v>
      </c>
      <c r="AK320" s="15" t="s">
        <v>424</v>
      </c>
      <c r="AL320" s="15" t="s">
        <v>317</v>
      </c>
      <c r="AM320" s="19">
        <v>44261</v>
      </c>
    </row>
    <row r="321" spans="1:39" x14ac:dyDescent="0.2">
      <c r="A321" s="15" t="str">
        <f t="shared" si="19"/>
        <v>815057207857</v>
      </c>
      <c r="B321" s="15">
        <v>815057</v>
      </c>
      <c r="C321" s="15" t="s">
        <v>319</v>
      </c>
      <c r="D321" s="15">
        <v>207857</v>
      </c>
      <c r="E321" s="15" t="s">
        <v>1</v>
      </c>
      <c r="F321" s="26">
        <v>67</v>
      </c>
      <c r="G321" s="26">
        <v>42</v>
      </c>
      <c r="H321" s="26">
        <v>0</v>
      </c>
      <c r="I321" s="26">
        <v>160</v>
      </c>
      <c r="J321" s="26">
        <v>42</v>
      </c>
      <c r="K321" s="26">
        <v>0</v>
      </c>
      <c r="L321" s="26">
        <v>182</v>
      </c>
      <c r="M321" s="26">
        <v>0</v>
      </c>
      <c r="N321" s="26">
        <v>96</v>
      </c>
      <c r="O321" s="27">
        <v>135</v>
      </c>
      <c r="P321" s="27">
        <v>30</v>
      </c>
      <c r="Q321" s="27">
        <v>30</v>
      </c>
      <c r="R321" s="27">
        <v>166.25</v>
      </c>
      <c r="S321" s="27">
        <v>51</v>
      </c>
      <c r="T321" s="27">
        <v>107.5</v>
      </c>
      <c r="U321" s="27">
        <v>188.5</v>
      </c>
      <c r="V321" s="27">
        <v>10</v>
      </c>
      <c r="W321" s="27">
        <v>10</v>
      </c>
      <c r="X321" s="27">
        <v>112</v>
      </c>
      <c r="Y321" s="27">
        <v>36</v>
      </c>
      <c r="Z321" s="27">
        <v>75</v>
      </c>
      <c r="AA321" s="27">
        <v>177.5</v>
      </c>
      <c r="AB321" s="27">
        <v>20</v>
      </c>
      <c r="AC321" s="27">
        <v>35</v>
      </c>
      <c r="AD321" s="27">
        <v>278</v>
      </c>
      <c r="AE321" s="27">
        <v>23.5</v>
      </c>
      <c r="AF321" s="27">
        <v>62</v>
      </c>
      <c r="AG321" s="26">
        <f t="shared" si="20"/>
        <v>1466.25</v>
      </c>
      <c r="AH321" s="26">
        <f t="shared" si="21"/>
        <v>254.5</v>
      </c>
      <c r="AI321" s="26">
        <f t="shared" si="22"/>
        <v>415.5</v>
      </c>
      <c r="AJ321" s="15" t="s">
        <v>424</v>
      </c>
      <c r="AK321" s="15" t="s">
        <v>424</v>
      </c>
      <c r="AL321" s="15" t="s">
        <v>317</v>
      </c>
      <c r="AM321" s="19">
        <v>44335</v>
      </c>
    </row>
    <row r="322" spans="1:39" x14ac:dyDescent="0.2">
      <c r="A322" s="15" t="str">
        <f t="shared" si="19"/>
        <v>815231206681</v>
      </c>
      <c r="B322" s="32">
        <v>815231</v>
      </c>
      <c r="C322" s="32" t="s">
        <v>333</v>
      </c>
      <c r="D322" s="17">
        <v>206681</v>
      </c>
      <c r="E322" s="15" t="s">
        <v>127</v>
      </c>
      <c r="F322" s="26">
        <v>60</v>
      </c>
      <c r="G322" s="26">
        <v>0</v>
      </c>
      <c r="H322" s="26">
        <v>0</v>
      </c>
      <c r="I322" s="26">
        <v>10</v>
      </c>
      <c r="J322" s="26">
        <v>0</v>
      </c>
      <c r="K322" s="26">
        <v>0</v>
      </c>
      <c r="L322" s="26">
        <v>10</v>
      </c>
      <c r="M322" s="26">
        <v>0</v>
      </c>
      <c r="N322" s="26">
        <v>0</v>
      </c>
      <c r="O322" s="27">
        <v>0</v>
      </c>
      <c r="P322" s="27">
        <v>0</v>
      </c>
      <c r="Q322" s="27">
        <v>0</v>
      </c>
      <c r="R322" s="27">
        <v>0</v>
      </c>
      <c r="S322" s="27">
        <v>0</v>
      </c>
      <c r="T322" s="27">
        <v>0</v>
      </c>
      <c r="U322" s="27">
        <v>0</v>
      </c>
      <c r="V322" s="27">
        <v>0</v>
      </c>
      <c r="W322" s="27">
        <v>0</v>
      </c>
      <c r="X322" s="27">
        <v>0</v>
      </c>
      <c r="Y322" s="27">
        <v>0</v>
      </c>
      <c r="Z322" s="27">
        <v>0</v>
      </c>
      <c r="AA322" s="27">
        <v>0</v>
      </c>
      <c r="AB322" s="27">
        <v>0</v>
      </c>
      <c r="AC322" s="27">
        <v>0</v>
      </c>
      <c r="AD322" s="27">
        <v>0</v>
      </c>
      <c r="AE322" s="27">
        <v>0</v>
      </c>
      <c r="AF322" s="27">
        <v>0</v>
      </c>
      <c r="AG322" s="26">
        <f t="shared" si="20"/>
        <v>80</v>
      </c>
      <c r="AH322" s="26">
        <f t="shared" si="21"/>
        <v>0</v>
      </c>
      <c r="AI322" s="26">
        <f t="shared" si="22"/>
        <v>0</v>
      </c>
      <c r="AJ322" s="15" t="s">
        <v>424</v>
      </c>
      <c r="AK322" s="15" t="s">
        <v>424</v>
      </c>
      <c r="AL322" s="15" t="s">
        <v>317</v>
      </c>
      <c r="AM322" s="19">
        <v>44370</v>
      </c>
    </row>
    <row r="323" spans="1:39" x14ac:dyDescent="0.2">
      <c r="A323" s="15" t="str">
        <f t="shared" ref="A323:A386" si="23">B323&amp;D323</f>
        <v>815408201172</v>
      </c>
      <c r="B323" s="32">
        <v>815408</v>
      </c>
      <c r="C323" s="32" t="s">
        <v>345</v>
      </c>
      <c r="D323" s="15">
        <v>201172</v>
      </c>
      <c r="E323" s="15" t="s">
        <v>144</v>
      </c>
      <c r="F323" s="26">
        <v>26.5</v>
      </c>
      <c r="G323" s="26">
        <v>0</v>
      </c>
      <c r="H323" s="26">
        <v>0</v>
      </c>
      <c r="I323" s="26">
        <v>18.5</v>
      </c>
      <c r="J323" s="26">
        <v>0</v>
      </c>
      <c r="K323" s="26">
        <v>0</v>
      </c>
      <c r="L323" s="26">
        <v>20</v>
      </c>
      <c r="M323" s="26">
        <v>0</v>
      </c>
      <c r="N323" s="26">
        <v>0</v>
      </c>
      <c r="O323" s="27">
        <v>27.5</v>
      </c>
      <c r="P323" s="27">
        <v>0</v>
      </c>
      <c r="Q323" s="27">
        <v>0</v>
      </c>
      <c r="R323" s="27">
        <v>17</v>
      </c>
      <c r="S323" s="27">
        <v>0</v>
      </c>
      <c r="T323" s="27">
        <v>0</v>
      </c>
      <c r="U323" s="27">
        <v>25.25</v>
      </c>
      <c r="V323" s="27">
        <v>0</v>
      </c>
      <c r="W323" s="27">
        <v>0</v>
      </c>
      <c r="X323" s="27">
        <v>17</v>
      </c>
      <c r="Y323" s="27">
        <v>0</v>
      </c>
      <c r="Z323" s="27">
        <v>0</v>
      </c>
      <c r="AA323" s="27">
        <v>18.5</v>
      </c>
      <c r="AB323" s="27">
        <v>0</v>
      </c>
      <c r="AC323" s="27">
        <v>0</v>
      </c>
      <c r="AD323" s="27">
        <v>20</v>
      </c>
      <c r="AE323" s="27">
        <v>0</v>
      </c>
      <c r="AF323" s="27">
        <v>0</v>
      </c>
      <c r="AG323" s="26">
        <f t="shared" si="20"/>
        <v>190.25</v>
      </c>
      <c r="AH323" s="26">
        <f t="shared" si="21"/>
        <v>0</v>
      </c>
      <c r="AI323" s="26">
        <f t="shared" si="22"/>
        <v>0</v>
      </c>
      <c r="AJ323" s="15" t="s">
        <v>424</v>
      </c>
      <c r="AK323" s="15" t="s">
        <v>424</v>
      </c>
      <c r="AL323" s="15" t="s">
        <v>317</v>
      </c>
      <c r="AM323" s="19">
        <v>44383</v>
      </c>
    </row>
    <row r="324" spans="1:39" x14ac:dyDescent="0.2">
      <c r="A324" s="15" t="str">
        <f t="shared" si="23"/>
        <v>815417207787</v>
      </c>
      <c r="B324" s="32">
        <v>815417</v>
      </c>
      <c r="C324" s="32" t="s">
        <v>9</v>
      </c>
      <c r="D324" s="15">
        <v>207787</v>
      </c>
      <c r="E324" s="15" t="s">
        <v>356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7">
        <v>0</v>
      </c>
      <c r="P324" s="27">
        <v>0</v>
      </c>
      <c r="Q324" s="27">
        <v>0</v>
      </c>
      <c r="R324" s="27">
        <v>0</v>
      </c>
      <c r="S324" s="27">
        <v>0</v>
      </c>
      <c r="T324" s="27">
        <v>0</v>
      </c>
      <c r="U324" s="27">
        <v>0</v>
      </c>
      <c r="V324" s="27">
        <v>0</v>
      </c>
      <c r="W324" s="27">
        <v>0</v>
      </c>
      <c r="X324" s="27">
        <v>0</v>
      </c>
      <c r="Y324" s="27">
        <v>0</v>
      </c>
      <c r="Z324" s="27">
        <v>0</v>
      </c>
      <c r="AA324" s="27">
        <v>0</v>
      </c>
      <c r="AB324" s="27">
        <v>0</v>
      </c>
      <c r="AC324" s="27">
        <v>0</v>
      </c>
      <c r="AD324" s="27">
        <v>0</v>
      </c>
      <c r="AE324" s="27">
        <v>0</v>
      </c>
      <c r="AF324" s="27">
        <v>0</v>
      </c>
      <c r="AG324" s="26">
        <f t="shared" si="20"/>
        <v>0</v>
      </c>
      <c r="AH324" s="26">
        <f t="shared" si="21"/>
        <v>0</v>
      </c>
      <c r="AI324" s="26">
        <f t="shared" si="22"/>
        <v>0</v>
      </c>
      <c r="AJ324" s="15" t="s">
        <v>424</v>
      </c>
      <c r="AK324" s="15" t="s">
        <v>424</v>
      </c>
      <c r="AL324" s="15" t="s">
        <v>317</v>
      </c>
      <c r="AM324" s="19">
        <v>44384</v>
      </c>
    </row>
    <row r="325" spans="1:39" x14ac:dyDescent="0.2">
      <c r="A325" s="15" t="str">
        <f t="shared" si="23"/>
        <v>815426202994</v>
      </c>
      <c r="B325" s="32">
        <v>815426</v>
      </c>
      <c r="C325" s="32" t="s">
        <v>357</v>
      </c>
      <c r="D325" s="15">
        <v>202994</v>
      </c>
      <c r="E325" s="15" t="s">
        <v>220</v>
      </c>
      <c r="F325" s="26">
        <v>20</v>
      </c>
      <c r="G325" s="26">
        <v>0</v>
      </c>
      <c r="H325" s="26">
        <v>0</v>
      </c>
      <c r="I325" s="26">
        <v>0</v>
      </c>
      <c r="J325" s="26">
        <v>0</v>
      </c>
      <c r="K325" s="26">
        <v>0</v>
      </c>
      <c r="L325" s="26">
        <v>2.5</v>
      </c>
      <c r="M325" s="26">
        <v>0</v>
      </c>
      <c r="N325" s="26">
        <v>0</v>
      </c>
      <c r="O325" s="27">
        <v>10</v>
      </c>
      <c r="P325" s="27">
        <v>0</v>
      </c>
      <c r="Q325" s="27">
        <v>0</v>
      </c>
      <c r="R325" s="27">
        <v>9</v>
      </c>
      <c r="S325" s="27">
        <v>0</v>
      </c>
      <c r="T325" s="27">
        <v>5</v>
      </c>
      <c r="U325" s="27">
        <v>0</v>
      </c>
      <c r="V325" s="27">
        <v>0</v>
      </c>
      <c r="W325" s="27">
        <v>0</v>
      </c>
      <c r="X325" s="27">
        <v>0</v>
      </c>
      <c r="Y325" s="27">
        <v>0</v>
      </c>
      <c r="Z325" s="27">
        <v>0</v>
      </c>
      <c r="AA325" s="27">
        <v>0</v>
      </c>
      <c r="AB325" s="27">
        <v>0</v>
      </c>
      <c r="AC325" s="27">
        <v>0</v>
      </c>
      <c r="AD325" s="27">
        <v>0</v>
      </c>
      <c r="AE325" s="27">
        <v>0</v>
      </c>
      <c r="AF325" s="27">
        <v>0</v>
      </c>
      <c r="AG325" s="26">
        <f t="shared" si="20"/>
        <v>41.5</v>
      </c>
      <c r="AH325" s="26">
        <f t="shared" si="21"/>
        <v>0</v>
      </c>
      <c r="AI325" s="26">
        <f t="shared" si="22"/>
        <v>5</v>
      </c>
      <c r="AJ325" s="15" t="s">
        <v>424</v>
      </c>
      <c r="AK325" s="15" t="s">
        <v>424</v>
      </c>
      <c r="AL325" s="15" t="s">
        <v>317</v>
      </c>
      <c r="AM325" s="19">
        <v>44384</v>
      </c>
    </row>
    <row r="326" spans="1:39" x14ac:dyDescent="0.2">
      <c r="A326" s="15" t="str">
        <f t="shared" si="23"/>
        <v>815514207857</v>
      </c>
      <c r="B326" s="32">
        <v>815514</v>
      </c>
      <c r="C326" s="32" t="s">
        <v>111</v>
      </c>
      <c r="D326" s="15">
        <v>207857</v>
      </c>
      <c r="E326" s="15" t="s">
        <v>1</v>
      </c>
      <c r="F326" s="26">
        <v>5</v>
      </c>
      <c r="G326" s="26">
        <v>0</v>
      </c>
      <c r="H326" s="26">
        <v>0</v>
      </c>
      <c r="I326" s="26">
        <v>0</v>
      </c>
      <c r="J326" s="26">
        <v>0</v>
      </c>
      <c r="K326" s="26">
        <v>0</v>
      </c>
      <c r="L326" s="26">
        <v>5</v>
      </c>
      <c r="M326" s="26">
        <v>5</v>
      </c>
      <c r="N326" s="26">
        <v>0</v>
      </c>
      <c r="O326" s="27">
        <v>0</v>
      </c>
      <c r="P326" s="27">
        <v>0</v>
      </c>
      <c r="Q326" s="27">
        <v>0</v>
      </c>
      <c r="R326" s="27">
        <v>0</v>
      </c>
      <c r="S326" s="27">
        <v>0</v>
      </c>
      <c r="T326" s="27">
        <v>0</v>
      </c>
      <c r="U326" s="27">
        <v>0</v>
      </c>
      <c r="V326" s="27">
        <v>0</v>
      </c>
      <c r="W326" s="27">
        <v>0</v>
      </c>
      <c r="X326" s="27">
        <v>0</v>
      </c>
      <c r="Y326" s="27">
        <v>0</v>
      </c>
      <c r="Z326" s="27">
        <v>0</v>
      </c>
      <c r="AA326" s="27">
        <v>0</v>
      </c>
      <c r="AB326" s="27">
        <v>0</v>
      </c>
      <c r="AC326" s="27">
        <v>0</v>
      </c>
      <c r="AD326" s="27">
        <v>1</v>
      </c>
      <c r="AE326" s="27">
        <v>0</v>
      </c>
      <c r="AF326" s="27">
        <v>0</v>
      </c>
      <c r="AG326" s="26">
        <f t="shared" si="20"/>
        <v>11</v>
      </c>
      <c r="AH326" s="26">
        <f t="shared" si="21"/>
        <v>5</v>
      </c>
      <c r="AI326" s="26">
        <f t="shared" si="22"/>
        <v>0</v>
      </c>
      <c r="AJ326" s="15" t="s">
        <v>424</v>
      </c>
      <c r="AK326" s="15" t="s">
        <v>424</v>
      </c>
      <c r="AL326" s="15" t="s">
        <v>317</v>
      </c>
      <c r="AM326" s="19">
        <v>44391</v>
      </c>
    </row>
    <row r="327" spans="1:39" x14ac:dyDescent="0.2">
      <c r="A327" s="15" t="str">
        <f t="shared" si="23"/>
        <v>815593203154</v>
      </c>
      <c r="B327" s="32">
        <v>815593</v>
      </c>
      <c r="C327" s="32" t="s">
        <v>4</v>
      </c>
      <c r="D327" s="15">
        <v>203154</v>
      </c>
      <c r="E327" s="15" t="s">
        <v>217</v>
      </c>
      <c r="F327" s="26">
        <v>0</v>
      </c>
      <c r="G327" s="26">
        <v>0</v>
      </c>
      <c r="H327" s="26">
        <v>0</v>
      </c>
      <c r="I327" s="26">
        <v>0</v>
      </c>
      <c r="J327" s="26">
        <v>0</v>
      </c>
      <c r="K327" s="26">
        <v>0</v>
      </c>
      <c r="L327" s="26">
        <v>0</v>
      </c>
      <c r="M327" s="26">
        <v>0</v>
      </c>
      <c r="N327" s="26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  <c r="V327" s="27">
        <v>0</v>
      </c>
      <c r="W327" s="27">
        <v>0</v>
      </c>
      <c r="X327" s="27">
        <v>0</v>
      </c>
      <c r="Y327" s="27">
        <v>0</v>
      </c>
      <c r="Z327" s="27">
        <v>0</v>
      </c>
      <c r="AA327" s="27">
        <v>7.5</v>
      </c>
      <c r="AB327" s="27">
        <v>0</v>
      </c>
      <c r="AC327" s="27">
        <v>0</v>
      </c>
      <c r="AD327" s="27">
        <v>0</v>
      </c>
      <c r="AE327" s="27">
        <v>0</v>
      </c>
      <c r="AF327" s="27">
        <v>0</v>
      </c>
      <c r="AG327" s="26">
        <f t="shared" si="20"/>
        <v>7.5</v>
      </c>
      <c r="AH327" s="26">
        <f t="shared" si="21"/>
        <v>0</v>
      </c>
      <c r="AI327" s="26">
        <f t="shared" si="22"/>
        <v>0</v>
      </c>
      <c r="AJ327" s="15" t="s">
        <v>424</v>
      </c>
      <c r="AK327" s="15" t="s">
        <v>424</v>
      </c>
      <c r="AL327" s="15" t="s">
        <v>317</v>
      </c>
      <c r="AM327" s="19">
        <v>44399</v>
      </c>
    </row>
    <row r="328" spans="1:39" x14ac:dyDescent="0.2">
      <c r="A328" s="15" t="str">
        <f t="shared" si="23"/>
        <v>815657207857</v>
      </c>
      <c r="B328" s="32">
        <v>815657</v>
      </c>
      <c r="C328" s="32" t="s">
        <v>364</v>
      </c>
      <c r="D328" s="15">
        <v>207857</v>
      </c>
      <c r="E328" s="15" t="s">
        <v>1</v>
      </c>
      <c r="F328" s="26">
        <v>5</v>
      </c>
      <c r="G328" s="26">
        <v>0</v>
      </c>
      <c r="H328" s="26">
        <v>0</v>
      </c>
      <c r="I328" s="26">
        <v>35</v>
      </c>
      <c r="J328" s="26">
        <v>0</v>
      </c>
      <c r="K328" s="26">
        <v>0</v>
      </c>
      <c r="L328" s="26">
        <v>25.5</v>
      </c>
      <c r="M328" s="26">
        <v>0</v>
      </c>
      <c r="N328" s="26">
        <v>5.5</v>
      </c>
      <c r="O328" s="27">
        <v>40</v>
      </c>
      <c r="P328" s="27">
        <v>0</v>
      </c>
      <c r="Q328" s="27">
        <v>0</v>
      </c>
      <c r="R328" s="27">
        <v>30</v>
      </c>
      <c r="S328" s="27">
        <v>15</v>
      </c>
      <c r="T328" s="27">
        <v>0</v>
      </c>
      <c r="U328" s="27">
        <v>30</v>
      </c>
      <c r="V328" s="27">
        <v>0</v>
      </c>
      <c r="W328" s="27">
        <v>0</v>
      </c>
      <c r="X328" s="27">
        <v>50</v>
      </c>
      <c r="Y328" s="27">
        <v>0</v>
      </c>
      <c r="Z328" s="27">
        <v>0</v>
      </c>
      <c r="AA328" s="27">
        <v>40</v>
      </c>
      <c r="AB328" s="27">
        <v>0</v>
      </c>
      <c r="AC328" s="27">
        <v>0</v>
      </c>
      <c r="AD328" s="27">
        <v>47.5</v>
      </c>
      <c r="AE328" s="27">
        <v>0</v>
      </c>
      <c r="AF328" s="27">
        <v>0</v>
      </c>
      <c r="AG328" s="26">
        <f t="shared" si="20"/>
        <v>303</v>
      </c>
      <c r="AH328" s="26">
        <f t="shared" si="21"/>
        <v>15</v>
      </c>
      <c r="AI328" s="26">
        <f t="shared" si="22"/>
        <v>5.5</v>
      </c>
      <c r="AJ328" s="15" t="s">
        <v>424</v>
      </c>
      <c r="AK328" s="15" t="s">
        <v>424</v>
      </c>
      <c r="AL328" s="15" t="s">
        <v>317</v>
      </c>
      <c r="AM328" s="19">
        <v>44403</v>
      </c>
    </row>
    <row r="329" spans="1:39" x14ac:dyDescent="0.2">
      <c r="A329" s="15" t="str">
        <f t="shared" si="23"/>
        <v>815663207857</v>
      </c>
      <c r="B329" s="32">
        <v>815663</v>
      </c>
      <c r="C329" s="32" t="s">
        <v>368</v>
      </c>
      <c r="D329" s="15">
        <v>207857</v>
      </c>
      <c r="E329" s="15" t="s">
        <v>1</v>
      </c>
      <c r="F329" s="26">
        <v>5</v>
      </c>
      <c r="G329" s="26">
        <v>0</v>
      </c>
      <c r="H329" s="26">
        <v>0</v>
      </c>
      <c r="I329" s="26">
        <v>0</v>
      </c>
      <c r="J329" s="26">
        <v>0</v>
      </c>
      <c r="K329" s="26">
        <v>0</v>
      </c>
      <c r="L329" s="26">
        <v>0</v>
      </c>
      <c r="M329" s="26">
        <v>0</v>
      </c>
      <c r="N329" s="26">
        <v>0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  <c r="V329" s="27">
        <v>0</v>
      </c>
      <c r="W329" s="27">
        <v>0</v>
      </c>
      <c r="X329" s="27">
        <v>0</v>
      </c>
      <c r="Y329" s="27">
        <v>0</v>
      </c>
      <c r="Z329" s="27">
        <v>0</v>
      </c>
      <c r="AA329" s="27">
        <v>0</v>
      </c>
      <c r="AB329" s="27">
        <v>0</v>
      </c>
      <c r="AC329" s="27">
        <v>0</v>
      </c>
      <c r="AD329" s="27">
        <v>1</v>
      </c>
      <c r="AE329" s="27">
        <v>0</v>
      </c>
      <c r="AF329" s="27">
        <v>0</v>
      </c>
      <c r="AG329" s="26">
        <f t="shared" si="20"/>
        <v>6</v>
      </c>
      <c r="AH329" s="26">
        <f t="shared" si="21"/>
        <v>0</v>
      </c>
      <c r="AI329" s="26">
        <f t="shared" si="22"/>
        <v>0</v>
      </c>
      <c r="AJ329" s="15" t="s">
        <v>424</v>
      </c>
      <c r="AK329" s="15" t="s">
        <v>424</v>
      </c>
      <c r="AL329" s="15" t="s">
        <v>317</v>
      </c>
      <c r="AM329" s="19">
        <v>44403</v>
      </c>
    </row>
    <row r="330" spans="1:39" x14ac:dyDescent="0.2">
      <c r="A330" s="15" t="str">
        <f t="shared" si="23"/>
        <v>815664207857</v>
      </c>
      <c r="B330" s="32">
        <v>815664</v>
      </c>
      <c r="C330" s="32" t="s">
        <v>369</v>
      </c>
      <c r="D330" s="15">
        <v>207857</v>
      </c>
      <c r="E330" s="15" t="s">
        <v>1</v>
      </c>
      <c r="F330" s="26">
        <v>5</v>
      </c>
      <c r="G330" s="26">
        <v>0</v>
      </c>
      <c r="H330" s="26">
        <v>0</v>
      </c>
      <c r="I330" s="26">
        <v>17.5</v>
      </c>
      <c r="J330" s="26">
        <v>0</v>
      </c>
      <c r="K330" s="26">
        <v>0</v>
      </c>
      <c r="L330" s="26">
        <v>15.5</v>
      </c>
      <c r="M330" s="26">
        <v>0</v>
      </c>
      <c r="N330" s="26">
        <v>0</v>
      </c>
      <c r="O330" s="27">
        <v>20</v>
      </c>
      <c r="P330" s="27">
        <v>0</v>
      </c>
      <c r="Q330" s="27">
        <v>0</v>
      </c>
      <c r="R330" s="27">
        <v>7.5</v>
      </c>
      <c r="S330" s="27">
        <v>0</v>
      </c>
      <c r="T330" s="27">
        <v>0</v>
      </c>
      <c r="U330" s="27">
        <v>30</v>
      </c>
      <c r="V330" s="27">
        <v>0</v>
      </c>
      <c r="W330" s="27">
        <v>0</v>
      </c>
      <c r="X330" s="27">
        <v>32.5</v>
      </c>
      <c r="Y330" s="27">
        <v>0</v>
      </c>
      <c r="Z330" s="27">
        <v>0</v>
      </c>
      <c r="AA330" s="27">
        <v>20</v>
      </c>
      <c r="AB330" s="27">
        <v>0</v>
      </c>
      <c r="AC330" s="27">
        <v>0</v>
      </c>
      <c r="AD330" s="27">
        <v>37.5</v>
      </c>
      <c r="AE330" s="27">
        <v>0</v>
      </c>
      <c r="AF330" s="27">
        <v>0</v>
      </c>
      <c r="AG330" s="26">
        <f t="shared" si="20"/>
        <v>185.5</v>
      </c>
      <c r="AH330" s="26">
        <f t="shared" si="21"/>
        <v>0</v>
      </c>
      <c r="AI330" s="26">
        <f t="shared" si="22"/>
        <v>0</v>
      </c>
      <c r="AJ330" s="15" t="s">
        <v>424</v>
      </c>
      <c r="AK330" s="15" t="s">
        <v>424</v>
      </c>
      <c r="AL330" s="15" t="s">
        <v>317</v>
      </c>
      <c r="AM330" s="19">
        <v>44403</v>
      </c>
    </row>
    <row r="331" spans="1:39" x14ac:dyDescent="0.2">
      <c r="A331" s="15" t="str">
        <f t="shared" si="23"/>
        <v>815719207857</v>
      </c>
      <c r="B331" s="32">
        <v>815719</v>
      </c>
      <c r="C331" s="32" t="s">
        <v>370</v>
      </c>
      <c r="D331" s="15">
        <v>207857</v>
      </c>
      <c r="E331" s="15" t="s">
        <v>1</v>
      </c>
      <c r="F331" s="26">
        <v>5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5</v>
      </c>
      <c r="M331" s="26">
        <v>5</v>
      </c>
      <c r="N331" s="26">
        <v>0</v>
      </c>
      <c r="O331" s="27">
        <v>0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2.5</v>
      </c>
      <c r="V331" s="27">
        <v>0</v>
      </c>
      <c r="W331" s="27">
        <v>0</v>
      </c>
      <c r="X331" s="27">
        <v>15</v>
      </c>
      <c r="Y331" s="27">
        <v>0</v>
      </c>
      <c r="Z331" s="27">
        <v>0</v>
      </c>
      <c r="AA331" s="27">
        <v>33.5</v>
      </c>
      <c r="AB331" s="27">
        <v>0</v>
      </c>
      <c r="AC331" s="27">
        <v>1</v>
      </c>
      <c r="AD331" s="27">
        <v>30</v>
      </c>
      <c r="AE331" s="27">
        <v>0</v>
      </c>
      <c r="AF331" s="27">
        <v>0</v>
      </c>
      <c r="AG331" s="26">
        <f t="shared" si="20"/>
        <v>91</v>
      </c>
      <c r="AH331" s="26">
        <f t="shared" si="21"/>
        <v>5</v>
      </c>
      <c r="AI331" s="26">
        <f t="shared" si="22"/>
        <v>1</v>
      </c>
      <c r="AJ331" s="15" t="s">
        <v>424</v>
      </c>
      <c r="AK331" s="15" t="s">
        <v>424</v>
      </c>
      <c r="AL331" s="15" t="s">
        <v>317</v>
      </c>
      <c r="AM331" s="19">
        <v>44405</v>
      </c>
    </row>
    <row r="332" spans="1:39" x14ac:dyDescent="0.2">
      <c r="A332" s="15" t="str">
        <f t="shared" si="23"/>
        <v>815720207857</v>
      </c>
      <c r="B332" s="32">
        <v>815720</v>
      </c>
      <c r="C332" s="32" t="s">
        <v>371</v>
      </c>
      <c r="D332" s="15">
        <v>207857</v>
      </c>
      <c r="E332" s="15" t="s">
        <v>1</v>
      </c>
      <c r="F332" s="26">
        <v>15</v>
      </c>
      <c r="G332" s="26">
        <v>0</v>
      </c>
      <c r="H332" s="26">
        <v>0</v>
      </c>
      <c r="I332" s="26">
        <v>20</v>
      </c>
      <c r="J332" s="26">
        <v>0</v>
      </c>
      <c r="K332" s="26">
        <v>0</v>
      </c>
      <c r="L332" s="26">
        <v>44.5</v>
      </c>
      <c r="M332" s="26">
        <v>5</v>
      </c>
      <c r="N332" s="26">
        <v>10.5</v>
      </c>
      <c r="O332" s="27">
        <v>40</v>
      </c>
      <c r="P332" s="27">
        <v>0</v>
      </c>
      <c r="Q332" s="27">
        <v>0</v>
      </c>
      <c r="R332" s="27">
        <v>25</v>
      </c>
      <c r="S332" s="27">
        <v>0</v>
      </c>
      <c r="T332" s="27">
        <v>0</v>
      </c>
      <c r="U332" s="27">
        <v>30</v>
      </c>
      <c r="V332" s="27">
        <v>0</v>
      </c>
      <c r="W332" s="27">
        <v>0</v>
      </c>
      <c r="X332" s="27">
        <v>40</v>
      </c>
      <c r="Y332" s="27">
        <v>0</v>
      </c>
      <c r="Z332" s="27">
        <v>0</v>
      </c>
      <c r="AA332" s="27">
        <v>49.5</v>
      </c>
      <c r="AB332" s="27">
        <v>0</v>
      </c>
      <c r="AC332" s="27">
        <v>0</v>
      </c>
      <c r="AD332" s="27">
        <v>40</v>
      </c>
      <c r="AE332" s="27">
        <v>0</v>
      </c>
      <c r="AF332" s="27">
        <v>0</v>
      </c>
      <c r="AG332" s="26">
        <f t="shared" si="20"/>
        <v>304</v>
      </c>
      <c r="AH332" s="26">
        <f t="shared" si="21"/>
        <v>5</v>
      </c>
      <c r="AI332" s="26">
        <f t="shared" si="22"/>
        <v>10.5</v>
      </c>
      <c r="AJ332" s="15" t="s">
        <v>424</v>
      </c>
      <c r="AK332" s="15" t="s">
        <v>424</v>
      </c>
      <c r="AL332" s="15" t="s">
        <v>317</v>
      </c>
      <c r="AM332" s="19">
        <v>44405</v>
      </c>
    </row>
    <row r="333" spans="1:39" x14ac:dyDescent="0.2">
      <c r="A333" s="15" t="str">
        <f t="shared" si="23"/>
        <v>815929202870</v>
      </c>
      <c r="B333" s="32">
        <v>815929</v>
      </c>
      <c r="C333" s="32" t="s">
        <v>382</v>
      </c>
      <c r="D333" s="15">
        <v>202870</v>
      </c>
      <c r="E333" s="15" t="s">
        <v>383</v>
      </c>
      <c r="F333" s="26">
        <v>0</v>
      </c>
      <c r="G333" s="26">
        <v>0</v>
      </c>
      <c r="H333" s="26">
        <v>0</v>
      </c>
      <c r="I333" s="26">
        <v>2.5</v>
      </c>
      <c r="J333" s="26">
        <v>0</v>
      </c>
      <c r="K333" s="26">
        <v>0</v>
      </c>
      <c r="L333" s="26">
        <v>17.5</v>
      </c>
      <c r="M333" s="26">
        <v>0</v>
      </c>
      <c r="N333" s="26">
        <v>0</v>
      </c>
      <c r="O333" s="27">
        <v>30</v>
      </c>
      <c r="P333" s="27">
        <v>7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  <c r="V333" s="27">
        <v>0</v>
      </c>
      <c r="W333" s="27">
        <v>0</v>
      </c>
      <c r="X333" s="27">
        <v>1.5</v>
      </c>
      <c r="Y333" s="27">
        <v>0</v>
      </c>
      <c r="Z333" s="27">
        <v>0</v>
      </c>
      <c r="AA333" s="27">
        <v>0</v>
      </c>
      <c r="AB333" s="27">
        <v>0</v>
      </c>
      <c r="AC333" s="27">
        <v>0</v>
      </c>
      <c r="AD333" s="27">
        <v>5</v>
      </c>
      <c r="AE333" s="27">
        <v>0</v>
      </c>
      <c r="AF333" s="27">
        <v>0</v>
      </c>
      <c r="AG333" s="26">
        <f t="shared" si="20"/>
        <v>56.5</v>
      </c>
      <c r="AH333" s="26">
        <f t="shared" si="21"/>
        <v>7</v>
      </c>
      <c r="AI333" s="26">
        <f t="shared" si="22"/>
        <v>0</v>
      </c>
      <c r="AJ333" s="15" t="s">
        <v>424</v>
      </c>
      <c r="AK333" s="15" t="s">
        <v>424</v>
      </c>
      <c r="AL333" s="15" t="s">
        <v>317</v>
      </c>
      <c r="AM333" s="19">
        <v>44422</v>
      </c>
    </row>
    <row r="334" spans="1:39" x14ac:dyDescent="0.2">
      <c r="A334" s="15" t="str">
        <f t="shared" si="23"/>
        <v>816261149825</v>
      </c>
      <c r="B334" s="32">
        <v>816261</v>
      </c>
      <c r="C334" s="32" t="s">
        <v>400</v>
      </c>
      <c r="D334" s="15">
        <v>149825</v>
      </c>
      <c r="E334" s="15" t="s">
        <v>232</v>
      </c>
      <c r="F334" s="26">
        <v>20</v>
      </c>
      <c r="G334" s="26">
        <v>0</v>
      </c>
      <c r="H334" s="26">
        <v>0</v>
      </c>
      <c r="I334" s="26">
        <v>20</v>
      </c>
      <c r="J334" s="26">
        <v>0</v>
      </c>
      <c r="K334" s="26">
        <v>0</v>
      </c>
      <c r="L334" s="26">
        <v>10</v>
      </c>
      <c r="M334" s="26">
        <v>0</v>
      </c>
      <c r="N334" s="26">
        <v>10</v>
      </c>
      <c r="O334" s="27">
        <v>84.55</v>
      </c>
      <c r="P334" s="27">
        <v>0.25</v>
      </c>
      <c r="Q334" s="27">
        <v>14.3</v>
      </c>
      <c r="R334" s="27">
        <v>10</v>
      </c>
      <c r="S334" s="27">
        <v>0</v>
      </c>
      <c r="T334" s="27">
        <v>0</v>
      </c>
      <c r="U334" s="27">
        <v>81.75</v>
      </c>
      <c r="V334" s="27">
        <v>0</v>
      </c>
      <c r="W334" s="27">
        <v>13.25</v>
      </c>
      <c r="X334" s="27">
        <v>55</v>
      </c>
      <c r="Y334" s="27">
        <v>0</v>
      </c>
      <c r="Z334" s="27">
        <v>5</v>
      </c>
      <c r="AA334" s="27">
        <v>37.5</v>
      </c>
      <c r="AB334" s="27">
        <v>0</v>
      </c>
      <c r="AC334" s="27">
        <v>0</v>
      </c>
      <c r="AD334" s="27">
        <v>80</v>
      </c>
      <c r="AE334" s="27">
        <v>0</v>
      </c>
      <c r="AF334" s="27">
        <v>0</v>
      </c>
      <c r="AG334" s="26">
        <f t="shared" si="20"/>
        <v>398.8</v>
      </c>
      <c r="AH334" s="26">
        <f t="shared" si="21"/>
        <v>0.25</v>
      </c>
      <c r="AI334" s="26">
        <f t="shared" si="22"/>
        <v>42.55</v>
      </c>
      <c r="AJ334" s="15" t="s">
        <v>424</v>
      </c>
      <c r="AK334" s="15" t="s">
        <v>424</v>
      </c>
      <c r="AL334" s="15" t="s">
        <v>317</v>
      </c>
      <c r="AM334" s="19">
        <v>44443</v>
      </c>
    </row>
    <row r="335" spans="1:39" x14ac:dyDescent="0.2">
      <c r="A335" s="15" t="str">
        <f t="shared" si="23"/>
        <v>816262176276</v>
      </c>
      <c r="B335" s="32">
        <v>816262</v>
      </c>
      <c r="C335" s="32" t="s">
        <v>401</v>
      </c>
      <c r="D335" s="15">
        <v>176276</v>
      </c>
      <c r="E335" s="15" t="s">
        <v>151</v>
      </c>
      <c r="F335" s="26">
        <v>21</v>
      </c>
      <c r="G335" s="26">
        <v>0</v>
      </c>
      <c r="H335" s="26">
        <v>0</v>
      </c>
      <c r="I335" s="26">
        <v>7.5</v>
      </c>
      <c r="J335" s="26">
        <v>0</v>
      </c>
      <c r="K335" s="26">
        <v>0</v>
      </c>
      <c r="L335" s="26">
        <v>43</v>
      </c>
      <c r="M335" s="26">
        <v>0</v>
      </c>
      <c r="N335" s="26">
        <v>0</v>
      </c>
      <c r="O335" s="27">
        <v>12.5</v>
      </c>
      <c r="P335" s="27">
        <v>0</v>
      </c>
      <c r="Q335" s="27">
        <v>0</v>
      </c>
      <c r="R335" s="27">
        <v>15</v>
      </c>
      <c r="S335" s="27">
        <v>0</v>
      </c>
      <c r="T335" s="27">
        <v>2.5</v>
      </c>
      <c r="U335" s="27">
        <v>37.5</v>
      </c>
      <c r="V335" s="27">
        <v>0</v>
      </c>
      <c r="W335" s="27">
        <v>0</v>
      </c>
      <c r="X335" s="27">
        <v>0</v>
      </c>
      <c r="Y335" s="27">
        <v>0</v>
      </c>
      <c r="Z335" s="27">
        <v>0</v>
      </c>
      <c r="AA335" s="27">
        <v>10</v>
      </c>
      <c r="AB335" s="27">
        <v>0</v>
      </c>
      <c r="AC335" s="27">
        <v>0</v>
      </c>
      <c r="AD335" s="27">
        <v>25</v>
      </c>
      <c r="AE335" s="27">
        <v>0</v>
      </c>
      <c r="AF335" s="27">
        <v>0</v>
      </c>
      <c r="AG335" s="26">
        <f t="shared" si="20"/>
        <v>171.5</v>
      </c>
      <c r="AH335" s="26">
        <f t="shared" si="21"/>
        <v>0</v>
      </c>
      <c r="AI335" s="26">
        <f t="shared" si="22"/>
        <v>2.5</v>
      </c>
      <c r="AJ335" s="15" t="s">
        <v>424</v>
      </c>
      <c r="AK335" s="15" t="s">
        <v>424</v>
      </c>
      <c r="AL335" s="15" t="s">
        <v>317</v>
      </c>
      <c r="AM335" s="19">
        <v>44443</v>
      </c>
    </row>
    <row r="336" spans="1:39" x14ac:dyDescent="0.2">
      <c r="A336" s="15" t="str">
        <f t="shared" si="23"/>
        <v>816272119071</v>
      </c>
      <c r="B336" s="32">
        <v>816272</v>
      </c>
      <c r="C336" s="32" t="s">
        <v>65</v>
      </c>
      <c r="D336" s="15">
        <v>119071</v>
      </c>
      <c r="E336" s="15" t="s">
        <v>154</v>
      </c>
      <c r="F336" s="26">
        <v>0</v>
      </c>
      <c r="G336" s="26">
        <v>0</v>
      </c>
      <c r="H336" s="26">
        <v>0</v>
      </c>
      <c r="I336" s="26">
        <v>0</v>
      </c>
      <c r="J336" s="26">
        <v>0</v>
      </c>
      <c r="K336" s="26">
        <v>0</v>
      </c>
      <c r="L336" s="26">
        <v>2.5</v>
      </c>
      <c r="M336" s="26">
        <v>0</v>
      </c>
      <c r="N336" s="26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0</v>
      </c>
      <c r="T336" s="27">
        <v>0</v>
      </c>
      <c r="U336" s="27">
        <v>0</v>
      </c>
      <c r="V336" s="27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0</v>
      </c>
      <c r="AB336" s="27">
        <v>0</v>
      </c>
      <c r="AC336" s="27">
        <v>0</v>
      </c>
      <c r="AD336" s="27">
        <v>0</v>
      </c>
      <c r="AE336" s="27">
        <v>0</v>
      </c>
      <c r="AF336" s="27">
        <v>0</v>
      </c>
      <c r="AG336" s="26">
        <f t="shared" si="20"/>
        <v>2.5</v>
      </c>
      <c r="AH336" s="26">
        <f t="shared" si="21"/>
        <v>0</v>
      </c>
      <c r="AI336" s="26">
        <f t="shared" si="22"/>
        <v>0</v>
      </c>
      <c r="AJ336" s="15" t="s">
        <v>424</v>
      </c>
      <c r="AK336" s="15" t="s">
        <v>424</v>
      </c>
      <c r="AL336" s="15" t="s">
        <v>317</v>
      </c>
      <c r="AM336" s="19">
        <v>44443</v>
      </c>
    </row>
    <row r="337" spans="1:39" x14ac:dyDescent="0.2">
      <c r="A337" s="15" t="str">
        <f t="shared" si="23"/>
        <v>816348207857</v>
      </c>
      <c r="B337" s="32">
        <v>816348</v>
      </c>
      <c r="C337" s="32" t="s">
        <v>394</v>
      </c>
      <c r="D337" s="15">
        <v>207857</v>
      </c>
      <c r="E337" s="15" t="s">
        <v>1</v>
      </c>
      <c r="F337" s="26">
        <v>15</v>
      </c>
      <c r="G337" s="26">
        <v>0</v>
      </c>
      <c r="H337" s="26">
        <v>0</v>
      </c>
      <c r="I337" s="26">
        <v>45</v>
      </c>
      <c r="J337" s="26">
        <v>0</v>
      </c>
      <c r="K337" s="26">
        <v>0</v>
      </c>
      <c r="L337" s="26">
        <v>75</v>
      </c>
      <c r="M337" s="26">
        <v>5</v>
      </c>
      <c r="N337" s="26">
        <v>0</v>
      </c>
      <c r="O337" s="27">
        <v>30</v>
      </c>
      <c r="P337" s="27">
        <v>0</v>
      </c>
      <c r="Q337" s="27">
        <v>0</v>
      </c>
      <c r="R337" s="27">
        <v>35</v>
      </c>
      <c r="S337" s="27">
        <v>0</v>
      </c>
      <c r="T337" s="27">
        <v>13.5</v>
      </c>
      <c r="U337" s="27">
        <v>53</v>
      </c>
      <c r="V337" s="27">
        <v>5</v>
      </c>
      <c r="W337" s="27">
        <v>0</v>
      </c>
      <c r="X337" s="27">
        <v>42.5</v>
      </c>
      <c r="Y337" s="27">
        <v>0</v>
      </c>
      <c r="Z337" s="27">
        <v>0</v>
      </c>
      <c r="AA337" s="27">
        <v>32.5</v>
      </c>
      <c r="AB337" s="27">
        <v>0</v>
      </c>
      <c r="AC337" s="27">
        <v>0</v>
      </c>
      <c r="AD337" s="27">
        <v>39.5</v>
      </c>
      <c r="AE337" s="27">
        <v>0</v>
      </c>
      <c r="AF337" s="27">
        <v>0</v>
      </c>
      <c r="AG337" s="26">
        <f t="shared" si="20"/>
        <v>367.5</v>
      </c>
      <c r="AH337" s="26">
        <f t="shared" si="21"/>
        <v>10</v>
      </c>
      <c r="AI337" s="26">
        <f t="shared" si="22"/>
        <v>13.5</v>
      </c>
      <c r="AJ337" s="15" t="s">
        <v>424</v>
      </c>
      <c r="AK337" s="15" t="s">
        <v>424</v>
      </c>
      <c r="AL337" s="15" t="s">
        <v>317</v>
      </c>
      <c r="AM337" s="19">
        <v>44454</v>
      </c>
    </row>
    <row r="338" spans="1:39" x14ac:dyDescent="0.2">
      <c r="A338" s="15" t="str">
        <f t="shared" si="23"/>
        <v>816639203971</v>
      </c>
      <c r="B338" s="32">
        <v>816639</v>
      </c>
      <c r="C338" s="32" t="s">
        <v>409</v>
      </c>
      <c r="D338" s="15">
        <v>203971</v>
      </c>
      <c r="E338" s="15" t="s">
        <v>410</v>
      </c>
      <c r="F338" s="26">
        <v>10</v>
      </c>
      <c r="G338" s="26">
        <v>0</v>
      </c>
      <c r="H338" s="26">
        <v>0</v>
      </c>
      <c r="I338" s="26">
        <v>5</v>
      </c>
      <c r="J338" s="26">
        <v>0</v>
      </c>
      <c r="K338" s="26">
        <v>0</v>
      </c>
      <c r="L338" s="26">
        <v>20</v>
      </c>
      <c r="M338" s="26">
        <v>0</v>
      </c>
      <c r="N338" s="26">
        <v>0</v>
      </c>
      <c r="O338" s="27">
        <v>0</v>
      </c>
      <c r="P338" s="27">
        <v>0</v>
      </c>
      <c r="Q338" s="27">
        <v>0</v>
      </c>
      <c r="R338" s="27">
        <v>10</v>
      </c>
      <c r="S338" s="27">
        <v>0</v>
      </c>
      <c r="T338" s="27">
        <v>10</v>
      </c>
      <c r="U338" s="27">
        <v>0</v>
      </c>
      <c r="V338" s="27">
        <v>0</v>
      </c>
      <c r="W338" s="27">
        <v>0</v>
      </c>
      <c r="X338" s="27">
        <v>0</v>
      </c>
      <c r="Y338" s="27">
        <v>0</v>
      </c>
      <c r="Z338" s="27">
        <v>0</v>
      </c>
      <c r="AA338" s="27">
        <v>0</v>
      </c>
      <c r="AB338" s="27">
        <v>0</v>
      </c>
      <c r="AC338" s="27">
        <v>0</v>
      </c>
      <c r="AD338" s="27">
        <v>10</v>
      </c>
      <c r="AE338" s="27">
        <v>0</v>
      </c>
      <c r="AF338" s="27">
        <v>0</v>
      </c>
      <c r="AG338" s="26">
        <f t="shared" si="20"/>
        <v>55</v>
      </c>
      <c r="AH338" s="26">
        <f t="shared" si="21"/>
        <v>0</v>
      </c>
      <c r="AI338" s="26">
        <f t="shared" si="22"/>
        <v>10</v>
      </c>
      <c r="AJ338" s="15" t="s">
        <v>424</v>
      </c>
      <c r="AK338" s="15" t="s">
        <v>424</v>
      </c>
      <c r="AL338" s="15" t="s">
        <v>317</v>
      </c>
      <c r="AM338" s="19">
        <v>44474</v>
      </c>
    </row>
    <row r="339" spans="1:39" x14ac:dyDescent="0.2">
      <c r="A339" s="15" t="str">
        <f t="shared" si="23"/>
        <v>816906207857</v>
      </c>
      <c r="B339" s="32">
        <v>816906</v>
      </c>
      <c r="C339" s="32" t="s">
        <v>94</v>
      </c>
      <c r="D339" s="15">
        <v>207857</v>
      </c>
      <c r="E339" s="15" t="s">
        <v>1</v>
      </c>
      <c r="F339" s="26">
        <v>5</v>
      </c>
      <c r="G339" s="26">
        <v>0</v>
      </c>
      <c r="H339" s="26">
        <v>0</v>
      </c>
      <c r="I339" s="26">
        <v>27.5</v>
      </c>
      <c r="J339" s="26">
        <v>0</v>
      </c>
      <c r="K339" s="26">
        <v>0</v>
      </c>
      <c r="L339" s="26">
        <v>25.5</v>
      </c>
      <c r="M339" s="26">
        <v>0</v>
      </c>
      <c r="N339" s="26">
        <v>1.5</v>
      </c>
      <c r="O339" s="27">
        <v>10</v>
      </c>
      <c r="P339" s="27">
        <v>0</v>
      </c>
      <c r="Q339" s="27">
        <v>0</v>
      </c>
      <c r="R339" s="27">
        <v>0</v>
      </c>
      <c r="S339" s="27">
        <v>0</v>
      </c>
      <c r="T339" s="27">
        <v>0</v>
      </c>
      <c r="U339" s="27">
        <v>7.5</v>
      </c>
      <c r="V339" s="27">
        <v>0</v>
      </c>
      <c r="W339" s="27">
        <v>0</v>
      </c>
      <c r="X339" s="27">
        <v>0</v>
      </c>
      <c r="Y339" s="27">
        <v>0</v>
      </c>
      <c r="Z339" s="27">
        <v>0</v>
      </c>
      <c r="AA339" s="27">
        <v>2</v>
      </c>
      <c r="AB339" s="27">
        <v>0</v>
      </c>
      <c r="AC339" s="27">
        <v>1</v>
      </c>
      <c r="AD339" s="27">
        <v>1</v>
      </c>
      <c r="AE339" s="27">
        <v>0</v>
      </c>
      <c r="AF339" s="27">
        <v>0</v>
      </c>
      <c r="AG339" s="26">
        <f t="shared" si="20"/>
        <v>78.5</v>
      </c>
      <c r="AH339" s="26">
        <f t="shared" si="21"/>
        <v>0</v>
      </c>
      <c r="AI339" s="26">
        <f t="shared" si="22"/>
        <v>2.5</v>
      </c>
      <c r="AJ339" s="15" t="s">
        <v>424</v>
      </c>
      <c r="AK339" s="15" t="s">
        <v>424</v>
      </c>
      <c r="AL339" s="15" t="s">
        <v>317</v>
      </c>
      <c r="AM339" s="19">
        <v>44499</v>
      </c>
    </row>
    <row r="340" spans="1:39" x14ac:dyDescent="0.2">
      <c r="A340" s="15" t="str">
        <f t="shared" si="23"/>
        <v>816933202870</v>
      </c>
      <c r="B340" s="32">
        <v>816933</v>
      </c>
      <c r="C340" s="32" t="s">
        <v>419</v>
      </c>
      <c r="D340" s="15">
        <v>202870</v>
      </c>
      <c r="E340" s="15" t="s">
        <v>383</v>
      </c>
      <c r="F340" s="26">
        <v>0</v>
      </c>
      <c r="G340" s="26">
        <v>0</v>
      </c>
      <c r="H340" s="26">
        <v>0</v>
      </c>
      <c r="I340" s="26">
        <v>0</v>
      </c>
      <c r="J340" s="26">
        <v>0</v>
      </c>
      <c r="K340" s="26">
        <v>0</v>
      </c>
      <c r="L340" s="26">
        <v>0</v>
      </c>
      <c r="M340" s="26">
        <v>0</v>
      </c>
      <c r="N340" s="26">
        <v>0</v>
      </c>
      <c r="O340" s="27">
        <v>0</v>
      </c>
      <c r="P340" s="27">
        <v>0</v>
      </c>
      <c r="Q340" s="27">
        <v>0</v>
      </c>
      <c r="R340" s="27">
        <v>0</v>
      </c>
      <c r="S340" s="27">
        <v>0</v>
      </c>
      <c r="T340" s="27">
        <v>0</v>
      </c>
      <c r="U340" s="27">
        <v>0</v>
      </c>
      <c r="V340" s="27">
        <v>0</v>
      </c>
      <c r="W340" s="27">
        <v>0</v>
      </c>
      <c r="X340" s="27">
        <v>0</v>
      </c>
      <c r="Y340" s="27">
        <v>0</v>
      </c>
      <c r="Z340" s="27">
        <v>0</v>
      </c>
      <c r="AA340" s="27">
        <v>0</v>
      </c>
      <c r="AB340" s="27">
        <v>0</v>
      </c>
      <c r="AC340" s="27">
        <v>0</v>
      </c>
      <c r="AD340" s="27">
        <v>0</v>
      </c>
      <c r="AE340" s="27">
        <v>0</v>
      </c>
      <c r="AF340" s="27">
        <v>0</v>
      </c>
      <c r="AG340" s="26">
        <f t="shared" si="20"/>
        <v>0</v>
      </c>
      <c r="AH340" s="26">
        <f t="shared" si="21"/>
        <v>0</v>
      </c>
      <c r="AI340" s="26">
        <f t="shared" si="22"/>
        <v>0</v>
      </c>
      <c r="AJ340" s="15" t="s">
        <v>424</v>
      </c>
      <c r="AK340" s="15" t="s">
        <v>424</v>
      </c>
      <c r="AL340" s="15" t="s">
        <v>317</v>
      </c>
      <c r="AM340" s="19">
        <v>44499</v>
      </c>
    </row>
    <row r="341" spans="1:39" x14ac:dyDescent="0.2">
      <c r="A341" s="15" t="str">
        <f t="shared" si="23"/>
        <v>817030209816</v>
      </c>
      <c r="B341" s="32">
        <v>817030</v>
      </c>
      <c r="C341" s="32" t="s">
        <v>422</v>
      </c>
      <c r="D341" s="15">
        <v>209816</v>
      </c>
      <c r="E341" s="15" t="s">
        <v>142</v>
      </c>
      <c r="F341" s="26">
        <v>62</v>
      </c>
      <c r="G341" s="26">
        <v>0</v>
      </c>
      <c r="H341" s="26">
        <v>0</v>
      </c>
      <c r="I341" s="26">
        <v>20</v>
      </c>
      <c r="J341" s="26">
        <v>0</v>
      </c>
      <c r="K341" s="26">
        <v>0</v>
      </c>
      <c r="L341" s="26">
        <v>10</v>
      </c>
      <c r="M341" s="26">
        <v>0</v>
      </c>
      <c r="N341" s="26">
        <v>0</v>
      </c>
      <c r="O341" s="27">
        <v>15</v>
      </c>
      <c r="P341" s="27">
        <v>0</v>
      </c>
      <c r="Q341" s="27">
        <v>0</v>
      </c>
      <c r="R341" s="27">
        <v>31</v>
      </c>
      <c r="S341" s="27">
        <v>0</v>
      </c>
      <c r="T341" s="27">
        <v>0</v>
      </c>
      <c r="U341" s="27">
        <v>10</v>
      </c>
      <c r="V341" s="27">
        <v>0</v>
      </c>
      <c r="W341" s="27">
        <v>0</v>
      </c>
      <c r="X341" s="27">
        <v>13.4</v>
      </c>
      <c r="Y341" s="27">
        <v>0</v>
      </c>
      <c r="Z341" s="27">
        <v>0</v>
      </c>
      <c r="AA341" s="27">
        <v>0</v>
      </c>
      <c r="AB341" s="27">
        <v>0</v>
      </c>
      <c r="AC341" s="27">
        <v>0</v>
      </c>
      <c r="AD341" s="27">
        <v>0</v>
      </c>
      <c r="AE341" s="27">
        <v>0</v>
      </c>
      <c r="AF341" s="27">
        <v>0</v>
      </c>
      <c r="AG341" s="26">
        <f t="shared" si="20"/>
        <v>161.4</v>
      </c>
      <c r="AH341" s="26">
        <f t="shared" si="21"/>
        <v>0</v>
      </c>
      <c r="AI341" s="26">
        <f t="shared" si="22"/>
        <v>0</v>
      </c>
      <c r="AJ341" s="15" t="s">
        <v>424</v>
      </c>
      <c r="AK341" s="15" t="s">
        <v>424</v>
      </c>
      <c r="AL341" s="15" t="s">
        <v>317</v>
      </c>
      <c r="AM341" s="19">
        <v>44516</v>
      </c>
    </row>
    <row r="342" spans="1:39" x14ac:dyDescent="0.2">
      <c r="A342" s="15" t="str">
        <f t="shared" si="23"/>
        <v>817102207857</v>
      </c>
      <c r="B342" s="32">
        <v>817102</v>
      </c>
      <c r="C342" s="32" t="s">
        <v>195</v>
      </c>
      <c r="D342" s="15">
        <v>207857</v>
      </c>
      <c r="E342" s="15" t="s">
        <v>1</v>
      </c>
      <c r="F342" s="26">
        <v>5</v>
      </c>
      <c r="G342" s="26">
        <v>0</v>
      </c>
      <c r="H342" s="26">
        <v>0</v>
      </c>
      <c r="I342" s="26">
        <v>0</v>
      </c>
      <c r="J342" s="26">
        <v>0</v>
      </c>
      <c r="K342" s="26">
        <v>0</v>
      </c>
      <c r="L342" s="26">
        <v>65.5</v>
      </c>
      <c r="M342" s="26">
        <v>10</v>
      </c>
      <c r="N342" s="26">
        <v>0</v>
      </c>
      <c r="O342" s="27">
        <v>0</v>
      </c>
      <c r="P342" s="27">
        <v>0</v>
      </c>
      <c r="Q342" s="27">
        <v>0</v>
      </c>
      <c r="R342" s="27">
        <v>0</v>
      </c>
      <c r="S342" s="27">
        <v>0</v>
      </c>
      <c r="T342" s="27">
        <v>0</v>
      </c>
      <c r="U342" s="27">
        <v>15.5</v>
      </c>
      <c r="V342" s="27">
        <v>0</v>
      </c>
      <c r="W342" s="27">
        <v>8</v>
      </c>
      <c r="X342" s="27">
        <v>15</v>
      </c>
      <c r="Y342" s="27">
        <v>0</v>
      </c>
      <c r="Z342" s="27">
        <v>0</v>
      </c>
      <c r="AA342" s="27">
        <v>9.5</v>
      </c>
      <c r="AB342" s="27">
        <v>0</v>
      </c>
      <c r="AC342" s="27">
        <v>1</v>
      </c>
      <c r="AD342" s="27">
        <v>1</v>
      </c>
      <c r="AE342" s="27">
        <v>0</v>
      </c>
      <c r="AF342" s="27">
        <v>0</v>
      </c>
      <c r="AG342" s="26">
        <f t="shared" si="20"/>
        <v>111.5</v>
      </c>
      <c r="AH342" s="26">
        <f t="shared" si="21"/>
        <v>10</v>
      </c>
      <c r="AI342" s="26">
        <f t="shared" si="22"/>
        <v>9</v>
      </c>
      <c r="AJ342" s="15" t="s">
        <v>424</v>
      </c>
      <c r="AK342" s="15" t="s">
        <v>424</v>
      </c>
      <c r="AL342" s="15" t="s">
        <v>317</v>
      </c>
      <c r="AM342" s="19">
        <v>44524</v>
      </c>
    </row>
    <row r="343" spans="1:39" x14ac:dyDescent="0.2">
      <c r="A343" s="15" t="str">
        <f t="shared" si="23"/>
        <v>817272202870</v>
      </c>
      <c r="B343" s="32">
        <v>817272</v>
      </c>
      <c r="C343" s="32" t="s">
        <v>440</v>
      </c>
      <c r="D343" s="15">
        <v>202870</v>
      </c>
      <c r="E343" s="15" t="s">
        <v>383</v>
      </c>
      <c r="F343" s="26">
        <v>55.5</v>
      </c>
      <c r="G343" s="26">
        <v>5</v>
      </c>
      <c r="H343" s="26">
        <v>0</v>
      </c>
      <c r="I343" s="26">
        <v>20</v>
      </c>
      <c r="J343" s="26">
        <v>5</v>
      </c>
      <c r="K343" s="26">
        <v>0</v>
      </c>
      <c r="L343" s="26">
        <v>43.5</v>
      </c>
      <c r="M343" s="26">
        <v>0</v>
      </c>
      <c r="N343" s="26">
        <v>0</v>
      </c>
      <c r="O343" s="27">
        <v>23</v>
      </c>
      <c r="P343" s="27">
        <v>0</v>
      </c>
      <c r="Q343" s="27">
        <v>23</v>
      </c>
      <c r="R343" s="27">
        <v>30</v>
      </c>
      <c r="S343" s="27">
        <v>0</v>
      </c>
      <c r="T343" s="27">
        <v>0</v>
      </c>
      <c r="U343" s="27">
        <v>51</v>
      </c>
      <c r="V343" s="27">
        <v>0</v>
      </c>
      <c r="W343" s="27">
        <v>0</v>
      </c>
      <c r="X343" s="27">
        <v>20</v>
      </c>
      <c r="Y343" s="27">
        <v>0</v>
      </c>
      <c r="Z343" s="27">
        <v>2.5</v>
      </c>
      <c r="AA343" s="27">
        <v>0</v>
      </c>
      <c r="AB343" s="27">
        <v>0</v>
      </c>
      <c r="AC343" s="27">
        <v>0</v>
      </c>
      <c r="AD343" s="27">
        <v>14.5</v>
      </c>
      <c r="AE343" s="27">
        <v>0</v>
      </c>
      <c r="AF343" s="27">
        <v>7.5</v>
      </c>
      <c r="AG343" s="26">
        <f t="shared" si="20"/>
        <v>257.5</v>
      </c>
      <c r="AH343" s="26">
        <f t="shared" si="21"/>
        <v>10</v>
      </c>
      <c r="AI343" s="26">
        <f t="shared" si="22"/>
        <v>33</v>
      </c>
      <c r="AJ343" s="15" t="s">
        <v>424</v>
      </c>
      <c r="AK343" s="15" t="s">
        <v>424</v>
      </c>
      <c r="AL343" s="15" t="s">
        <v>317</v>
      </c>
      <c r="AM343" s="19">
        <v>44541</v>
      </c>
    </row>
    <row r="344" spans="1:39" x14ac:dyDescent="0.2">
      <c r="A344" s="15" t="str">
        <f t="shared" si="23"/>
        <v>817342179396</v>
      </c>
      <c r="B344" s="32">
        <v>817342</v>
      </c>
      <c r="C344" s="32" t="s">
        <v>456</v>
      </c>
      <c r="D344" s="15">
        <v>179396</v>
      </c>
      <c r="E344" s="15" t="s">
        <v>457</v>
      </c>
      <c r="F344" s="26">
        <v>20</v>
      </c>
      <c r="G344" s="26">
        <v>0</v>
      </c>
      <c r="H344" s="26">
        <v>0</v>
      </c>
      <c r="I344" s="26">
        <v>0</v>
      </c>
      <c r="J344" s="26">
        <v>0</v>
      </c>
      <c r="K344" s="26">
        <v>0</v>
      </c>
      <c r="L344" s="26">
        <v>0</v>
      </c>
      <c r="M344" s="26">
        <v>0</v>
      </c>
      <c r="N344" s="26">
        <v>0</v>
      </c>
      <c r="O344" s="27">
        <v>0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0</v>
      </c>
      <c r="V344" s="27">
        <v>0</v>
      </c>
      <c r="W344" s="27">
        <v>0</v>
      </c>
      <c r="X344" s="27">
        <v>0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7">
        <v>0</v>
      </c>
      <c r="AE344" s="27">
        <v>0</v>
      </c>
      <c r="AF344" s="27">
        <v>0</v>
      </c>
      <c r="AG344" s="26">
        <f t="shared" si="20"/>
        <v>20</v>
      </c>
      <c r="AH344" s="26">
        <f t="shared" si="21"/>
        <v>0</v>
      </c>
      <c r="AI344" s="26">
        <f t="shared" si="22"/>
        <v>0</v>
      </c>
      <c r="AJ344" s="15" t="s">
        <v>424</v>
      </c>
      <c r="AK344" s="15" t="s">
        <v>424</v>
      </c>
      <c r="AL344" s="15" t="s">
        <v>317</v>
      </c>
      <c r="AM344" s="19">
        <v>44546</v>
      </c>
    </row>
    <row r="345" spans="1:39" x14ac:dyDescent="0.2">
      <c r="A345" s="15" t="str">
        <f t="shared" si="23"/>
        <v>817343149825</v>
      </c>
      <c r="B345" s="32">
        <v>817343</v>
      </c>
      <c r="C345" s="32" t="s">
        <v>458</v>
      </c>
      <c r="D345" s="15">
        <v>149825</v>
      </c>
      <c r="E345" s="15" t="s">
        <v>232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7">
        <v>0</v>
      </c>
      <c r="P345" s="27">
        <v>0</v>
      </c>
      <c r="Q345" s="27">
        <v>0</v>
      </c>
      <c r="R345" s="27">
        <v>0</v>
      </c>
      <c r="S345" s="27">
        <v>0</v>
      </c>
      <c r="T345" s="27">
        <v>0</v>
      </c>
      <c r="U345" s="27">
        <v>0</v>
      </c>
      <c r="V345" s="27">
        <v>0</v>
      </c>
      <c r="W345" s="27">
        <v>0</v>
      </c>
      <c r="X345" s="27">
        <v>0</v>
      </c>
      <c r="Y345" s="27">
        <v>0</v>
      </c>
      <c r="Z345" s="27">
        <v>0</v>
      </c>
      <c r="AA345" s="27">
        <v>0</v>
      </c>
      <c r="AB345" s="27">
        <v>0</v>
      </c>
      <c r="AC345" s="27">
        <v>0</v>
      </c>
      <c r="AD345" s="27">
        <v>0</v>
      </c>
      <c r="AE345" s="27">
        <v>0</v>
      </c>
      <c r="AF345" s="27">
        <v>0</v>
      </c>
      <c r="AG345" s="26">
        <f t="shared" si="20"/>
        <v>0</v>
      </c>
      <c r="AH345" s="26">
        <f t="shared" si="21"/>
        <v>0</v>
      </c>
      <c r="AI345" s="26">
        <f t="shared" si="22"/>
        <v>0</v>
      </c>
      <c r="AJ345" s="15" t="s">
        <v>424</v>
      </c>
      <c r="AK345" s="15" t="s">
        <v>424</v>
      </c>
      <c r="AL345" s="15" t="s">
        <v>317</v>
      </c>
      <c r="AM345" s="19">
        <v>44546</v>
      </c>
    </row>
    <row r="346" spans="1:39" x14ac:dyDescent="0.2">
      <c r="A346" s="15" t="str">
        <f t="shared" si="23"/>
        <v>817546141512</v>
      </c>
      <c r="B346" s="32">
        <v>817546</v>
      </c>
      <c r="C346" s="32" t="s">
        <v>448</v>
      </c>
      <c r="D346" s="15">
        <v>141512</v>
      </c>
      <c r="E346" s="15" t="s">
        <v>106</v>
      </c>
      <c r="F346" s="26">
        <v>20</v>
      </c>
      <c r="G346" s="26">
        <v>0</v>
      </c>
      <c r="H346" s="26">
        <v>0</v>
      </c>
      <c r="I346" s="26">
        <v>70</v>
      </c>
      <c r="J346" s="26">
        <v>0</v>
      </c>
      <c r="K346" s="26">
        <v>0</v>
      </c>
      <c r="L346" s="26">
        <v>90</v>
      </c>
      <c r="M346" s="26">
        <v>0</v>
      </c>
      <c r="N346" s="26">
        <v>0</v>
      </c>
      <c r="O346" s="27">
        <v>80</v>
      </c>
      <c r="P346" s="27">
        <v>0</v>
      </c>
      <c r="Q346" s="27">
        <v>0</v>
      </c>
      <c r="R346" s="27">
        <v>52</v>
      </c>
      <c r="S346" s="27">
        <v>0</v>
      </c>
      <c r="T346" s="27">
        <v>0</v>
      </c>
      <c r="U346" s="27">
        <v>42.5</v>
      </c>
      <c r="V346" s="27">
        <v>0</v>
      </c>
      <c r="W346" s="27">
        <v>0</v>
      </c>
      <c r="X346" s="27">
        <v>25</v>
      </c>
      <c r="Y346" s="27">
        <v>0</v>
      </c>
      <c r="Z346" s="27">
        <v>0</v>
      </c>
      <c r="AA346" s="27">
        <v>51.5</v>
      </c>
      <c r="AB346" s="27">
        <v>0</v>
      </c>
      <c r="AC346" s="27">
        <v>0</v>
      </c>
      <c r="AD346" s="27">
        <v>23</v>
      </c>
      <c r="AE346" s="27">
        <v>0</v>
      </c>
      <c r="AF346" s="27">
        <v>0</v>
      </c>
      <c r="AG346" s="26">
        <f t="shared" si="20"/>
        <v>454</v>
      </c>
      <c r="AH346" s="26">
        <f t="shared" si="21"/>
        <v>0</v>
      </c>
      <c r="AI346" s="26">
        <f t="shared" si="22"/>
        <v>0</v>
      </c>
      <c r="AJ346" s="15" t="s">
        <v>424</v>
      </c>
      <c r="AK346" s="15" t="s">
        <v>424</v>
      </c>
      <c r="AL346" s="15" t="s">
        <v>317</v>
      </c>
      <c r="AM346" s="19">
        <v>44560</v>
      </c>
    </row>
    <row r="347" spans="1:39" x14ac:dyDescent="0.2">
      <c r="A347" s="15" t="str">
        <f t="shared" si="23"/>
        <v>817611119071</v>
      </c>
      <c r="B347" s="32">
        <v>817611</v>
      </c>
      <c r="C347" s="32" t="s">
        <v>459</v>
      </c>
      <c r="D347" s="15">
        <v>119071</v>
      </c>
      <c r="E347" s="15" t="s">
        <v>154</v>
      </c>
      <c r="F347" s="26">
        <v>0</v>
      </c>
      <c r="G347" s="26">
        <v>0</v>
      </c>
      <c r="H347" s="26">
        <v>0</v>
      </c>
      <c r="I347" s="26">
        <v>35</v>
      </c>
      <c r="J347" s="26">
        <v>0</v>
      </c>
      <c r="K347" s="26">
        <v>0</v>
      </c>
      <c r="L347" s="26">
        <v>43.5</v>
      </c>
      <c r="M347" s="26">
        <v>0</v>
      </c>
      <c r="N347" s="26">
        <v>1.5</v>
      </c>
      <c r="O347" s="27">
        <v>10</v>
      </c>
      <c r="P347" s="27">
        <v>0</v>
      </c>
      <c r="Q347" s="27">
        <v>0</v>
      </c>
      <c r="R347" s="27">
        <v>15</v>
      </c>
      <c r="S347" s="27">
        <v>0</v>
      </c>
      <c r="T347" s="27">
        <v>0</v>
      </c>
      <c r="U347" s="27">
        <v>0</v>
      </c>
      <c r="V347" s="27">
        <v>0</v>
      </c>
      <c r="W347" s="27">
        <v>0</v>
      </c>
      <c r="X347" s="27">
        <v>7.5</v>
      </c>
      <c r="Y347" s="27">
        <v>0</v>
      </c>
      <c r="Z347" s="27">
        <v>0</v>
      </c>
      <c r="AA347" s="27">
        <v>22.5</v>
      </c>
      <c r="AB347" s="27">
        <v>0</v>
      </c>
      <c r="AC347" s="27">
        <v>0</v>
      </c>
      <c r="AD347" s="27">
        <v>42.5</v>
      </c>
      <c r="AE347" s="27">
        <v>0</v>
      </c>
      <c r="AF347" s="27">
        <v>0</v>
      </c>
      <c r="AG347" s="26">
        <f t="shared" si="20"/>
        <v>176</v>
      </c>
      <c r="AH347" s="26">
        <f t="shared" si="21"/>
        <v>0</v>
      </c>
      <c r="AI347" s="26">
        <f t="shared" si="22"/>
        <v>1.5</v>
      </c>
      <c r="AJ347" s="15" t="s">
        <v>424</v>
      </c>
      <c r="AK347" s="15" t="s">
        <v>424</v>
      </c>
      <c r="AL347" s="15" t="s">
        <v>317</v>
      </c>
      <c r="AM347" s="19">
        <v>44567</v>
      </c>
    </row>
    <row r="348" spans="1:39" x14ac:dyDescent="0.2">
      <c r="A348" s="15" t="str">
        <f t="shared" si="23"/>
        <v>817628207857</v>
      </c>
      <c r="B348" s="32">
        <v>817628</v>
      </c>
      <c r="C348" s="32" t="s">
        <v>451</v>
      </c>
      <c r="D348" s="15">
        <v>207857</v>
      </c>
      <c r="E348" s="15" t="s">
        <v>1</v>
      </c>
      <c r="F348" s="26">
        <v>35</v>
      </c>
      <c r="G348" s="26">
        <v>0</v>
      </c>
      <c r="H348" s="26">
        <v>0</v>
      </c>
      <c r="I348" s="26">
        <v>20</v>
      </c>
      <c r="J348" s="26">
        <v>0</v>
      </c>
      <c r="K348" s="26">
        <v>0</v>
      </c>
      <c r="L348" s="26">
        <v>15.5</v>
      </c>
      <c r="M348" s="26">
        <v>0</v>
      </c>
      <c r="N348" s="26">
        <v>0</v>
      </c>
      <c r="O348" s="27">
        <v>15</v>
      </c>
      <c r="P348" s="27">
        <v>0</v>
      </c>
      <c r="Q348" s="27">
        <v>0</v>
      </c>
      <c r="R348" s="27">
        <v>7.5</v>
      </c>
      <c r="S348" s="27">
        <v>0</v>
      </c>
      <c r="T348" s="27">
        <v>0</v>
      </c>
      <c r="U348" s="27">
        <v>7.5</v>
      </c>
      <c r="V348" s="27">
        <v>0</v>
      </c>
      <c r="W348" s="27">
        <v>0</v>
      </c>
      <c r="X348" s="27">
        <v>0</v>
      </c>
      <c r="Y348" s="27">
        <v>0</v>
      </c>
      <c r="Z348" s="27">
        <v>0</v>
      </c>
      <c r="AA348" s="27">
        <v>0</v>
      </c>
      <c r="AB348" s="27">
        <v>0</v>
      </c>
      <c r="AC348" s="27">
        <v>0</v>
      </c>
      <c r="AD348" s="27">
        <v>1</v>
      </c>
      <c r="AE348" s="27">
        <v>0</v>
      </c>
      <c r="AF348" s="27">
        <v>0</v>
      </c>
      <c r="AG348" s="26">
        <f t="shared" si="20"/>
        <v>101.5</v>
      </c>
      <c r="AH348" s="26">
        <f t="shared" si="21"/>
        <v>0</v>
      </c>
      <c r="AI348" s="26">
        <f t="shared" si="22"/>
        <v>0</v>
      </c>
      <c r="AJ348" s="15" t="s">
        <v>424</v>
      </c>
      <c r="AK348" s="15" t="s">
        <v>424</v>
      </c>
      <c r="AL348" s="15" t="s">
        <v>317</v>
      </c>
      <c r="AM348" s="19">
        <v>44568</v>
      </c>
    </row>
    <row r="349" spans="1:39" x14ac:dyDescent="0.2">
      <c r="A349" s="15" t="str">
        <f t="shared" si="23"/>
        <v>817917207857</v>
      </c>
      <c r="B349" s="32">
        <v>817917</v>
      </c>
      <c r="C349" s="32" t="s">
        <v>468</v>
      </c>
      <c r="D349" s="15">
        <v>207857</v>
      </c>
      <c r="E349" s="15" t="s">
        <v>1</v>
      </c>
      <c r="F349" s="26">
        <v>47</v>
      </c>
      <c r="G349" s="26">
        <v>0</v>
      </c>
      <c r="H349" s="26">
        <v>0</v>
      </c>
      <c r="I349" s="26">
        <v>85</v>
      </c>
      <c r="J349" s="26">
        <v>0</v>
      </c>
      <c r="K349" s="26">
        <v>0</v>
      </c>
      <c r="L349" s="26">
        <v>55</v>
      </c>
      <c r="M349" s="26">
        <v>0</v>
      </c>
      <c r="N349" s="26">
        <v>9.5</v>
      </c>
      <c r="O349" s="27">
        <v>40</v>
      </c>
      <c r="P349" s="27">
        <v>0</v>
      </c>
      <c r="Q349" s="27">
        <v>0</v>
      </c>
      <c r="R349" s="27">
        <v>49</v>
      </c>
      <c r="S349" s="27">
        <v>1.5</v>
      </c>
      <c r="T349" s="27">
        <v>7.5</v>
      </c>
      <c r="U349" s="27">
        <v>51.5</v>
      </c>
      <c r="V349" s="27">
        <v>0</v>
      </c>
      <c r="W349" s="27">
        <v>7.5</v>
      </c>
      <c r="X349" s="27">
        <v>35</v>
      </c>
      <c r="Y349" s="27">
        <v>1.55</v>
      </c>
      <c r="Z349" s="27">
        <v>7</v>
      </c>
      <c r="AA349" s="27">
        <v>22.5</v>
      </c>
      <c r="AB349" s="27">
        <v>0</v>
      </c>
      <c r="AC349" s="27">
        <v>0</v>
      </c>
      <c r="AD349" s="27">
        <v>30</v>
      </c>
      <c r="AE349" s="27">
        <v>0</v>
      </c>
      <c r="AF349" s="27">
        <v>0</v>
      </c>
      <c r="AG349" s="26">
        <f t="shared" si="20"/>
        <v>415</v>
      </c>
      <c r="AH349" s="26">
        <f t="shared" si="21"/>
        <v>3.05</v>
      </c>
      <c r="AI349" s="26">
        <f t="shared" si="22"/>
        <v>31.5</v>
      </c>
      <c r="AJ349" s="15" t="s">
        <v>424</v>
      </c>
      <c r="AK349" s="15" t="s">
        <v>424</v>
      </c>
      <c r="AL349" s="15" t="s">
        <v>317</v>
      </c>
      <c r="AM349" s="19">
        <v>44592</v>
      </c>
    </row>
    <row r="350" spans="1:39" x14ac:dyDescent="0.2">
      <c r="A350" s="15" t="str">
        <f t="shared" si="23"/>
        <v>817933202870</v>
      </c>
      <c r="B350" s="32">
        <v>817933</v>
      </c>
      <c r="C350" s="32" t="s">
        <v>282</v>
      </c>
      <c r="D350" s="15">
        <v>202870</v>
      </c>
      <c r="E350" s="15" t="s">
        <v>383</v>
      </c>
      <c r="F350" s="26">
        <v>61</v>
      </c>
      <c r="G350" s="26">
        <v>8.5</v>
      </c>
      <c r="H350" s="26">
        <v>0</v>
      </c>
      <c r="I350" s="26">
        <v>69.5</v>
      </c>
      <c r="J350" s="26">
        <v>8.5</v>
      </c>
      <c r="K350" s="26">
        <v>0</v>
      </c>
      <c r="L350" s="26">
        <v>80.75</v>
      </c>
      <c r="M350" s="26">
        <v>6.75</v>
      </c>
      <c r="N350" s="26">
        <v>0</v>
      </c>
      <c r="O350" s="27">
        <v>68</v>
      </c>
      <c r="P350" s="27">
        <v>7.5</v>
      </c>
      <c r="Q350" s="27">
        <v>10</v>
      </c>
      <c r="R350" s="27">
        <v>45.5</v>
      </c>
      <c r="S350" s="27">
        <v>0</v>
      </c>
      <c r="T350" s="27">
        <v>29</v>
      </c>
      <c r="U350" s="27">
        <v>56.25</v>
      </c>
      <c r="V350" s="27">
        <v>0</v>
      </c>
      <c r="W350" s="27">
        <v>40.5</v>
      </c>
      <c r="X350" s="27">
        <v>12.75</v>
      </c>
      <c r="Y350" s="27">
        <v>0</v>
      </c>
      <c r="Z350" s="27">
        <v>7.75</v>
      </c>
      <c r="AA350" s="27">
        <v>55</v>
      </c>
      <c r="AB350" s="27">
        <v>0</v>
      </c>
      <c r="AC350" s="27">
        <v>15</v>
      </c>
      <c r="AD350" s="27">
        <v>32.299999999999997</v>
      </c>
      <c r="AE350" s="27">
        <v>0</v>
      </c>
      <c r="AF350" s="27">
        <v>10.3</v>
      </c>
      <c r="AG350" s="26">
        <f t="shared" si="20"/>
        <v>481.05</v>
      </c>
      <c r="AH350" s="26">
        <f t="shared" si="21"/>
        <v>31.25</v>
      </c>
      <c r="AI350" s="26">
        <f t="shared" si="22"/>
        <v>112.55</v>
      </c>
      <c r="AJ350" s="15" t="s">
        <v>424</v>
      </c>
      <c r="AK350" s="15" t="s">
        <v>424</v>
      </c>
      <c r="AL350" s="15" t="s">
        <v>317</v>
      </c>
      <c r="AM350" s="19">
        <v>44593</v>
      </c>
    </row>
    <row r="351" spans="1:39" x14ac:dyDescent="0.2">
      <c r="A351" s="15" t="str">
        <f t="shared" si="23"/>
        <v>818163119071</v>
      </c>
      <c r="B351" s="32">
        <v>818163</v>
      </c>
      <c r="C351" s="32" t="s">
        <v>329</v>
      </c>
      <c r="D351" s="15">
        <v>119071</v>
      </c>
      <c r="E351" s="15" t="s">
        <v>154</v>
      </c>
      <c r="F351" s="26">
        <v>273</v>
      </c>
      <c r="G351" s="26">
        <v>13.5</v>
      </c>
      <c r="H351" s="26">
        <v>0</v>
      </c>
      <c r="I351" s="26">
        <v>108.5</v>
      </c>
      <c r="J351" s="26">
        <v>13.5</v>
      </c>
      <c r="K351" s="26">
        <v>0</v>
      </c>
      <c r="L351" s="26">
        <v>198.6</v>
      </c>
      <c r="M351" s="26">
        <v>2.6</v>
      </c>
      <c r="N351" s="26">
        <v>21</v>
      </c>
      <c r="O351" s="27">
        <v>147.9</v>
      </c>
      <c r="P351" s="27">
        <v>0</v>
      </c>
      <c r="Q351" s="27">
        <v>10.65</v>
      </c>
      <c r="R351" s="27">
        <v>80</v>
      </c>
      <c r="S351" s="27">
        <v>0</v>
      </c>
      <c r="T351" s="27">
        <v>2</v>
      </c>
      <c r="U351" s="27">
        <v>40</v>
      </c>
      <c r="V351" s="27">
        <v>0</v>
      </c>
      <c r="W351" s="27">
        <v>0</v>
      </c>
      <c r="X351" s="27">
        <v>62.7</v>
      </c>
      <c r="Y351" s="27">
        <v>0</v>
      </c>
      <c r="Z351" s="27">
        <v>16.2</v>
      </c>
      <c r="AA351" s="27">
        <v>85</v>
      </c>
      <c r="AB351" s="27">
        <v>0</v>
      </c>
      <c r="AC351" s="27">
        <v>12.5</v>
      </c>
      <c r="AD351" s="27">
        <v>120.5</v>
      </c>
      <c r="AE351" s="27">
        <v>0</v>
      </c>
      <c r="AF351" s="27">
        <v>30.5</v>
      </c>
      <c r="AG351" s="26">
        <f t="shared" si="20"/>
        <v>1116.2</v>
      </c>
      <c r="AH351" s="26">
        <f t="shared" si="21"/>
        <v>29.6</v>
      </c>
      <c r="AI351" s="26">
        <f t="shared" si="22"/>
        <v>92.85</v>
      </c>
      <c r="AJ351" s="15" t="s">
        <v>424</v>
      </c>
      <c r="AK351" s="15" t="s">
        <v>424</v>
      </c>
      <c r="AL351" s="15" t="s">
        <v>317</v>
      </c>
      <c r="AM351" s="19">
        <v>44618</v>
      </c>
    </row>
    <row r="352" spans="1:39" x14ac:dyDescent="0.2">
      <c r="A352" s="15" t="str">
        <f t="shared" si="23"/>
        <v>818194141512</v>
      </c>
      <c r="B352" s="32">
        <v>818194</v>
      </c>
      <c r="C352" s="32" t="s">
        <v>16</v>
      </c>
      <c r="D352" s="15">
        <v>141512</v>
      </c>
      <c r="E352" s="15" t="s">
        <v>106</v>
      </c>
      <c r="F352" s="26">
        <v>33.6</v>
      </c>
      <c r="G352" s="26">
        <v>0</v>
      </c>
      <c r="H352" s="26">
        <v>0</v>
      </c>
      <c r="I352" s="26">
        <v>24</v>
      </c>
      <c r="J352" s="26">
        <v>0</v>
      </c>
      <c r="K352" s="26">
        <v>0</v>
      </c>
      <c r="L352" s="26">
        <v>60</v>
      </c>
      <c r="M352" s="26">
        <v>0</v>
      </c>
      <c r="N352" s="26">
        <v>0</v>
      </c>
      <c r="O352" s="27">
        <v>30</v>
      </c>
      <c r="P352" s="27">
        <v>0</v>
      </c>
      <c r="Q352" s="27">
        <v>0</v>
      </c>
      <c r="R352" s="27">
        <v>53.25</v>
      </c>
      <c r="S352" s="27">
        <v>0</v>
      </c>
      <c r="T352" s="27">
        <v>0</v>
      </c>
      <c r="U352" s="27">
        <v>64.5</v>
      </c>
      <c r="V352" s="27">
        <v>0</v>
      </c>
      <c r="W352" s="27">
        <v>15.5</v>
      </c>
      <c r="X352" s="27">
        <v>23</v>
      </c>
      <c r="Y352" s="27">
        <v>0</v>
      </c>
      <c r="Z352" s="27">
        <v>0</v>
      </c>
      <c r="AA352" s="27">
        <v>53.75</v>
      </c>
      <c r="AB352" s="27">
        <v>0</v>
      </c>
      <c r="AC352" s="27">
        <v>13.25</v>
      </c>
      <c r="AD352" s="27">
        <v>50</v>
      </c>
      <c r="AE352" s="27">
        <v>0</v>
      </c>
      <c r="AF352" s="27">
        <v>0</v>
      </c>
      <c r="AG352" s="26">
        <f t="shared" si="20"/>
        <v>392.1</v>
      </c>
      <c r="AH352" s="26">
        <f t="shared" si="21"/>
        <v>0</v>
      </c>
      <c r="AI352" s="26">
        <f t="shared" si="22"/>
        <v>28.75</v>
      </c>
      <c r="AJ352" s="15" t="s">
        <v>424</v>
      </c>
      <c r="AK352" s="15" t="s">
        <v>424</v>
      </c>
      <c r="AL352" s="15" t="s">
        <v>317</v>
      </c>
      <c r="AM352" s="19">
        <v>44618</v>
      </c>
    </row>
    <row r="353" spans="1:39" x14ac:dyDescent="0.2">
      <c r="A353" s="15" t="str">
        <f t="shared" si="23"/>
        <v>818232209816</v>
      </c>
      <c r="B353" s="32">
        <v>818232</v>
      </c>
      <c r="C353" s="32" t="s">
        <v>503</v>
      </c>
      <c r="D353" s="15">
        <v>209816</v>
      </c>
      <c r="E353" s="15" t="s">
        <v>142</v>
      </c>
      <c r="F353" s="26">
        <v>0</v>
      </c>
      <c r="G353" s="26">
        <v>0</v>
      </c>
      <c r="H353" s="26">
        <v>0</v>
      </c>
      <c r="I353" s="26">
        <v>12.5</v>
      </c>
      <c r="J353" s="26">
        <v>0</v>
      </c>
      <c r="K353" s="26">
        <v>0</v>
      </c>
      <c r="L353" s="26">
        <v>10</v>
      </c>
      <c r="M353" s="26">
        <v>0</v>
      </c>
      <c r="N353" s="26">
        <v>0</v>
      </c>
      <c r="O353" s="27">
        <v>17.5</v>
      </c>
      <c r="P353" s="27">
        <v>0</v>
      </c>
      <c r="Q353" s="27">
        <v>0</v>
      </c>
      <c r="R353" s="27">
        <v>25</v>
      </c>
      <c r="S353" s="27">
        <v>0</v>
      </c>
      <c r="T353" s="27">
        <v>0</v>
      </c>
      <c r="U353" s="27">
        <v>0</v>
      </c>
      <c r="V353" s="27">
        <v>0</v>
      </c>
      <c r="W353" s="27">
        <v>0</v>
      </c>
      <c r="X353" s="27">
        <v>0</v>
      </c>
      <c r="Y353" s="27">
        <v>0</v>
      </c>
      <c r="Z353" s="27">
        <v>0</v>
      </c>
      <c r="AA353" s="27">
        <v>0</v>
      </c>
      <c r="AB353" s="27">
        <v>0</v>
      </c>
      <c r="AC353" s="27">
        <v>0</v>
      </c>
      <c r="AD353" s="27">
        <v>7.5</v>
      </c>
      <c r="AE353" s="27">
        <v>0</v>
      </c>
      <c r="AF353" s="27">
        <v>0</v>
      </c>
      <c r="AG353" s="26">
        <f t="shared" si="20"/>
        <v>72.5</v>
      </c>
      <c r="AH353" s="26">
        <f t="shared" si="21"/>
        <v>0</v>
      </c>
      <c r="AI353" s="26">
        <f t="shared" si="22"/>
        <v>0</v>
      </c>
      <c r="AJ353" s="15" t="s">
        <v>424</v>
      </c>
      <c r="AK353" s="15" t="s">
        <v>424</v>
      </c>
      <c r="AL353" s="15" t="s">
        <v>317</v>
      </c>
      <c r="AM353" s="19">
        <v>44622</v>
      </c>
    </row>
    <row r="354" spans="1:39" x14ac:dyDescent="0.2">
      <c r="A354" s="15" t="str">
        <f t="shared" si="23"/>
        <v>818235211342</v>
      </c>
      <c r="B354" s="32">
        <v>818235</v>
      </c>
      <c r="C354" s="32" t="s">
        <v>504</v>
      </c>
      <c r="D354" s="15">
        <v>211342</v>
      </c>
      <c r="E354" s="15" t="s">
        <v>505</v>
      </c>
      <c r="F354" s="26">
        <v>21</v>
      </c>
      <c r="G354" s="26">
        <v>0</v>
      </c>
      <c r="H354" s="26">
        <v>0</v>
      </c>
      <c r="I354" s="26">
        <v>15</v>
      </c>
      <c r="J354" s="26">
        <v>0</v>
      </c>
      <c r="K354" s="26">
        <v>0</v>
      </c>
      <c r="L354" s="26">
        <v>25</v>
      </c>
      <c r="M354" s="26">
        <v>0</v>
      </c>
      <c r="N354" s="26">
        <v>0</v>
      </c>
      <c r="O354" s="27">
        <v>15</v>
      </c>
      <c r="P354" s="27">
        <v>0</v>
      </c>
      <c r="Q354" s="27">
        <v>0</v>
      </c>
      <c r="R354" s="27">
        <v>20</v>
      </c>
      <c r="S354" s="27">
        <v>0</v>
      </c>
      <c r="T354" s="27">
        <v>9</v>
      </c>
      <c r="U354" s="27">
        <v>18</v>
      </c>
      <c r="V354" s="27">
        <v>0</v>
      </c>
      <c r="W354" s="27">
        <v>0</v>
      </c>
      <c r="X354" s="27">
        <v>0</v>
      </c>
      <c r="Y354" s="27">
        <v>0</v>
      </c>
      <c r="Z354" s="27">
        <v>0</v>
      </c>
      <c r="AA354" s="27">
        <v>43</v>
      </c>
      <c r="AB354" s="27">
        <v>0</v>
      </c>
      <c r="AC354" s="27">
        <v>0</v>
      </c>
      <c r="AD354" s="27">
        <v>20</v>
      </c>
      <c r="AE354" s="27">
        <v>0</v>
      </c>
      <c r="AF354" s="27">
        <v>0</v>
      </c>
      <c r="AG354" s="26">
        <f t="shared" si="20"/>
        <v>177</v>
      </c>
      <c r="AH354" s="26">
        <f t="shared" si="21"/>
        <v>0</v>
      </c>
      <c r="AI354" s="26">
        <f t="shared" si="22"/>
        <v>9</v>
      </c>
      <c r="AJ354" s="15" t="s">
        <v>424</v>
      </c>
      <c r="AK354" s="15" t="s">
        <v>424</v>
      </c>
      <c r="AL354" s="15" t="s">
        <v>317</v>
      </c>
      <c r="AM354" s="19">
        <v>44622</v>
      </c>
    </row>
    <row r="355" spans="1:39" x14ac:dyDescent="0.2">
      <c r="A355" s="15" t="str">
        <f t="shared" si="23"/>
        <v>818237209816</v>
      </c>
      <c r="B355" s="32">
        <v>818237</v>
      </c>
      <c r="C355" s="32" t="s">
        <v>506</v>
      </c>
      <c r="D355" s="15">
        <v>209816</v>
      </c>
      <c r="E355" s="15" t="s">
        <v>142</v>
      </c>
      <c r="F355" s="26">
        <v>0</v>
      </c>
      <c r="G355" s="26">
        <v>0</v>
      </c>
      <c r="H355" s="26">
        <v>0</v>
      </c>
      <c r="I355" s="26">
        <v>10</v>
      </c>
      <c r="J355" s="26">
        <v>0</v>
      </c>
      <c r="K355" s="26">
        <v>0</v>
      </c>
      <c r="L355" s="26">
        <v>10</v>
      </c>
      <c r="M355" s="26">
        <v>0</v>
      </c>
      <c r="N355" s="26">
        <v>0</v>
      </c>
      <c r="O355" s="27">
        <v>26</v>
      </c>
      <c r="P355" s="27">
        <v>0</v>
      </c>
      <c r="Q355" s="27">
        <v>0</v>
      </c>
      <c r="R355" s="27">
        <v>15</v>
      </c>
      <c r="S355" s="27">
        <v>0</v>
      </c>
      <c r="T355" s="27">
        <v>0</v>
      </c>
      <c r="U355" s="27">
        <v>0</v>
      </c>
      <c r="V355" s="27">
        <v>0</v>
      </c>
      <c r="W355" s="27">
        <v>0</v>
      </c>
      <c r="X355" s="27">
        <v>22.5</v>
      </c>
      <c r="Y355" s="27">
        <v>0</v>
      </c>
      <c r="Z355" s="27">
        <v>0</v>
      </c>
      <c r="AA355" s="27">
        <v>0</v>
      </c>
      <c r="AB355" s="27">
        <v>0</v>
      </c>
      <c r="AC355" s="27">
        <v>0</v>
      </c>
      <c r="AD355" s="27">
        <v>7.5</v>
      </c>
      <c r="AE355" s="27">
        <v>0</v>
      </c>
      <c r="AF355" s="27">
        <v>0</v>
      </c>
      <c r="AG355" s="26">
        <f t="shared" si="20"/>
        <v>91</v>
      </c>
      <c r="AH355" s="26">
        <f t="shared" si="21"/>
        <v>0</v>
      </c>
      <c r="AI355" s="26">
        <f t="shared" si="22"/>
        <v>0</v>
      </c>
      <c r="AJ355" s="15" t="s">
        <v>424</v>
      </c>
      <c r="AK355" s="15" t="s">
        <v>424</v>
      </c>
      <c r="AL355" s="15" t="s">
        <v>317</v>
      </c>
      <c r="AM355" s="19">
        <v>44622</v>
      </c>
    </row>
    <row r="356" spans="1:39" x14ac:dyDescent="0.2">
      <c r="A356" s="15" t="str">
        <f t="shared" si="23"/>
        <v>818357203154</v>
      </c>
      <c r="B356" s="14">
        <v>818357</v>
      </c>
      <c r="C356" s="14" t="s">
        <v>4</v>
      </c>
      <c r="D356" s="16">
        <v>203154</v>
      </c>
      <c r="E356" s="18" t="s">
        <v>217</v>
      </c>
      <c r="F356" s="26">
        <v>0</v>
      </c>
      <c r="G356" s="26">
        <v>0</v>
      </c>
      <c r="H356" s="26">
        <v>0</v>
      </c>
      <c r="I356" s="26">
        <v>22.5</v>
      </c>
      <c r="J356" s="26">
        <v>0</v>
      </c>
      <c r="K356" s="26">
        <v>0</v>
      </c>
      <c r="L356" s="26">
        <v>10</v>
      </c>
      <c r="M356" s="26">
        <v>0</v>
      </c>
      <c r="N356" s="26">
        <v>0</v>
      </c>
      <c r="O356" s="27">
        <v>10</v>
      </c>
      <c r="P356" s="27">
        <v>0</v>
      </c>
      <c r="Q356" s="27">
        <v>0</v>
      </c>
      <c r="R356" s="27">
        <v>7.5</v>
      </c>
      <c r="S356" s="27">
        <v>0</v>
      </c>
      <c r="T356" s="27">
        <v>0</v>
      </c>
      <c r="U356" s="27">
        <v>7.5</v>
      </c>
      <c r="V356" s="27">
        <v>0</v>
      </c>
      <c r="W356" s="27">
        <v>0</v>
      </c>
      <c r="X356" s="27">
        <v>0</v>
      </c>
      <c r="Y356" s="27">
        <v>0</v>
      </c>
      <c r="Z356" s="27">
        <v>0</v>
      </c>
      <c r="AA356" s="27">
        <v>10</v>
      </c>
      <c r="AB356" s="27">
        <v>0</v>
      </c>
      <c r="AC356" s="27">
        <v>0</v>
      </c>
      <c r="AD356" s="27">
        <v>7.5</v>
      </c>
      <c r="AE356" s="27">
        <v>0</v>
      </c>
      <c r="AF356" s="27">
        <v>0</v>
      </c>
      <c r="AG356" s="26">
        <f t="shared" si="20"/>
        <v>75</v>
      </c>
      <c r="AH356" s="26">
        <f t="shared" si="21"/>
        <v>0</v>
      </c>
      <c r="AI356" s="26">
        <f t="shared" si="22"/>
        <v>0</v>
      </c>
      <c r="AJ356" s="15" t="s">
        <v>424</v>
      </c>
      <c r="AK356" s="15" t="s">
        <v>424</v>
      </c>
      <c r="AL356" s="15" t="s">
        <v>317</v>
      </c>
      <c r="AM356" s="19">
        <v>44632</v>
      </c>
    </row>
    <row r="357" spans="1:39" x14ac:dyDescent="0.2">
      <c r="A357" s="15" t="str">
        <f t="shared" si="23"/>
        <v>818469206011</v>
      </c>
      <c r="B357" s="14">
        <v>818469</v>
      </c>
      <c r="C357" s="14" t="s">
        <v>550</v>
      </c>
      <c r="D357" s="16">
        <v>206011</v>
      </c>
      <c r="E357" s="18" t="s">
        <v>21</v>
      </c>
      <c r="F357" s="26">
        <v>0</v>
      </c>
      <c r="G357" s="26">
        <v>0</v>
      </c>
      <c r="H357" s="26">
        <v>0</v>
      </c>
      <c r="I357" s="26">
        <v>0</v>
      </c>
      <c r="J357" s="26">
        <v>0</v>
      </c>
      <c r="K357" s="26">
        <v>0</v>
      </c>
      <c r="L357" s="26">
        <v>10</v>
      </c>
      <c r="M357" s="26">
        <v>0</v>
      </c>
      <c r="N357" s="26">
        <v>0</v>
      </c>
      <c r="O357" s="27">
        <v>11</v>
      </c>
      <c r="P357" s="27">
        <v>0</v>
      </c>
      <c r="Q357" s="27">
        <v>0</v>
      </c>
      <c r="R357" s="27">
        <v>0</v>
      </c>
      <c r="S357" s="27">
        <v>0</v>
      </c>
      <c r="T357" s="27">
        <v>0</v>
      </c>
      <c r="U357" s="27">
        <v>0</v>
      </c>
      <c r="V357" s="27">
        <v>0</v>
      </c>
      <c r="W357" s="27">
        <v>0</v>
      </c>
      <c r="X357" s="27">
        <v>10</v>
      </c>
      <c r="Y357" s="27">
        <v>0</v>
      </c>
      <c r="Z357" s="27">
        <v>0</v>
      </c>
      <c r="AA357" s="27">
        <v>0</v>
      </c>
      <c r="AB357" s="27">
        <v>0</v>
      </c>
      <c r="AC357" s="27">
        <v>0</v>
      </c>
      <c r="AD357" s="27">
        <v>0</v>
      </c>
      <c r="AE357" s="27">
        <v>0</v>
      </c>
      <c r="AF357" s="27">
        <v>0</v>
      </c>
      <c r="AG357" s="26">
        <f t="shared" si="20"/>
        <v>31</v>
      </c>
      <c r="AH357" s="26">
        <f t="shared" si="21"/>
        <v>0</v>
      </c>
      <c r="AI357" s="26">
        <f t="shared" si="22"/>
        <v>0</v>
      </c>
      <c r="AJ357" s="15" t="s">
        <v>424</v>
      </c>
      <c r="AK357" s="15" t="s">
        <v>424</v>
      </c>
      <c r="AL357" s="15" t="s">
        <v>317</v>
      </c>
      <c r="AM357" s="19">
        <v>44645</v>
      </c>
    </row>
    <row r="358" spans="1:39" x14ac:dyDescent="0.2">
      <c r="A358" s="15" t="str">
        <f t="shared" si="23"/>
        <v>818514210433</v>
      </c>
      <c r="B358" s="32">
        <v>818514</v>
      </c>
      <c r="C358" s="32" t="s">
        <v>514</v>
      </c>
      <c r="D358" s="17">
        <v>210433</v>
      </c>
      <c r="E358" s="15" t="s">
        <v>515</v>
      </c>
      <c r="F358" s="26">
        <v>49.5</v>
      </c>
      <c r="G358" s="26">
        <v>2.5</v>
      </c>
      <c r="H358" s="26">
        <v>0</v>
      </c>
      <c r="I358" s="26">
        <v>23</v>
      </c>
      <c r="J358" s="26">
        <v>2.5</v>
      </c>
      <c r="K358" s="26">
        <v>0</v>
      </c>
      <c r="L358" s="26">
        <v>96</v>
      </c>
      <c r="M358" s="26">
        <v>0</v>
      </c>
      <c r="N358" s="26">
        <v>0</v>
      </c>
      <c r="O358" s="27">
        <v>53</v>
      </c>
      <c r="P358" s="27">
        <v>7.5</v>
      </c>
      <c r="Q358" s="27">
        <v>9</v>
      </c>
      <c r="R358" s="27">
        <v>41.5</v>
      </c>
      <c r="S358" s="27">
        <v>8</v>
      </c>
      <c r="T358" s="27">
        <v>0</v>
      </c>
      <c r="U358" s="27">
        <v>33.5</v>
      </c>
      <c r="V358" s="27">
        <v>2.5</v>
      </c>
      <c r="W358" s="27">
        <v>0</v>
      </c>
      <c r="X358" s="27">
        <v>14</v>
      </c>
      <c r="Y358" s="27">
        <v>0</v>
      </c>
      <c r="Z358" s="27">
        <v>0</v>
      </c>
      <c r="AA358" s="27">
        <v>21</v>
      </c>
      <c r="AB358" s="27">
        <v>0</v>
      </c>
      <c r="AC358" s="27">
        <v>0</v>
      </c>
      <c r="AD358" s="27">
        <v>32.5</v>
      </c>
      <c r="AE358" s="27">
        <v>0</v>
      </c>
      <c r="AF358" s="27">
        <v>0</v>
      </c>
      <c r="AG358" s="26">
        <f t="shared" si="20"/>
        <v>364</v>
      </c>
      <c r="AH358" s="26">
        <f t="shared" si="21"/>
        <v>23</v>
      </c>
      <c r="AI358" s="26">
        <f t="shared" si="22"/>
        <v>9</v>
      </c>
      <c r="AJ358" s="15" t="s">
        <v>424</v>
      </c>
      <c r="AK358" s="15" t="s">
        <v>424</v>
      </c>
      <c r="AL358" s="15" t="s">
        <v>317</v>
      </c>
      <c r="AM358" s="19">
        <v>44649</v>
      </c>
    </row>
    <row r="359" spans="1:39" x14ac:dyDescent="0.2">
      <c r="A359" s="15" t="str">
        <f t="shared" si="23"/>
        <v>818515206011</v>
      </c>
      <c r="B359" s="14">
        <v>818515</v>
      </c>
      <c r="C359" s="14" t="s">
        <v>518</v>
      </c>
      <c r="D359" s="14">
        <v>206011</v>
      </c>
      <c r="E359" s="18" t="s">
        <v>21</v>
      </c>
      <c r="F359" s="26">
        <v>17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30</v>
      </c>
      <c r="M359" s="26">
        <v>0</v>
      </c>
      <c r="N359" s="26">
        <v>0</v>
      </c>
      <c r="O359" s="27">
        <v>25</v>
      </c>
      <c r="P359" s="27">
        <v>0</v>
      </c>
      <c r="Q359" s="27">
        <v>0</v>
      </c>
      <c r="R359" s="27">
        <v>25</v>
      </c>
      <c r="S359" s="27">
        <v>5</v>
      </c>
      <c r="T359" s="27">
        <v>10</v>
      </c>
      <c r="U359" s="27">
        <v>0</v>
      </c>
      <c r="V359" s="27">
        <v>0</v>
      </c>
      <c r="W359" s="27">
        <v>0</v>
      </c>
      <c r="X359" s="27">
        <v>10</v>
      </c>
      <c r="Y359" s="27">
        <v>0</v>
      </c>
      <c r="Z359" s="27">
        <v>0</v>
      </c>
      <c r="AA359" s="27">
        <v>5</v>
      </c>
      <c r="AB359" s="27">
        <v>0</v>
      </c>
      <c r="AC359" s="27">
        <v>0</v>
      </c>
      <c r="AD359" s="27">
        <v>10</v>
      </c>
      <c r="AE359" s="27">
        <v>0</v>
      </c>
      <c r="AF359" s="27">
        <v>0</v>
      </c>
      <c r="AG359" s="26">
        <f t="shared" si="20"/>
        <v>122</v>
      </c>
      <c r="AH359" s="26">
        <f t="shared" si="21"/>
        <v>5</v>
      </c>
      <c r="AI359" s="26">
        <f t="shared" si="22"/>
        <v>10</v>
      </c>
      <c r="AJ359" s="15" t="s">
        <v>424</v>
      </c>
      <c r="AK359" s="15" t="s">
        <v>424</v>
      </c>
      <c r="AL359" s="15" t="s">
        <v>317</v>
      </c>
      <c r="AM359" s="19">
        <v>44649</v>
      </c>
    </row>
    <row r="360" spans="1:39" x14ac:dyDescent="0.2">
      <c r="A360" s="15" t="str">
        <f t="shared" si="23"/>
        <v>818530210306</v>
      </c>
      <c r="B360" s="14">
        <v>818530</v>
      </c>
      <c r="C360" s="14" t="s">
        <v>3</v>
      </c>
      <c r="D360" s="14">
        <v>210306</v>
      </c>
      <c r="E360" s="18" t="s">
        <v>520</v>
      </c>
      <c r="F360" s="26">
        <v>10</v>
      </c>
      <c r="G360" s="26">
        <v>0</v>
      </c>
      <c r="H360" s="26">
        <v>0</v>
      </c>
      <c r="I360" s="26">
        <v>20</v>
      </c>
      <c r="J360" s="26">
        <v>0</v>
      </c>
      <c r="K360" s="26">
        <v>0</v>
      </c>
      <c r="L360" s="26">
        <v>16</v>
      </c>
      <c r="M360" s="26">
        <v>0</v>
      </c>
      <c r="N360" s="26">
        <v>0</v>
      </c>
      <c r="O360" s="27">
        <v>41.35</v>
      </c>
      <c r="P360" s="27">
        <v>0</v>
      </c>
      <c r="Q360" s="27">
        <v>0.5</v>
      </c>
      <c r="R360" s="27">
        <v>15</v>
      </c>
      <c r="S360" s="27">
        <v>0</v>
      </c>
      <c r="T360" s="27">
        <v>0</v>
      </c>
      <c r="U360" s="27">
        <v>47.5</v>
      </c>
      <c r="V360" s="27">
        <v>0</v>
      </c>
      <c r="W360" s="27">
        <v>5</v>
      </c>
      <c r="X360" s="27">
        <v>33</v>
      </c>
      <c r="Y360" s="27">
        <v>0</v>
      </c>
      <c r="Z360" s="27">
        <v>0</v>
      </c>
      <c r="AA360" s="27">
        <v>45</v>
      </c>
      <c r="AB360" s="27">
        <v>0</v>
      </c>
      <c r="AC360" s="27">
        <v>0</v>
      </c>
      <c r="AD360" s="27">
        <v>20</v>
      </c>
      <c r="AE360" s="27">
        <v>0</v>
      </c>
      <c r="AF360" s="27">
        <v>0</v>
      </c>
      <c r="AG360" s="26">
        <f t="shared" si="20"/>
        <v>247.85</v>
      </c>
      <c r="AH360" s="26">
        <f t="shared" si="21"/>
        <v>0</v>
      </c>
      <c r="AI360" s="26">
        <f t="shared" si="22"/>
        <v>5.5</v>
      </c>
      <c r="AJ360" s="15" t="s">
        <v>424</v>
      </c>
      <c r="AK360" s="15" t="s">
        <v>424</v>
      </c>
      <c r="AL360" s="15" t="s">
        <v>317</v>
      </c>
      <c r="AM360" s="19">
        <v>44650</v>
      </c>
    </row>
    <row r="361" spans="1:39" x14ac:dyDescent="0.2">
      <c r="A361" s="15" t="str">
        <f t="shared" si="23"/>
        <v>818540207857</v>
      </c>
      <c r="B361" s="14">
        <v>818540</v>
      </c>
      <c r="C361" s="14" t="s">
        <v>3</v>
      </c>
      <c r="D361" s="14">
        <v>207857</v>
      </c>
      <c r="E361" s="18" t="s">
        <v>1</v>
      </c>
      <c r="F361" s="26">
        <v>5</v>
      </c>
      <c r="G361" s="26">
        <v>0</v>
      </c>
      <c r="H361" s="26">
        <v>0</v>
      </c>
      <c r="I361" s="26">
        <v>0</v>
      </c>
      <c r="J361" s="26">
        <v>0</v>
      </c>
      <c r="K361" s="26">
        <v>0</v>
      </c>
      <c r="L361" s="26">
        <v>0</v>
      </c>
      <c r="M361" s="26">
        <v>0</v>
      </c>
      <c r="N361" s="26">
        <v>0</v>
      </c>
      <c r="O361" s="27">
        <v>0</v>
      </c>
      <c r="P361" s="27">
        <v>0</v>
      </c>
      <c r="Q361" s="27">
        <v>0</v>
      </c>
      <c r="R361" s="27">
        <v>7.5</v>
      </c>
      <c r="S361" s="27">
        <v>0</v>
      </c>
      <c r="T361" s="27">
        <v>0</v>
      </c>
      <c r="U361" s="27">
        <v>0</v>
      </c>
      <c r="V361" s="27">
        <v>0</v>
      </c>
      <c r="W361" s="27">
        <v>0</v>
      </c>
      <c r="X361" s="27">
        <v>0</v>
      </c>
      <c r="Y361" s="27">
        <v>0</v>
      </c>
      <c r="Z361" s="27">
        <v>0</v>
      </c>
      <c r="AA361" s="27">
        <v>0</v>
      </c>
      <c r="AB361" s="27">
        <v>0</v>
      </c>
      <c r="AC361" s="27">
        <v>0</v>
      </c>
      <c r="AD361" s="27">
        <v>1</v>
      </c>
      <c r="AE361" s="27">
        <v>0</v>
      </c>
      <c r="AF361" s="27">
        <v>0</v>
      </c>
      <c r="AG361" s="26">
        <f t="shared" si="20"/>
        <v>13.5</v>
      </c>
      <c r="AH361" s="26">
        <f t="shared" si="21"/>
        <v>0</v>
      </c>
      <c r="AI361" s="26">
        <f t="shared" si="22"/>
        <v>0</v>
      </c>
      <c r="AJ361" s="15" t="s">
        <v>424</v>
      </c>
      <c r="AK361" s="15" t="s">
        <v>424</v>
      </c>
      <c r="AL361" s="15" t="s">
        <v>317</v>
      </c>
      <c r="AM361" s="19">
        <v>44650</v>
      </c>
    </row>
    <row r="362" spans="1:39" x14ac:dyDescent="0.2">
      <c r="A362" s="15" t="str">
        <f t="shared" si="23"/>
        <v>818611209816</v>
      </c>
      <c r="B362" s="14">
        <v>818611</v>
      </c>
      <c r="C362" s="14" t="s">
        <v>523</v>
      </c>
      <c r="D362" s="14">
        <v>209816</v>
      </c>
      <c r="E362" s="18" t="s">
        <v>142</v>
      </c>
      <c r="F362" s="26">
        <v>36.5</v>
      </c>
      <c r="G362" s="26">
        <v>2.5</v>
      </c>
      <c r="H362" s="26">
        <v>0</v>
      </c>
      <c r="I362" s="26">
        <v>17.5</v>
      </c>
      <c r="J362" s="26">
        <v>2.5</v>
      </c>
      <c r="K362" s="26">
        <v>0</v>
      </c>
      <c r="L362" s="26">
        <v>0</v>
      </c>
      <c r="M362" s="26">
        <v>0</v>
      </c>
      <c r="N362" s="26">
        <v>0</v>
      </c>
      <c r="O362" s="27">
        <v>12.5</v>
      </c>
      <c r="P362" s="27">
        <v>0</v>
      </c>
      <c r="Q362" s="27">
        <v>0</v>
      </c>
      <c r="R362" s="27">
        <v>25</v>
      </c>
      <c r="S362" s="27">
        <v>0</v>
      </c>
      <c r="T362" s="27">
        <v>0</v>
      </c>
      <c r="U362" s="27">
        <v>0</v>
      </c>
      <c r="V362" s="27">
        <v>0</v>
      </c>
      <c r="W362" s="27">
        <v>0</v>
      </c>
      <c r="X362" s="27">
        <v>5</v>
      </c>
      <c r="Y362" s="27">
        <v>0</v>
      </c>
      <c r="Z362" s="27">
        <v>5</v>
      </c>
      <c r="AA362" s="27">
        <v>0</v>
      </c>
      <c r="AB362" s="27">
        <v>0</v>
      </c>
      <c r="AC362" s="27">
        <v>0</v>
      </c>
      <c r="AD362" s="27">
        <v>7.5</v>
      </c>
      <c r="AE362" s="27">
        <v>0</v>
      </c>
      <c r="AF362" s="27">
        <v>0</v>
      </c>
      <c r="AG362" s="26">
        <f t="shared" si="20"/>
        <v>104</v>
      </c>
      <c r="AH362" s="26">
        <f t="shared" si="21"/>
        <v>5</v>
      </c>
      <c r="AI362" s="26">
        <f t="shared" si="22"/>
        <v>5</v>
      </c>
      <c r="AJ362" s="15" t="s">
        <v>424</v>
      </c>
      <c r="AK362" s="15" t="s">
        <v>424</v>
      </c>
      <c r="AL362" s="15" t="s">
        <v>317</v>
      </c>
      <c r="AM362" s="19">
        <v>44660</v>
      </c>
    </row>
    <row r="363" spans="1:39" x14ac:dyDescent="0.2">
      <c r="A363" s="15" t="str">
        <f t="shared" si="23"/>
        <v>818744210855</v>
      </c>
      <c r="B363" s="14">
        <v>818744</v>
      </c>
      <c r="C363" s="14" t="s">
        <v>119</v>
      </c>
      <c r="D363" s="16">
        <v>210855</v>
      </c>
      <c r="E363" s="18" t="s">
        <v>142</v>
      </c>
      <c r="F363" s="26">
        <v>13</v>
      </c>
      <c r="G363" s="26">
        <v>3</v>
      </c>
      <c r="H363" s="26">
        <v>0</v>
      </c>
      <c r="I363" s="26">
        <v>70</v>
      </c>
      <c r="J363" s="26">
        <v>3</v>
      </c>
      <c r="K363" s="26">
        <v>0</v>
      </c>
      <c r="L363" s="26">
        <v>91.25</v>
      </c>
      <c r="M363" s="26">
        <v>26.75</v>
      </c>
      <c r="N363" s="26">
        <v>5.5</v>
      </c>
      <c r="O363" s="27">
        <v>59</v>
      </c>
      <c r="P363" s="27">
        <v>0</v>
      </c>
      <c r="Q363" s="27">
        <v>20</v>
      </c>
      <c r="R363" s="27">
        <v>10</v>
      </c>
      <c r="S363" s="27">
        <v>0</v>
      </c>
      <c r="T363" s="27">
        <v>0</v>
      </c>
      <c r="U363" s="27">
        <v>5</v>
      </c>
      <c r="V363" s="27">
        <v>0</v>
      </c>
      <c r="W363" s="27">
        <v>5</v>
      </c>
      <c r="X363" s="27">
        <v>10.75</v>
      </c>
      <c r="Y363" s="27">
        <v>0</v>
      </c>
      <c r="Z363" s="27">
        <v>10.75</v>
      </c>
      <c r="AA363" s="27">
        <v>30</v>
      </c>
      <c r="AB363" s="27">
        <v>0</v>
      </c>
      <c r="AC363" s="27">
        <v>0</v>
      </c>
      <c r="AD363" s="27">
        <v>92.75</v>
      </c>
      <c r="AE363" s="27">
        <v>11.25</v>
      </c>
      <c r="AF363" s="27">
        <v>31.5</v>
      </c>
      <c r="AG363" s="26">
        <f t="shared" si="20"/>
        <v>381.75</v>
      </c>
      <c r="AH363" s="26">
        <f t="shared" si="21"/>
        <v>44</v>
      </c>
      <c r="AI363" s="26">
        <f t="shared" si="22"/>
        <v>72.75</v>
      </c>
      <c r="AJ363" s="15" t="s">
        <v>424</v>
      </c>
      <c r="AK363" s="15" t="s">
        <v>424</v>
      </c>
      <c r="AL363" s="15" t="s">
        <v>317</v>
      </c>
      <c r="AM363" s="19">
        <v>44676</v>
      </c>
    </row>
    <row r="364" spans="1:39" x14ac:dyDescent="0.2">
      <c r="A364" s="15" t="str">
        <f t="shared" si="23"/>
        <v>818790207857</v>
      </c>
      <c r="B364" s="14">
        <v>818790</v>
      </c>
      <c r="C364" s="14" t="s">
        <v>540</v>
      </c>
      <c r="D364" s="16">
        <v>207857</v>
      </c>
      <c r="E364" s="18" t="s">
        <v>1</v>
      </c>
      <c r="F364" s="26">
        <v>0</v>
      </c>
      <c r="G364" s="26">
        <v>0</v>
      </c>
      <c r="H364" s="26">
        <v>0</v>
      </c>
      <c r="I364" s="26">
        <v>0</v>
      </c>
      <c r="J364" s="26">
        <v>0</v>
      </c>
      <c r="K364" s="26">
        <v>0</v>
      </c>
      <c r="L364" s="26">
        <v>50.75</v>
      </c>
      <c r="M364" s="26">
        <v>4.25</v>
      </c>
      <c r="N364" s="26">
        <v>5.5</v>
      </c>
      <c r="O364" s="27">
        <v>50</v>
      </c>
      <c r="P364" s="27">
        <v>0</v>
      </c>
      <c r="Q364" s="27">
        <v>0</v>
      </c>
      <c r="R364" s="27">
        <v>33.6</v>
      </c>
      <c r="S364" s="27">
        <v>0</v>
      </c>
      <c r="T364" s="27">
        <v>0</v>
      </c>
      <c r="U364" s="27">
        <v>37.5</v>
      </c>
      <c r="V364" s="27">
        <v>0</v>
      </c>
      <c r="W364" s="27">
        <v>7.5</v>
      </c>
      <c r="X364" s="27">
        <v>50</v>
      </c>
      <c r="Y364" s="27">
        <v>0</v>
      </c>
      <c r="Z364" s="27">
        <v>10</v>
      </c>
      <c r="AA364" s="27">
        <v>47.5</v>
      </c>
      <c r="AB364" s="27">
        <v>0</v>
      </c>
      <c r="AC364" s="27">
        <v>0</v>
      </c>
      <c r="AD364" s="27">
        <v>32.5</v>
      </c>
      <c r="AE364" s="27">
        <v>0</v>
      </c>
      <c r="AF364" s="27">
        <v>0</v>
      </c>
      <c r="AG364" s="26">
        <f t="shared" si="20"/>
        <v>301.85000000000002</v>
      </c>
      <c r="AH364" s="26">
        <f t="shared" si="21"/>
        <v>4.25</v>
      </c>
      <c r="AI364" s="26">
        <f t="shared" si="22"/>
        <v>23</v>
      </c>
      <c r="AJ364" s="15" t="s">
        <v>424</v>
      </c>
      <c r="AK364" s="15" t="s">
        <v>424</v>
      </c>
      <c r="AL364" s="15" t="s">
        <v>317</v>
      </c>
      <c r="AM364" s="19">
        <v>44679</v>
      </c>
    </row>
    <row r="365" spans="1:39" x14ac:dyDescent="0.2">
      <c r="A365" s="15" t="str">
        <f t="shared" si="23"/>
        <v>818805207857</v>
      </c>
      <c r="B365" s="14">
        <v>818805</v>
      </c>
      <c r="C365" s="14" t="s">
        <v>531</v>
      </c>
      <c r="D365" s="16">
        <v>207857</v>
      </c>
      <c r="E365" s="18" t="s">
        <v>1</v>
      </c>
      <c r="F365" s="26">
        <v>0</v>
      </c>
      <c r="G365" s="26">
        <v>0</v>
      </c>
      <c r="H365" s="26">
        <v>0</v>
      </c>
      <c r="I365" s="26">
        <v>10</v>
      </c>
      <c r="J365" s="26">
        <v>0</v>
      </c>
      <c r="K365" s="26">
        <v>0</v>
      </c>
      <c r="L365" s="26">
        <v>20.5</v>
      </c>
      <c r="M365" s="26">
        <v>0</v>
      </c>
      <c r="N365" s="26">
        <v>0</v>
      </c>
      <c r="O365" s="27">
        <v>30</v>
      </c>
      <c r="P365" s="27">
        <v>0</v>
      </c>
      <c r="Q365" s="27">
        <v>0</v>
      </c>
      <c r="R365" s="27">
        <v>0</v>
      </c>
      <c r="S365" s="27">
        <v>0</v>
      </c>
      <c r="T365" s="27">
        <v>0</v>
      </c>
      <c r="U365" s="27">
        <v>7.5</v>
      </c>
      <c r="V365" s="27">
        <v>0</v>
      </c>
      <c r="W365" s="27">
        <v>0</v>
      </c>
      <c r="X365" s="27">
        <v>7.5</v>
      </c>
      <c r="Y365" s="27">
        <v>0</v>
      </c>
      <c r="Z365" s="27">
        <v>0</v>
      </c>
      <c r="AA365" s="27">
        <v>9.5</v>
      </c>
      <c r="AB365" s="27">
        <v>0</v>
      </c>
      <c r="AC365" s="27">
        <v>1</v>
      </c>
      <c r="AD365" s="27">
        <v>22.5</v>
      </c>
      <c r="AE365" s="27">
        <v>0</v>
      </c>
      <c r="AF365" s="27">
        <v>0</v>
      </c>
      <c r="AG365" s="26">
        <f t="shared" ref="AG365:AG428" si="24">SUMIF($F$2:$AF$2,"Total",F365:AF365)</f>
        <v>107.5</v>
      </c>
      <c r="AH365" s="26">
        <f t="shared" ref="AH365:AH428" si="25">SUMIF($F$2:$AF$2,"WS",F365:AF365)</f>
        <v>0</v>
      </c>
      <c r="AI365" s="26">
        <f t="shared" ref="AI365:AI428" si="26">SUMIF($F$2:$AF$2,"PPCSS",F365:AF365)</f>
        <v>1</v>
      </c>
      <c r="AJ365" s="15" t="s">
        <v>424</v>
      </c>
      <c r="AK365" s="15" t="s">
        <v>424</v>
      </c>
      <c r="AL365" s="15" t="s">
        <v>317</v>
      </c>
      <c r="AM365" s="19">
        <v>44680</v>
      </c>
    </row>
    <row r="366" spans="1:39" x14ac:dyDescent="0.2">
      <c r="A366" s="15" t="str">
        <f t="shared" si="23"/>
        <v>818912207857</v>
      </c>
      <c r="B366" s="14">
        <v>818912</v>
      </c>
      <c r="C366" s="14" t="s">
        <v>534</v>
      </c>
      <c r="D366" s="16">
        <v>207857</v>
      </c>
      <c r="E366" s="18" t="s">
        <v>1</v>
      </c>
      <c r="F366" s="26">
        <v>0</v>
      </c>
      <c r="G366" s="26">
        <v>0</v>
      </c>
      <c r="H366" s="26">
        <v>0</v>
      </c>
      <c r="I366" s="26">
        <v>10</v>
      </c>
      <c r="J366" s="26">
        <v>0</v>
      </c>
      <c r="K366" s="26">
        <v>0</v>
      </c>
      <c r="L366" s="26">
        <v>0</v>
      </c>
      <c r="M366" s="26">
        <v>0</v>
      </c>
      <c r="N366" s="26">
        <v>0</v>
      </c>
      <c r="O366" s="27">
        <v>0</v>
      </c>
      <c r="P366" s="27">
        <v>0</v>
      </c>
      <c r="Q366" s="27">
        <v>0</v>
      </c>
      <c r="R366" s="27">
        <v>0</v>
      </c>
      <c r="S366" s="27">
        <v>0</v>
      </c>
      <c r="T366" s="27">
        <v>0</v>
      </c>
      <c r="U366" s="27">
        <v>15</v>
      </c>
      <c r="V366" s="27">
        <v>0</v>
      </c>
      <c r="W366" s="27">
        <v>0</v>
      </c>
      <c r="X366" s="27">
        <v>0</v>
      </c>
      <c r="Y366" s="27">
        <v>0</v>
      </c>
      <c r="Z366" s="27">
        <v>0</v>
      </c>
      <c r="AA366" s="27">
        <v>2</v>
      </c>
      <c r="AB366" s="27">
        <v>0</v>
      </c>
      <c r="AC366" s="27">
        <v>1</v>
      </c>
      <c r="AD366" s="27">
        <v>1</v>
      </c>
      <c r="AE366" s="27">
        <v>0</v>
      </c>
      <c r="AF366" s="27">
        <v>0</v>
      </c>
      <c r="AG366" s="26">
        <f t="shared" si="24"/>
        <v>28</v>
      </c>
      <c r="AH366" s="26">
        <f t="shared" si="25"/>
        <v>0</v>
      </c>
      <c r="AI366" s="26">
        <f t="shared" si="26"/>
        <v>1</v>
      </c>
      <c r="AJ366" s="15" t="s">
        <v>424</v>
      </c>
      <c r="AK366" s="15" t="s">
        <v>424</v>
      </c>
      <c r="AL366" s="15" t="s">
        <v>317</v>
      </c>
      <c r="AM366" s="19">
        <v>44692</v>
      </c>
    </row>
    <row r="367" spans="1:39" x14ac:dyDescent="0.2">
      <c r="A367" s="15" t="str">
        <f t="shared" si="23"/>
        <v>818966204445</v>
      </c>
      <c r="B367" s="14">
        <v>818966</v>
      </c>
      <c r="C367" s="14" t="s">
        <v>403</v>
      </c>
      <c r="D367" s="16">
        <v>204445</v>
      </c>
      <c r="E367" s="18" t="s">
        <v>535</v>
      </c>
      <c r="F367" s="26">
        <v>0</v>
      </c>
      <c r="G367" s="26">
        <v>0</v>
      </c>
      <c r="H367" s="26">
        <v>0</v>
      </c>
      <c r="I367" s="26">
        <v>25</v>
      </c>
      <c r="J367" s="26">
        <v>0</v>
      </c>
      <c r="K367" s="26">
        <v>0</v>
      </c>
      <c r="L367" s="26">
        <v>90.5</v>
      </c>
      <c r="M367" s="26">
        <v>0.5</v>
      </c>
      <c r="N367" s="26">
        <v>20</v>
      </c>
      <c r="O367" s="27">
        <v>65.5</v>
      </c>
      <c r="P367" s="27">
        <v>0</v>
      </c>
      <c r="Q367" s="27">
        <v>2.5</v>
      </c>
      <c r="R367" s="27">
        <v>33.049999999999997</v>
      </c>
      <c r="S367" s="27">
        <v>0</v>
      </c>
      <c r="T367" s="27">
        <v>1.25</v>
      </c>
      <c r="U367" s="27">
        <v>5</v>
      </c>
      <c r="V367" s="27">
        <v>0</v>
      </c>
      <c r="W367" s="27">
        <v>2.5</v>
      </c>
      <c r="X367" s="27">
        <v>28.5</v>
      </c>
      <c r="Y367" s="27">
        <v>0</v>
      </c>
      <c r="Z367" s="27">
        <v>16</v>
      </c>
      <c r="AA367" s="27">
        <v>5</v>
      </c>
      <c r="AB367" s="27">
        <v>0</v>
      </c>
      <c r="AC367" s="27">
        <v>0</v>
      </c>
      <c r="AD367" s="27">
        <v>48.5</v>
      </c>
      <c r="AE367" s="27">
        <v>0</v>
      </c>
      <c r="AF367" s="27">
        <v>0</v>
      </c>
      <c r="AG367" s="26">
        <f t="shared" si="24"/>
        <v>301.05</v>
      </c>
      <c r="AH367" s="26">
        <f t="shared" si="25"/>
        <v>0.5</v>
      </c>
      <c r="AI367" s="26">
        <f t="shared" si="26"/>
        <v>42.25</v>
      </c>
      <c r="AJ367" s="15" t="s">
        <v>424</v>
      </c>
      <c r="AK367" s="15" t="s">
        <v>424</v>
      </c>
      <c r="AL367" s="15" t="s">
        <v>317</v>
      </c>
      <c r="AM367" s="19">
        <v>44698</v>
      </c>
    </row>
    <row r="368" spans="1:39" x14ac:dyDescent="0.2">
      <c r="A368" s="15" t="str">
        <f t="shared" si="23"/>
        <v>818983208268</v>
      </c>
      <c r="B368" s="14">
        <v>818983</v>
      </c>
      <c r="C368" s="14" t="s">
        <v>433</v>
      </c>
      <c r="D368" s="16">
        <v>208268</v>
      </c>
      <c r="E368" s="18" t="s">
        <v>351</v>
      </c>
      <c r="F368" s="26">
        <v>0</v>
      </c>
      <c r="G368" s="26">
        <v>0</v>
      </c>
      <c r="H368" s="26">
        <v>0</v>
      </c>
      <c r="I368" s="26">
        <v>0</v>
      </c>
      <c r="J368" s="26">
        <v>0</v>
      </c>
      <c r="K368" s="26">
        <v>0</v>
      </c>
      <c r="L368" s="26">
        <v>10</v>
      </c>
      <c r="M368" s="26">
        <v>5</v>
      </c>
      <c r="N368" s="26">
        <v>0</v>
      </c>
      <c r="O368" s="27">
        <v>7.5</v>
      </c>
      <c r="P368" s="27">
        <v>0</v>
      </c>
      <c r="Q368" s="27">
        <v>0</v>
      </c>
      <c r="R368" s="27">
        <v>0</v>
      </c>
      <c r="S368" s="27">
        <v>0</v>
      </c>
      <c r="T368" s="27">
        <v>0</v>
      </c>
      <c r="U368" s="27">
        <v>0</v>
      </c>
      <c r="V368" s="27">
        <v>0</v>
      </c>
      <c r="W368" s="27">
        <v>0</v>
      </c>
      <c r="X368" s="27">
        <v>0</v>
      </c>
      <c r="Y368" s="27">
        <v>0</v>
      </c>
      <c r="Z368" s="27">
        <v>0</v>
      </c>
      <c r="AA368" s="27">
        <v>0</v>
      </c>
      <c r="AB368" s="27">
        <v>0</v>
      </c>
      <c r="AC368" s="27">
        <v>0</v>
      </c>
      <c r="AD368" s="27">
        <v>0</v>
      </c>
      <c r="AE368" s="27">
        <v>0</v>
      </c>
      <c r="AF368" s="27">
        <v>0</v>
      </c>
      <c r="AG368" s="26">
        <f t="shared" si="24"/>
        <v>17.5</v>
      </c>
      <c r="AH368" s="26">
        <f t="shared" si="25"/>
        <v>5</v>
      </c>
      <c r="AI368" s="26">
        <f t="shared" si="26"/>
        <v>0</v>
      </c>
      <c r="AJ368" s="15" t="s">
        <v>424</v>
      </c>
      <c r="AK368" s="15" t="s">
        <v>424</v>
      </c>
      <c r="AL368" s="15" t="s">
        <v>317</v>
      </c>
      <c r="AM368" s="19">
        <v>44700</v>
      </c>
    </row>
    <row r="369" spans="1:39" x14ac:dyDescent="0.2">
      <c r="A369" s="15" t="str">
        <f t="shared" si="23"/>
        <v>819056141236</v>
      </c>
      <c r="B369" s="14">
        <v>819056</v>
      </c>
      <c r="C369" s="14" t="s">
        <v>541</v>
      </c>
      <c r="D369" s="16">
        <v>141236</v>
      </c>
      <c r="E369" s="18" t="s">
        <v>542</v>
      </c>
      <c r="F369" s="26">
        <v>0</v>
      </c>
      <c r="G369" s="26">
        <v>0</v>
      </c>
      <c r="H369" s="26">
        <v>0</v>
      </c>
      <c r="I369" s="26">
        <v>0</v>
      </c>
      <c r="J369" s="26">
        <v>0</v>
      </c>
      <c r="K369" s="26">
        <v>0</v>
      </c>
      <c r="L369" s="26">
        <v>12.5</v>
      </c>
      <c r="M369" s="26">
        <v>0</v>
      </c>
      <c r="N369" s="26">
        <v>0</v>
      </c>
      <c r="O369" s="27">
        <v>12.5</v>
      </c>
      <c r="P369" s="27">
        <v>0</v>
      </c>
      <c r="Q369" s="27">
        <v>0</v>
      </c>
      <c r="R369" s="27">
        <v>26</v>
      </c>
      <c r="S369" s="27">
        <v>0</v>
      </c>
      <c r="T369" s="27">
        <v>0</v>
      </c>
      <c r="U369" s="27">
        <v>106.5</v>
      </c>
      <c r="V369" s="27">
        <v>0</v>
      </c>
      <c r="W369" s="27">
        <v>0</v>
      </c>
      <c r="X369" s="27">
        <v>62.5</v>
      </c>
      <c r="Y369" s="27">
        <v>0</v>
      </c>
      <c r="Z369" s="27">
        <v>0</v>
      </c>
      <c r="AA369" s="27">
        <v>25</v>
      </c>
      <c r="AB369" s="27">
        <v>0</v>
      </c>
      <c r="AC369" s="27">
        <v>0</v>
      </c>
      <c r="AD369" s="27">
        <v>65.5</v>
      </c>
      <c r="AE369" s="27">
        <v>0</v>
      </c>
      <c r="AF369" s="27">
        <v>0</v>
      </c>
      <c r="AG369" s="26">
        <f t="shared" si="24"/>
        <v>310.5</v>
      </c>
      <c r="AH369" s="26">
        <f t="shared" si="25"/>
        <v>0</v>
      </c>
      <c r="AI369" s="26">
        <f t="shared" si="26"/>
        <v>0</v>
      </c>
      <c r="AJ369" s="15" t="s">
        <v>424</v>
      </c>
      <c r="AK369" s="15" t="s">
        <v>424</v>
      </c>
      <c r="AL369" s="15" t="s">
        <v>317</v>
      </c>
      <c r="AM369" s="19">
        <v>44706</v>
      </c>
    </row>
    <row r="370" spans="1:39" x14ac:dyDescent="0.2">
      <c r="A370" s="15" t="str">
        <f t="shared" si="23"/>
        <v>819328212495</v>
      </c>
      <c r="B370" s="14">
        <v>819328</v>
      </c>
      <c r="C370" s="14" t="s">
        <v>566</v>
      </c>
      <c r="D370" s="16">
        <v>212495</v>
      </c>
      <c r="E370" s="18" t="s">
        <v>567</v>
      </c>
      <c r="F370" s="26">
        <v>0</v>
      </c>
      <c r="G370" s="26">
        <v>0</v>
      </c>
      <c r="H370" s="26">
        <v>0</v>
      </c>
      <c r="I370" s="26">
        <v>0</v>
      </c>
      <c r="J370" s="26">
        <v>0</v>
      </c>
      <c r="K370" s="26">
        <v>0</v>
      </c>
      <c r="L370" s="26">
        <v>0</v>
      </c>
      <c r="M370" s="26">
        <v>0</v>
      </c>
      <c r="N370" s="26">
        <v>0</v>
      </c>
      <c r="O370" s="27">
        <v>8.75</v>
      </c>
      <c r="P370" s="27">
        <v>0</v>
      </c>
      <c r="Q370" s="27">
        <v>0</v>
      </c>
      <c r="R370" s="27">
        <v>12.5</v>
      </c>
      <c r="S370" s="27">
        <v>0</v>
      </c>
      <c r="T370" s="27">
        <v>0</v>
      </c>
      <c r="U370" s="27">
        <v>28.25</v>
      </c>
      <c r="V370" s="27">
        <v>8.75</v>
      </c>
      <c r="W370" s="27">
        <v>0</v>
      </c>
      <c r="X370" s="27">
        <v>29.05</v>
      </c>
      <c r="Y370" s="27">
        <v>0</v>
      </c>
      <c r="Z370" s="27">
        <v>7.5</v>
      </c>
      <c r="AA370" s="27">
        <v>24.5</v>
      </c>
      <c r="AB370" s="27">
        <v>0</v>
      </c>
      <c r="AC370" s="27">
        <v>0</v>
      </c>
      <c r="AD370" s="27">
        <v>15</v>
      </c>
      <c r="AE370" s="27">
        <v>0</v>
      </c>
      <c r="AF370" s="27">
        <v>0</v>
      </c>
      <c r="AG370" s="26">
        <f t="shared" si="24"/>
        <v>118.05</v>
      </c>
      <c r="AH370" s="26">
        <f t="shared" si="25"/>
        <v>8.75</v>
      </c>
      <c r="AI370" s="26">
        <f t="shared" si="26"/>
        <v>7.5</v>
      </c>
      <c r="AJ370" s="15" t="s">
        <v>424</v>
      </c>
      <c r="AK370" s="15" t="s">
        <v>424</v>
      </c>
      <c r="AL370" s="15" t="s">
        <v>317</v>
      </c>
      <c r="AM370" s="19">
        <v>44725</v>
      </c>
    </row>
    <row r="371" spans="1:39" x14ac:dyDescent="0.2">
      <c r="A371" s="15" t="str">
        <f t="shared" si="23"/>
        <v>819375202870</v>
      </c>
      <c r="B371" s="14">
        <v>819375</v>
      </c>
      <c r="C371" s="14" t="s">
        <v>548</v>
      </c>
      <c r="D371" s="16">
        <v>202870</v>
      </c>
      <c r="E371" s="18" t="s">
        <v>383</v>
      </c>
      <c r="F371" s="26">
        <v>0</v>
      </c>
      <c r="G371" s="26">
        <v>0</v>
      </c>
      <c r="H371" s="26">
        <v>0</v>
      </c>
      <c r="I371" s="26">
        <v>0</v>
      </c>
      <c r="J371" s="26">
        <v>0</v>
      </c>
      <c r="K371" s="26">
        <v>0</v>
      </c>
      <c r="L371" s="26">
        <v>15</v>
      </c>
      <c r="M371" s="26">
        <v>0</v>
      </c>
      <c r="N371" s="26">
        <v>0</v>
      </c>
      <c r="O371" s="27">
        <v>20</v>
      </c>
      <c r="P371" s="27">
        <v>0</v>
      </c>
      <c r="Q371" s="27">
        <v>11.5</v>
      </c>
      <c r="R371" s="27">
        <v>36.5</v>
      </c>
      <c r="S371" s="27">
        <v>0</v>
      </c>
      <c r="T371" s="27">
        <v>31.5</v>
      </c>
      <c r="U371" s="27">
        <v>17.75</v>
      </c>
      <c r="V371" s="27">
        <v>0</v>
      </c>
      <c r="W371" s="27">
        <v>17.75</v>
      </c>
      <c r="X371" s="27">
        <v>0</v>
      </c>
      <c r="Y371" s="27">
        <v>0</v>
      </c>
      <c r="Z371" s="27">
        <v>0</v>
      </c>
      <c r="AA371" s="27">
        <v>22.5</v>
      </c>
      <c r="AB371" s="27">
        <v>0</v>
      </c>
      <c r="AC371" s="27">
        <v>7.5</v>
      </c>
      <c r="AD371" s="27">
        <v>7.5</v>
      </c>
      <c r="AE371" s="27">
        <v>0</v>
      </c>
      <c r="AF371" s="27">
        <v>0</v>
      </c>
      <c r="AG371" s="26">
        <f t="shared" si="24"/>
        <v>119.25</v>
      </c>
      <c r="AH371" s="26">
        <f t="shared" si="25"/>
        <v>0</v>
      </c>
      <c r="AI371" s="26">
        <f t="shared" si="26"/>
        <v>68.25</v>
      </c>
      <c r="AJ371" s="15" t="s">
        <v>424</v>
      </c>
      <c r="AK371" s="15" t="s">
        <v>424</v>
      </c>
      <c r="AL371" s="15" t="s">
        <v>317</v>
      </c>
      <c r="AM371" s="19">
        <v>44728</v>
      </c>
    </row>
    <row r="372" spans="1:39" x14ac:dyDescent="0.2">
      <c r="A372" s="15" t="str">
        <f t="shared" si="23"/>
        <v>819476141512</v>
      </c>
      <c r="B372" s="14">
        <v>819476</v>
      </c>
      <c r="C372" s="14" t="s">
        <v>565</v>
      </c>
      <c r="D372" s="16">
        <v>141512</v>
      </c>
      <c r="E372" s="18" t="s">
        <v>106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7">
        <v>24.5</v>
      </c>
      <c r="P372" s="27">
        <v>0</v>
      </c>
      <c r="Q372" s="27">
        <v>0</v>
      </c>
      <c r="R372" s="27">
        <v>25</v>
      </c>
      <c r="S372" s="27">
        <v>0</v>
      </c>
      <c r="T372" s="27">
        <v>0</v>
      </c>
      <c r="U372" s="27">
        <v>21</v>
      </c>
      <c r="V372" s="27">
        <v>0</v>
      </c>
      <c r="W372" s="27">
        <v>0</v>
      </c>
      <c r="X372" s="27">
        <v>25</v>
      </c>
      <c r="Y372" s="27">
        <v>0</v>
      </c>
      <c r="Z372" s="27">
        <v>0</v>
      </c>
      <c r="AA372" s="27">
        <v>27.5</v>
      </c>
      <c r="AB372" s="27">
        <v>0</v>
      </c>
      <c r="AC372" s="27">
        <v>0</v>
      </c>
      <c r="AD372" s="27">
        <v>38</v>
      </c>
      <c r="AE372" s="27">
        <v>0</v>
      </c>
      <c r="AF372" s="27">
        <v>0</v>
      </c>
      <c r="AG372" s="26">
        <f t="shared" si="24"/>
        <v>161</v>
      </c>
      <c r="AH372" s="26">
        <f t="shared" si="25"/>
        <v>0</v>
      </c>
      <c r="AI372" s="26">
        <f t="shared" si="26"/>
        <v>0</v>
      </c>
      <c r="AJ372" s="15" t="s">
        <v>424</v>
      </c>
      <c r="AK372" s="15" t="s">
        <v>424</v>
      </c>
      <c r="AL372" s="15" t="s">
        <v>317</v>
      </c>
      <c r="AM372" s="19">
        <v>44735</v>
      </c>
    </row>
    <row r="373" spans="1:39" x14ac:dyDescent="0.2">
      <c r="A373" s="15" t="str">
        <f t="shared" si="23"/>
        <v>819589212067</v>
      </c>
      <c r="B373" s="14">
        <v>819589</v>
      </c>
      <c r="C373" s="14" t="s">
        <v>557</v>
      </c>
      <c r="D373" s="16">
        <v>212067</v>
      </c>
      <c r="E373" s="18" t="s">
        <v>558</v>
      </c>
      <c r="F373" s="26">
        <v>0</v>
      </c>
      <c r="G373" s="26">
        <v>0</v>
      </c>
      <c r="H373" s="26">
        <v>0</v>
      </c>
      <c r="I373" s="26">
        <v>0</v>
      </c>
      <c r="J373" s="26">
        <v>0</v>
      </c>
      <c r="K373" s="26">
        <v>0</v>
      </c>
      <c r="L373" s="26">
        <v>0</v>
      </c>
      <c r="M373" s="26">
        <v>0</v>
      </c>
      <c r="N373" s="26">
        <v>0</v>
      </c>
      <c r="O373" s="27">
        <v>110.85</v>
      </c>
      <c r="P373" s="27">
        <v>0</v>
      </c>
      <c r="Q373" s="27">
        <v>10.85</v>
      </c>
      <c r="R373" s="27">
        <v>67.5</v>
      </c>
      <c r="S373" s="27">
        <v>0</v>
      </c>
      <c r="T373" s="27">
        <v>7.5</v>
      </c>
      <c r="U373" s="27">
        <v>114.7</v>
      </c>
      <c r="V373" s="27">
        <v>0</v>
      </c>
      <c r="W373" s="27">
        <v>27</v>
      </c>
      <c r="X373" s="27">
        <v>81.25</v>
      </c>
      <c r="Y373" s="27">
        <v>0</v>
      </c>
      <c r="Z373" s="27">
        <v>21.75</v>
      </c>
      <c r="AA373" s="27">
        <v>91</v>
      </c>
      <c r="AB373" s="27">
        <v>0</v>
      </c>
      <c r="AC373" s="27">
        <v>3</v>
      </c>
      <c r="AD373" s="27">
        <v>148</v>
      </c>
      <c r="AE373" s="27">
        <v>0</v>
      </c>
      <c r="AF373" s="27">
        <v>18</v>
      </c>
      <c r="AG373" s="26">
        <f t="shared" si="24"/>
        <v>613.29999999999995</v>
      </c>
      <c r="AH373" s="26">
        <f t="shared" si="25"/>
        <v>0</v>
      </c>
      <c r="AI373" s="26">
        <f t="shared" si="26"/>
        <v>88.1</v>
      </c>
      <c r="AJ373" s="15" t="s">
        <v>424</v>
      </c>
      <c r="AK373" s="15" t="s">
        <v>424</v>
      </c>
      <c r="AL373" s="15" t="s">
        <v>317</v>
      </c>
      <c r="AM373" s="19">
        <v>44744</v>
      </c>
    </row>
    <row r="374" spans="1:39" x14ac:dyDescent="0.2">
      <c r="A374" s="15" t="str">
        <f t="shared" si="23"/>
        <v>819594212495</v>
      </c>
      <c r="B374" s="14">
        <v>819594</v>
      </c>
      <c r="C374" s="14" t="s">
        <v>568</v>
      </c>
      <c r="D374" s="16">
        <v>212495</v>
      </c>
      <c r="E374" s="18" t="s">
        <v>567</v>
      </c>
      <c r="F374" s="26">
        <v>0</v>
      </c>
      <c r="G374" s="26">
        <v>0</v>
      </c>
      <c r="H374" s="26">
        <v>0</v>
      </c>
      <c r="I374" s="26">
        <v>0</v>
      </c>
      <c r="J374" s="26">
        <v>0</v>
      </c>
      <c r="K374" s="26">
        <v>0</v>
      </c>
      <c r="L374" s="26">
        <v>0</v>
      </c>
      <c r="M374" s="26">
        <v>0</v>
      </c>
      <c r="N374" s="26">
        <v>0</v>
      </c>
      <c r="O374" s="27">
        <v>7.5</v>
      </c>
      <c r="P374" s="27">
        <v>0</v>
      </c>
      <c r="Q374" s="27">
        <v>0</v>
      </c>
      <c r="R374" s="27">
        <v>0</v>
      </c>
      <c r="S374" s="27">
        <v>0</v>
      </c>
      <c r="T374" s="27">
        <v>0</v>
      </c>
      <c r="U374" s="27">
        <v>21.25</v>
      </c>
      <c r="V374" s="27">
        <v>0</v>
      </c>
      <c r="W374" s="27">
        <v>0</v>
      </c>
      <c r="X374" s="27">
        <v>22.5</v>
      </c>
      <c r="Y374" s="27">
        <v>0</v>
      </c>
      <c r="Z374" s="27">
        <v>0</v>
      </c>
      <c r="AA374" s="27">
        <v>12.5</v>
      </c>
      <c r="AB374" s="27">
        <v>0</v>
      </c>
      <c r="AC374" s="27">
        <v>0</v>
      </c>
      <c r="AD374" s="27">
        <v>47.5</v>
      </c>
      <c r="AE374" s="27">
        <v>0</v>
      </c>
      <c r="AF374" s="27">
        <v>0</v>
      </c>
      <c r="AG374" s="26">
        <f t="shared" si="24"/>
        <v>111.25</v>
      </c>
      <c r="AH374" s="26">
        <f t="shared" si="25"/>
        <v>0</v>
      </c>
      <c r="AI374" s="26">
        <f t="shared" si="26"/>
        <v>0</v>
      </c>
      <c r="AJ374" s="15" t="s">
        <v>424</v>
      </c>
      <c r="AK374" s="15" t="s">
        <v>424</v>
      </c>
      <c r="AL374" s="15" t="s">
        <v>317</v>
      </c>
      <c r="AM374" s="19">
        <v>44744</v>
      </c>
    </row>
    <row r="375" spans="1:39" x14ac:dyDescent="0.2">
      <c r="A375" s="15" t="str">
        <f t="shared" si="23"/>
        <v>819812207857</v>
      </c>
      <c r="B375" s="14">
        <v>819812</v>
      </c>
      <c r="C375" s="14" t="s">
        <v>569</v>
      </c>
      <c r="D375" s="16">
        <v>207857</v>
      </c>
      <c r="E375" s="18" t="s">
        <v>1</v>
      </c>
      <c r="F375" s="26">
        <v>0</v>
      </c>
      <c r="G375" s="26">
        <v>0</v>
      </c>
      <c r="H375" s="26">
        <v>0</v>
      </c>
      <c r="I375" s="26">
        <v>0</v>
      </c>
      <c r="J375" s="26">
        <v>0</v>
      </c>
      <c r="K375" s="26">
        <v>0</v>
      </c>
      <c r="L375" s="26">
        <v>0</v>
      </c>
      <c r="M375" s="26">
        <v>0</v>
      </c>
      <c r="N375" s="26">
        <v>0</v>
      </c>
      <c r="O375" s="27">
        <v>20</v>
      </c>
      <c r="P375" s="27">
        <v>0</v>
      </c>
      <c r="Q375" s="27">
        <v>0</v>
      </c>
      <c r="R375" s="27">
        <v>6</v>
      </c>
      <c r="S375" s="27">
        <v>0</v>
      </c>
      <c r="T375" s="27">
        <v>0</v>
      </c>
      <c r="U375" s="27">
        <v>22.5</v>
      </c>
      <c r="V375" s="27">
        <v>0</v>
      </c>
      <c r="W375" s="27">
        <v>0</v>
      </c>
      <c r="X375" s="27">
        <v>0</v>
      </c>
      <c r="Y375" s="27">
        <v>0</v>
      </c>
      <c r="Z375" s="27">
        <v>0</v>
      </c>
      <c r="AA375" s="27">
        <v>16</v>
      </c>
      <c r="AB375" s="27">
        <v>0</v>
      </c>
      <c r="AC375" s="27">
        <v>0</v>
      </c>
      <c r="AD375" s="27">
        <v>16</v>
      </c>
      <c r="AE375" s="27">
        <v>0</v>
      </c>
      <c r="AF375" s="27">
        <v>0</v>
      </c>
      <c r="AG375" s="26">
        <f t="shared" si="24"/>
        <v>80.5</v>
      </c>
      <c r="AH375" s="26">
        <f t="shared" si="25"/>
        <v>0</v>
      </c>
      <c r="AI375" s="26">
        <f t="shared" si="26"/>
        <v>0</v>
      </c>
      <c r="AJ375" s="15" t="s">
        <v>424</v>
      </c>
      <c r="AK375" s="15" t="s">
        <v>424</v>
      </c>
      <c r="AL375" s="15" t="s">
        <v>317</v>
      </c>
      <c r="AM375" s="19">
        <v>44760</v>
      </c>
    </row>
    <row r="376" spans="1:39" x14ac:dyDescent="0.2">
      <c r="A376" s="15" t="str">
        <f t="shared" si="23"/>
        <v>819848210508</v>
      </c>
      <c r="B376" s="14">
        <v>819848</v>
      </c>
      <c r="C376" s="14" t="s">
        <v>572</v>
      </c>
      <c r="D376" s="16">
        <v>210508</v>
      </c>
      <c r="E376" s="18" t="s">
        <v>80</v>
      </c>
      <c r="F376" s="26">
        <v>0</v>
      </c>
      <c r="G376" s="26">
        <v>0</v>
      </c>
      <c r="H376" s="26">
        <v>0</v>
      </c>
      <c r="I376" s="26">
        <v>0</v>
      </c>
      <c r="J376" s="26">
        <v>0</v>
      </c>
      <c r="K376" s="26">
        <v>0</v>
      </c>
      <c r="L376" s="26">
        <v>0</v>
      </c>
      <c r="M376" s="26">
        <v>0</v>
      </c>
      <c r="N376" s="26">
        <v>0</v>
      </c>
      <c r="O376" s="27">
        <v>27.5</v>
      </c>
      <c r="P376" s="27">
        <v>0</v>
      </c>
      <c r="Q376" s="27">
        <v>7.5</v>
      </c>
      <c r="R376" s="27">
        <v>30</v>
      </c>
      <c r="S376" s="27">
        <v>0</v>
      </c>
      <c r="T376" s="27">
        <v>0</v>
      </c>
      <c r="U376" s="27">
        <v>50.5</v>
      </c>
      <c r="V376" s="27">
        <v>0</v>
      </c>
      <c r="W376" s="27">
        <v>16</v>
      </c>
      <c r="X376" s="27">
        <v>43</v>
      </c>
      <c r="Y376" s="27">
        <v>0</v>
      </c>
      <c r="Z376" s="27">
        <v>0</v>
      </c>
      <c r="AA376" s="27">
        <v>26</v>
      </c>
      <c r="AB376" s="27">
        <v>0</v>
      </c>
      <c r="AC376" s="27">
        <v>0</v>
      </c>
      <c r="AD376" s="27">
        <v>25</v>
      </c>
      <c r="AE376" s="27">
        <v>0</v>
      </c>
      <c r="AF376" s="27">
        <v>5.5</v>
      </c>
      <c r="AG376" s="26">
        <f t="shared" si="24"/>
        <v>202</v>
      </c>
      <c r="AH376" s="26">
        <f t="shared" si="25"/>
        <v>0</v>
      </c>
      <c r="AI376" s="26">
        <f t="shared" si="26"/>
        <v>29</v>
      </c>
      <c r="AJ376" s="15" t="s">
        <v>424</v>
      </c>
      <c r="AK376" s="15" t="s">
        <v>424</v>
      </c>
      <c r="AL376" s="15" t="s">
        <v>317</v>
      </c>
      <c r="AM376" s="19">
        <v>44762</v>
      </c>
    </row>
    <row r="377" spans="1:39" x14ac:dyDescent="0.2">
      <c r="A377" s="15" t="str">
        <f t="shared" si="23"/>
        <v>820157208835</v>
      </c>
      <c r="B377" s="14">
        <v>820157</v>
      </c>
      <c r="C377" s="14" t="s">
        <v>580</v>
      </c>
      <c r="D377" s="16">
        <v>208835</v>
      </c>
      <c r="E377" s="18" t="s">
        <v>581</v>
      </c>
      <c r="F377" s="26">
        <v>0</v>
      </c>
      <c r="G377" s="26">
        <v>0</v>
      </c>
      <c r="H377" s="26">
        <v>0</v>
      </c>
      <c r="I377" s="26">
        <v>0</v>
      </c>
      <c r="J377" s="26">
        <v>0</v>
      </c>
      <c r="K377" s="26">
        <v>0</v>
      </c>
      <c r="L377" s="26">
        <v>0</v>
      </c>
      <c r="M377" s="26">
        <v>0</v>
      </c>
      <c r="N377" s="26">
        <v>0</v>
      </c>
      <c r="O377" s="27">
        <v>0</v>
      </c>
      <c r="P377" s="27">
        <v>0</v>
      </c>
      <c r="Q377" s="27">
        <v>0</v>
      </c>
      <c r="R377" s="27">
        <v>21</v>
      </c>
      <c r="S377" s="27">
        <v>0</v>
      </c>
      <c r="T377" s="27">
        <v>0</v>
      </c>
      <c r="U377" s="27">
        <v>26.5</v>
      </c>
      <c r="V377" s="27">
        <v>0</v>
      </c>
      <c r="W377" s="27">
        <v>5</v>
      </c>
      <c r="X377" s="27">
        <v>17.5</v>
      </c>
      <c r="Y377" s="27">
        <v>0</v>
      </c>
      <c r="Z377" s="27">
        <v>0</v>
      </c>
      <c r="AA377" s="27">
        <v>30.75</v>
      </c>
      <c r="AB377" s="27">
        <v>0</v>
      </c>
      <c r="AC377" s="27">
        <v>3.25</v>
      </c>
      <c r="AD377" s="27">
        <v>7.5</v>
      </c>
      <c r="AE377" s="27">
        <v>0</v>
      </c>
      <c r="AF377" s="27">
        <v>0</v>
      </c>
      <c r="AG377" s="26">
        <f t="shared" si="24"/>
        <v>103.25</v>
      </c>
      <c r="AH377" s="26">
        <f t="shared" si="25"/>
        <v>0</v>
      </c>
      <c r="AI377" s="26">
        <f t="shared" si="26"/>
        <v>8.25</v>
      </c>
      <c r="AJ377" s="15" t="s">
        <v>424</v>
      </c>
      <c r="AK377" s="15" t="s">
        <v>424</v>
      </c>
      <c r="AL377" s="15" t="s">
        <v>317</v>
      </c>
      <c r="AM377" s="19">
        <v>44790</v>
      </c>
    </row>
    <row r="378" spans="1:39" x14ac:dyDescent="0.2">
      <c r="A378" s="15" t="str">
        <f t="shared" si="23"/>
        <v>820516205270</v>
      </c>
      <c r="B378" s="14">
        <v>820516</v>
      </c>
      <c r="C378" s="14" t="s">
        <v>597</v>
      </c>
      <c r="D378" s="16">
        <v>205270</v>
      </c>
      <c r="E378" s="18" t="s">
        <v>153</v>
      </c>
      <c r="F378" s="26">
        <v>0</v>
      </c>
      <c r="G378" s="26">
        <v>0</v>
      </c>
      <c r="H378" s="26">
        <v>0</v>
      </c>
      <c r="I378" s="26">
        <v>0</v>
      </c>
      <c r="J378" s="26">
        <v>0</v>
      </c>
      <c r="K378" s="26">
        <v>0</v>
      </c>
      <c r="L378" s="26">
        <v>0</v>
      </c>
      <c r="M378" s="26">
        <v>0</v>
      </c>
      <c r="N378" s="26">
        <v>0</v>
      </c>
      <c r="O378" s="27">
        <v>0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37.5</v>
      </c>
      <c r="V378" s="27">
        <v>0</v>
      </c>
      <c r="W378" s="27">
        <v>0</v>
      </c>
      <c r="X378" s="27">
        <v>12.5</v>
      </c>
      <c r="Y378" s="27">
        <v>0</v>
      </c>
      <c r="Z378" s="27">
        <v>0</v>
      </c>
      <c r="AA378" s="27">
        <v>46.25</v>
      </c>
      <c r="AB378" s="27">
        <v>0</v>
      </c>
      <c r="AC378" s="27">
        <v>0</v>
      </c>
      <c r="AD378" s="27">
        <v>17.5</v>
      </c>
      <c r="AE378" s="27">
        <v>0</v>
      </c>
      <c r="AF378" s="27">
        <v>0</v>
      </c>
      <c r="AG378" s="26">
        <f t="shared" si="24"/>
        <v>113.75</v>
      </c>
      <c r="AH378" s="26">
        <f t="shared" si="25"/>
        <v>0</v>
      </c>
      <c r="AI378" s="26">
        <f t="shared" si="26"/>
        <v>0</v>
      </c>
      <c r="AJ378" s="15" t="s">
        <v>424</v>
      </c>
      <c r="AK378" s="15" t="s">
        <v>424</v>
      </c>
      <c r="AL378" s="15" t="s">
        <v>317</v>
      </c>
      <c r="AM378" s="19">
        <v>44818</v>
      </c>
    </row>
    <row r="379" spans="1:39" x14ac:dyDescent="0.2">
      <c r="A379" s="15" t="str">
        <f t="shared" si="23"/>
        <v>820336204445</v>
      </c>
      <c r="B379" s="14">
        <v>820336</v>
      </c>
      <c r="C379" s="14" t="s">
        <v>612</v>
      </c>
      <c r="D379" s="16">
        <v>204445</v>
      </c>
      <c r="E379" s="18" t="s">
        <v>535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7">
        <v>0</v>
      </c>
      <c r="P379" s="27">
        <v>0</v>
      </c>
      <c r="Q379" s="27">
        <v>0</v>
      </c>
      <c r="R379" s="27">
        <v>0</v>
      </c>
      <c r="S379" s="27">
        <v>0</v>
      </c>
      <c r="T379" s="27">
        <v>0</v>
      </c>
      <c r="U379" s="27">
        <v>0</v>
      </c>
      <c r="V379" s="27">
        <v>0</v>
      </c>
      <c r="W379" s="27">
        <v>0</v>
      </c>
      <c r="X379" s="27">
        <v>9</v>
      </c>
      <c r="Y379" s="27">
        <v>0</v>
      </c>
      <c r="Z379" s="27">
        <v>7.5</v>
      </c>
      <c r="AA379" s="27">
        <v>7.5</v>
      </c>
      <c r="AB379" s="27">
        <v>0</v>
      </c>
      <c r="AC379" s="27">
        <v>0</v>
      </c>
      <c r="AD379" s="27">
        <v>25</v>
      </c>
      <c r="AE379" s="27">
        <v>0</v>
      </c>
      <c r="AF379" s="27">
        <v>2.5</v>
      </c>
      <c r="AG379" s="26">
        <f t="shared" si="24"/>
        <v>41.5</v>
      </c>
      <c r="AH379" s="26">
        <f t="shared" si="25"/>
        <v>0</v>
      </c>
      <c r="AI379" s="26">
        <f t="shared" si="26"/>
        <v>10</v>
      </c>
      <c r="AJ379" s="15" t="s">
        <v>424</v>
      </c>
      <c r="AK379" s="15" t="s">
        <v>424</v>
      </c>
      <c r="AL379" s="15" t="s">
        <v>317</v>
      </c>
      <c r="AM379" s="19">
        <v>44804</v>
      </c>
    </row>
    <row r="380" spans="1:39" x14ac:dyDescent="0.2">
      <c r="A380" s="15" t="str">
        <f t="shared" si="23"/>
        <v>820716210433</v>
      </c>
      <c r="B380" s="14">
        <v>820716</v>
      </c>
      <c r="C380" s="14" t="s">
        <v>614</v>
      </c>
      <c r="D380" s="16">
        <v>210433</v>
      </c>
      <c r="E380" s="18" t="s">
        <v>515</v>
      </c>
      <c r="F380" s="26">
        <v>0</v>
      </c>
      <c r="G380" s="26">
        <v>0</v>
      </c>
      <c r="H380" s="26">
        <v>0</v>
      </c>
      <c r="I380" s="26">
        <v>0</v>
      </c>
      <c r="J380" s="26">
        <v>0</v>
      </c>
      <c r="K380" s="26">
        <v>0</v>
      </c>
      <c r="L380" s="26">
        <v>0</v>
      </c>
      <c r="M380" s="26">
        <v>0</v>
      </c>
      <c r="N380" s="26">
        <v>0</v>
      </c>
      <c r="O380" s="27">
        <v>0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0</v>
      </c>
      <c r="V380" s="27">
        <v>0</v>
      </c>
      <c r="W380" s="27">
        <v>0</v>
      </c>
      <c r="X380" s="27">
        <v>7.5</v>
      </c>
      <c r="Y380" s="27">
        <v>0</v>
      </c>
      <c r="Z380" s="27">
        <v>0</v>
      </c>
      <c r="AA380" s="27">
        <v>1</v>
      </c>
      <c r="AB380" s="27">
        <v>0</v>
      </c>
      <c r="AC380" s="27">
        <v>0</v>
      </c>
      <c r="AD380" s="27">
        <v>0</v>
      </c>
      <c r="AE380" s="27">
        <v>0</v>
      </c>
      <c r="AF380" s="27">
        <v>0</v>
      </c>
      <c r="AG380" s="26">
        <f t="shared" si="24"/>
        <v>8.5</v>
      </c>
      <c r="AH380" s="26">
        <f t="shared" si="25"/>
        <v>0</v>
      </c>
      <c r="AI380" s="26">
        <f t="shared" si="26"/>
        <v>0</v>
      </c>
      <c r="AJ380" s="15" t="s">
        <v>424</v>
      </c>
      <c r="AK380" s="15" t="s">
        <v>424</v>
      </c>
      <c r="AL380" s="15" t="s">
        <v>317</v>
      </c>
      <c r="AM380" s="19">
        <v>44828</v>
      </c>
    </row>
    <row r="381" spans="1:39" x14ac:dyDescent="0.2">
      <c r="A381" s="15" t="str">
        <f t="shared" si="23"/>
        <v>808731204445</v>
      </c>
      <c r="B381" s="14">
        <v>808731</v>
      </c>
      <c r="C381" s="14" t="s">
        <v>274</v>
      </c>
      <c r="D381" s="16">
        <v>204445</v>
      </c>
      <c r="E381" s="18" t="s">
        <v>535</v>
      </c>
      <c r="F381" s="26">
        <v>0</v>
      </c>
      <c r="G381" s="26">
        <v>0</v>
      </c>
      <c r="H381" s="26">
        <v>0</v>
      </c>
      <c r="I381" s="26">
        <v>0</v>
      </c>
      <c r="J381" s="26">
        <v>0</v>
      </c>
      <c r="K381" s="26">
        <v>0</v>
      </c>
      <c r="L381" s="26">
        <v>0</v>
      </c>
      <c r="M381" s="26">
        <v>0</v>
      </c>
      <c r="N381" s="26">
        <v>0</v>
      </c>
      <c r="O381" s="27">
        <v>0</v>
      </c>
      <c r="P381" s="27">
        <v>0</v>
      </c>
      <c r="Q381" s="27">
        <v>0</v>
      </c>
      <c r="R381" s="27">
        <v>0</v>
      </c>
      <c r="S381" s="27">
        <v>0</v>
      </c>
      <c r="T381" s="27">
        <v>0</v>
      </c>
      <c r="U381" s="27">
        <v>0</v>
      </c>
      <c r="V381" s="27">
        <v>0</v>
      </c>
      <c r="W381" s="27">
        <v>0</v>
      </c>
      <c r="X381" s="27">
        <v>7.5</v>
      </c>
      <c r="Y381" s="27">
        <v>0</v>
      </c>
      <c r="Z381" s="27">
        <v>1.75</v>
      </c>
      <c r="AA381" s="27">
        <v>0</v>
      </c>
      <c r="AB381" s="27">
        <v>0</v>
      </c>
      <c r="AC381" s="27">
        <v>0</v>
      </c>
      <c r="AD381" s="27">
        <v>0</v>
      </c>
      <c r="AE381" s="27">
        <v>0</v>
      </c>
      <c r="AF381" s="27">
        <v>0</v>
      </c>
      <c r="AG381" s="26">
        <f t="shared" si="24"/>
        <v>7.5</v>
      </c>
      <c r="AH381" s="26">
        <f t="shared" si="25"/>
        <v>0</v>
      </c>
      <c r="AI381" s="26">
        <f t="shared" si="26"/>
        <v>1.75</v>
      </c>
      <c r="AJ381" s="15" t="s">
        <v>424</v>
      </c>
      <c r="AK381" s="15" t="s">
        <v>424</v>
      </c>
      <c r="AL381" s="15" t="s">
        <v>317</v>
      </c>
      <c r="AM381" s="19">
        <v>43315</v>
      </c>
    </row>
    <row r="382" spans="1:39" x14ac:dyDescent="0.2">
      <c r="A382" s="15" t="str">
        <f t="shared" si="23"/>
        <v>820879176276</v>
      </c>
      <c r="B382" s="14">
        <v>820879</v>
      </c>
      <c r="C382" s="14" t="s">
        <v>620</v>
      </c>
      <c r="D382" s="16">
        <v>176276</v>
      </c>
      <c r="E382" s="18" t="s">
        <v>151</v>
      </c>
      <c r="F382" s="26">
        <v>0</v>
      </c>
      <c r="G382" s="26">
        <v>0</v>
      </c>
      <c r="H382" s="26">
        <v>0</v>
      </c>
      <c r="I382" s="26">
        <v>0</v>
      </c>
      <c r="J382" s="26">
        <v>0</v>
      </c>
      <c r="K382" s="26">
        <v>0</v>
      </c>
      <c r="L382" s="26">
        <v>0</v>
      </c>
      <c r="M382" s="26">
        <v>0</v>
      </c>
      <c r="N382" s="26">
        <v>0</v>
      </c>
      <c r="O382" s="27">
        <v>0</v>
      </c>
      <c r="P382" s="27">
        <v>0</v>
      </c>
      <c r="Q382" s="27">
        <v>0</v>
      </c>
      <c r="R382" s="27">
        <v>0</v>
      </c>
      <c r="S382" s="27">
        <v>0</v>
      </c>
      <c r="T382" s="27">
        <v>0</v>
      </c>
      <c r="U382" s="27">
        <v>0</v>
      </c>
      <c r="V382" s="27">
        <v>0</v>
      </c>
      <c r="W382" s="27">
        <v>0</v>
      </c>
      <c r="X382" s="27">
        <v>10</v>
      </c>
      <c r="Y382" s="27">
        <v>0</v>
      </c>
      <c r="Z382" s="27">
        <v>0</v>
      </c>
      <c r="AA382" s="27">
        <v>7.5</v>
      </c>
      <c r="AB382" s="27">
        <v>0</v>
      </c>
      <c r="AC382" s="27">
        <v>0</v>
      </c>
      <c r="AD382" s="27">
        <v>25</v>
      </c>
      <c r="AE382" s="27">
        <v>0</v>
      </c>
      <c r="AF382" s="27">
        <v>0</v>
      </c>
      <c r="AG382" s="26">
        <f t="shared" si="24"/>
        <v>42.5</v>
      </c>
      <c r="AH382" s="26">
        <f t="shared" si="25"/>
        <v>0</v>
      </c>
      <c r="AI382" s="26">
        <f t="shared" si="26"/>
        <v>0</v>
      </c>
      <c r="AJ382" s="15" t="s">
        <v>424</v>
      </c>
      <c r="AK382" s="15" t="s">
        <v>424</v>
      </c>
      <c r="AL382" s="15" t="s">
        <v>317</v>
      </c>
      <c r="AM382" s="19">
        <v>44841</v>
      </c>
    </row>
    <row r="383" spans="1:39" x14ac:dyDescent="0.2">
      <c r="A383" s="15" t="str">
        <f t="shared" si="23"/>
        <v>821185119261</v>
      </c>
      <c r="B383" s="14">
        <v>821185</v>
      </c>
      <c r="C383" s="14" t="s">
        <v>122</v>
      </c>
      <c r="D383" s="14">
        <v>119261</v>
      </c>
      <c r="E383" s="18" t="s">
        <v>140</v>
      </c>
      <c r="F383" s="26">
        <v>0</v>
      </c>
      <c r="G383" s="26">
        <v>0</v>
      </c>
      <c r="H383" s="26">
        <v>0</v>
      </c>
      <c r="I383" s="26">
        <v>0</v>
      </c>
      <c r="J383" s="26">
        <v>0</v>
      </c>
      <c r="K383" s="26">
        <v>0</v>
      </c>
      <c r="L383" s="26">
        <v>0</v>
      </c>
      <c r="M383" s="26">
        <v>0</v>
      </c>
      <c r="N383" s="26">
        <v>0</v>
      </c>
      <c r="O383" s="27">
        <v>0</v>
      </c>
      <c r="P383" s="27">
        <v>0</v>
      </c>
      <c r="Q383" s="27">
        <v>0</v>
      </c>
      <c r="R383" s="27">
        <v>0</v>
      </c>
      <c r="S383" s="27">
        <v>0</v>
      </c>
      <c r="T383" s="27">
        <v>0</v>
      </c>
      <c r="U383" s="27">
        <v>0</v>
      </c>
      <c r="V383" s="27">
        <v>0</v>
      </c>
      <c r="W383" s="27">
        <v>0</v>
      </c>
      <c r="X383" s="27">
        <v>15</v>
      </c>
      <c r="Y383" s="27">
        <v>0</v>
      </c>
      <c r="Z383" s="27">
        <v>0</v>
      </c>
      <c r="AA383" s="27">
        <v>301.25</v>
      </c>
      <c r="AB383" s="27">
        <v>0</v>
      </c>
      <c r="AC383" s="27">
        <v>8.75</v>
      </c>
      <c r="AD383" s="27">
        <v>110</v>
      </c>
      <c r="AE383" s="27">
        <v>0</v>
      </c>
      <c r="AF383" s="27">
        <v>0</v>
      </c>
      <c r="AG383" s="26">
        <f t="shared" si="24"/>
        <v>426.25</v>
      </c>
      <c r="AH383" s="26">
        <f t="shared" si="25"/>
        <v>0</v>
      </c>
      <c r="AI383" s="26">
        <f t="shared" si="26"/>
        <v>8.75</v>
      </c>
      <c r="AJ383" s="29" t="s">
        <v>424</v>
      </c>
      <c r="AK383" s="29" t="s">
        <v>424</v>
      </c>
      <c r="AL383" s="29" t="s">
        <v>317</v>
      </c>
      <c r="AM383" s="28">
        <v>44874</v>
      </c>
    </row>
    <row r="384" spans="1:39" x14ac:dyDescent="0.2">
      <c r="A384" s="15" t="str">
        <f t="shared" si="23"/>
        <v>821083207857</v>
      </c>
      <c r="B384" s="14">
        <v>821083</v>
      </c>
      <c r="C384" s="14" t="s">
        <v>628</v>
      </c>
      <c r="D384" s="14">
        <v>207857</v>
      </c>
      <c r="E384" s="18" t="s">
        <v>1</v>
      </c>
      <c r="F384" s="26">
        <v>0</v>
      </c>
      <c r="G384" s="26">
        <v>0</v>
      </c>
      <c r="H384" s="26">
        <v>0</v>
      </c>
      <c r="I384" s="26">
        <v>0</v>
      </c>
      <c r="J384" s="26">
        <v>0</v>
      </c>
      <c r="K384" s="26">
        <v>0</v>
      </c>
      <c r="L384" s="26">
        <v>0</v>
      </c>
      <c r="M384" s="26">
        <v>0</v>
      </c>
      <c r="N384" s="26">
        <v>0</v>
      </c>
      <c r="O384" s="27">
        <v>0</v>
      </c>
      <c r="P384" s="27">
        <v>0</v>
      </c>
      <c r="Q384" s="27">
        <v>0</v>
      </c>
      <c r="R384" s="27">
        <v>0</v>
      </c>
      <c r="S384" s="27">
        <v>0</v>
      </c>
      <c r="T384" s="27">
        <v>0</v>
      </c>
      <c r="U384" s="27">
        <v>0</v>
      </c>
      <c r="V384" s="27">
        <v>0</v>
      </c>
      <c r="W384" s="27">
        <v>0</v>
      </c>
      <c r="X384" s="27">
        <v>15</v>
      </c>
      <c r="Y384" s="27">
        <v>0</v>
      </c>
      <c r="Z384" s="27">
        <v>0</v>
      </c>
      <c r="AA384" s="27">
        <v>7.5</v>
      </c>
      <c r="AB384" s="27">
        <v>0</v>
      </c>
      <c r="AC384" s="27">
        <v>0</v>
      </c>
      <c r="AD384" s="27">
        <v>0</v>
      </c>
      <c r="AE384" s="27">
        <v>0</v>
      </c>
      <c r="AF384" s="27">
        <v>0</v>
      </c>
      <c r="AG384" s="26">
        <f t="shared" si="24"/>
        <v>22.5</v>
      </c>
      <c r="AH384" s="26">
        <f t="shared" si="25"/>
        <v>0</v>
      </c>
      <c r="AI384" s="26">
        <f t="shared" si="26"/>
        <v>0</v>
      </c>
      <c r="AJ384" s="18" t="s">
        <v>424</v>
      </c>
      <c r="AK384" s="18" t="s">
        <v>424</v>
      </c>
      <c r="AL384" s="18" t="s">
        <v>317</v>
      </c>
      <c r="AM384" s="28">
        <v>44863</v>
      </c>
    </row>
    <row r="385" spans="1:39" x14ac:dyDescent="0.2">
      <c r="A385" s="15" t="str">
        <f t="shared" si="23"/>
        <v>821020207857</v>
      </c>
      <c r="B385" s="14">
        <v>821020</v>
      </c>
      <c r="C385" s="14" t="s">
        <v>130</v>
      </c>
      <c r="D385" s="14">
        <v>207857</v>
      </c>
      <c r="E385" s="18" t="s">
        <v>1</v>
      </c>
      <c r="F385" s="26">
        <v>0</v>
      </c>
      <c r="G385" s="26">
        <v>0</v>
      </c>
      <c r="H385" s="26">
        <v>0</v>
      </c>
      <c r="I385" s="26">
        <v>0</v>
      </c>
      <c r="J385" s="26">
        <v>0</v>
      </c>
      <c r="K385" s="26">
        <v>0</v>
      </c>
      <c r="L385" s="26">
        <v>0</v>
      </c>
      <c r="M385" s="26">
        <v>0</v>
      </c>
      <c r="N385" s="26">
        <v>0</v>
      </c>
      <c r="O385" s="27">
        <v>0</v>
      </c>
      <c r="P385" s="27">
        <v>0</v>
      </c>
      <c r="Q385" s="27">
        <v>0</v>
      </c>
      <c r="R385" s="27">
        <v>0</v>
      </c>
      <c r="S385" s="27">
        <v>0</v>
      </c>
      <c r="T385" s="27">
        <v>0</v>
      </c>
      <c r="U385" s="27">
        <v>0</v>
      </c>
      <c r="V385" s="27">
        <v>0</v>
      </c>
      <c r="W385" s="27">
        <v>0</v>
      </c>
      <c r="X385" s="27">
        <v>15</v>
      </c>
      <c r="Y385" s="27">
        <v>0</v>
      </c>
      <c r="Z385" s="27">
        <v>0</v>
      </c>
      <c r="AA385" s="27">
        <v>3</v>
      </c>
      <c r="AB385" s="27">
        <v>0</v>
      </c>
      <c r="AC385" s="27">
        <v>0</v>
      </c>
      <c r="AD385" s="27">
        <v>0</v>
      </c>
      <c r="AE385" s="27">
        <v>0</v>
      </c>
      <c r="AF385" s="27">
        <v>0</v>
      </c>
      <c r="AG385" s="26">
        <f t="shared" si="24"/>
        <v>18</v>
      </c>
      <c r="AH385" s="26">
        <f t="shared" si="25"/>
        <v>0</v>
      </c>
      <c r="AI385" s="26">
        <f t="shared" si="26"/>
        <v>0</v>
      </c>
      <c r="AJ385" s="18" t="s">
        <v>424</v>
      </c>
      <c r="AK385" s="18" t="s">
        <v>424</v>
      </c>
      <c r="AL385" s="18" t="s">
        <v>317</v>
      </c>
      <c r="AM385" s="28">
        <v>44853</v>
      </c>
    </row>
    <row r="386" spans="1:39" x14ac:dyDescent="0.2">
      <c r="A386" s="15" t="str">
        <f t="shared" si="23"/>
        <v>820878176276</v>
      </c>
      <c r="B386" s="14">
        <v>820878</v>
      </c>
      <c r="C386" s="14" t="s">
        <v>629</v>
      </c>
      <c r="D386" s="14">
        <v>176276</v>
      </c>
      <c r="E386" s="18" t="s">
        <v>151</v>
      </c>
      <c r="F386" s="26">
        <v>0</v>
      </c>
      <c r="G386" s="26">
        <v>0</v>
      </c>
      <c r="H386" s="26">
        <v>0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7">
        <v>0</v>
      </c>
      <c r="P386" s="27">
        <v>0</v>
      </c>
      <c r="Q386" s="27">
        <v>0</v>
      </c>
      <c r="R386" s="27">
        <v>0</v>
      </c>
      <c r="S386" s="27">
        <v>0</v>
      </c>
      <c r="T386" s="27">
        <v>0</v>
      </c>
      <c r="U386" s="27">
        <v>0</v>
      </c>
      <c r="V386" s="27">
        <v>0</v>
      </c>
      <c r="W386" s="27">
        <v>0</v>
      </c>
      <c r="X386" s="27">
        <v>15</v>
      </c>
      <c r="Y386" s="27">
        <v>0</v>
      </c>
      <c r="Z386" s="27">
        <v>0</v>
      </c>
      <c r="AA386" s="27">
        <v>7.5</v>
      </c>
      <c r="AB386" s="27">
        <v>0</v>
      </c>
      <c r="AC386" s="27">
        <v>0</v>
      </c>
      <c r="AD386" s="27">
        <v>58.8</v>
      </c>
      <c r="AE386" s="27">
        <v>0</v>
      </c>
      <c r="AF386" s="27">
        <v>0</v>
      </c>
      <c r="AG386" s="26">
        <f t="shared" si="24"/>
        <v>81.3</v>
      </c>
      <c r="AH386" s="26">
        <f t="shared" si="25"/>
        <v>0</v>
      </c>
      <c r="AI386" s="26">
        <f t="shared" si="26"/>
        <v>0</v>
      </c>
      <c r="AJ386" s="18" t="s">
        <v>424</v>
      </c>
      <c r="AK386" s="18" t="s">
        <v>424</v>
      </c>
      <c r="AL386" s="18" t="s">
        <v>317</v>
      </c>
      <c r="AM386" s="28">
        <v>44841</v>
      </c>
    </row>
    <row r="387" spans="1:39" x14ac:dyDescent="0.2">
      <c r="A387" s="15" t="str">
        <f t="shared" ref="A387:A450" si="27">B387&amp;D387</f>
        <v>821268214414</v>
      </c>
      <c r="B387" s="14">
        <v>821268</v>
      </c>
      <c r="C387" s="14" t="s">
        <v>636</v>
      </c>
      <c r="D387" s="14">
        <v>214414</v>
      </c>
      <c r="E387" s="18" t="s">
        <v>637</v>
      </c>
      <c r="F387" s="26">
        <v>0</v>
      </c>
      <c r="G387" s="26">
        <v>0</v>
      </c>
      <c r="H387" s="26">
        <v>0</v>
      </c>
      <c r="I387" s="26">
        <v>0</v>
      </c>
      <c r="J387" s="26">
        <v>0</v>
      </c>
      <c r="K387" s="26">
        <v>0</v>
      </c>
      <c r="L387" s="26">
        <v>0</v>
      </c>
      <c r="M387" s="26">
        <v>0</v>
      </c>
      <c r="N387" s="26">
        <v>0</v>
      </c>
      <c r="O387" s="27">
        <v>0</v>
      </c>
      <c r="P387" s="27">
        <v>0</v>
      </c>
      <c r="Q387" s="27">
        <v>0</v>
      </c>
      <c r="R387" s="27">
        <v>0</v>
      </c>
      <c r="S387" s="27">
        <v>0</v>
      </c>
      <c r="T387" s="27">
        <v>0</v>
      </c>
      <c r="U387" s="27">
        <v>0</v>
      </c>
      <c r="V387" s="27">
        <v>0</v>
      </c>
      <c r="W387" s="27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27">
        <v>30</v>
      </c>
      <c r="AE387" s="27">
        <v>10</v>
      </c>
      <c r="AF387" s="27">
        <v>17.5</v>
      </c>
      <c r="AG387" s="26">
        <f t="shared" si="24"/>
        <v>30</v>
      </c>
      <c r="AH387" s="26">
        <f t="shared" si="25"/>
        <v>10</v>
      </c>
      <c r="AI387" s="26">
        <f t="shared" si="26"/>
        <v>17.5</v>
      </c>
      <c r="AJ387" s="18" t="s">
        <v>424</v>
      </c>
      <c r="AK387" s="18" t="s">
        <v>424</v>
      </c>
      <c r="AL387" s="18" t="s">
        <v>317</v>
      </c>
      <c r="AM387" s="31">
        <v>44883</v>
      </c>
    </row>
    <row r="388" spans="1:39" x14ac:dyDescent="0.2">
      <c r="A388" s="15" t="str">
        <f t="shared" si="27"/>
        <v>821471207857</v>
      </c>
      <c r="B388" s="14">
        <v>821471</v>
      </c>
      <c r="C388" s="14" t="s">
        <v>639</v>
      </c>
      <c r="D388" s="14">
        <v>207857</v>
      </c>
      <c r="E388" s="18" t="s">
        <v>1</v>
      </c>
      <c r="F388" s="26">
        <v>0</v>
      </c>
      <c r="G388" s="26">
        <v>0</v>
      </c>
      <c r="H388" s="26">
        <v>0</v>
      </c>
      <c r="I388" s="26">
        <v>0</v>
      </c>
      <c r="J388" s="26">
        <v>0</v>
      </c>
      <c r="K388" s="26">
        <v>0</v>
      </c>
      <c r="L388" s="26">
        <v>0</v>
      </c>
      <c r="M388" s="26">
        <v>0</v>
      </c>
      <c r="N388" s="26">
        <v>0</v>
      </c>
      <c r="O388" s="27">
        <v>0</v>
      </c>
      <c r="P388" s="27">
        <v>0</v>
      </c>
      <c r="Q388" s="27">
        <v>0</v>
      </c>
      <c r="R388" s="27">
        <v>0</v>
      </c>
      <c r="S388" s="27">
        <v>0</v>
      </c>
      <c r="T388" s="27">
        <v>0</v>
      </c>
      <c r="U388" s="27">
        <v>0</v>
      </c>
      <c r="V388" s="27">
        <v>0</v>
      </c>
      <c r="W388" s="27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27">
        <v>7.5</v>
      </c>
      <c r="AE388" s="27">
        <v>0</v>
      </c>
      <c r="AF388" s="27">
        <v>0</v>
      </c>
      <c r="AG388" s="26">
        <f t="shared" si="24"/>
        <v>7.5</v>
      </c>
      <c r="AH388" s="26">
        <f t="shared" si="25"/>
        <v>0</v>
      </c>
      <c r="AI388" s="26">
        <f t="shared" si="26"/>
        <v>0</v>
      </c>
      <c r="AJ388" s="18" t="s">
        <v>424</v>
      </c>
      <c r="AK388" s="18" t="s">
        <v>424</v>
      </c>
      <c r="AL388" s="18" t="s">
        <v>317</v>
      </c>
      <c r="AM388" s="31">
        <v>44895</v>
      </c>
    </row>
    <row r="389" spans="1:39" x14ac:dyDescent="0.2">
      <c r="A389" s="15" t="str">
        <f t="shared" si="27"/>
        <v>821472202452</v>
      </c>
      <c r="B389" s="14">
        <v>821472</v>
      </c>
      <c r="C389" s="14" t="s">
        <v>640</v>
      </c>
      <c r="D389" s="14">
        <v>202452</v>
      </c>
      <c r="E389" s="18" t="s">
        <v>149</v>
      </c>
      <c r="F389" s="26">
        <v>0</v>
      </c>
      <c r="G389" s="26">
        <v>0</v>
      </c>
      <c r="H389" s="26">
        <v>0</v>
      </c>
      <c r="I389" s="26">
        <v>0</v>
      </c>
      <c r="J389" s="26">
        <v>0</v>
      </c>
      <c r="K389" s="26">
        <v>0</v>
      </c>
      <c r="L389" s="26">
        <v>0</v>
      </c>
      <c r="M389" s="26">
        <v>0</v>
      </c>
      <c r="N389" s="26">
        <v>0</v>
      </c>
      <c r="O389" s="27">
        <v>0</v>
      </c>
      <c r="P389" s="27">
        <v>0</v>
      </c>
      <c r="Q389" s="27">
        <v>0</v>
      </c>
      <c r="R389" s="27">
        <v>0</v>
      </c>
      <c r="S389" s="27">
        <v>0</v>
      </c>
      <c r="T389" s="27">
        <v>0</v>
      </c>
      <c r="U389" s="27">
        <v>0</v>
      </c>
      <c r="V389" s="27">
        <v>0</v>
      </c>
      <c r="W389" s="27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27">
        <v>46</v>
      </c>
      <c r="AE389" s="27">
        <v>0</v>
      </c>
      <c r="AF389" s="27">
        <v>0</v>
      </c>
      <c r="AG389" s="26">
        <f t="shared" si="24"/>
        <v>46</v>
      </c>
      <c r="AH389" s="26">
        <f t="shared" si="25"/>
        <v>0</v>
      </c>
      <c r="AI389" s="26">
        <f t="shared" si="26"/>
        <v>0</v>
      </c>
      <c r="AJ389" s="18" t="s">
        <v>424</v>
      </c>
      <c r="AK389" s="18" t="s">
        <v>424</v>
      </c>
      <c r="AL389" s="18" t="s">
        <v>317</v>
      </c>
      <c r="AM389" s="31">
        <v>44895</v>
      </c>
    </row>
    <row r="390" spans="1:39" x14ac:dyDescent="0.2">
      <c r="A390" s="15" t="str">
        <f t="shared" si="27"/>
        <v>819605204307</v>
      </c>
      <c r="B390" s="14">
        <v>819605</v>
      </c>
      <c r="C390" s="14" t="s">
        <v>562</v>
      </c>
      <c r="D390" s="16">
        <v>204307</v>
      </c>
      <c r="E390" s="18" t="s">
        <v>162</v>
      </c>
      <c r="F390" s="26">
        <v>0</v>
      </c>
      <c r="G390" s="26">
        <v>0</v>
      </c>
      <c r="H390" s="26">
        <v>0</v>
      </c>
      <c r="I390" s="26">
        <v>0</v>
      </c>
      <c r="J390" s="26">
        <v>0</v>
      </c>
      <c r="K390" s="26">
        <v>0</v>
      </c>
      <c r="L390" s="26">
        <v>0</v>
      </c>
      <c r="M390" s="26">
        <v>0</v>
      </c>
      <c r="N390" s="26">
        <v>0</v>
      </c>
      <c r="O390" s="27">
        <v>42.5</v>
      </c>
      <c r="P390" s="27">
        <v>0</v>
      </c>
      <c r="Q390" s="27">
        <v>0</v>
      </c>
      <c r="R390" s="27">
        <v>74</v>
      </c>
      <c r="S390" s="27">
        <v>0</v>
      </c>
      <c r="T390" s="27">
        <v>0</v>
      </c>
      <c r="U390" s="27">
        <v>0</v>
      </c>
      <c r="V390" s="27">
        <v>0</v>
      </c>
      <c r="W390" s="27">
        <v>0</v>
      </c>
      <c r="X390" s="27">
        <v>0</v>
      </c>
      <c r="Y390" s="27">
        <v>0</v>
      </c>
      <c r="Z390" s="27">
        <v>0</v>
      </c>
      <c r="AA390" s="27">
        <v>0</v>
      </c>
      <c r="AB390" s="27">
        <v>0</v>
      </c>
      <c r="AC390" s="27">
        <v>0</v>
      </c>
      <c r="AD390" s="27">
        <v>180</v>
      </c>
      <c r="AE390" s="27">
        <v>0</v>
      </c>
      <c r="AF390" s="27">
        <v>0</v>
      </c>
      <c r="AG390" s="26">
        <f t="shared" si="24"/>
        <v>296.5</v>
      </c>
      <c r="AH390" s="26">
        <f t="shared" si="25"/>
        <v>0</v>
      </c>
      <c r="AI390" s="26">
        <f t="shared" si="26"/>
        <v>0</v>
      </c>
      <c r="AJ390" s="15" t="s">
        <v>425</v>
      </c>
      <c r="AK390" s="15" t="s">
        <v>424</v>
      </c>
      <c r="AL390" s="15" t="s">
        <v>317</v>
      </c>
      <c r="AM390" s="19">
        <v>44746</v>
      </c>
    </row>
    <row r="391" spans="1:39" x14ac:dyDescent="0.2">
      <c r="A391" s="15" t="str">
        <f t="shared" si="27"/>
        <v>821357119261</v>
      </c>
      <c r="B391" s="14">
        <v>821357</v>
      </c>
      <c r="C391" s="14" t="s">
        <v>638</v>
      </c>
      <c r="D391" s="14">
        <v>119261</v>
      </c>
      <c r="E391" s="18" t="s">
        <v>140</v>
      </c>
      <c r="F391" s="26">
        <v>0</v>
      </c>
      <c r="G391" s="26">
        <v>0</v>
      </c>
      <c r="H391" s="26">
        <v>0</v>
      </c>
      <c r="I391" s="26">
        <v>0</v>
      </c>
      <c r="J391" s="26">
        <v>0</v>
      </c>
      <c r="K391" s="26">
        <v>0</v>
      </c>
      <c r="L391" s="26">
        <v>0</v>
      </c>
      <c r="M391" s="26">
        <v>0</v>
      </c>
      <c r="N391" s="26">
        <v>0</v>
      </c>
      <c r="O391" s="27">
        <v>0</v>
      </c>
      <c r="P391" s="27">
        <v>0</v>
      </c>
      <c r="Q391" s="27">
        <v>0</v>
      </c>
      <c r="R391" s="27">
        <v>0</v>
      </c>
      <c r="S391" s="27">
        <v>0</v>
      </c>
      <c r="T391" s="27">
        <v>0</v>
      </c>
      <c r="U391" s="27">
        <v>0</v>
      </c>
      <c r="V391" s="27">
        <v>0</v>
      </c>
      <c r="W391" s="27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27">
        <v>85</v>
      </c>
      <c r="AE391" s="27">
        <v>0</v>
      </c>
      <c r="AF391" s="27">
        <v>0</v>
      </c>
      <c r="AG391" s="26">
        <f t="shared" si="24"/>
        <v>85</v>
      </c>
      <c r="AH391" s="26">
        <f t="shared" si="25"/>
        <v>0</v>
      </c>
      <c r="AI391" s="26">
        <f t="shared" si="26"/>
        <v>0</v>
      </c>
      <c r="AJ391" s="18" t="s">
        <v>425</v>
      </c>
      <c r="AK391" s="18" t="s">
        <v>424</v>
      </c>
      <c r="AL391" s="18" t="s">
        <v>317</v>
      </c>
      <c r="AM391" s="31">
        <v>44889</v>
      </c>
    </row>
    <row r="392" spans="1:39" x14ac:dyDescent="0.2">
      <c r="A392" s="15" t="str">
        <f t="shared" si="27"/>
        <v>821475208835</v>
      </c>
      <c r="B392" s="14">
        <v>821475</v>
      </c>
      <c r="C392" s="14" t="s">
        <v>641</v>
      </c>
      <c r="D392" s="14">
        <v>208835</v>
      </c>
      <c r="E392" s="18" t="s">
        <v>581</v>
      </c>
      <c r="F392" s="26">
        <v>0</v>
      </c>
      <c r="G392" s="26">
        <v>0</v>
      </c>
      <c r="H392" s="26">
        <v>0</v>
      </c>
      <c r="I392" s="26">
        <v>0</v>
      </c>
      <c r="J392" s="26">
        <v>0</v>
      </c>
      <c r="K392" s="26">
        <v>0</v>
      </c>
      <c r="L392" s="26">
        <v>0</v>
      </c>
      <c r="M392" s="26">
        <v>0</v>
      </c>
      <c r="N392" s="26">
        <v>0</v>
      </c>
      <c r="O392" s="27">
        <v>0</v>
      </c>
      <c r="P392" s="27">
        <v>0</v>
      </c>
      <c r="Q392" s="27">
        <v>0</v>
      </c>
      <c r="R392" s="27">
        <v>0</v>
      </c>
      <c r="S392" s="27">
        <v>0</v>
      </c>
      <c r="T392" s="27">
        <v>0</v>
      </c>
      <c r="U392" s="27">
        <v>0</v>
      </c>
      <c r="V392" s="27">
        <v>0</v>
      </c>
      <c r="W392" s="27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27">
        <v>42.5</v>
      </c>
      <c r="AE392" s="27">
        <v>7.5</v>
      </c>
      <c r="AF392" s="27">
        <v>0</v>
      </c>
      <c r="AG392" s="26">
        <f t="shared" si="24"/>
        <v>42.5</v>
      </c>
      <c r="AH392" s="26">
        <f t="shared" si="25"/>
        <v>7.5</v>
      </c>
      <c r="AI392" s="26">
        <f t="shared" si="26"/>
        <v>0</v>
      </c>
      <c r="AJ392" s="18" t="s">
        <v>425</v>
      </c>
      <c r="AK392" s="18" t="s">
        <v>424</v>
      </c>
      <c r="AL392" s="18" t="s">
        <v>317</v>
      </c>
      <c r="AM392" s="31">
        <v>44895</v>
      </c>
    </row>
    <row r="393" spans="1:39" x14ac:dyDescent="0.2">
      <c r="A393" s="15" t="str">
        <f t="shared" si="27"/>
        <v>801716119261</v>
      </c>
      <c r="B393" s="32">
        <v>801716</v>
      </c>
      <c r="C393" s="32" t="s">
        <v>32</v>
      </c>
      <c r="D393" s="17">
        <v>119261</v>
      </c>
      <c r="E393" s="15" t="s">
        <v>140</v>
      </c>
      <c r="F393" s="26">
        <v>101.75</v>
      </c>
      <c r="G393" s="26">
        <v>0</v>
      </c>
      <c r="H393" s="26">
        <v>0</v>
      </c>
      <c r="I393" s="26">
        <v>75</v>
      </c>
      <c r="J393" s="26">
        <v>0</v>
      </c>
      <c r="K393" s="26">
        <v>0</v>
      </c>
      <c r="L393" s="26">
        <v>50</v>
      </c>
      <c r="M393" s="26">
        <v>0</v>
      </c>
      <c r="N393" s="26">
        <v>0</v>
      </c>
      <c r="O393" s="27">
        <v>50</v>
      </c>
      <c r="P393" s="27">
        <v>0</v>
      </c>
      <c r="Q393" s="27">
        <v>0</v>
      </c>
      <c r="R393" s="27">
        <v>75</v>
      </c>
      <c r="S393" s="27">
        <v>0</v>
      </c>
      <c r="T393" s="27">
        <v>0</v>
      </c>
      <c r="U393" s="27">
        <v>53</v>
      </c>
      <c r="V393" s="27">
        <v>0</v>
      </c>
      <c r="W393" s="27">
        <v>0</v>
      </c>
      <c r="X393" s="27">
        <v>110</v>
      </c>
      <c r="Y393" s="27">
        <v>0</v>
      </c>
      <c r="Z393" s="27">
        <v>0</v>
      </c>
      <c r="AA393" s="27">
        <v>116</v>
      </c>
      <c r="AB393" s="27">
        <v>0</v>
      </c>
      <c r="AC393" s="27">
        <v>0</v>
      </c>
      <c r="AD393" s="27">
        <v>110</v>
      </c>
      <c r="AE393" s="27">
        <v>0</v>
      </c>
      <c r="AF393" s="27">
        <v>5</v>
      </c>
      <c r="AG393" s="26">
        <f t="shared" si="24"/>
        <v>740.75</v>
      </c>
      <c r="AH393" s="26">
        <f t="shared" si="25"/>
        <v>0</v>
      </c>
      <c r="AI393" s="26">
        <f t="shared" si="26"/>
        <v>5</v>
      </c>
      <c r="AJ393" s="15" t="s">
        <v>425</v>
      </c>
      <c r="AK393" s="15" t="s">
        <v>425</v>
      </c>
      <c r="AL393" s="15" t="s">
        <v>317</v>
      </c>
      <c r="AM393" s="19">
        <v>41318</v>
      </c>
    </row>
    <row r="394" spans="1:39" x14ac:dyDescent="0.2">
      <c r="A394" s="15" t="str">
        <f t="shared" si="27"/>
        <v>801729119261</v>
      </c>
      <c r="B394" s="32">
        <v>801729</v>
      </c>
      <c r="C394" s="32" t="s">
        <v>268</v>
      </c>
      <c r="D394" s="17">
        <v>119261</v>
      </c>
      <c r="E394" s="15" t="s">
        <v>140</v>
      </c>
      <c r="F394" s="26">
        <v>30</v>
      </c>
      <c r="G394" s="26">
        <v>0</v>
      </c>
      <c r="H394" s="26">
        <v>0</v>
      </c>
      <c r="I394" s="26">
        <v>35</v>
      </c>
      <c r="J394" s="26">
        <v>0</v>
      </c>
      <c r="K394" s="26">
        <v>0</v>
      </c>
      <c r="L394" s="26">
        <v>0</v>
      </c>
      <c r="M394" s="26">
        <v>0</v>
      </c>
      <c r="N394" s="26">
        <v>0</v>
      </c>
      <c r="O394" s="27">
        <v>10</v>
      </c>
      <c r="P394" s="27">
        <v>0</v>
      </c>
      <c r="Q394" s="27">
        <v>0</v>
      </c>
      <c r="R394" s="27">
        <v>40</v>
      </c>
      <c r="S394" s="27">
        <v>0</v>
      </c>
      <c r="T394" s="27">
        <v>0</v>
      </c>
      <c r="U394" s="27">
        <v>25</v>
      </c>
      <c r="V394" s="27">
        <v>0</v>
      </c>
      <c r="W394" s="27">
        <v>0</v>
      </c>
      <c r="X394" s="27">
        <v>23.5</v>
      </c>
      <c r="Y394" s="27">
        <v>0</v>
      </c>
      <c r="Z394" s="27">
        <v>0</v>
      </c>
      <c r="AA394" s="27">
        <v>25</v>
      </c>
      <c r="AB394" s="27">
        <v>0</v>
      </c>
      <c r="AC394" s="27">
        <v>9</v>
      </c>
      <c r="AD394" s="27">
        <v>30</v>
      </c>
      <c r="AE394" s="27">
        <v>0</v>
      </c>
      <c r="AF394" s="27">
        <v>0</v>
      </c>
      <c r="AG394" s="26">
        <f t="shared" si="24"/>
        <v>218.5</v>
      </c>
      <c r="AH394" s="26">
        <f t="shared" si="25"/>
        <v>0</v>
      </c>
      <c r="AI394" s="26">
        <f t="shared" si="26"/>
        <v>9</v>
      </c>
      <c r="AJ394" s="15" t="s">
        <v>425</v>
      </c>
      <c r="AK394" s="15" t="s">
        <v>425</v>
      </c>
      <c r="AL394" s="15" t="s">
        <v>317</v>
      </c>
      <c r="AM394" s="19">
        <v>41323</v>
      </c>
    </row>
    <row r="395" spans="1:39" x14ac:dyDescent="0.2">
      <c r="A395" s="15" t="str">
        <f t="shared" si="27"/>
        <v>801876119261</v>
      </c>
      <c r="B395" s="32">
        <v>801876</v>
      </c>
      <c r="C395" s="32" t="s">
        <v>202</v>
      </c>
      <c r="D395" s="17">
        <v>119261</v>
      </c>
      <c r="E395" s="15" t="s">
        <v>140</v>
      </c>
      <c r="F395" s="26">
        <v>0</v>
      </c>
      <c r="G395" s="26">
        <v>0</v>
      </c>
      <c r="H395" s="26">
        <v>0</v>
      </c>
      <c r="I395" s="26">
        <v>0</v>
      </c>
      <c r="J395" s="26">
        <v>0</v>
      </c>
      <c r="K395" s="26">
        <v>0</v>
      </c>
      <c r="L395" s="26">
        <v>75</v>
      </c>
      <c r="M395" s="26">
        <v>0</v>
      </c>
      <c r="N395" s="26">
        <v>0</v>
      </c>
      <c r="O395" s="27">
        <v>0</v>
      </c>
      <c r="P395" s="27">
        <v>0</v>
      </c>
      <c r="Q395" s="27">
        <v>0</v>
      </c>
      <c r="R395" s="27">
        <v>0</v>
      </c>
      <c r="S395" s="27">
        <v>0</v>
      </c>
      <c r="T395" s="27">
        <v>0</v>
      </c>
      <c r="U395" s="27">
        <v>25</v>
      </c>
      <c r="V395" s="27">
        <v>0</v>
      </c>
      <c r="W395" s="27">
        <v>0</v>
      </c>
      <c r="X395" s="27">
        <v>1</v>
      </c>
      <c r="Y395" s="27">
        <v>0</v>
      </c>
      <c r="Z395" s="27">
        <v>0</v>
      </c>
      <c r="AA395" s="27">
        <v>25</v>
      </c>
      <c r="AB395" s="27">
        <v>0</v>
      </c>
      <c r="AC395" s="27">
        <v>0</v>
      </c>
      <c r="AD395" s="27">
        <v>50</v>
      </c>
      <c r="AE395" s="27">
        <v>0</v>
      </c>
      <c r="AF395" s="27">
        <v>0</v>
      </c>
      <c r="AG395" s="26">
        <f t="shared" si="24"/>
        <v>176</v>
      </c>
      <c r="AH395" s="26">
        <f t="shared" si="25"/>
        <v>0</v>
      </c>
      <c r="AI395" s="26">
        <f t="shared" si="26"/>
        <v>0</v>
      </c>
      <c r="AJ395" s="15" t="s">
        <v>425</v>
      </c>
      <c r="AK395" s="15" t="s">
        <v>425</v>
      </c>
      <c r="AL395" s="15" t="s">
        <v>317</v>
      </c>
      <c r="AM395" s="19">
        <v>41355</v>
      </c>
    </row>
    <row r="396" spans="1:39" x14ac:dyDescent="0.2">
      <c r="A396" s="15" t="str">
        <f t="shared" si="27"/>
        <v>801965119261</v>
      </c>
      <c r="B396" s="32">
        <v>801965</v>
      </c>
      <c r="C396" s="32" t="s">
        <v>12</v>
      </c>
      <c r="D396" s="15">
        <v>119261</v>
      </c>
      <c r="E396" s="15" t="s">
        <v>140</v>
      </c>
      <c r="F396" s="26">
        <v>10</v>
      </c>
      <c r="G396" s="26">
        <v>0</v>
      </c>
      <c r="H396" s="26">
        <v>0</v>
      </c>
      <c r="I396" s="26">
        <v>10</v>
      </c>
      <c r="J396" s="26">
        <v>0</v>
      </c>
      <c r="K396" s="26">
        <v>0</v>
      </c>
      <c r="L396" s="26">
        <v>35</v>
      </c>
      <c r="M396" s="26">
        <v>0</v>
      </c>
      <c r="N396" s="26">
        <v>0</v>
      </c>
      <c r="O396" s="27">
        <v>10</v>
      </c>
      <c r="P396" s="27">
        <v>0</v>
      </c>
      <c r="Q396" s="27">
        <v>0</v>
      </c>
      <c r="R396" s="27">
        <v>25</v>
      </c>
      <c r="S396" s="27">
        <v>0</v>
      </c>
      <c r="T396" s="27">
        <v>0</v>
      </c>
      <c r="U396" s="27">
        <v>25</v>
      </c>
      <c r="V396" s="27">
        <v>0</v>
      </c>
      <c r="W396" s="27">
        <v>0</v>
      </c>
      <c r="X396" s="27">
        <v>52</v>
      </c>
      <c r="Y396" s="27">
        <v>0</v>
      </c>
      <c r="Z396" s="27">
        <v>0</v>
      </c>
      <c r="AA396" s="27">
        <v>25</v>
      </c>
      <c r="AB396" s="27">
        <v>0</v>
      </c>
      <c r="AC396" s="27">
        <v>0</v>
      </c>
      <c r="AD396" s="27">
        <v>80</v>
      </c>
      <c r="AE396" s="27">
        <v>0</v>
      </c>
      <c r="AF396" s="27">
        <v>0</v>
      </c>
      <c r="AG396" s="26">
        <f t="shared" si="24"/>
        <v>272</v>
      </c>
      <c r="AH396" s="26">
        <f t="shared" si="25"/>
        <v>0</v>
      </c>
      <c r="AI396" s="26">
        <f t="shared" si="26"/>
        <v>0</v>
      </c>
      <c r="AJ396" s="15" t="s">
        <v>425</v>
      </c>
      <c r="AK396" s="15" t="s">
        <v>425</v>
      </c>
      <c r="AL396" s="15" t="s">
        <v>317</v>
      </c>
      <c r="AM396" s="19">
        <v>41380</v>
      </c>
    </row>
    <row r="397" spans="1:39" x14ac:dyDescent="0.2">
      <c r="A397" s="15" t="str">
        <f t="shared" si="27"/>
        <v>801966119261</v>
      </c>
      <c r="B397" s="32">
        <v>801966</v>
      </c>
      <c r="C397" s="32" t="s">
        <v>337</v>
      </c>
      <c r="D397" s="15">
        <v>119261</v>
      </c>
      <c r="E397" s="15" t="s">
        <v>140</v>
      </c>
      <c r="F397" s="26">
        <v>0</v>
      </c>
      <c r="G397" s="26">
        <v>0</v>
      </c>
      <c r="H397" s="26">
        <v>0</v>
      </c>
      <c r="I397" s="26">
        <v>0</v>
      </c>
      <c r="J397" s="26">
        <v>0</v>
      </c>
      <c r="K397" s="26">
        <v>0</v>
      </c>
      <c r="L397" s="26">
        <v>0</v>
      </c>
      <c r="M397" s="26">
        <v>0</v>
      </c>
      <c r="N397" s="26">
        <v>0</v>
      </c>
      <c r="O397" s="27">
        <v>0</v>
      </c>
      <c r="P397" s="27">
        <v>0</v>
      </c>
      <c r="Q397" s="27">
        <v>0</v>
      </c>
      <c r="R397" s="27">
        <v>1</v>
      </c>
      <c r="S397" s="27">
        <v>1</v>
      </c>
      <c r="T397" s="27">
        <v>0</v>
      </c>
      <c r="U397" s="27">
        <v>0</v>
      </c>
      <c r="V397" s="27">
        <v>0</v>
      </c>
      <c r="W397" s="27">
        <v>0</v>
      </c>
      <c r="X397" s="27">
        <v>0</v>
      </c>
      <c r="Y397" s="27">
        <v>0</v>
      </c>
      <c r="Z397" s="27">
        <v>0</v>
      </c>
      <c r="AA397" s="27">
        <v>0</v>
      </c>
      <c r="AB397" s="27">
        <v>0</v>
      </c>
      <c r="AC397" s="27">
        <v>0</v>
      </c>
      <c r="AD397" s="27">
        <v>25</v>
      </c>
      <c r="AE397" s="27">
        <v>0</v>
      </c>
      <c r="AF397" s="27">
        <v>0</v>
      </c>
      <c r="AG397" s="26">
        <f t="shared" si="24"/>
        <v>26</v>
      </c>
      <c r="AH397" s="26">
        <f t="shared" si="25"/>
        <v>1</v>
      </c>
      <c r="AI397" s="26">
        <f t="shared" si="26"/>
        <v>0</v>
      </c>
      <c r="AJ397" s="15" t="s">
        <v>425</v>
      </c>
      <c r="AK397" s="15" t="s">
        <v>425</v>
      </c>
      <c r="AL397" s="15" t="s">
        <v>317</v>
      </c>
      <c r="AM397" s="19">
        <v>41380</v>
      </c>
    </row>
    <row r="398" spans="1:39" x14ac:dyDescent="0.2">
      <c r="A398" s="15" t="str">
        <f t="shared" si="27"/>
        <v>801967119261</v>
      </c>
      <c r="B398" s="32">
        <v>801967</v>
      </c>
      <c r="C398" s="32" t="s">
        <v>31</v>
      </c>
      <c r="D398" s="15">
        <v>119261</v>
      </c>
      <c r="E398" s="15" t="s">
        <v>140</v>
      </c>
      <c r="F398" s="26">
        <v>0</v>
      </c>
      <c r="G398" s="26">
        <v>0</v>
      </c>
      <c r="H398" s="26">
        <v>0</v>
      </c>
      <c r="I398" s="26">
        <v>0</v>
      </c>
      <c r="J398" s="26">
        <v>0</v>
      </c>
      <c r="K398" s="26">
        <v>0</v>
      </c>
      <c r="L398" s="26">
        <v>0</v>
      </c>
      <c r="M398" s="26">
        <v>0</v>
      </c>
      <c r="N398" s="26">
        <v>0</v>
      </c>
      <c r="O398" s="27">
        <v>10</v>
      </c>
      <c r="P398" s="27">
        <v>0</v>
      </c>
      <c r="Q398" s="27">
        <v>0</v>
      </c>
      <c r="R398" s="27">
        <v>0</v>
      </c>
      <c r="S398" s="27">
        <v>0</v>
      </c>
      <c r="T398" s="27">
        <v>0</v>
      </c>
      <c r="U398" s="27">
        <v>0</v>
      </c>
      <c r="V398" s="27">
        <v>0</v>
      </c>
      <c r="W398" s="27">
        <v>0</v>
      </c>
      <c r="X398" s="27">
        <v>0</v>
      </c>
      <c r="Y398" s="27">
        <v>0</v>
      </c>
      <c r="Z398" s="27">
        <v>0</v>
      </c>
      <c r="AA398" s="27">
        <v>7.5</v>
      </c>
      <c r="AB398" s="27">
        <v>0</v>
      </c>
      <c r="AC398" s="27">
        <v>0</v>
      </c>
      <c r="AD398" s="27">
        <v>35</v>
      </c>
      <c r="AE398" s="27">
        <v>0</v>
      </c>
      <c r="AF398" s="27">
        <v>0</v>
      </c>
      <c r="AG398" s="26">
        <f t="shared" si="24"/>
        <v>52.5</v>
      </c>
      <c r="AH398" s="26">
        <f t="shared" si="25"/>
        <v>0</v>
      </c>
      <c r="AI398" s="26">
        <f t="shared" si="26"/>
        <v>0</v>
      </c>
      <c r="AJ398" s="15" t="s">
        <v>425</v>
      </c>
      <c r="AK398" s="15" t="s">
        <v>425</v>
      </c>
      <c r="AL398" s="15" t="s">
        <v>317</v>
      </c>
      <c r="AM398" s="19">
        <v>41380</v>
      </c>
    </row>
    <row r="399" spans="1:39" x14ac:dyDescent="0.2">
      <c r="A399" s="15" t="str">
        <f t="shared" si="27"/>
        <v>802073119261</v>
      </c>
      <c r="B399" s="32">
        <v>802073</v>
      </c>
      <c r="C399" s="32" t="s">
        <v>269</v>
      </c>
      <c r="D399" s="17">
        <v>119261</v>
      </c>
      <c r="E399" s="15" t="s">
        <v>140</v>
      </c>
      <c r="F399" s="26">
        <v>0</v>
      </c>
      <c r="G399" s="26">
        <v>0</v>
      </c>
      <c r="H399" s="26">
        <v>0</v>
      </c>
      <c r="I399" s="26">
        <v>0</v>
      </c>
      <c r="J399" s="26">
        <v>0</v>
      </c>
      <c r="K399" s="26">
        <v>0</v>
      </c>
      <c r="L399" s="26">
        <v>0</v>
      </c>
      <c r="M399" s="26">
        <v>0</v>
      </c>
      <c r="N399" s="26">
        <v>0</v>
      </c>
      <c r="O399" s="27">
        <v>0</v>
      </c>
      <c r="P399" s="27">
        <v>0</v>
      </c>
      <c r="Q399" s="27">
        <v>0</v>
      </c>
      <c r="R399" s="27">
        <v>1</v>
      </c>
      <c r="S399" s="27">
        <v>1</v>
      </c>
      <c r="T399" s="27">
        <v>0</v>
      </c>
      <c r="U399" s="27">
        <v>0</v>
      </c>
      <c r="V399" s="27">
        <v>0</v>
      </c>
      <c r="W399" s="27">
        <v>0</v>
      </c>
      <c r="X399" s="27">
        <v>0</v>
      </c>
      <c r="Y399" s="27">
        <v>0</v>
      </c>
      <c r="Z399" s="27">
        <v>0</v>
      </c>
      <c r="AA399" s="27">
        <v>0</v>
      </c>
      <c r="AB399" s="27">
        <v>0</v>
      </c>
      <c r="AC399" s="27">
        <v>0</v>
      </c>
      <c r="AD399" s="27">
        <v>0</v>
      </c>
      <c r="AE399" s="27">
        <v>0</v>
      </c>
      <c r="AF399" s="27">
        <v>0</v>
      </c>
      <c r="AG399" s="26">
        <f t="shared" si="24"/>
        <v>1</v>
      </c>
      <c r="AH399" s="26">
        <f t="shared" si="25"/>
        <v>1</v>
      </c>
      <c r="AI399" s="26">
        <f t="shared" si="26"/>
        <v>0</v>
      </c>
      <c r="AJ399" s="15" t="s">
        <v>425</v>
      </c>
      <c r="AK399" s="15" t="s">
        <v>425</v>
      </c>
      <c r="AL399" s="15" t="s">
        <v>317</v>
      </c>
      <c r="AM399" s="19">
        <v>41432</v>
      </c>
    </row>
    <row r="400" spans="1:39" x14ac:dyDescent="0.2">
      <c r="A400" s="15" t="str">
        <f t="shared" si="27"/>
        <v>802948119261</v>
      </c>
      <c r="B400" s="32">
        <v>802948</v>
      </c>
      <c r="C400" s="32" t="s">
        <v>12</v>
      </c>
      <c r="D400" s="17">
        <v>119261</v>
      </c>
      <c r="E400" s="15" t="s">
        <v>140</v>
      </c>
      <c r="F400" s="26">
        <v>30</v>
      </c>
      <c r="G400" s="26">
        <v>0</v>
      </c>
      <c r="H400" s="26">
        <v>0</v>
      </c>
      <c r="I400" s="26">
        <v>30</v>
      </c>
      <c r="J400" s="26">
        <v>0</v>
      </c>
      <c r="K400" s="26">
        <v>0</v>
      </c>
      <c r="L400" s="26">
        <v>25</v>
      </c>
      <c r="M400" s="26">
        <v>0</v>
      </c>
      <c r="N400" s="26">
        <v>0</v>
      </c>
      <c r="O400" s="27">
        <v>10</v>
      </c>
      <c r="P400" s="27">
        <v>0</v>
      </c>
      <c r="Q400" s="27">
        <v>0</v>
      </c>
      <c r="R400" s="27">
        <v>25</v>
      </c>
      <c r="S400" s="27">
        <v>0</v>
      </c>
      <c r="T400" s="27">
        <v>0</v>
      </c>
      <c r="U400" s="27">
        <v>25</v>
      </c>
      <c r="V400" s="27">
        <v>0</v>
      </c>
      <c r="W400" s="27">
        <v>0</v>
      </c>
      <c r="X400" s="27">
        <v>10</v>
      </c>
      <c r="Y400" s="27">
        <v>0</v>
      </c>
      <c r="Z400" s="27">
        <v>0</v>
      </c>
      <c r="AA400" s="27">
        <v>25</v>
      </c>
      <c r="AB400" s="27">
        <v>0</v>
      </c>
      <c r="AC400" s="27">
        <v>0</v>
      </c>
      <c r="AD400" s="27">
        <v>55</v>
      </c>
      <c r="AE400" s="27">
        <v>0</v>
      </c>
      <c r="AF400" s="27">
        <v>0</v>
      </c>
      <c r="AG400" s="26">
        <f t="shared" si="24"/>
        <v>235</v>
      </c>
      <c r="AH400" s="26">
        <f t="shared" si="25"/>
        <v>0</v>
      </c>
      <c r="AI400" s="26">
        <f t="shared" si="26"/>
        <v>0</v>
      </c>
      <c r="AJ400" s="15" t="s">
        <v>425</v>
      </c>
      <c r="AK400" s="15" t="s">
        <v>425</v>
      </c>
      <c r="AL400" s="15" t="s">
        <v>317</v>
      </c>
      <c r="AM400" s="19">
        <v>41556</v>
      </c>
    </row>
    <row r="401" spans="1:39" x14ac:dyDescent="0.2">
      <c r="A401" s="15" t="str">
        <f t="shared" si="27"/>
        <v>803877143416</v>
      </c>
      <c r="B401" s="32">
        <v>803877</v>
      </c>
      <c r="C401" s="32" t="s">
        <v>273</v>
      </c>
      <c r="D401" s="17">
        <v>143416</v>
      </c>
      <c r="E401" s="15" t="s">
        <v>224</v>
      </c>
      <c r="F401" s="26">
        <v>0</v>
      </c>
      <c r="G401" s="26">
        <v>0</v>
      </c>
      <c r="H401" s="26">
        <v>0</v>
      </c>
      <c r="I401" s="26">
        <v>2.5</v>
      </c>
      <c r="J401" s="26">
        <v>0</v>
      </c>
      <c r="K401" s="26">
        <v>0</v>
      </c>
      <c r="L401" s="26">
        <v>0</v>
      </c>
      <c r="M401" s="26">
        <v>0</v>
      </c>
      <c r="N401" s="26">
        <v>0</v>
      </c>
      <c r="O401" s="27">
        <v>46</v>
      </c>
      <c r="P401" s="27">
        <v>0</v>
      </c>
      <c r="Q401" s="27">
        <v>0</v>
      </c>
      <c r="R401" s="27">
        <v>0</v>
      </c>
      <c r="S401" s="27">
        <v>0</v>
      </c>
      <c r="T401" s="27">
        <v>0</v>
      </c>
      <c r="U401" s="27">
        <v>37.5</v>
      </c>
      <c r="V401" s="27">
        <v>0</v>
      </c>
      <c r="W401" s="27">
        <v>0</v>
      </c>
      <c r="X401" s="27">
        <v>5</v>
      </c>
      <c r="Y401" s="27">
        <v>0</v>
      </c>
      <c r="Z401" s="27">
        <v>0</v>
      </c>
      <c r="AA401" s="27">
        <v>5</v>
      </c>
      <c r="AB401" s="27">
        <v>0</v>
      </c>
      <c r="AC401" s="27">
        <v>0</v>
      </c>
      <c r="AD401" s="27">
        <v>5</v>
      </c>
      <c r="AE401" s="27">
        <v>0</v>
      </c>
      <c r="AF401" s="27">
        <v>0</v>
      </c>
      <c r="AG401" s="26">
        <f t="shared" si="24"/>
        <v>101</v>
      </c>
      <c r="AH401" s="26">
        <f t="shared" si="25"/>
        <v>0</v>
      </c>
      <c r="AI401" s="26">
        <f t="shared" si="26"/>
        <v>0</v>
      </c>
      <c r="AJ401" s="15" t="s">
        <v>425</v>
      </c>
      <c r="AK401" s="15" t="s">
        <v>425</v>
      </c>
      <c r="AL401" s="15" t="s">
        <v>317</v>
      </c>
      <c r="AM401" s="19">
        <v>42059</v>
      </c>
    </row>
    <row r="402" spans="1:39" x14ac:dyDescent="0.2">
      <c r="A402" s="15" t="str">
        <f t="shared" si="27"/>
        <v>804935122537</v>
      </c>
      <c r="B402" s="32">
        <v>804935</v>
      </c>
      <c r="C402" s="32" t="s">
        <v>27</v>
      </c>
      <c r="D402" s="17">
        <v>122537</v>
      </c>
      <c r="E402" s="15" t="s">
        <v>227</v>
      </c>
      <c r="F402" s="26">
        <v>91.75</v>
      </c>
      <c r="G402" s="26">
        <v>0</v>
      </c>
      <c r="H402" s="26">
        <v>0</v>
      </c>
      <c r="I402" s="26">
        <v>77.25</v>
      </c>
      <c r="J402" s="26">
        <v>0</v>
      </c>
      <c r="K402" s="26">
        <v>0</v>
      </c>
      <c r="L402" s="26">
        <v>124</v>
      </c>
      <c r="M402" s="26">
        <v>0</v>
      </c>
      <c r="N402" s="26">
        <v>0</v>
      </c>
      <c r="O402" s="27">
        <v>85.5</v>
      </c>
      <c r="P402" s="27">
        <v>0</v>
      </c>
      <c r="Q402" s="27">
        <v>0</v>
      </c>
      <c r="R402" s="27">
        <v>57.5</v>
      </c>
      <c r="S402" s="27">
        <v>0</v>
      </c>
      <c r="T402" s="27">
        <v>0</v>
      </c>
      <c r="U402" s="27">
        <v>83.5</v>
      </c>
      <c r="V402" s="27">
        <v>0</v>
      </c>
      <c r="W402" s="27">
        <v>0</v>
      </c>
      <c r="X402" s="27">
        <v>70</v>
      </c>
      <c r="Y402" s="27">
        <v>0</v>
      </c>
      <c r="Z402" s="27">
        <v>0</v>
      </c>
      <c r="AA402" s="27">
        <v>38.25</v>
      </c>
      <c r="AB402" s="27">
        <v>0</v>
      </c>
      <c r="AC402" s="27">
        <v>0</v>
      </c>
      <c r="AD402" s="27">
        <v>118.75</v>
      </c>
      <c r="AE402" s="27">
        <v>0</v>
      </c>
      <c r="AF402" s="27">
        <v>0</v>
      </c>
      <c r="AG402" s="26">
        <f t="shared" si="24"/>
        <v>746.5</v>
      </c>
      <c r="AH402" s="26">
        <f t="shared" si="25"/>
        <v>0</v>
      </c>
      <c r="AI402" s="26">
        <f t="shared" si="26"/>
        <v>0</v>
      </c>
      <c r="AJ402" s="15" t="s">
        <v>425</v>
      </c>
      <c r="AK402" s="15" t="s">
        <v>425</v>
      </c>
      <c r="AL402" s="15" t="s">
        <v>317</v>
      </c>
      <c r="AM402" s="19">
        <v>42460</v>
      </c>
    </row>
    <row r="403" spans="1:39" x14ac:dyDescent="0.2">
      <c r="A403" s="15" t="str">
        <f t="shared" si="27"/>
        <v>805095119261</v>
      </c>
      <c r="B403" s="32">
        <v>805095</v>
      </c>
      <c r="C403" s="32" t="s">
        <v>76</v>
      </c>
      <c r="D403" s="17">
        <v>119261</v>
      </c>
      <c r="E403" s="15" t="s">
        <v>140</v>
      </c>
      <c r="F403" s="26">
        <v>75</v>
      </c>
      <c r="G403" s="26">
        <v>0</v>
      </c>
      <c r="H403" s="26">
        <v>0</v>
      </c>
      <c r="I403" s="26">
        <v>20</v>
      </c>
      <c r="J403" s="26">
        <v>0</v>
      </c>
      <c r="K403" s="26">
        <v>0</v>
      </c>
      <c r="L403" s="26">
        <v>50</v>
      </c>
      <c r="M403" s="26">
        <v>0</v>
      </c>
      <c r="N403" s="26">
        <v>0</v>
      </c>
      <c r="O403" s="27">
        <v>35</v>
      </c>
      <c r="P403" s="27">
        <v>0</v>
      </c>
      <c r="Q403" s="27">
        <v>0</v>
      </c>
      <c r="R403" s="27">
        <v>0</v>
      </c>
      <c r="S403" s="27">
        <v>0</v>
      </c>
      <c r="T403" s="27">
        <v>0</v>
      </c>
      <c r="U403" s="27">
        <v>75</v>
      </c>
      <c r="V403" s="27">
        <v>0</v>
      </c>
      <c r="W403" s="27">
        <v>0</v>
      </c>
      <c r="X403" s="27">
        <v>38</v>
      </c>
      <c r="Y403" s="27">
        <v>0</v>
      </c>
      <c r="Z403" s="27">
        <v>0</v>
      </c>
      <c r="AA403" s="27">
        <v>75</v>
      </c>
      <c r="AB403" s="27">
        <v>0</v>
      </c>
      <c r="AC403" s="27">
        <v>0</v>
      </c>
      <c r="AD403" s="27">
        <v>50</v>
      </c>
      <c r="AE403" s="27">
        <v>0</v>
      </c>
      <c r="AF403" s="27">
        <v>0</v>
      </c>
      <c r="AG403" s="26">
        <f t="shared" si="24"/>
        <v>418</v>
      </c>
      <c r="AH403" s="26">
        <f t="shared" si="25"/>
        <v>0</v>
      </c>
      <c r="AI403" s="26">
        <f t="shared" si="26"/>
        <v>0</v>
      </c>
      <c r="AJ403" s="15" t="s">
        <v>425</v>
      </c>
      <c r="AK403" s="15" t="s">
        <v>425</v>
      </c>
      <c r="AL403" s="15" t="s">
        <v>317</v>
      </c>
      <c r="AM403" s="19">
        <v>42516</v>
      </c>
    </row>
    <row r="404" spans="1:39" x14ac:dyDescent="0.2">
      <c r="A404" s="15" t="str">
        <f t="shared" si="27"/>
        <v>805255119261</v>
      </c>
      <c r="B404" s="32">
        <v>805255</v>
      </c>
      <c r="C404" s="32" t="s">
        <v>379</v>
      </c>
      <c r="D404" s="15">
        <v>119261</v>
      </c>
      <c r="E404" s="15" t="s">
        <v>140</v>
      </c>
      <c r="F404" s="26">
        <v>20</v>
      </c>
      <c r="G404" s="26">
        <v>0</v>
      </c>
      <c r="H404" s="26">
        <v>0</v>
      </c>
      <c r="I404" s="26">
        <v>0</v>
      </c>
      <c r="J404" s="26">
        <v>0</v>
      </c>
      <c r="K404" s="26">
        <v>0</v>
      </c>
      <c r="L404" s="26">
        <v>0</v>
      </c>
      <c r="M404" s="26">
        <v>0</v>
      </c>
      <c r="N404" s="26">
        <v>0</v>
      </c>
      <c r="O404" s="27">
        <v>0</v>
      </c>
      <c r="P404" s="27">
        <v>0</v>
      </c>
      <c r="Q404" s="27">
        <v>0</v>
      </c>
      <c r="R404" s="27">
        <v>1</v>
      </c>
      <c r="S404" s="27">
        <v>1</v>
      </c>
      <c r="T404" s="27">
        <v>0</v>
      </c>
      <c r="U404" s="27">
        <v>0</v>
      </c>
      <c r="V404" s="27">
        <v>0</v>
      </c>
      <c r="W404" s="27">
        <v>0</v>
      </c>
      <c r="X404" s="27">
        <v>0</v>
      </c>
      <c r="Y404" s="27">
        <v>0</v>
      </c>
      <c r="Z404" s="27">
        <v>0</v>
      </c>
      <c r="AA404" s="27">
        <v>7.5</v>
      </c>
      <c r="AB404" s="27">
        <v>0</v>
      </c>
      <c r="AC404" s="27">
        <v>0</v>
      </c>
      <c r="AD404" s="27">
        <v>50</v>
      </c>
      <c r="AE404" s="27">
        <v>0</v>
      </c>
      <c r="AF404" s="27">
        <v>0</v>
      </c>
      <c r="AG404" s="26">
        <f t="shared" si="24"/>
        <v>78.5</v>
      </c>
      <c r="AH404" s="26">
        <f t="shared" si="25"/>
        <v>1</v>
      </c>
      <c r="AI404" s="26">
        <f t="shared" si="26"/>
        <v>0</v>
      </c>
      <c r="AJ404" s="15" t="s">
        <v>425</v>
      </c>
      <c r="AK404" s="15" t="s">
        <v>425</v>
      </c>
      <c r="AL404" s="15" t="s">
        <v>317</v>
      </c>
      <c r="AM404" s="19">
        <v>42549</v>
      </c>
    </row>
    <row r="405" spans="1:39" x14ac:dyDescent="0.2">
      <c r="A405" s="15" t="str">
        <f t="shared" si="27"/>
        <v>805375119261</v>
      </c>
      <c r="B405" s="32">
        <v>805375</v>
      </c>
      <c r="C405" s="32" t="s">
        <v>244</v>
      </c>
      <c r="D405" s="17">
        <v>119261</v>
      </c>
      <c r="E405" s="15" t="s">
        <v>140</v>
      </c>
      <c r="F405" s="26">
        <v>50.05</v>
      </c>
      <c r="G405" s="26">
        <v>0</v>
      </c>
      <c r="H405" s="26">
        <v>0</v>
      </c>
      <c r="I405" s="26">
        <v>0</v>
      </c>
      <c r="J405" s="26">
        <v>0</v>
      </c>
      <c r="K405" s="26">
        <v>0</v>
      </c>
      <c r="L405" s="26">
        <v>25</v>
      </c>
      <c r="M405" s="26">
        <v>0</v>
      </c>
      <c r="N405" s="26">
        <v>0</v>
      </c>
      <c r="O405" s="27">
        <v>0</v>
      </c>
      <c r="P405" s="27">
        <v>0</v>
      </c>
      <c r="Q405" s="27">
        <v>0</v>
      </c>
      <c r="R405" s="27">
        <v>0</v>
      </c>
      <c r="S405" s="27">
        <v>0</v>
      </c>
      <c r="T405" s="27">
        <v>0</v>
      </c>
      <c r="U405" s="27">
        <v>0</v>
      </c>
      <c r="V405" s="27">
        <v>0</v>
      </c>
      <c r="W405" s="27">
        <v>0</v>
      </c>
      <c r="X405" s="27">
        <v>0</v>
      </c>
      <c r="Y405" s="27">
        <v>0</v>
      </c>
      <c r="Z405" s="27">
        <v>0</v>
      </c>
      <c r="AA405" s="27">
        <v>0</v>
      </c>
      <c r="AB405" s="27">
        <v>0</v>
      </c>
      <c r="AC405" s="27">
        <v>0</v>
      </c>
      <c r="AD405" s="27">
        <v>36</v>
      </c>
      <c r="AE405" s="27">
        <v>0</v>
      </c>
      <c r="AF405" s="27">
        <v>0</v>
      </c>
      <c r="AG405" s="26">
        <f t="shared" si="24"/>
        <v>111.05</v>
      </c>
      <c r="AH405" s="26">
        <f t="shared" si="25"/>
        <v>0</v>
      </c>
      <c r="AI405" s="26">
        <f t="shared" si="26"/>
        <v>0</v>
      </c>
      <c r="AJ405" s="15" t="s">
        <v>425</v>
      </c>
      <c r="AK405" s="15" t="s">
        <v>425</v>
      </c>
      <c r="AL405" s="15" t="s">
        <v>317</v>
      </c>
      <c r="AM405" s="19">
        <v>42580</v>
      </c>
    </row>
    <row r="406" spans="1:39" x14ac:dyDescent="0.2">
      <c r="A406" s="15" t="str">
        <f t="shared" si="27"/>
        <v>805377119261</v>
      </c>
      <c r="B406" s="32">
        <v>805377</v>
      </c>
      <c r="C406" s="32" t="s">
        <v>329</v>
      </c>
      <c r="D406" s="17">
        <v>119261</v>
      </c>
      <c r="E406" s="15" t="s">
        <v>140</v>
      </c>
      <c r="F406" s="26">
        <v>85</v>
      </c>
      <c r="G406" s="26">
        <v>0</v>
      </c>
      <c r="H406" s="26">
        <v>0</v>
      </c>
      <c r="I406" s="26">
        <v>30</v>
      </c>
      <c r="J406" s="26">
        <v>0</v>
      </c>
      <c r="K406" s="26">
        <v>0</v>
      </c>
      <c r="L406" s="26">
        <v>75.5</v>
      </c>
      <c r="M406" s="26">
        <v>0</v>
      </c>
      <c r="N406" s="26">
        <v>0</v>
      </c>
      <c r="O406" s="27">
        <v>75.75</v>
      </c>
      <c r="P406" s="27">
        <v>0</v>
      </c>
      <c r="Q406" s="27">
        <v>17.25</v>
      </c>
      <c r="R406" s="27">
        <v>50</v>
      </c>
      <c r="S406" s="27">
        <v>0</v>
      </c>
      <c r="T406" s="27">
        <v>0</v>
      </c>
      <c r="U406" s="27">
        <v>56</v>
      </c>
      <c r="V406" s="27">
        <v>0</v>
      </c>
      <c r="W406" s="27">
        <v>0</v>
      </c>
      <c r="X406" s="27">
        <v>79.5</v>
      </c>
      <c r="Y406" s="27">
        <v>2.75</v>
      </c>
      <c r="Z406" s="27">
        <v>7.5</v>
      </c>
      <c r="AA406" s="27">
        <v>75</v>
      </c>
      <c r="AB406" s="27">
        <v>0</v>
      </c>
      <c r="AC406" s="27">
        <v>0</v>
      </c>
      <c r="AD406" s="27">
        <v>35</v>
      </c>
      <c r="AE406" s="27">
        <v>0</v>
      </c>
      <c r="AF406" s="27">
        <v>0</v>
      </c>
      <c r="AG406" s="26">
        <f t="shared" si="24"/>
        <v>561.75</v>
      </c>
      <c r="AH406" s="26">
        <f t="shared" si="25"/>
        <v>2.75</v>
      </c>
      <c r="AI406" s="26">
        <f t="shared" si="26"/>
        <v>24.75</v>
      </c>
      <c r="AJ406" s="15" t="s">
        <v>425</v>
      </c>
      <c r="AK406" s="15" t="s">
        <v>425</v>
      </c>
      <c r="AL406" s="15" t="s">
        <v>317</v>
      </c>
      <c r="AM406" s="19">
        <v>42580</v>
      </c>
    </row>
    <row r="407" spans="1:39" x14ac:dyDescent="0.2">
      <c r="A407" s="15" t="str">
        <f t="shared" si="27"/>
        <v>805406119261</v>
      </c>
      <c r="B407" s="32">
        <v>805406</v>
      </c>
      <c r="C407" s="32" t="s">
        <v>377</v>
      </c>
      <c r="D407" s="15">
        <v>119261</v>
      </c>
      <c r="E407" s="15" t="s">
        <v>140</v>
      </c>
      <c r="F407" s="26">
        <v>0</v>
      </c>
      <c r="G407" s="26">
        <v>0</v>
      </c>
      <c r="H407" s="26">
        <v>0</v>
      </c>
      <c r="I407" s="26">
        <v>0</v>
      </c>
      <c r="J407" s="26">
        <v>0</v>
      </c>
      <c r="K407" s="26">
        <v>0</v>
      </c>
      <c r="L407" s="26">
        <v>10</v>
      </c>
      <c r="M407" s="26">
        <v>0</v>
      </c>
      <c r="N407" s="26">
        <v>0</v>
      </c>
      <c r="O407" s="27">
        <v>0</v>
      </c>
      <c r="P407" s="27">
        <v>0</v>
      </c>
      <c r="Q407" s="27">
        <v>0</v>
      </c>
      <c r="R407" s="27">
        <v>0</v>
      </c>
      <c r="S407" s="27">
        <v>0</v>
      </c>
      <c r="T407" s="27">
        <v>0</v>
      </c>
      <c r="U407" s="27">
        <v>0</v>
      </c>
      <c r="V407" s="27">
        <v>0</v>
      </c>
      <c r="W407" s="27">
        <v>0</v>
      </c>
      <c r="X407" s="27">
        <v>0</v>
      </c>
      <c r="Y407" s="27">
        <v>0</v>
      </c>
      <c r="Z407" s="27">
        <v>0</v>
      </c>
      <c r="AA407" s="27">
        <v>7.5</v>
      </c>
      <c r="AB407" s="27">
        <v>0</v>
      </c>
      <c r="AC407" s="27">
        <v>0</v>
      </c>
      <c r="AD407" s="27">
        <v>50</v>
      </c>
      <c r="AE407" s="27">
        <v>0</v>
      </c>
      <c r="AF407" s="27">
        <v>0</v>
      </c>
      <c r="AG407" s="26">
        <f t="shared" si="24"/>
        <v>67.5</v>
      </c>
      <c r="AH407" s="26">
        <f t="shared" si="25"/>
        <v>0</v>
      </c>
      <c r="AI407" s="26">
        <f t="shared" si="26"/>
        <v>0</v>
      </c>
      <c r="AJ407" s="15" t="s">
        <v>425</v>
      </c>
      <c r="AK407" s="15" t="s">
        <v>425</v>
      </c>
      <c r="AL407" s="15" t="s">
        <v>317</v>
      </c>
      <c r="AM407" s="19">
        <v>42591</v>
      </c>
    </row>
    <row r="408" spans="1:39" x14ac:dyDescent="0.2">
      <c r="A408" s="15" t="str">
        <f t="shared" si="27"/>
        <v>805419119261</v>
      </c>
      <c r="B408" s="32">
        <v>805419</v>
      </c>
      <c r="C408" s="32" t="s">
        <v>324</v>
      </c>
      <c r="D408" s="17">
        <v>119261</v>
      </c>
      <c r="E408" s="15" t="s">
        <v>140</v>
      </c>
      <c r="F408" s="26">
        <v>0</v>
      </c>
      <c r="G408" s="26">
        <v>0</v>
      </c>
      <c r="H408" s="26">
        <v>0</v>
      </c>
      <c r="I408" s="26">
        <v>55</v>
      </c>
      <c r="J408" s="26">
        <v>0</v>
      </c>
      <c r="K408" s="26">
        <v>0</v>
      </c>
      <c r="L408" s="26">
        <v>50</v>
      </c>
      <c r="M408" s="26">
        <v>0</v>
      </c>
      <c r="N408" s="26">
        <v>0</v>
      </c>
      <c r="O408" s="27">
        <v>25</v>
      </c>
      <c r="P408" s="27">
        <v>0</v>
      </c>
      <c r="Q408" s="27">
        <v>0</v>
      </c>
      <c r="R408" s="27">
        <v>25</v>
      </c>
      <c r="S408" s="27">
        <v>0</v>
      </c>
      <c r="T408" s="27">
        <v>0</v>
      </c>
      <c r="U408" s="27">
        <v>38.5</v>
      </c>
      <c r="V408" s="27">
        <v>0</v>
      </c>
      <c r="W408" s="27">
        <v>0</v>
      </c>
      <c r="X408" s="27">
        <v>77</v>
      </c>
      <c r="Y408" s="27">
        <v>0</v>
      </c>
      <c r="Z408" s="27">
        <v>0</v>
      </c>
      <c r="AA408" s="27">
        <v>58.5</v>
      </c>
      <c r="AB408" s="27">
        <v>0</v>
      </c>
      <c r="AC408" s="27">
        <v>0</v>
      </c>
      <c r="AD408" s="27">
        <v>110</v>
      </c>
      <c r="AE408" s="27">
        <v>0</v>
      </c>
      <c r="AF408" s="27">
        <v>0</v>
      </c>
      <c r="AG408" s="26">
        <f t="shared" si="24"/>
        <v>439</v>
      </c>
      <c r="AH408" s="26">
        <f t="shared" si="25"/>
        <v>0</v>
      </c>
      <c r="AI408" s="26">
        <f t="shared" si="26"/>
        <v>0</v>
      </c>
      <c r="AJ408" s="15" t="s">
        <v>425</v>
      </c>
      <c r="AK408" s="15" t="s">
        <v>425</v>
      </c>
      <c r="AL408" s="15" t="s">
        <v>317</v>
      </c>
      <c r="AM408" s="19">
        <v>42594</v>
      </c>
    </row>
    <row r="409" spans="1:39" x14ac:dyDescent="0.2">
      <c r="A409" s="15" t="str">
        <f t="shared" si="27"/>
        <v>805453119261</v>
      </c>
      <c r="B409" s="32">
        <v>805453</v>
      </c>
      <c r="C409" s="32" t="s">
        <v>237</v>
      </c>
      <c r="D409" s="17">
        <v>119261</v>
      </c>
      <c r="E409" s="15" t="s">
        <v>140</v>
      </c>
      <c r="F409" s="26">
        <v>76.5</v>
      </c>
      <c r="G409" s="26">
        <v>0</v>
      </c>
      <c r="H409" s="26">
        <v>0</v>
      </c>
      <c r="I409" s="26">
        <v>55</v>
      </c>
      <c r="J409" s="26">
        <v>0</v>
      </c>
      <c r="K409" s="26">
        <v>0</v>
      </c>
      <c r="L409" s="26">
        <v>55</v>
      </c>
      <c r="M409" s="26">
        <v>0</v>
      </c>
      <c r="N409" s="26">
        <v>0</v>
      </c>
      <c r="O409" s="27">
        <v>75</v>
      </c>
      <c r="P409" s="27">
        <v>0</v>
      </c>
      <c r="Q409" s="27">
        <v>0</v>
      </c>
      <c r="R409" s="27">
        <v>50</v>
      </c>
      <c r="S409" s="27">
        <v>0</v>
      </c>
      <c r="T409" s="27">
        <v>0</v>
      </c>
      <c r="U409" s="27">
        <v>117.5</v>
      </c>
      <c r="V409" s="27">
        <v>0</v>
      </c>
      <c r="W409" s="27">
        <v>10</v>
      </c>
      <c r="X409" s="27">
        <v>113.5</v>
      </c>
      <c r="Y409" s="27">
        <v>0</v>
      </c>
      <c r="Z409" s="27">
        <v>0</v>
      </c>
      <c r="AA409" s="27">
        <v>180</v>
      </c>
      <c r="AB409" s="27">
        <v>0</v>
      </c>
      <c r="AC409" s="27">
        <v>0</v>
      </c>
      <c r="AD409" s="27">
        <v>127.05</v>
      </c>
      <c r="AE409" s="27">
        <v>5</v>
      </c>
      <c r="AF409" s="27">
        <v>25.05</v>
      </c>
      <c r="AG409" s="26">
        <f t="shared" si="24"/>
        <v>849.55</v>
      </c>
      <c r="AH409" s="26">
        <f t="shared" si="25"/>
        <v>5</v>
      </c>
      <c r="AI409" s="26">
        <f t="shared" si="26"/>
        <v>35.049999999999997</v>
      </c>
      <c r="AJ409" s="15" t="s">
        <v>425</v>
      </c>
      <c r="AK409" s="15" t="s">
        <v>425</v>
      </c>
      <c r="AL409" s="15" t="s">
        <v>317</v>
      </c>
      <c r="AM409" s="19">
        <v>42611</v>
      </c>
    </row>
    <row r="410" spans="1:39" x14ac:dyDescent="0.2">
      <c r="A410" s="15" t="str">
        <f t="shared" si="27"/>
        <v>805796208268</v>
      </c>
      <c r="B410" s="32">
        <v>805796</v>
      </c>
      <c r="C410" s="32" t="s">
        <v>403</v>
      </c>
      <c r="D410" s="15">
        <v>208268</v>
      </c>
      <c r="E410" s="15" t="s">
        <v>351</v>
      </c>
      <c r="F410" s="26">
        <v>17.5</v>
      </c>
      <c r="G410" s="26">
        <v>0</v>
      </c>
      <c r="H410" s="26">
        <v>0</v>
      </c>
      <c r="I410" s="26">
        <v>0</v>
      </c>
      <c r="J410" s="26">
        <v>0</v>
      </c>
      <c r="K410" s="26">
        <v>0</v>
      </c>
      <c r="L410" s="26">
        <v>0</v>
      </c>
      <c r="M410" s="26">
        <v>0</v>
      </c>
      <c r="N410" s="26">
        <v>0</v>
      </c>
      <c r="O410" s="27">
        <v>0</v>
      </c>
      <c r="P410" s="27">
        <v>0</v>
      </c>
      <c r="Q410" s="27">
        <v>0</v>
      </c>
      <c r="R410" s="27">
        <v>0</v>
      </c>
      <c r="S410" s="27">
        <v>0</v>
      </c>
      <c r="T410" s="27">
        <v>0</v>
      </c>
      <c r="U410" s="27">
        <v>0</v>
      </c>
      <c r="V410" s="27">
        <v>0</v>
      </c>
      <c r="W410" s="27">
        <v>0</v>
      </c>
      <c r="X410" s="27">
        <v>0</v>
      </c>
      <c r="Y410" s="27">
        <v>0</v>
      </c>
      <c r="Z410" s="27">
        <v>0</v>
      </c>
      <c r="AA410" s="27">
        <v>0</v>
      </c>
      <c r="AB410" s="27">
        <v>0</v>
      </c>
      <c r="AC410" s="27">
        <v>0</v>
      </c>
      <c r="AD410" s="27">
        <v>0</v>
      </c>
      <c r="AE410" s="27">
        <v>0</v>
      </c>
      <c r="AF410" s="27">
        <v>0</v>
      </c>
      <c r="AG410" s="26">
        <f t="shared" si="24"/>
        <v>17.5</v>
      </c>
      <c r="AH410" s="26">
        <f t="shared" si="25"/>
        <v>0</v>
      </c>
      <c r="AI410" s="26">
        <f t="shared" si="26"/>
        <v>0</v>
      </c>
      <c r="AJ410" s="15" t="s">
        <v>425</v>
      </c>
      <c r="AK410" s="15" t="s">
        <v>425</v>
      </c>
      <c r="AL410" s="15" t="s">
        <v>317</v>
      </c>
      <c r="AM410" s="19">
        <v>42697</v>
      </c>
    </row>
    <row r="411" spans="1:39" x14ac:dyDescent="0.2">
      <c r="A411" s="15" t="str">
        <f t="shared" si="27"/>
        <v>805796212409</v>
      </c>
      <c r="B411" s="14">
        <v>805796</v>
      </c>
      <c r="C411" s="14" t="s">
        <v>403</v>
      </c>
      <c r="D411" s="16">
        <v>212409</v>
      </c>
      <c r="E411" s="18" t="s">
        <v>529</v>
      </c>
      <c r="F411" s="26">
        <v>0</v>
      </c>
      <c r="G411" s="26">
        <v>0</v>
      </c>
      <c r="H411" s="26">
        <v>0</v>
      </c>
      <c r="I411" s="26">
        <v>17</v>
      </c>
      <c r="J411" s="26">
        <v>0</v>
      </c>
      <c r="K411" s="26">
        <v>0</v>
      </c>
      <c r="L411" s="26">
        <v>30</v>
      </c>
      <c r="M411" s="26">
        <v>0</v>
      </c>
      <c r="N411" s="26">
        <v>0</v>
      </c>
      <c r="O411" s="27">
        <v>47.5</v>
      </c>
      <c r="P411" s="27">
        <v>0</v>
      </c>
      <c r="Q411" s="27">
        <v>0</v>
      </c>
      <c r="R411" s="27">
        <v>22.5</v>
      </c>
      <c r="S411" s="27">
        <v>0</v>
      </c>
      <c r="T411" s="27">
        <v>0</v>
      </c>
      <c r="U411" s="27">
        <v>25.5</v>
      </c>
      <c r="V411" s="27">
        <v>0</v>
      </c>
      <c r="W411" s="27">
        <v>0</v>
      </c>
      <c r="X411" s="27">
        <v>27.5</v>
      </c>
      <c r="Y411" s="27">
        <v>7.5</v>
      </c>
      <c r="Z411" s="27">
        <v>0</v>
      </c>
      <c r="AA411" s="27">
        <v>36</v>
      </c>
      <c r="AB411" s="27">
        <v>0</v>
      </c>
      <c r="AC411" s="27">
        <v>0</v>
      </c>
      <c r="AD411" s="27">
        <v>62.5</v>
      </c>
      <c r="AE411" s="27">
        <v>0</v>
      </c>
      <c r="AF411" s="27">
        <v>0</v>
      </c>
      <c r="AG411" s="26">
        <f t="shared" si="24"/>
        <v>268.5</v>
      </c>
      <c r="AH411" s="26">
        <f t="shared" si="25"/>
        <v>7.5</v>
      </c>
      <c r="AI411" s="26">
        <f t="shared" si="26"/>
        <v>0</v>
      </c>
      <c r="AJ411" s="15" t="s">
        <v>425</v>
      </c>
      <c r="AK411" s="15" t="s">
        <v>425</v>
      </c>
      <c r="AL411" s="15" t="s">
        <v>317</v>
      </c>
      <c r="AM411" s="19">
        <v>42697</v>
      </c>
    </row>
    <row r="412" spans="1:39" x14ac:dyDescent="0.2">
      <c r="A412" s="15" t="str">
        <f t="shared" si="27"/>
        <v>806289179796</v>
      </c>
      <c r="B412" s="32">
        <v>806289</v>
      </c>
      <c r="C412" s="32" t="s">
        <v>166</v>
      </c>
      <c r="D412" s="17">
        <v>179796</v>
      </c>
      <c r="E412" s="15" t="s">
        <v>165</v>
      </c>
      <c r="F412" s="26">
        <v>26</v>
      </c>
      <c r="G412" s="26">
        <v>0</v>
      </c>
      <c r="H412" s="26">
        <v>0</v>
      </c>
      <c r="I412" s="26">
        <v>47.5</v>
      </c>
      <c r="J412" s="26">
        <v>0</v>
      </c>
      <c r="K412" s="26">
        <v>0</v>
      </c>
      <c r="L412" s="26">
        <v>59</v>
      </c>
      <c r="M412" s="26">
        <v>0</v>
      </c>
      <c r="N412" s="26">
        <v>0</v>
      </c>
      <c r="O412" s="27">
        <v>47.5</v>
      </c>
      <c r="P412" s="27">
        <v>0</v>
      </c>
      <c r="Q412" s="27">
        <v>0</v>
      </c>
      <c r="R412" s="27">
        <v>6.5</v>
      </c>
      <c r="S412" s="27">
        <v>0</v>
      </c>
      <c r="T412" s="27">
        <v>0</v>
      </c>
      <c r="U412" s="27">
        <v>25</v>
      </c>
      <c r="V412" s="27">
        <v>0</v>
      </c>
      <c r="W412" s="27">
        <v>0</v>
      </c>
      <c r="X412" s="27">
        <v>16.5</v>
      </c>
      <c r="Y412" s="27">
        <v>0</v>
      </c>
      <c r="Z412" s="27">
        <v>0</v>
      </c>
      <c r="AA412" s="27">
        <v>36</v>
      </c>
      <c r="AB412" s="27">
        <v>0</v>
      </c>
      <c r="AC412" s="27">
        <v>0</v>
      </c>
      <c r="AD412" s="27">
        <v>51</v>
      </c>
      <c r="AE412" s="27">
        <v>0</v>
      </c>
      <c r="AF412" s="27">
        <v>0</v>
      </c>
      <c r="AG412" s="26">
        <f t="shared" si="24"/>
        <v>315</v>
      </c>
      <c r="AH412" s="26">
        <f t="shared" si="25"/>
        <v>0</v>
      </c>
      <c r="AI412" s="26">
        <f t="shared" si="26"/>
        <v>0</v>
      </c>
      <c r="AJ412" s="15" t="s">
        <v>425</v>
      </c>
      <c r="AK412" s="15" t="s">
        <v>425</v>
      </c>
      <c r="AL412" s="15" t="s">
        <v>317</v>
      </c>
      <c r="AM412" s="19">
        <v>42852</v>
      </c>
    </row>
    <row r="413" spans="1:39" x14ac:dyDescent="0.2">
      <c r="A413" s="15" t="str">
        <f t="shared" si="27"/>
        <v>806433119261</v>
      </c>
      <c r="B413" s="32">
        <v>806433</v>
      </c>
      <c r="C413" s="32" t="s">
        <v>141</v>
      </c>
      <c r="D413" s="17">
        <v>119261</v>
      </c>
      <c r="E413" s="15" t="s">
        <v>140</v>
      </c>
      <c r="F413" s="26">
        <v>448.5</v>
      </c>
      <c r="G413" s="26">
        <v>0</v>
      </c>
      <c r="H413" s="26">
        <v>0</v>
      </c>
      <c r="I413" s="26">
        <v>474.25</v>
      </c>
      <c r="J413" s="26">
        <v>0</v>
      </c>
      <c r="K413" s="26">
        <v>0</v>
      </c>
      <c r="L413" s="26">
        <v>541.5</v>
      </c>
      <c r="M413" s="26">
        <v>35</v>
      </c>
      <c r="N413" s="26">
        <v>3.5</v>
      </c>
      <c r="O413" s="27">
        <v>445.25</v>
      </c>
      <c r="P413" s="27">
        <v>2</v>
      </c>
      <c r="Q413" s="27">
        <v>5</v>
      </c>
      <c r="R413" s="27">
        <v>318.25</v>
      </c>
      <c r="S413" s="27">
        <v>16</v>
      </c>
      <c r="T413" s="27">
        <v>0.75</v>
      </c>
      <c r="U413" s="27">
        <v>378.6</v>
      </c>
      <c r="V413" s="27">
        <v>20.100000000000001</v>
      </c>
      <c r="W413" s="27">
        <v>15.5</v>
      </c>
      <c r="X413" s="27">
        <v>375</v>
      </c>
      <c r="Y413" s="27">
        <v>0</v>
      </c>
      <c r="Z413" s="27">
        <v>0</v>
      </c>
      <c r="AA413" s="27">
        <v>375</v>
      </c>
      <c r="AB413" s="27">
        <v>10</v>
      </c>
      <c r="AC413" s="27">
        <v>11</v>
      </c>
      <c r="AD413" s="27">
        <v>795.2</v>
      </c>
      <c r="AE413" s="27">
        <v>1</v>
      </c>
      <c r="AF413" s="27">
        <v>28.5</v>
      </c>
      <c r="AG413" s="26">
        <f t="shared" si="24"/>
        <v>4151.55</v>
      </c>
      <c r="AH413" s="26">
        <f t="shared" si="25"/>
        <v>84.1</v>
      </c>
      <c r="AI413" s="26">
        <f t="shared" si="26"/>
        <v>64.25</v>
      </c>
      <c r="AJ413" s="15" t="s">
        <v>425</v>
      </c>
      <c r="AK413" s="15" t="s">
        <v>425</v>
      </c>
      <c r="AL413" s="15" t="s">
        <v>317</v>
      </c>
      <c r="AM413" s="19">
        <v>42892</v>
      </c>
    </row>
    <row r="414" spans="1:39" x14ac:dyDescent="0.2">
      <c r="A414" s="15" t="str">
        <f t="shared" si="27"/>
        <v>806510119261</v>
      </c>
      <c r="B414" s="32">
        <v>806510</v>
      </c>
      <c r="C414" s="32" t="s">
        <v>152</v>
      </c>
      <c r="D414" s="17">
        <v>119261</v>
      </c>
      <c r="E414" s="15" t="s">
        <v>140</v>
      </c>
      <c r="F414" s="26">
        <v>10</v>
      </c>
      <c r="G414" s="26">
        <v>0</v>
      </c>
      <c r="H414" s="26">
        <v>0</v>
      </c>
      <c r="I414" s="26">
        <v>0</v>
      </c>
      <c r="J414" s="26">
        <v>0</v>
      </c>
      <c r="K414" s="26">
        <v>0</v>
      </c>
      <c r="L414" s="26">
        <v>35</v>
      </c>
      <c r="M414" s="26">
        <v>0</v>
      </c>
      <c r="N414" s="26">
        <v>0</v>
      </c>
      <c r="O414" s="27">
        <v>0</v>
      </c>
      <c r="P414" s="27">
        <v>0</v>
      </c>
      <c r="Q414" s="27">
        <v>0</v>
      </c>
      <c r="R414" s="27">
        <v>0</v>
      </c>
      <c r="S414" s="27">
        <v>0</v>
      </c>
      <c r="T414" s="27">
        <v>0</v>
      </c>
      <c r="U414" s="27">
        <v>0</v>
      </c>
      <c r="V414" s="27">
        <v>0</v>
      </c>
      <c r="W414" s="27">
        <v>0</v>
      </c>
      <c r="X414" s="27">
        <v>0</v>
      </c>
      <c r="Y414" s="27">
        <v>0</v>
      </c>
      <c r="Z414" s="27">
        <v>0</v>
      </c>
      <c r="AA414" s="27">
        <v>0</v>
      </c>
      <c r="AB414" s="27">
        <v>0</v>
      </c>
      <c r="AC414" s="27">
        <v>0</v>
      </c>
      <c r="AD414" s="27">
        <v>50</v>
      </c>
      <c r="AE414" s="27">
        <v>0</v>
      </c>
      <c r="AF414" s="27">
        <v>0</v>
      </c>
      <c r="AG414" s="26">
        <f t="shared" si="24"/>
        <v>95</v>
      </c>
      <c r="AH414" s="26">
        <f t="shared" si="25"/>
        <v>0</v>
      </c>
      <c r="AI414" s="26">
        <f t="shared" si="26"/>
        <v>0</v>
      </c>
      <c r="AJ414" s="15" t="s">
        <v>425</v>
      </c>
      <c r="AK414" s="15" t="s">
        <v>425</v>
      </c>
      <c r="AL414" s="15" t="s">
        <v>317</v>
      </c>
      <c r="AM414" s="19">
        <v>42909</v>
      </c>
    </row>
    <row r="415" spans="1:39" x14ac:dyDescent="0.2">
      <c r="A415" s="15" t="str">
        <f t="shared" si="27"/>
        <v>806717141146</v>
      </c>
      <c r="B415" s="32">
        <v>806717</v>
      </c>
      <c r="C415" s="32" t="s">
        <v>452</v>
      </c>
      <c r="D415" s="15">
        <v>141146</v>
      </c>
      <c r="E415" s="15" t="s">
        <v>160</v>
      </c>
      <c r="F415" s="26">
        <v>0</v>
      </c>
      <c r="G415" s="26">
        <v>0</v>
      </c>
      <c r="H415" s="26">
        <v>0</v>
      </c>
      <c r="I415" s="26">
        <v>0</v>
      </c>
      <c r="J415" s="26">
        <v>0</v>
      </c>
      <c r="K415" s="26">
        <v>0</v>
      </c>
      <c r="L415" s="26">
        <v>0</v>
      </c>
      <c r="M415" s="26">
        <v>0</v>
      </c>
      <c r="N415" s="26">
        <v>0</v>
      </c>
      <c r="O415" s="27">
        <v>0</v>
      </c>
      <c r="P415" s="27">
        <v>0</v>
      </c>
      <c r="Q415" s="27">
        <v>0</v>
      </c>
      <c r="R415" s="27">
        <v>0</v>
      </c>
      <c r="S415" s="27">
        <v>0</v>
      </c>
      <c r="T415" s="27">
        <v>0</v>
      </c>
      <c r="U415" s="27">
        <v>0</v>
      </c>
      <c r="V415" s="27">
        <v>0</v>
      </c>
      <c r="W415" s="27">
        <v>0</v>
      </c>
      <c r="X415" s="27">
        <v>0</v>
      </c>
      <c r="Y415" s="27">
        <v>0</v>
      </c>
      <c r="Z415" s="27">
        <v>0</v>
      </c>
      <c r="AA415" s="27">
        <v>0</v>
      </c>
      <c r="AB415" s="27">
        <v>0</v>
      </c>
      <c r="AC415" s="27">
        <v>0</v>
      </c>
      <c r="AD415" s="27">
        <v>0</v>
      </c>
      <c r="AE415" s="27">
        <v>0</v>
      </c>
      <c r="AF415" s="27">
        <v>0</v>
      </c>
      <c r="AG415" s="26">
        <f t="shared" si="24"/>
        <v>0</v>
      </c>
      <c r="AH415" s="26">
        <f t="shared" si="25"/>
        <v>0</v>
      </c>
      <c r="AI415" s="26">
        <f t="shared" si="26"/>
        <v>0</v>
      </c>
      <c r="AJ415" s="15" t="s">
        <v>425</v>
      </c>
      <c r="AK415" s="15" t="s">
        <v>425</v>
      </c>
      <c r="AL415" s="15" t="s">
        <v>317</v>
      </c>
      <c r="AM415" s="19">
        <v>42964</v>
      </c>
    </row>
    <row r="416" spans="1:39" x14ac:dyDescent="0.2">
      <c r="A416" s="15" t="str">
        <f t="shared" si="27"/>
        <v>806722119261</v>
      </c>
      <c r="B416" s="32">
        <v>806722</v>
      </c>
      <c r="C416" s="32" t="s">
        <v>270</v>
      </c>
      <c r="D416" s="17">
        <v>119261</v>
      </c>
      <c r="E416" s="15" t="s">
        <v>140</v>
      </c>
      <c r="F416" s="26">
        <v>101</v>
      </c>
      <c r="G416" s="26">
        <v>0</v>
      </c>
      <c r="H416" s="26">
        <v>0</v>
      </c>
      <c r="I416" s="26">
        <v>75</v>
      </c>
      <c r="J416" s="26">
        <v>0</v>
      </c>
      <c r="K416" s="26">
        <v>0</v>
      </c>
      <c r="L416" s="26">
        <v>55</v>
      </c>
      <c r="M416" s="26">
        <v>0</v>
      </c>
      <c r="N416" s="26">
        <v>0</v>
      </c>
      <c r="O416" s="27">
        <v>25</v>
      </c>
      <c r="P416" s="27">
        <v>0</v>
      </c>
      <c r="Q416" s="27">
        <v>0</v>
      </c>
      <c r="R416" s="27">
        <v>35</v>
      </c>
      <c r="S416" s="27">
        <v>0</v>
      </c>
      <c r="T416" s="27">
        <v>0</v>
      </c>
      <c r="U416" s="27">
        <v>35.5</v>
      </c>
      <c r="V416" s="27">
        <v>0</v>
      </c>
      <c r="W416" s="27">
        <v>0</v>
      </c>
      <c r="X416" s="27">
        <v>77</v>
      </c>
      <c r="Y416" s="27">
        <v>0</v>
      </c>
      <c r="Z416" s="27">
        <v>0</v>
      </c>
      <c r="AA416" s="27">
        <v>27.5</v>
      </c>
      <c r="AB416" s="27">
        <v>0</v>
      </c>
      <c r="AC416" s="27">
        <v>0</v>
      </c>
      <c r="AD416" s="27">
        <v>110</v>
      </c>
      <c r="AE416" s="27">
        <v>0</v>
      </c>
      <c r="AF416" s="27">
        <v>0</v>
      </c>
      <c r="AG416" s="26">
        <f t="shared" si="24"/>
        <v>541</v>
      </c>
      <c r="AH416" s="26">
        <f t="shared" si="25"/>
        <v>0</v>
      </c>
      <c r="AI416" s="26">
        <f t="shared" si="26"/>
        <v>0</v>
      </c>
      <c r="AJ416" s="15" t="s">
        <v>425</v>
      </c>
      <c r="AK416" s="15" t="s">
        <v>425</v>
      </c>
      <c r="AL416" s="15" t="s">
        <v>317</v>
      </c>
      <c r="AM416" s="19">
        <v>42964</v>
      </c>
    </row>
    <row r="417" spans="1:39" x14ac:dyDescent="0.2">
      <c r="A417" s="15" t="str">
        <f t="shared" si="27"/>
        <v>806723119261</v>
      </c>
      <c r="B417" s="32">
        <v>806723</v>
      </c>
      <c r="C417" s="32" t="s">
        <v>272</v>
      </c>
      <c r="D417" s="17">
        <v>119261</v>
      </c>
      <c r="E417" s="15" t="s">
        <v>140</v>
      </c>
      <c r="F417" s="26">
        <v>30</v>
      </c>
      <c r="G417" s="26">
        <v>0</v>
      </c>
      <c r="H417" s="26">
        <v>0</v>
      </c>
      <c r="I417" s="26">
        <v>0</v>
      </c>
      <c r="J417" s="26">
        <v>0</v>
      </c>
      <c r="K417" s="26">
        <v>0</v>
      </c>
      <c r="L417" s="26">
        <v>36</v>
      </c>
      <c r="M417" s="26">
        <v>0</v>
      </c>
      <c r="N417" s="26">
        <v>0</v>
      </c>
      <c r="O417" s="27">
        <v>50</v>
      </c>
      <c r="P417" s="27">
        <v>0</v>
      </c>
      <c r="Q417" s="27">
        <v>0</v>
      </c>
      <c r="R417" s="27">
        <v>0</v>
      </c>
      <c r="S417" s="27">
        <v>0</v>
      </c>
      <c r="T417" s="27">
        <v>0</v>
      </c>
      <c r="U417" s="27">
        <v>55</v>
      </c>
      <c r="V417" s="27">
        <v>0</v>
      </c>
      <c r="W417" s="27">
        <v>0</v>
      </c>
      <c r="X417" s="27">
        <v>2</v>
      </c>
      <c r="Y417" s="27">
        <v>0</v>
      </c>
      <c r="Z417" s="27">
        <v>0</v>
      </c>
      <c r="AA417" s="27">
        <v>110.5</v>
      </c>
      <c r="AB417" s="27">
        <v>0</v>
      </c>
      <c r="AC417" s="27">
        <v>0</v>
      </c>
      <c r="AD417" s="27">
        <v>50</v>
      </c>
      <c r="AE417" s="27">
        <v>0</v>
      </c>
      <c r="AF417" s="27">
        <v>0</v>
      </c>
      <c r="AG417" s="26">
        <f t="shared" si="24"/>
        <v>333.5</v>
      </c>
      <c r="AH417" s="26">
        <f t="shared" si="25"/>
        <v>0</v>
      </c>
      <c r="AI417" s="26">
        <f t="shared" si="26"/>
        <v>0</v>
      </c>
      <c r="AJ417" s="15" t="s">
        <v>425</v>
      </c>
      <c r="AK417" s="15" t="s">
        <v>425</v>
      </c>
      <c r="AL417" s="15" t="s">
        <v>317</v>
      </c>
      <c r="AM417" s="19">
        <v>42964</v>
      </c>
    </row>
    <row r="418" spans="1:39" x14ac:dyDescent="0.2">
      <c r="A418" s="15" t="str">
        <f t="shared" si="27"/>
        <v>807120119261</v>
      </c>
      <c r="B418" s="32">
        <v>807120</v>
      </c>
      <c r="C418" s="32" t="s">
        <v>243</v>
      </c>
      <c r="D418" s="17">
        <v>119261</v>
      </c>
      <c r="E418" s="15" t="s">
        <v>140</v>
      </c>
      <c r="F418" s="26">
        <v>390</v>
      </c>
      <c r="G418" s="26">
        <v>0</v>
      </c>
      <c r="H418" s="26">
        <v>0</v>
      </c>
      <c r="I418" s="26">
        <v>300.5</v>
      </c>
      <c r="J418" s="26">
        <v>0</v>
      </c>
      <c r="K418" s="26">
        <v>0</v>
      </c>
      <c r="L418" s="26">
        <v>295.5</v>
      </c>
      <c r="M418" s="26">
        <v>3.5</v>
      </c>
      <c r="N418" s="26">
        <v>1</v>
      </c>
      <c r="O418" s="27">
        <v>360</v>
      </c>
      <c r="P418" s="27">
        <v>0</v>
      </c>
      <c r="Q418" s="27">
        <v>0</v>
      </c>
      <c r="R418" s="27">
        <v>225</v>
      </c>
      <c r="S418" s="27">
        <v>0</v>
      </c>
      <c r="T418" s="27">
        <v>0</v>
      </c>
      <c r="U418" s="27">
        <v>228.5</v>
      </c>
      <c r="V418" s="27">
        <v>0</v>
      </c>
      <c r="W418" s="27">
        <v>0</v>
      </c>
      <c r="X418" s="27">
        <v>300</v>
      </c>
      <c r="Y418" s="27">
        <v>6</v>
      </c>
      <c r="Z418" s="27">
        <v>0</v>
      </c>
      <c r="AA418" s="27">
        <v>300</v>
      </c>
      <c r="AB418" s="27">
        <v>0</v>
      </c>
      <c r="AC418" s="27">
        <v>0</v>
      </c>
      <c r="AD418" s="27">
        <v>301.5</v>
      </c>
      <c r="AE418" s="27">
        <v>15</v>
      </c>
      <c r="AF418" s="27">
        <v>0</v>
      </c>
      <c r="AG418" s="26">
        <f t="shared" si="24"/>
        <v>2701</v>
      </c>
      <c r="AH418" s="26">
        <f t="shared" si="25"/>
        <v>24.5</v>
      </c>
      <c r="AI418" s="26">
        <f t="shared" si="26"/>
        <v>1</v>
      </c>
      <c r="AJ418" s="15" t="s">
        <v>425</v>
      </c>
      <c r="AK418" s="15" t="s">
        <v>425</v>
      </c>
      <c r="AL418" s="15" t="s">
        <v>317</v>
      </c>
      <c r="AM418" s="19">
        <v>43400</v>
      </c>
    </row>
    <row r="419" spans="1:39" x14ac:dyDescent="0.2">
      <c r="A419" s="15" t="str">
        <f t="shared" si="27"/>
        <v>807142171947</v>
      </c>
      <c r="B419" s="32">
        <v>807142</v>
      </c>
      <c r="C419" s="32" t="s">
        <v>171</v>
      </c>
      <c r="D419" s="17">
        <v>171947</v>
      </c>
      <c r="E419" s="15" t="s">
        <v>170</v>
      </c>
      <c r="F419" s="26">
        <v>146.55000000000001</v>
      </c>
      <c r="G419" s="26">
        <v>0</v>
      </c>
      <c r="H419" s="26">
        <v>0</v>
      </c>
      <c r="I419" s="26">
        <v>71</v>
      </c>
      <c r="J419" s="26">
        <v>0</v>
      </c>
      <c r="K419" s="26">
        <v>0</v>
      </c>
      <c r="L419" s="26">
        <v>65</v>
      </c>
      <c r="M419" s="26">
        <v>0</v>
      </c>
      <c r="N419" s="26">
        <v>0</v>
      </c>
      <c r="O419" s="27">
        <v>38</v>
      </c>
      <c r="P419" s="27">
        <v>0</v>
      </c>
      <c r="Q419" s="27">
        <v>0</v>
      </c>
      <c r="R419" s="27">
        <v>116</v>
      </c>
      <c r="S419" s="27">
        <v>1</v>
      </c>
      <c r="T419" s="27">
        <v>0</v>
      </c>
      <c r="U419" s="27">
        <v>136.5</v>
      </c>
      <c r="V419" s="27">
        <v>1</v>
      </c>
      <c r="W419" s="27">
        <v>13</v>
      </c>
      <c r="X419" s="27">
        <v>110.5</v>
      </c>
      <c r="Y419" s="27">
        <v>0</v>
      </c>
      <c r="Z419" s="27">
        <v>2.5</v>
      </c>
      <c r="AA419" s="27">
        <v>120</v>
      </c>
      <c r="AB419" s="27">
        <v>0</v>
      </c>
      <c r="AC419" s="27">
        <v>0</v>
      </c>
      <c r="AD419" s="27">
        <v>105</v>
      </c>
      <c r="AE419" s="27">
        <v>0</v>
      </c>
      <c r="AF419" s="27">
        <v>0</v>
      </c>
      <c r="AG419" s="26">
        <f t="shared" si="24"/>
        <v>908.55</v>
      </c>
      <c r="AH419" s="26">
        <f t="shared" si="25"/>
        <v>2</v>
      </c>
      <c r="AI419" s="26">
        <f t="shared" si="26"/>
        <v>15.5</v>
      </c>
      <c r="AJ419" s="15" t="s">
        <v>425</v>
      </c>
      <c r="AK419" s="15" t="s">
        <v>425</v>
      </c>
      <c r="AL419" s="15" t="s">
        <v>317</v>
      </c>
      <c r="AM419" s="19">
        <v>43406</v>
      </c>
    </row>
    <row r="420" spans="1:39" x14ac:dyDescent="0.2">
      <c r="A420" s="15" t="str">
        <f t="shared" si="27"/>
        <v>807202171947</v>
      </c>
      <c r="B420" s="32">
        <v>807202</v>
      </c>
      <c r="C420" s="32" t="s">
        <v>271</v>
      </c>
      <c r="D420" s="17">
        <v>171947</v>
      </c>
      <c r="E420" s="15" t="s">
        <v>170</v>
      </c>
      <c r="F420" s="26">
        <v>37.5</v>
      </c>
      <c r="G420" s="26">
        <v>7.5</v>
      </c>
      <c r="H420" s="26">
        <v>0</v>
      </c>
      <c r="I420" s="26">
        <v>12.5</v>
      </c>
      <c r="J420" s="26">
        <v>7.5</v>
      </c>
      <c r="K420" s="26">
        <v>0</v>
      </c>
      <c r="L420" s="26">
        <v>28.5</v>
      </c>
      <c r="M420" s="26">
        <v>0</v>
      </c>
      <c r="N420" s="26">
        <v>0</v>
      </c>
      <c r="O420" s="27">
        <v>22.5</v>
      </c>
      <c r="P420" s="27">
        <v>0</v>
      </c>
      <c r="Q420" s="27">
        <v>0</v>
      </c>
      <c r="R420" s="27">
        <v>22.5</v>
      </c>
      <c r="S420" s="27">
        <v>0</v>
      </c>
      <c r="T420" s="27">
        <v>0</v>
      </c>
      <c r="U420" s="27">
        <v>33.25</v>
      </c>
      <c r="V420" s="27">
        <v>0</v>
      </c>
      <c r="W420" s="27">
        <v>0</v>
      </c>
      <c r="X420" s="27">
        <v>42.5</v>
      </c>
      <c r="Y420" s="27">
        <v>0</v>
      </c>
      <c r="Z420" s="27">
        <v>9</v>
      </c>
      <c r="AA420" s="27">
        <v>50.5</v>
      </c>
      <c r="AB420" s="27">
        <v>0</v>
      </c>
      <c r="AC420" s="27">
        <v>0</v>
      </c>
      <c r="AD420" s="27">
        <v>65</v>
      </c>
      <c r="AE420" s="27">
        <v>0</v>
      </c>
      <c r="AF420" s="27">
        <v>0</v>
      </c>
      <c r="AG420" s="26">
        <f t="shared" si="24"/>
        <v>314.75</v>
      </c>
      <c r="AH420" s="26">
        <f t="shared" si="25"/>
        <v>15</v>
      </c>
      <c r="AI420" s="26">
        <f t="shared" si="26"/>
        <v>9</v>
      </c>
      <c r="AJ420" s="15" t="s">
        <v>425</v>
      </c>
      <c r="AK420" s="15" t="s">
        <v>425</v>
      </c>
      <c r="AL420" s="15" t="s">
        <v>317</v>
      </c>
      <c r="AM420" s="19">
        <v>43427</v>
      </c>
    </row>
    <row r="421" spans="1:39" x14ac:dyDescent="0.2">
      <c r="A421" s="15" t="str">
        <f t="shared" si="27"/>
        <v>807203119261</v>
      </c>
      <c r="B421" s="32">
        <v>807203</v>
      </c>
      <c r="C421" s="32" t="s">
        <v>343</v>
      </c>
      <c r="D421" s="15">
        <v>119261</v>
      </c>
      <c r="E421" s="15" t="s">
        <v>140</v>
      </c>
      <c r="F421" s="26">
        <v>0</v>
      </c>
      <c r="G421" s="26">
        <v>0</v>
      </c>
      <c r="H421" s="26">
        <v>0</v>
      </c>
      <c r="I421" s="26">
        <v>0</v>
      </c>
      <c r="J421" s="26">
        <v>0</v>
      </c>
      <c r="K421" s="26">
        <v>0</v>
      </c>
      <c r="L421" s="26">
        <v>10</v>
      </c>
      <c r="M421" s="26">
        <v>0</v>
      </c>
      <c r="N421" s="26">
        <v>0</v>
      </c>
      <c r="O421" s="27">
        <v>0</v>
      </c>
      <c r="P421" s="27">
        <v>0</v>
      </c>
      <c r="Q421" s="27">
        <v>0</v>
      </c>
      <c r="R421" s="27">
        <v>0</v>
      </c>
      <c r="S421" s="27">
        <v>0</v>
      </c>
      <c r="T421" s="27">
        <v>0</v>
      </c>
      <c r="U421" s="27">
        <v>2.5</v>
      </c>
      <c r="V421" s="27">
        <v>2.5</v>
      </c>
      <c r="W421" s="27">
        <v>0</v>
      </c>
      <c r="X421" s="27">
        <v>0</v>
      </c>
      <c r="Y421" s="27">
        <v>0</v>
      </c>
      <c r="Z421" s="27">
        <v>0</v>
      </c>
      <c r="AA421" s="27">
        <v>16</v>
      </c>
      <c r="AB421" s="27">
        <v>0</v>
      </c>
      <c r="AC421" s="27">
        <v>1</v>
      </c>
      <c r="AD421" s="27">
        <v>0</v>
      </c>
      <c r="AE421" s="27">
        <v>0</v>
      </c>
      <c r="AF421" s="27">
        <v>0</v>
      </c>
      <c r="AG421" s="26">
        <f t="shared" si="24"/>
        <v>28.5</v>
      </c>
      <c r="AH421" s="26">
        <f t="shared" si="25"/>
        <v>2.5</v>
      </c>
      <c r="AI421" s="26">
        <f t="shared" si="26"/>
        <v>1</v>
      </c>
      <c r="AJ421" s="15" t="s">
        <v>425</v>
      </c>
      <c r="AK421" s="15" t="s">
        <v>425</v>
      </c>
      <c r="AL421" s="15" t="s">
        <v>317</v>
      </c>
      <c r="AM421" s="19">
        <v>43427</v>
      </c>
    </row>
    <row r="422" spans="1:39" x14ac:dyDescent="0.2">
      <c r="A422" s="15" t="str">
        <f t="shared" si="27"/>
        <v>807244201172</v>
      </c>
      <c r="B422" s="32">
        <v>807244</v>
      </c>
      <c r="C422" s="32" t="s">
        <v>145</v>
      </c>
      <c r="D422" s="17">
        <v>201172</v>
      </c>
      <c r="E422" s="15" t="s">
        <v>144</v>
      </c>
      <c r="F422" s="26">
        <v>0</v>
      </c>
      <c r="G422" s="26">
        <v>0</v>
      </c>
      <c r="H422" s="26">
        <v>0</v>
      </c>
      <c r="I422" s="26">
        <v>76.5</v>
      </c>
      <c r="J422" s="26">
        <v>0</v>
      </c>
      <c r="K422" s="26">
        <v>0</v>
      </c>
      <c r="L422" s="26">
        <v>47.5</v>
      </c>
      <c r="M422" s="26">
        <v>0</v>
      </c>
      <c r="N422" s="26">
        <v>0</v>
      </c>
      <c r="O422" s="27">
        <v>57.5</v>
      </c>
      <c r="P422" s="27">
        <v>0</v>
      </c>
      <c r="Q422" s="27">
        <v>0</v>
      </c>
      <c r="R422" s="27">
        <v>57.25</v>
      </c>
      <c r="S422" s="27">
        <v>0</v>
      </c>
      <c r="T422" s="27">
        <v>0</v>
      </c>
      <c r="U422" s="27">
        <v>49</v>
      </c>
      <c r="V422" s="27">
        <v>0</v>
      </c>
      <c r="W422" s="27">
        <v>0</v>
      </c>
      <c r="X422" s="27">
        <v>66.75</v>
      </c>
      <c r="Y422" s="27">
        <v>6.25</v>
      </c>
      <c r="Z422" s="27">
        <v>0</v>
      </c>
      <c r="AA422" s="27">
        <v>52</v>
      </c>
      <c r="AB422" s="27">
        <v>0</v>
      </c>
      <c r="AC422" s="27">
        <v>0</v>
      </c>
      <c r="AD422" s="27">
        <v>56.5</v>
      </c>
      <c r="AE422" s="27">
        <v>0</v>
      </c>
      <c r="AF422" s="27">
        <v>0</v>
      </c>
      <c r="AG422" s="26">
        <f t="shared" si="24"/>
        <v>463</v>
      </c>
      <c r="AH422" s="26">
        <f t="shared" si="25"/>
        <v>6.25</v>
      </c>
      <c r="AI422" s="26">
        <f t="shared" si="26"/>
        <v>0</v>
      </c>
      <c r="AJ422" s="15" t="s">
        <v>425</v>
      </c>
      <c r="AK422" s="15" t="s">
        <v>425</v>
      </c>
      <c r="AL422" s="15" t="s">
        <v>317</v>
      </c>
      <c r="AM422" s="19">
        <v>43054</v>
      </c>
    </row>
    <row r="423" spans="1:39" x14ac:dyDescent="0.2">
      <c r="A423" s="15" t="str">
        <f t="shared" si="27"/>
        <v>807416176279</v>
      </c>
      <c r="B423" s="32">
        <v>807416</v>
      </c>
      <c r="C423" s="32" t="s">
        <v>230</v>
      </c>
      <c r="D423" s="17">
        <v>176279</v>
      </c>
      <c r="E423" s="15" t="s">
        <v>145</v>
      </c>
      <c r="F423" s="26">
        <v>88</v>
      </c>
      <c r="G423" s="26">
        <v>0</v>
      </c>
      <c r="H423" s="26">
        <v>0</v>
      </c>
      <c r="I423" s="26">
        <v>67</v>
      </c>
      <c r="J423" s="26">
        <v>0</v>
      </c>
      <c r="K423" s="26">
        <v>0</v>
      </c>
      <c r="L423" s="26">
        <v>32.75</v>
      </c>
      <c r="M423" s="26">
        <v>0</v>
      </c>
      <c r="N423" s="26">
        <v>1</v>
      </c>
      <c r="O423" s="27">
        <v>54.5</v>
      </c>
      <c r="P423" s="27">
        <v>0</v>
      </c>
      <c r="Q423" s="27">
        <v>0</v>
      </c>
      <c r="R423" s="27">
        <v>41.8</v>
      </c>
      <c r="S423" s="27">
        <v>0</v>
      </c>
      <c r="T423" s="27">
        <v>0</v>
      </c>
      <c r="U423" s="27">
        <v>32.5</v>
      </c>
      <c r="V423" s="27">
        <v>0</v>
      </c>
      <c r="W423" s="27">
        <v>0</v>
      </c>
      <c r="X423" s="27">
        <v>47.5</v>
      </c>
      <c r="Y423" s="27">
        <v>0</v>
      </c>
      <c r="Z423" s="27">
        <v>0</v>
      </c>
      <c r="AA423" s="27">
        <v>40.5</v>
      </c>
      <c r="AB423" s="27">
        <v>0</v>
      </c>
      <c r="AC423" s="27">
        <v>0</v>
      </c>
      <c r="AD423" s="27">
        <v>85</v>
      </c>
      <c r="AE423" s="27">
        <v>0</v>
      </c>
      <c r="AF423" s="27">
        <v>0</v>
      </c>
      <c r="AG423" s="26">
        <f t="shared" si="24"/>
        <v>489.55</v>
      </c>
      <c r="AH423" s="26">
        <f t="shared" si="25"/>
        <v>0</v>
      </c>
      <c r="AI423" s="26">
        <f t="shared" si="26"/>
        <v>1</v>
      </c>
      <c r="AJ423" s="15" t="s">
        <v>425</v>
      </c>
      <c r="AK423" s="15" t="s">
        <v>425</v>
      </c>
      <c r="AL423" s="15" t="s">
        <v>317</v>
      </c>
      <c r="AM423" s="19">
        <v>43458</v>
      </c>
    </row>
    <row r="424" spans="1:39" x14ac:dyDescent="0.2">
      <c r="A424" s="15" t="str">
        <f t="shared" si="27"/>
        <v>807576201172</v>
      </c>
      <c r="B424" s="32">
        <v>807576</v>
      </c>
      <c r="C424" s="32" t="s">
        <v>173</v>
      </c>
      <c r="D424" s="17">
        <v>201172</v>
      </c>
      <c r="E424" s="15" t="s">
        <v>144</v>
      </c>
      <c r="F424" s="26">
        <v>27.5</v>
      </c>
      <c r="G424" s="26">
        <v>0</v>
      </c>
      <c r="H424" s="26">
        <v>0</v>
      </c>
      <c r="I424" s="26">
        <v>15</v>
      </c>
      <c r="J424" s="26">
        <v>0</v>
      </c>
      <c r="K424" s="26">
        <v>0</v>
      </c>
      <c r="L424" s="26">
        <v>47.5</v>
      </c>
      <c r="M424" s="26">
        <v>0</v>
      </c>
      <c r="N424" s="26">
        <v>0</v>
      </c>
      <c r="O424" s="27">
        <v>24.05</v>
      </c>
      <c r="P424" s="27">
        <v>2.5</v>
      </c>
      <c r="Q424" s="27">
        <v>0</v>
      </c>
      <c r="R424" s="27">
        <v>65.5</v>
      </c>
      <c r="S424" s="27">
        <v>14</v>
      </c>
      <c r="T424" s="27">
        <v>0</v>
      </c>
      <c r="U424" s="27">
        <v>24.75</v>
      </c>
      <c r="V424" s="27">
        <v>0</v>
      </c>
      <c r="W424" s="27">
        <v>0</v>
      </c>
      <c r="X424" s="27">
        <v>22.5</v>
      </c>
      <c r="Y424" s="27">
        <v>7.5</v>
      </c>
      <c r="Z424" s="27">
        <v>0</v>
      </c>
      <c r="AA424" s="27">
        <v>15</v>
      </c>
      <c r="AB424" s="27">
        <v>0</v>
      </c>
      <c r="AC424" s="27">
        <v>0</v>
      </c>
      <c r="AD424" s="27">
        <v>40</v>
      </c>
      <c r="AE424" s="27">
        <v>0</v>
      </c>
      <c r="AF424" s="27">
        <v>0</v>
      </c>
      <c r="AG424" s="26">
        <f t="shared" si="24"/>
        <v>281.8</v>
      </c>
      <c r="AH424" s="26">
        <f t="shared" si="25"/>
        <v>24</v>
      </c>
      <c r="AI424" s="26">
        <f t="shared" si="26"/>
        <v>0</v>
      </c>
      <c r="AJ424" s="15" t="s">
        <v>425</v>
      </c>
      <c r="AK424" s="15" t="s">
        <v>425</v>
      </c>
      <c r="AL424" s="15" t="s">
        <v>317</v>
      </c>
      <c r="AM424" s="19">
        <v>43064</v>
      </c>
    </row>
    <row r="425" spans="1:39" x14ac:dyDescent="0.2">
      <c r="A425" s="15" t="str">
        <f t="shared" si="27"/>
        <v>807780149893</v>
      </c>
      <c r="B425" s="32">
        <v>807780</v>
      </c>
      <c r="C425" s="32" t="s">
        <v>65</v>
      </c>
      <c r="D425" s="17">
        <v>149893</v>
      </c>
      <c r="E425" s="15" t="s">
        <v>194</v>
      </c>
      <c r="F425" s="26">
        <v>0</v>
      </c>
      <c r="G425" s="26">
        <v>0</v>
      </c>
      <c r="H425" s="26">
        <v>0</v>
      </c>
      <c r="I425" s="26">
        <v>0</v>
      </c>
      <c r="J425" s="26">
        <v>0</v>
      </c>
      <c r="K425" s="26">
        <v>0</v>
      </c>
      <c r="L425" s="26">
        <v>0</v>
      </c>
      <c r="M425" s="26">
        <v>0</v>
      </c>
      <c r="N425" s="26">
        <v>0</v>
      </c>
      <c r="O425" s="27">
        <v>0</v>
      </c>
      <c r="P425" s="27">
        <v>0</v>
      </c>
      <c r="Q425" s="27">
        <v>0</v>
      </c>
      <c r="R425" s="27">
        <v>0</v>
      </c>
      <c r="S425" s="27">
        <v>0</v>
      </c>
      <c r="T425" s="27">
        <v>0</v>
      </c>
      <c r="U425" s="27">
        <v>0</v>
      </c>
      <c r="V425" s="27">
        <v>0</v>
      </c>
      <c r="W425" s="27">
        <v>0</v>
      </c>
      <c r="X425" s="27">
        <v>0</v>
      </c>
      <c r="Y425" s="27">
        <v>0</v>
      </c>
      <c r="Z425" s="27">
        <v>0</v>
      </c>
      <c r="AA425" s="27">
        <v>0</v>
      </c>
      <c r="AB425" s="27">
        <v>0</v>
      </c>
      <c r="AC425" s="27">
        <v>0</v>
      </c>
      <c r="AD425" s="27">
        <v>0</v>
      </c>
      <c r="AE425" s="27">
        <v>0</v>
      </c>
      <c r="AF425" s="27">
        <v>0</v>
      </c>
      <c r="AG425" s="26">
        <f t="shared" si="24"/>
        <v>0</v>
      </c>
      <c r="AH425" s="26">
        <f t="shared" si="25"/>
        <v>0</v>
      </c>
      <c r="AI425" s="26">
        <f t="shared" si="26"/>
        <v>0</v>
      </c>
      <c r="AJ425" s="15" t="s">
        <v>425</v>
      </c>
      <c r="AK425" s="15" t="s">
        <v>425</v>
      </c>
      <c r="AL425" s="15" t="s">
        <v>317</v>
      </c>
      <c r="AM425" s="19">
        <v>43487</v>
      </c>
    </row>
    <row r="426" spans="1:39" x14ac:dyDescent="0.2">
      <c r="A426" s="15" t="str">
        <f t="shared" si="27"/>
        <v>807781176647</v>
      </c>
      <c r="B426" s="32">
        <v>807781</v>
      </c>
      <c r="C426" s="32" t="s">
        <v>65</v>
      </c>
      <c r="D426" s="17">
        <v>176647</v>
      </c>
      <c r="E426" s="15" t="s">
        <v>221</v>
      </c>
      <c r="F426" s="26">
        <v>25</v>
      </c>
      <c r="G426" s="26">
        <v>0</v>
      </c>
      <c r="H426" s="26">
        <v>0</v>
      </c>
      <c r="I426" s="26">
        <v>55.5</v>
      </c>
      <c r="J426" s="26">
        <v>0</v>
      </c>
      <c r="K426" s="26">
        <v>0</v>
      </c>
      <c r="L426" s="26">
        <v>104</v>
      </c>
      <c r="M426" s="26">
        <v>0</v>
      </c>
      <c r="N426" s="26">
        <v>0</v>
      </c>
      <c r="O426" s="27">
        <v>72.5</v>
      </c>
      <c r="P426" s="27">
        <v>0</v>
      </c>
      <c r="Q426" s="27">
        <v>0</v>
      </c>
      <c r="R426" s="27">
        <v>70</v>
      </c>
      <c r="S426" s="27">
        <v>0</v>
      </c>
      <c r="T426" s="27">
        <v>0</v>
      </c>
      <c r="U426" s="27">
        <v>24.5</v>
      </c>
      <c r="V426" s="27">
        <v>0</v>
      </c>
      <c r="W426" s="27">
        <v>0</v>
      </c>
      <c r="X426" s="27">
        <v>25</v>
      </c>
      <c r="Y426" s="27">
        <v>0</v>
      </c>
      <c r="Z426" s="27">
        <v>0</v>
      </c>
      <c r="AA426" s="27">
        <v>32.5</v>
      </c>
      <c r="AB426" s="27">
        <v>0</v>
      </c>
      <c r="AC426" s="27">
        <v>0</v>
      </c>
      <c r="AD426" s="27">
        <v>79</v>
      </c>
      <c r="AE426" s="27">
        <v>0</v>
      </c>
      <c r="AF426" s="27">
        <v>0</v>
      </c>
      <c r="AG426" s="26">
        <f t="shared" si="24"/>
        <v>488</v>
      </c>
      <c r="AH426" s="26">
        <f t="shared" si="25"/>
        <v>0</v>
      </c>
      <c r="AI426" s="26">
        <f t="shared" si="26"/>
        <v>0</v>
      </c>
      <c r="AJ426" s="15" t="s">
        <v>425</v>
      </c>
      <c r="AK426" s="15" t="s">
        <v>425</v>
      </c>
      <c r="AL426" s="15" t="s">
        <v>317</v>
      </c>
      <c r="AM426" s="19">
        <v>43487</v>
      </c>
    </row>
    <row r="427" spans="1:39" x14ac:dyDescent="0.2">
      <c r="A427" s="15" t="str">
        <f t="shared" si="27"/>
        <v>807889119261</v>
      </c>
      <c r="B427" s="32">
        <v>807889</v>
      </c>
      <c r="C427" s="32" t="s">
        <v>214</v>
      </c>
      <c r="D427" s="17">
        <v>119261</v>
      </c>
      <c r="E427" s="15" t="s">
        <v>140</v>
      </c>
      <c r="F427" s="26">
        <v>50.5</v>
      </c>
      <c r="G427" s="26">
        <v>0</v>
      </c>
      <c r="H427" s="26">
        <v>0</v>
      </c>
      <c r="I427" s="26">
        <v>55</v>
      </c>
      <c r="J427" s="26">
        <v>0</v>
      </c>
      <c r="K427" s="26">
        <v>0</v>
      </c>
      <c r="L427" s="26">
        <v>75</v>
      </c>
      <c r="M427" s="26">
        <v>0</v>
      </c>
      <c r="N427" s="26">
        <v>20</v>
      </c>
      <c r="O427" s="27">
        <v>35</v>
      </c>
      <c r="P427" s="27">
        <v>0</v>
      </c>
      <c r="Q427" s="27">
        <v>0</v>
      </c>
      <c r="R427" s="27">
        <v>75</v>
      </c>
      <c r="S427" s="27">
        <v>0</v>
      </c>
      <c r="T427" s="27">
        <v>0</v>
      </c>
      <c r="U427" s="27">
        <v>77</v>
      </c>
      <c r="V427" s="27">
        <v>0</v>
      </c>
      <c r="W427" s="27">
        <v>0</v>
      </c>
      <c r="X427" s="27">
        <v>123.5</v>
      </c>
      <c r="Y427" s="27">
        <v>0</v>
      </c>
      <c r="Z427" s="27">
        <v>0</v>
      </c>
      <c r="AA427" s="27">
        <v>15</v>
      </c>
      <c r="AB427" s="27">
        <v>0</v>
      </c>
      <c r="AC427" s="27">
        <v>0</v>
      </c>
      <c r="AD427" s="27">
        <v>0</v>
      </c>
      <c r="AE427" s="27">
        <v>0</v>
      </c>
      <c r="AF427" s="27">
        <v>0</v>
      </c>
      <c r="AG427" s="26">
        <f t="shared" si="24"/>
        <v>506</v>
      </c>
      <c r="AH427" s="26">
        <f t="shared" si="25"/>
        <v>0</v>
      </c>
      <c r="AI427" s="26">
        <f t="shared" si="26"/>
        <v>20</v>
      </c>
      <c r="AJ427" s="15" t="s">
        <v>425</v>
      </c>
      <c r="AK427" s="15" t="s">
        <v>425</v>
      </c>
      <c r="AL427" s="15" t="s">
        <v>317</v>
      </c>
      <c r="AM427" s="19">
        <v>43111</v>
      </c>
    </row>
    <row r="428" spans="1:39" x14ac:dyDescent="0.2">
      <c r="A428" s="15" t="str">
        <f t="shared" si="27"/>
        <v>808730201172</v>
      </c>
      <c r="B428" s="32">
        <v>808730</v>
      </c>
      <c r="C428" s="32" t="s">
        <v>192</v>
      </c>
      <c r="D428" s="17">
        <v>201172</v>
      </c>
      <c r="E428" s="15" t="s">
        <v>144</v>
      </c>
      <c r="F428" s="26">
        <v>33.65</v>
      </c>
      <c r="G428" s="26">
        <v>0</v>
      </c>
      <c r="H428" s="26">
        <v>0</v>
      </c>
      <c r="I428" s="26">
        <v>48.5</v>
      </c>
      <c r="J428" s="26">
        <v>0</v>
      </c>
      <c r="K428" s="26">
        <v>0</v>
      </c>
      <c r="L428" s="26">
        <v>23</v>
      </c>
      <c r="M428" s="26">
        <v>0</v>
      </c>
      <c r="N428" s="26">
        <v>0</v>
      </c>
      <c r="O428" s="27">
        <v>16.149999999999999</v>
      </c>
      <c r="P428" s="27">
        <v>0</v>
      </c>
      <c r="Q428" s="27">
        <v>0</v>
      </c>
      <c r="R428" s="27">
        <v>16.25</v>
      </c>
      <c r="S428" s="27">
        <v>0</v>
      </c>
      <c r="T428" s="27">
        <v>0</v>
      </c>
      <c r="U428" s="27">
        <v>5</v>
      </c>
      <c r="V428" s="27">
        <v>0</v>
      </c>
      <c r="W428" s="27">
        <v>0</v>
      </c>
      <c r="X428" s="27">
        <v>17.5</v>
      </c>
      <c r="Y428" s="27">
        <v>0</v>
      </c>
      <c r="Z428" s="27">
        <v>0</v>
      </c>
      <c r="AA428" s="27">
        <v>22.5</v>
      </c>
      <c r="AB428" s="27">
        <v>0</v>
      </c>
      <c r="AC428" s="27">
        <v>0</v>
      </c>
      <c r="AD428" s="27">
        <v>2.5</v>
      </c>
      <c r="AE428" s="27">
        <v>0</v>
      </c>
      <c r="AF428" s="27">
        <v>0</v>
      </c>
      <c r="AG428" s="26">
        <f t="shared" si="24"/>
        <v>185.05</v>
      </c>
      <c r="AH428" s="26">
        <f t="shared" si="25"/>
        <v>0</v>
      </c>
      <c r="AI428" s="26">
        <f t="shared" si="26"/>
        <v>0</v>
      </c>
      <c r="AJ428" s="15" t="s">
        <v>425</v>
      </c>
      <c r="AK428" s="15" t="s">
        <v>425</v>
      </c>
      <c r="AL428" s="15" t="s">
        <v>317</v>
      </c>
      <c r="AM428" s="19">
        <v>43315</v>
      </c>
    </row>
    <row r="429" spans="1:39" x14ac:dyDescent="0.2">
      <c r="A429" s="15" t="str">
        <f t="shared" si="27"/>
        <v>808937125022</v>
      </c>
      <c r="B429" s="32">
        <v>808937</v>
      </c>
      <c r="C429" s="32" t="s">
        <v>39</v>
      </c>
      <c r="D429" s="17">
        <v>125022</v>
      </c>
      <c r="E429" s="15" t="s">
        <v>195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7">
        <v>0</v>
      </c>
      <c r="P429" s="27">
        <v>0</v>
      </c>
      <c r="Q429" s="27">
        <v>0</v>
      </c>
      <c r="R429" s="27">
        <v>0.95</v>
      </c>
      <c r="S429" s="27">
        <v>0</v>
      </c>
      <c r="T429" s="27">
        <v>0</v>
      </c>
      <c r="U429" s="27">
        <v>0</v>
      </c>
      <c r="V429" s="27">
        <v>0</v>
      </c>
      <c r="W429" s="27">
        <v>0</v>
      </c>
      <c r="X429" s="27">
        <v>0</v>
      </c>
      <c r="Y429" s="27">
        <v>0</v>
      </c>
      <c r="Z429" s="27">
        <v>0</v>
      </c>
      <c r="AA429" s="27">
        <v>0</v>
      </c>
      <c r="AB429" s="27">
        <v>0</v>
      </c>
      <c r="AC429" s="27">
        <v>0</v>
      </c>
      <c r="AD429" s="27">
        <v>0</v>
      </c>
      <c r="AE429" s="27">
        <v>0</v>
      </c>
      <c r="AF429" s="27">
        <v>0</v>
      </c>
      <c r="AG429" s="26">
        <f t="shared" ref="AG429:AG492" si="28">SUMIF($F$2:$AF$2,"Total",F429:AF429)</f>
        <v>0.95</v>
      </c>
      <c r="AH429" s="26">
        <f t="shared" ref="AH429:AH492" si="29">SUMIF($F$2:$AF$2,"WS",F429:AF429)</f>
        <v>0</v>
      </c>
      <c r="AI429" s="26">
        <f t="shared" ref="AI429:AI492" si="30">SUMIF($F$2:$AF$2,"PPCSS",F429:AF429)</f>
        <v>0</v>
      </c>
      <c r="AJ429" s="15" t="s">
        <v>425</v>
      </c>
      <c r="AK429" s="15" t="s">
        <v>425</v>
      </c>
      <c r="AL429" s="15" t="s">
        <v>317</v>
      </c>
      <c r="AM429" s="19">
        <v>43294</v>
      </c>
    </row>
    <row r="430" spans="1:39" x14ac:dyDescent="0.2">
      <c r="A430" s="15" t="str">
        <f t="shared" si="27"/>
        <v>809330176647</v>
      </c>
      <c r="B430" s="32">
        <v>809330</v>
      </c>
      <c r="C430" s="32" t="s">
        <v>222</v>
      </c>
      <c r="D430" s="17">
        <v>176647</v>
      </c>
      <c r="E430" s="15" t="s">
        <v>221</v>
      </c>
      <c r="F430" s="26">
        <v>221</v>
      </c>
      <c r="G430" s="26">
        <v>0</v>
      </c>
      <c r="H430" s="26">
        <v>0</v>
      </c>
      <c r="I430" s="26">
        <v>149.5</v>
      </c>
      <c r="J430" s="26">
        <v>0</v>
      </c>
      <c r="K430" s="26">
        <v>0</v>
      </c>
      <c r="L430" s="26">
        <v>154.5</v>
      </c>
      <c r="M430" s="26">
        <v>0</v>
      </c>
      <c r="N430" s="26">
        <v>0</v>
      </c>
      <c r="O430" s="27">
        <v>69.5</v>
      </c>
      <c r="P430" s="27">
        <v>0</v>
      </c>
      <c r="Q430" s="27">
        <v>0</v>
      </c>
      <c r="R430" s="27">
        <v>57</v>
      </c>
      <c r="S430" s="27">
        <v>0</v>
      </c>
      <c r="T430" s="27">
        <v>0</v>
      </c>
      <c r="U430" s="27">
        <v>112.3</v>
      </c>
      <c r="V430" s="27">
        <v>0</v>
      </c>
      <c r="W430" s="27">
        <v>0</v>
      </c>
      <c r="X430" s="27">
        <v>88</v>
      </c>
      <c r="Y430" s="27">
        <v>0</v>
      </c>
      <c r="Z430" s="27">
        <v>0</v>
      </c>
      <c r="AA430" s="27">
        <v>55</v>
      </c>
      <c r="AB430" s="27">
        <v>10</v>
      </c>
      <c r="AC430" s="27">
        <v>0</v>
      </c>
      <c r="AD430" s="27">
        <v>177</v>
      </c>
      <c r="AE430" s="27">
        <v>0</v>
      </c>
      <c r="AF430" s="27">
        <v>2.5</v>
      </c>
      <c r="AG430" s="26">
        <f t="shared" si="28"/>
        <v>1083.8</v>
      </c>
      <c r="AH430" s="26">
        <f t="shared" si="29"/>
        <v>10</v>
      </c>
      <c r="AI430" s="26">
        <f t="shared" si="30"/>
        <v>2.5</v>
      </c>
      <c r="AJ430" s="15" t="s">
        <v>425</v>
      </c>
      <c r="AK430" s="15" t="s">
        <v>425</v>
      </c>
      <c r="AL430" s="15" t="s">
        <v>317</v>
      </c>
      <c r="AM430" s="19">
        <v>43558</v>
      </c>
    </row>
    <row r="431" spans="1:39" x14ac:dyDescent="0.2">
      <c r="A431" s="15" t="str">
        <f t="shared" si="27"/>
        <v>809534174445</v>
      </c>
      <c r="B431" s="32">
        <v>809534</v>
      </c>
      <c r="C431" s="32" t="s">
        <v>249</v>
      </c>
      <c r="D431" s="17">
        <v>174445</v>
      </c>
      <c r="E431" s="15" t="s">
        <v>143</v>
      </c>
      <c r="F431" s="26">
        <v>0</v>
      </c>
      <c r="G431" s="26">
        <v>0</v>
      </c>
      <c r="H431" s="26">
        <v>0</v>
      </c>
      <c r="I431" s="26">
        <v>0</v>
      </c>
      <c r="J431" s="26">
        <v>0</v>
      </c>
      <c r="K431" s="26">
        <v>0</v>
      </c>
      <c r="L431" s="26">
        <v>0</v>
      </c>
      <c r="M431" s="26">
        <v>0</v>
      </c>
      <c r="N431" s="26">
        <v>0</v>
      </c>
      <c r="O431" s="27">
        <v>0</v>
      </c>
      <c r="P431" s="27">
        <v>0</v>
      </c>
      <c r="Q431" s="27">
        <v>0</v>
      </c>
      <c r="R431" s="27">
        <v>21</v>
      </c>
      <c r="S431" s="27">
        <v>0</v>
      </c>
      <c r="T431" s="27">
        <v>0</v>
      </c>
      <c r="U431" s="27">
        <v>24.25</v>
      </c>
      <c r="V431" s="27">
        <v>0</v>
      </c>
      <c r="W431" s="27">
        <v>0</v>
      </c>
      <c r="X431" s="27">
        <v>20</v>
      </c>
      <c r="Y431" s="27">
        <v>0</v>
      </c>
      <c r="Z431" s="27">
        <v>0</v>
      </c>
      <c r="AA431" s="27">
        <v>10</v>
      </c>
      <c r="AB431" s="27">
        <v>0</v>
      </c>
      <c r="AC431" s="27">
        <v>0</v>
      </c>
      <c r="AD431" s="27">
        <v>15</v>
      </c>
      <c r="AE431" s="27">
        <v>0</v>
      </c>
      <c r="AF431" s="27">
        <v>0</v>
      </c>
      <c r="AG431" s="26">
        <f t="shared" si="28"/>
        <v>90.25</v>
      </c>
      <c r="AH431" s="26">
        <f t="shared" si="29"/>
        <v>0</v>
      </c>
      <c r="AI431" s="26">
        <f t="shared" si="30"/>
        <v>0</v>
      </c>
      <c r="AJ431" s="15" t="s">
        <v>425</v>
      </c>
      <c r="AK431" s="15" t="s">
        <v>425</v>
      </c>
      <c r="AL431" s="15" t="s">
        <v>317</v>
      </c>
      <c r="AM431" s="19">
        <v>43596</v>
      </c>
    </row>
    <row r="432" spans="1:39" x14ac:dyDescent="0.2">
      <c r="A432" s="15" t="str">
        <f t="shared" si="27"/>
        <v>809579119261</v>
      </c>
      <c r="B432" s="32">
        <v>809579</v>
      </c>
      <c r="C432" s="32" t="s">
        <v>213</v>
      </c>
      <c r="D432" s="17">
        <v>119261</v>
      </c>
      <c r="E432" s="15" t="s">
        <v>140</v>
      </c>
      <c r="F432" s="26">
        <v>301.5</v>
      </c>
      <c r="G432" s="26">
        <v>15</v>
      </c>
      <c r="H432" s="26">
        <v>0</v>
      </c>
      <c r="I432" s="26">
        <v>245.5</v>
      </c>
      <c r="J432" s="26">
        <v>15</v>
      </c>
      <c r="K432" s="26">
        <v>0</v>
      </c>
      <c r="L432" s="26">
        <v>400.5</v>
      </c>
      <c r="M432" s="26">
        <v>0</v>
      </c>
      <c r="N432" s="26">
        <v>1.5</v>
      </c>
      <c r="O432" s="27">
        <v>304.14999999999998</v>
      </c>
      <c r="P432" s="27">
        <v>0</v>
      </c>
      <c r="Q432" s="27">
        <v>0</v>
      </c>
      <c r="R432" s="27">
        <v>111</v>
      </c>
      <c r="S432" s="27">
        <v>5.5</v>
      </c>
      <c r="T432" s="27">
        <v>0</v>
      </c>
      <c r="U432" s="27">
        <v>310</v>
      </c>
      <c r="V432" s="27">
        <v>0</v>
      </c>
      <c r="W432" s="27">
        <v>0</v>
      </c>
      <c r="X432" s="27">
        <v>300</v>
      </c>
      <c r="Y432" s="27">
        <v>0</v>
      </c>
      <c r="Z432" s="27">
        <v>3.75</v>
      </c>
      <c r="AA432" s="27">
        <v>368.5</v>
      </c>
      <c r="AB432" s="27">
        <v>0</v>
      </c>
      <c r="AC432" s="27">
        <v>0</v>
      </c>
      <c r="AD432" s="27">
        <v>412.5</v>
      </c>
      <c r="AE432" s="27">
        <v>0</v>
      </c>
      <c r="AF432" s="27">
        <v>0</v>
      </c>
      <c r="AG432" s="26">
        <f t="shared" si="28"/>
        <v>2753.65</v>
      </c>
      <c r="AH432" s="26">
        <f t="shared" si="29"/>
        <v>35.5</v>
      </c>
      <c r="AI432" s="26">
        <f t="shared" si="30"/>
        <v>5.25</v>
      </c>
      <c r="AJ432" s="15" t="s">
        <v>425</v>
      </c>
      <c r="AK432" s="15" t="s">
        <v>425</v>
      </c>
      <c r="AL432" s="15" t="s">
        <v>317</v>
      </c>
      <c r="AM432" s="19">
        <v>43605</v>
      </c>
    </row>
    <row r="433" spans="1:39" x14ac:dyDescent="0.2">
      <c r="A433" s="15" t="str">
        <f t="shared" si="27"/>
        <v>809618171947</v>
      </c>
      <c r="B433" s="32">
        <v>809618</v>
      </c>
      <c r="C433" s="32" t="s">
        <v>200</v>
      </c>
      <c r="D433" s="17">
        <v>171947</v>
      </c>
      <c r="E433" s="15" t="s">
        <v>170</v>
      </c>
      <c r="F433" s="26">
        <v>50</v>
      </c>
      <c r="G433" s="26">
        <v>0</v>
      </c>
      <c r="H433" s="26">
        <v>0</v>
      </c>
      <c r="I433" s="26">
        <v>7.5</v>
      </c>
      <c r="J433" s="26">
        <v>0</v>
      </c>
      <c r="K433" s="26">
        <v>0</v>
      </c>
      <c r="L433" s="26">
        <v>8</v>
      </c>
      <c r="M433" s="26">
        <v>0</v>
      </c>
      <c r="N433" s="26">
        <v>0</v>
      </c>
      <c r="O433" s="27">
        <v>0</v>
      </c>
      <c r="P433" s="27">
        <v>0</v>
      </c>
      <c r="Q433" s="27">
        <v>0</v>
      </c>
      <c r="R433" s="27">
        <v>0</v>
      </c>
      <c r="S433" s="27">
        <v>0</v>
      </c>
      <c r="T433" s="27">
        <v>0</v>
      </c>
      <c r="U433" s="27">
        <v>0</v>
      </c>
      <c r="V433" s="27">
        <v>0</v>
      </c>
      <c r="W433" s="27">
        <v>0</v>
      </c>
      <c r="X433" s="27">
        <v>0</v>
      </c>
      <c r="Y433" s="27">
        <v>0</v>
      </c>
      <c r="Z433" s="27">
        <v>0</v>
      </c>
      <c r="AA433" s="27">
        <v>0</v>
      </c>
      <c r="AB433" s="27">
        <v>0</v>
      </c>
      <c r="AC433" s="27">
        <v>0</v>
      </c>
      <c r="AD433" s="27">
        <v>0</v>
      </c>
      <c r="AE433" s="27">
        <v>0</v>
      </c>
      <c r="AF433" s="27">
        <v>0</v>
      </c>
      <c r="AG433" s="26">
        <f t="shared" si="28"/>
        <v>65.5</v>
      </c>
      <c r="AH433" s="26">
        <f t="shared" si="29"/>
        <v>0</v>
      </c>
      <c r="AI433" s="26">
        <f t="shared" si="30"/>
        <v>0</v>
      </c>
      <c r="AJ433" s="15" t="s">
        <v>425</v>
      </c>
      <c r="AK433" s="15" t="s">
        <v>425</v>
      </c>
      <c r="AL433" s="15" t="s">
        <v>317</v>
      </c>
      <c r="AM433" s="19">
        <v>43609</v>
      </c>
    </row>
    <row r="434" spans="1:39" x14ac:dyDescent="0.2">
      <c r="A434" s="15" t="str">
        <f t="shared" si="27"/>
        <v>809917172150</v>
      </c>
      <c r="B434" s="32">
        <v>809917</v>
      </c>
      <c r="C434" s="32" t="s">
        <v>183</v>
      </c>
      <c r="D434" s="17">
        <v>172150</v>
      </c>
      <c r="E434" s="15" t="s">
        <v>148</v>
      </c>
      <c r="F434" s="26">
        <v>169.95</v>
      </c>
      <c r="G434" s="26">
        <v>9.5</v>
      </c>
      <c r="H434" s="26">
        <v>0</v>
      </c>
      <c r="I434" s="26">
        <v>166.5</v>
      </c>
      <c r="J434" s="26">
        <v>9.5</v>
      </c>
      <c r="K434" s="26">
        <v>0</v>
      </c>
      <c r="L434" s="26">
        <v>191.4</v>
      </c>
      <c r="M434" s="26">
        <v>14.1</v>
      </c>
      <c r="N434" s="26">
        <v>0</v>
      </c>
      <c r="O434" s="27">
        <v>142.5</v>
      </c>
      <c r="P434" s="27">
        <v>1</v>
      </c>
      <c r="Q434" s="27">
        <v>8.5</v>
      </c>
      <c r="R434" s="27">
        <v>75.25</v>
      </c>
      <c r="S434" s="27">
        <v>3.75</v>
      </c>
      <c r="T434" s="27">
        <v>2.5</v>
      </c>
      <c r="U434" s="27">
        <v>170.25</v>
      </c>
      <c r="V434" s="27">
        <v>10.5</v>
      </c>
      <c r="W434" s="27">
        <v>0</v>
      </c>
      <c r="X434" s="27">
        <v>138</v>
      </c>
      <c r="Y434" s="27">
        <v>9.25</v>
      </c>
      <c r="Z434" s="27">
        <v>0</v>
      </c>
      <c r="AA434" s="27">
        <v>122.5</v>
      </c>
      <c r="AB434" s="27">
        <v>23.75</v>
      </c>
      <c r="AC434" s="27">
        <v>3.75</v>
      </c>
      <c r="AD434" s="27">
        <v>203.95</v>
      </c>
      <c r="AE434" s="27">
        <v>0.5</v>
      </c>
      <c r="AF434" s="27">
        <v>30</v>
      </c>
      <c r="AG434" s="26">
        <f t="shared" si="28"/>
        <v>1380.3</v>
      </c>
      <c r="AH434" s="26">
        <f t="shared" si="29"/>
        <v>81.849999999999994</v>
      </c>
      <c r="AI434" s="26">
        <f t="shared" si="30"/>
        <v>44.75</v>
      </c>
      <c r="AJ434" s="15" t="s">
        <v>425</v>
      </c>
      <c r="AK434" s="15" t="s">
        <v>425</v>
      </c>
      <c r="AL434" s="15" t="s">
        <v>317</v>
      </c>
      <c r="AM434" s="19">
        <v>43659</v>
      </c>
    </row>
    <row r="435" spans="1:39" x14ac:dyDescent="0.2">
      <c r="A435" s="15" t="str">
        <f t="shared" si="27"/>
        <v>809918144868</v>
      </c>
      <c r="B435" s="32">
        <v>809918</v>
      </c>
      <c r="C435" s="32" t="s">
        <v>167</v>
      </c>
      <c r="D435" s="17">
        <v>144868</v>
      </c>
      <c r="E435" s="15" t="s">
        <v>158</v>
      </c>
      <c r="F435" s="26">
        <v>199.5</v>
      </c>
      <c r="G435" s="26">
        <v>8.5</v>
      </c>
      <c r="H435" s="26">
        <v>0</v>
      </c>
      <c r="I435" s="26">
        <v>150.25</v>
      </c>
      <c r="J435" s="26">
        <v>8.5</v>
      </c>
      <c r="K435" s="26">
        <v>0</v>
      </c>
      <c r="L435" s="26">
        <v>165.25</v>
      </c>
      <c r="M435" s="26">
        <v>2.75</v>
      </c>
      <c r="N435" s="26">
        <v>5</v>
      </c>
      <c r="O435" s="27">
        <v>123.75</v>
      </c>
      <c r="P435" s="27">
        <v>0</v>
      </c>
      <c r="Q435" s="27">
        <v>0</v>
      </c>
      <c r="R435" s="27">
        <v>77.3</v>
      </c>
      <c r="S435" s="27">
        <v>0</v>
      </c>
      <c r="T435" s="27">
        <v>0</v>
      </c>
      <c r="U435" s="27">
        <v>110.75</v>
      </c>
      <c r="V435" s="27">
        <v>2.5</v>
      </c>
      <c r="W435" s="27">
        <v>0</v>
      </c>
      <c r="X435" s="27">
        <v>83</v>
      </c>
      <c r="Y435" s="27">
        <v>0</v>
      </c>
      <c r="Z435" s="27">
        <v>0</v>
      </c>
      <c r="AA435" s="27">
        <v>71.5</v>
      </c>
      <c r="AB435" s="27">
        <v>0</v>
      </c>
      <c r="AC435" s="27">
        <v>0</v>
      </c>
      <c r="AD435" s="27">
        <v>107.5</v>
      </c>
      <c r="AE435" s="27">
        <v>0</v>
      </c>
      <c r="AF435" s="27">
        <v>0</v>
      </c>
      <c r="AG435" s="26">
        <f t="shared" si="28"/>
        <v>1088.8</v>
      </c>
      <c r="AH435" s="26">
        <f t="shared" si="29"/>
        <v>22.25</v>
      </c>
      <c r="AI435" s="26">
        <f t="shared" si="30"/>
        <v>5</v>
      </c>
      <c r="AJ435" s="15" t="s">
        <v>425</v>
      </c>
      <c r="AK435" s="15" t="s">
        <v>425</v>
      </c>
      <c r="AL435" s="15" t="s">
        <v>317</v>
      </c>
      <c r="AM435" s="19">
        <v>43659</v>
      </c>
    </row>
    <row r="436" spans="1:39" x14ac:dyDescent="0.2">
      <c r="A436" s="15" t="str">
        <f t="shared" si="27"/>
        <v>810127178137</v>
      </c>
      <c r="B436" s="32">
        <v>810127</v>
      </c>
      <c r="C436" s="32" t="s">
        <v>63</v>
      </c>
      <c r="D436" s="17">
        <v>178137</v>
      </c>
      <c r="E436" s="15" t="s">
        <v>179</v>
      </c>
      <c r="F436" s="26">
        <v>31</v>
      </c>
      <c r="G436" s="26">
        <v>0</v>
      </c>
      <c r="H436" s="26">
        <v>0</v>
      </c>
      <c r="I436" s="26">
        <v>25.5</v>
      </c>
      <c r="J436" s="26">
        <v>0</v>
      </c>
      <c r="K436" s="26">
        <v>0</v>
      </c>
      <c r="L436" s="26">
        <v>7.5</v>
      </c>
      <c r="M436" s="26">
        <v>0</v>
      </c>
      <c r="N436" s="26">
        <v>0</v>
      </c>
      <c r="O436" s="27">
        <v>20</v>
      </c>
      <c r="P436" s="27">
        <v>0</v>
      </c>
      <c r="Q436" s="27">
        <v>0</v>
      </c>
      <c r="R436" s="27">
        <v>16.5</v>
      </c>
      <c r="S436" s="27">
        <v>0</v>
      </c>
      <c r="T436" s="27">
        <v>0</v>
      </c>
      <c r="U436" s="27">
        <v>26.25</v>
      </c>
      <c r="V436" s="27">
        <v>0</v>
      </c>
      <c r="W436" s="27">
        <v>1.5</v>
      </c>
      <c r="X436" s="27">
        <v>36</v>
      </c>
      <c r="Y436" s="27">
        <v>1</v>
      </c>
      <c r="Z436" s="27">
        <v>0</v>
      </c>
      <c r="AA436" s="27">
        <v>81</v>
      </c>
      <c r="AB436" s="27">
        <v>0</v>
      </c>
      <c r="AC436" s="27">
        <v>0</v>
      </c>
      <c r="AD436" s="27">
        <v>2.5</v>
      </c>
      <c r="AE436" s="27">
        <v>0</v>
      </c>
      <c r="AF436" s="27">
        <v>0</v>
      </c>
      <c r="AG436" s="26">
        <f t="shared" si="28"/>
        <v>246.25</v>
      </c>
      <c r="AH436" s="26">
        <f t="shared" si="29"/>
        <v>1</v>
      </c>
      <c r="AI436" s="26">
        <f t="shared" si="30"/>
        <v>1.5</v>
      </c>
      <c r="AJ436" s="15" t="s">
        <v>425</v>
      </c>
      <c r="AK436" s="15" t="s">
        <v>425</v>
      </c>
      <c r="AL436" s="15" t="s">
        <v>317</v>
      </c>
      <c r="AM436" s="19">
        <v>43678</v>
      </c>
    </row>
    <row r="437" spans="1:39" x14ac:dyDescent="0.2">
      <c r="A437" s="15" t="str">
        <f t="shared" si="27"/>
        <v>810242119261</v>
      </c>
      <c r="B437" s="32">
        <v>810242</v>
      </c>
      <c r="C437" s="32" t="s">
        <v>116</v>
      </c>
      <c r="D437" s="17">
        <v>119261</v>
      </c>
      <c r="E437" s="15" t="s">
        <v>140</v>
      </c>
      <c r="F437" s="26">
        <v>531.5</v>
      </c>
      <c r="G437" s="26">
        <v>0</v>
      </c>
      <c r="H437" s="26">
        <v>0</v>
      </c>
      <c r="I437" s="26">
        <v>355.1</v>
      </c>
      <c r="J437" s="26">
        <v>0</v>
      </c>
      <c r="K437" s="26">
        <v>0</v>
      </c>
      <c r="L437" s="26">
        <v>333.5</v>
      </c>
      <c r="M437" s="26">
        <v>4</v>
      </c>
      <c r="N437" s="26">
        <v>7.5</v>
      </c>
      <c r="O437" s="27">
        <v>466.75</v>
      </c>
      <c r="P437" s="27">
        <v>0</v>
      </c>
      <c r="Q437" s="27">
        <v>0</v>
      </c>
      <c r="R437" s="27">
        <v>226</v>
      </c>
      <c r="S437" s="27">
        <v>0</v>
      </c>
      <c r="T437" s="27">
        <v>0</v>
      </c>
      <c r="U437" s="27">
        <v>306</v>
      </c>
      <c r="V437" s="27">
        <v>0</v>
      </c>
      <c r="W437" s="27">
        <v>0</v>
      </c>
      <c r="X437" s="27">
        <v>335</v>
      </c>
      <c r="Y437" s="27">
        <v>0</v>
      </c>
      <c r="Z437" s="27">
        <v>0</v>
      </c>
      <c r="AA437" s="27">
        <v>387.1</v>
      </c>
      <c r="AB437" s="27">
        <v>0</v>
      </c>
      <c r="AC437" s="27">
        <v>14.75</v>
      </c>
      <c r="AD437" s="27">
        <v>377.1</v>
      </c>
      <c r="AE437" s="27">
        <v>10.75</v>
      </c>
      <c r="AF437" s="27">
        <v>13</v>
      </c>
      <c r="AG437" s="26">
        <f t="shared" si="28"/>
        <v>3318.0499999999997</v>
      </c>
      <c r="AH437" s="26">
        <f t="shared" si="29"/>
        <v>14.75</v>
      </c>
      <c r="AI437" s="26">
        <f t="shared" si="30"/>
        <v>35.25</v>
      </c>
      <c r="AJ437" s="15" t="s">
        <v>425</v>
      </c>
      <c r="AK437" s="15" t="s">
        <v>425</v>
      </c>
      <c r="AL437" s="15" t="s">
        <v>317</v>
      </c>
      <c r="AM437" s="19">
        <v>43691</v>
      </c>
    </row>
    <row r="438" spans="1:39" x14ac:dyDescent="0.2">
      <c r="A438" s="15" t="str">
        <f t="shared" si="27"/>
        <v>810684119261</v>
      </c>
      <c r="B438" s="32">
        <v>810684</v>
      </c>
      <c r="C438" s="32" t="s">
        <v>344</v>
      </c>
      <c r="D438" s="15">
        <v>119261</v>
      </c>
      <c r="E438" s="15" t="s">
        <v>140</v>
      </c>
      <c r="F438" s="26">
        <v>0</v>
      </c>
      <c r="G438" s="26">
        <v>0</v>
      </c>
      <c r="H438" s="26">
        <v>0</v>
      </c>
      <c r="I438" s="26">
        <v>0</v>
      </c>
      <c r="J438" s="26">
        <v>0</v>
      </c>
      <c r="K438" s="26">
        <v>0</v>
      </c>
      <c r="L438" s="26">
        <v>10</v>
      </c>
      <c r="M438" s="26">
        <v>0</v>
      </c>
      <c r="N438" s="26">
        <v>0</v>
      </c>
      <c r="O438" s="27">
        <v>0</v>
      </c>
      <c r="P438" s="27">
        <v>0</v>
      </c>
      <c r="Q438" s="27">
        <v>0</v>
      </c>
      <c r="R438" s="27">
        <v>15</v>
      </c>
      <c r="S438" s="27">
        <v>0</v>
      </c>
      <c r="T438" s="27">
        <v>0</v>
      </c>
      <c r="U438" s="27">
        <v>0</v>
      </c>
      <c r="V438" s="27">
        <v>0</v>
      </c>
      <c r="W438" s="27">
        <v>0</v>
      </c>
      <c r="X438" s="27">
        <v>0</v>
      </c>
      <c r="Y438" s="27">
        <v>0</v>
      </c>
      <c r="Z438" s="27">
        <v>0</v>
      </c>
      <c r="AA438" s="27">
        <v>10</v>
      </c>
      <c r="AB438" s="27">
        <v>0</v>
      </c>
      <c r="AC438" s="27">
        <v>0</v>
      </c>
      <c r="AD438" s="27">
        <v>35</v>
      </c>
      <c r="AE438" s="27">
        <v>0</v>
      </c>
      <c r="AF438" s="27">
        <v>0</v>
      </c>
      <c r="AG438" s="26">
        <f t="shared" si="28"/>
        <v>70</v>
      </c>
      <c r="AH438" s="26">
        <f t="shared" si="29"/>
        <v>0</v>
      </c>
      <c r="AI438" s="26">
        <f t="shared" si="30"/>
        <v>0</v>
      </c>
      <c r="AJ438" s="15" t="s">
        <v>425</v>
      </c>
      <c r="AK438" s="15" t="s">
        <v>425</v>
      </c>
      <c r="AL438" s="15" t="s">
        <v>317</v>
      </c>
      <c r="AM438" s="19">
        <v>43761</v>
      </c>
    </row>
    <row r="439" spans="1:39" x14ac:dyDescent="0.2">
      <c r="A439" s="15" t="str">
        <f t="shared" si="27"/>
        <v>810734119065</v>
      </c>
      <c r="B439" s="32">
        <v>810734</v>
      </c>
      <c r="C439" s="32" t="s">
        <v>380</v>
      </c>
      <c r="D439" s="15">
        <v>119065</v>
      </c>
      <c r="E439" s="15" t="s">
        <v>381</v>
      </c>
      <c r="F439" s="26">
        <v>41.5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7">
        <v>0</v>
      </c>
      <c r="P439" s="27">
        <v>0</v>
      </c>
      <c r="Q439" s="27">
        <v>0</v>
      </c>
      <c r="R439" s="27">
        <v>0</v>
      </c>
      <c r="S439" s="27">
        <v>0</v>
      </c>
      <c r="T439" s="27">
        <v>0</v>
      </c>
      <c r="U439" s="27">
        <v>0</v>
      </c>
      <c r="V439" s="27">
        <v>0</v>
      </c>
      <c r="W439" s="27">
        <v>0</v>
      </c>
      <c r="X439" s="27">
        <v>0</v>
      </c>
      <c r="Y439" s="27">
        <v>0</v>
      </c>
      <c r="Z439" s="27">
        <v>0</v>
      </c>
      <c r="AA439" s="27">
        <v>0</v>
      </c>
      <c r="AB439" s="27">
        <v>0</v>
      </c>
      <c r="AC439" s="27">
        <v>0</v>
      </c>
      <c r="AD439" s="27">
        <v>12.5</v>
      </c>
      <c r="AE439" s="27">
        <v>0</v>
      </c>
      <c r="AF439" s="27">
        <v>0</v>
      </c>
      <c r="AG439" s="26">
        <f t="shared" si="28"/>
        <v>54</v>
      </c>
      <c r="AH439" s="26">
        <f t="shared" si="29"/>
        <v>0</v>
      </c>
      <c r="AI439" s="26">
        <f t="shared" si="30"/>
        <v>0</v>
      </c>
      <c r="AJ439" s="15" t="s">
        <v>425</v>
      </c>
      <c r="AK439" s="15" t="s">
        <v>425</v>
      </c>
      <c r="AL439" s="15" t="s">
        <v>317</v>
      </c>
      <c r="AM439" s="19">
        <v>43774</v>
      </c>
    </row>
    <row r="440" spans="1:39" x14ac:dyDescent="0.2">
      <c r="A440" s="15" t="str">
        <f t="shared" si="27"/>
        <v>810830119261</v>
      </c>
      <c r="B440" s="32">
        <v>810830</v>
      </c>
      <c r="C440" s="32" t="s">
        <v>215</v>
      </c>
      <c r="D440" s="17">
        <v>119261</v>
      </c>
      <c r="E440" s="15" t="s">
        <v>140</v>
      </c>
      <c r="F440" s="26">
        <v>0</v>
      </c>
      <c r="G440" s="26">
        <v>0</v>
      </c>
      <c r="H440" s="26">
        <v>0</v>
      </c>
      <c r="I440" s="26">
        <v>0</v>
      </c>
      <c r="J440" s="26">
        <v>0</v>
      </c>
      <c r="K440" s="26">
        <v>0</v>
      </c>
      <c r="L440" s="26">
        <v>35</v>
      </c>
      <c r="M440" s="26">
        <v>0</v>
      </c>
      <c r="N440" s="26">
        <v>0</v>
      </c>
      <c r="O440" s="27">
        <v>10</v>
      </c>
      <c r="P440" s="27">
        <v>0</v>
      </c>
      <c r="Q440" s="27">
        <v>0</v>
      </c>
      <c r="R440" s="27">
        <v>0</v>
      </c>
      <c r="S440" s="27">
        <v>0</v>
      </c>
      <c r="T440" s="27">
        <v>0</v>
      </c>
      <c r="U440" s="27">
        <v>25</v>
      </c>
      <c r="V440" s="27">
        <v>0</v>
      </c>
      <c r="W440" s="27">
        <v>0</v>
      </c>
      <c r="X440" s="27">
        <v>36</v>
      </c>
      <c r="Y440" s="27">
        <v>0</v>
      </c>
      <c r="Z440" s="27">
        <v>0</v>
      </c>
      <c r="AA440" s="27">
        <v>51</v>
      </c>
      <c r="AB440" s="27">
        <v>0</v>
      </c>
      <c r="AC440" s="27">
        <v>0</v>
      </c>
      <c r="AD440" s="27">
        <v>35</v>
      </c>
      <c r="AE440" s="27">
        <v>0</v>
      </c>
      <c r="AF440" s="27">
        <v>0</v>
      </c>
      <c r="AG440" s="26">
        <f t="shared" si="28"/>
        <v>192</v>
      </c>
      <c r="AH440" s="26">
        <f t="shared" si="29"/>
        <v>0</v>
      </c>
      <c r="AI440" s="26">
        <f t="shared" si="30"/>
        <v>0</v>
      </c>
      <c r="AJ440" s="15" t="s">
        <v>425</v>
      </c>
      <c r="AK440" s="15" t="s">
        <v>425</v>
      </c>
      <c r="AL440" s="15" t="s">
        <v>317</v>
      </c>
      <c r="AM440" s="19">
        <v>43792</v>
      </c>
    </row>
    <row r="441" spans="1:39" x14ac:dyDescent="0.2">
      <c r="A441" s="15" t="str">
        <f t="shared" si="27"/>
        <v>810852179911</v>
      </c>
      <c r="B441" s="32">
        <v>810852</v>
      </c>
      <c r="C441" s="32" t="s">
        <v>193</v>
      </c>
      <c r="D441" s="17">
        <v>179911</v>
      </c>
      <c r="E441" s="15" t="s">
        <v>156</v>
      </c>
      <c r="F441" s="26">
        <v>0</v>
      </c>
      <c r="G441" s="26">
        <v>0</v>
      </c>
      <c r="H441" s="26">
        <v>0</v>
      </c>
      <c r="I441" s="26">
        <v>0</v>
      </c>
      <c r="J441" s="26">
        <v>0</v>
      </c>
      <c r="K441" s="26">
        <v>0</v>
      </c>
      <c r="L441" s="26">
        <v>0</v>
      </c>
      <c r="M441" s="26">
        <v>0</v>
      </c>
      <c r="N441" s="26">
        <v>0</v>
      </c>
      <c r="O441" s="27">
        <v>0</v>
      </c>
      <c r="P441" s="27">
        <v>0</v>
      </c>
      <c r="Q441" s="27">
        <v>0</v>
      </c>
      <c r="R441" s="27">
        <v>0</v>
      </c>
      <c r="S441" s="27">
        <v>0</v>
      </c>
      <c r="T441" s="27">
        <v>0</v>
      </c>
      <c r="U441" s="27">
        <v>1</v>
      </c>
      <c r="V441" s="27">
        <v>0</v>
      </c>
      <c r="W441" s="27">
        <v>0</v>
      </c>
      <c r="X441" s="27">
        <v>2.5</v>
      </c>
      <c r="Y441" s="27">
        <v>0</v>
      </c>
      <c r="Z441" s="27">
        <v>0</v>
      </c>
      <c r="AA441" s="27">
        <v>0</v>
      </c>
      <c r="AB441" s="27">
        <v>0</v>
      </c>
      <c r="AC441" s="27">
        <v>0</v>
      </c>
      <c r="AD441" s="27">
        <v>0</v>
      </c>
      <c r="AE441" s="27">
        <v>0</v>
      </c>
      <c r="AF441" s="27">
        <v>0</v>
      </c>
      <c r="AG441" s="26">
        <f t="shared" si="28"/>
        <v>3.5</v>
      </c>
      <c r="AH441" s="26">
        <f t="shared" si="29"/>
        <v>0</v>
      </c>
      <c r="AI441" s="26">
        <f t="shared" si="30"/>
        <v>0</v>
      </c>
      <c r="AJ441" s="15" t="s">
        <v>425</v>
      </c>
      <c r="AK441" s="15" t="s">
        <v>425</v>
      </c>
      <c r="AL441" s="15" t="s">
        <v>317</v>
      </c>
      <c r="AM441" s="19">
        <v>43796</v>
      </c>
    </row>
    <row r="442" spans="1:39" x14ac:dyDescent="0.2">
      <c r="A442" s="15" t="str">
        <f t="shared" si="27"/>
        <v>811137177957</v>
      </c>
      <c r="B442" s="32">
        <v>811137</v>
      </c>
      <c r="C442" s="32" t="s">
        <v>122</v>
      </c>
      <c r="D442" s="17">
        <v>177957</v>
      </c>
      <c r="E442" s="15" t="s">
        <v>197</v>
      </c>
      <c r="F442" s="26">
        <v>44.9</v>
      </c>
      <c r="G442" s="26">
        <v>0</v>
      </c>
      <c r="H442" s="26">
        <v>0</v>
      </c>
      <c r="I442" s="26">
        <v>67.75</v>
      </c>
      <c r="J442" s="26">
        <v>0</v>
      </c>
      <c r="K442" s="26">
        <v>0</v>
      </c>
      <c r="L442" s="26">
        <v>62.75</v>
      </c>
      <c r="M442" s="26">
        <v>0</v>
      </c>
      <c r="N442" s="26">
        <v>8.75</v>
      </c>
      <c r="O442" s="27">
        <v>50</v>
      </c>
      <c r="P442" s="27">
        <v>9</v>
      </c>
      <c r="Q442" s="27">
        <v>0</v>
      </c>
      <c r="R442" s="27">
        <v>45.5</v>
      </c>
      <c r="S442" s="27">
        <v>0</v>
      </c>
      <c r="T442" s="27">
        <v>2.5</v>
      </c>
      <c r="U442" s="27">
        <v>50.5</v>
      </c>
      <c r="V442" s="27">
        <v>0</v>
      </c>
      <c r="W442" s="27">
        <v>6</v>
      </c>
      <c r="X442" s="27">
        <v>33</v>
      </c>
      <c r="Y442" s="27">
        <v>0</v>
      </c>
      <c r="Z442" s="27">
        <v>0</v>
      </c>
      <c r="AA442" s="27">
        <v>72.5</v>
      </c>
      <c r="AB442" s="27">
        <v>0</v>
      </c>
      <c r="AC442" s="27">
        <v>0</v>
      </c>
      <c r="AD442" s="27">
        <v>95</v>
      </c>
      <c r="AE442" s="27">
        <v>0</v>
      </c>
      <c r="AF442" s="27">
        <v>0</v>
      </c>
      <c r="AG442" s="26">
        <f t="shared" si="28"/>
        <v>521.9</v>
      </c>
      <c r="AH442" s="26">
        <f t="shared" si="29"/>
        <v>9</v>
      </c>
      <c r="AI442" s="26">
        <f t="shared" si="30"/>
        <v>17.25</v>
      </c>
      <c r="AJ442" s="15" t="s">
        <v>425</v>
      </c>
      <c r="AK442" s="15" t="s">
        <v>425</v>
      </c>
      <c r="AL442" s="15" t="s">
        <v>317</v>
      </c>
      <c r="AM442" s="19">
        <v>43829</v>
      </c>
    </row>
    <row r="443" spans="1:39" x14ac:dyDescent="0.2">
      <c r="A443" s="15" t="str">
        <f t="shared" si="27"/>
        <v>811183174445</v>
      </c>
      <c r="B443" s="32">
        <v>811183</v>
      </c>
      <c r="C443" s="32" t="s">
        <v>173</v>
      </c>
      <c r="D443" s="17">
        <v>174445</v>
      </c>
      <c r="E443" s="15" t="s">
        <v>143</v>
      </c>
      <c r="F443" s="26">
        <v>10</v>
      </c>
      <c r="G443" s="26">
        <v>0</v>
      </c>
      <c r="H443" s="26">
        <v>0</v>
      </c>
      <c r="I443" s="26">
        <v>21</v>
      </c>
      <c r="J443" s="26">
        <v>0</v>
      </c>
      <c r="K443" s="26">
        <v>0</v>
      </c>
      <c r="L443" s="26">
        <v>25</v>
      </c>
      <c r="M443" s="26">
        <v>0</v>
      </c>
      <c r="N443" s="26">
        <v>0</v>
      </c>
      <c r="O443" s="27">
        <v>17.5</v>
      </c>
      <c r="P443" s="27">
        <v>0</v>
      </c>
      <c r="Q443" s="27">
        <v>0</v>
      </c>
      <c r="R443" s="27">
        <v>21</v>
      </c>
      <c r="S443" s="27">
        <v>0</v>
      </c>
      <c r="T443" s="27">
        <v>0</v>
      </c>
      <c r="U443" s="27">
        <v>34.25</v>
      </c>
      <c r="V443" s="27">
        <v>0</v>
      </c>
      <c r="W443" s="27">
        <v>0</v>
      </c>
      <c r="X443" s="27">
        <v>15</v>
      </c>
      <c r="Y443" s="27">
        <v>0</v>
      </c>
      <c r="Z443" s="27">
        <v>0</v>
      </c>
      <c r="AA443" s="27">
        <v>12.5</v>
      </c>
      <c r="AB443" s="27">
        <v>0</v>
      </c>
      <c r="AC443" s="27">
        <v>0</v>
      </c>
      <c r="AD443" s="27">
        <v>50</v>
      </c>
      <c r="AE443" s="27">
        <v>0</v>
      </c>
      <c r="AF443" s="27">
        <v>8.5</v>
      </c>
      <c r="AG443" s="26">
        <f t="shared" si="28"/>
        <v>206.25</v>
      </c>
      <c r="AH443" s="26">
        <f t="shared" si="29"/>
        <v>0</v>
      </c>
      <c r="AI443" s="26">
        <f t="shared" si="30"/>
        <v>8.5</v>
      </c>
      <c r="AJ443" s="15" t="s">
        <v>425</v>
      </c>
      <c r="AK443" s="15" t="s">
        <v>425</v>
      </c>
      <c r="AL443" s="15" t="s">
        <v>317</v>
      </c>
      <c r="AM443" s="19">
        <v>43834</v>
      </c>
    </row>
    <row r="444" spans="1:39" x14ac:dyDescent="0.2">
      <c r="A444" s="15" t="str">
        <f t="shared" si="27"/>
        <v>811251144868</v>
      </c>
      <c r="B444" s="32">
        <v>811251</v>
      </c>
      <c r="C444" s="32" t="s">
        <v>168</v>
      </c>
      <c r="D444" s="17">
        <v>144868</v>
      </c>
      <c r="E444" s="15" t="s">
        <v>158</v>
      </c>
      <c r="F444" s="26">
        <v>0</v>
      </c>
      <c r="G444" s="26">
        <v>0</v>
      </c>
      <c r="H444" s="26">
        <v>0</v>
      </c>
      <c r="I444" s="26">
        <v>12.5</v>
      </c>
      <c r="J444" s="26">
        <v>0</v>
      </c>
      <c r="K444" s="26">
        <v>0</v>
      </c>
      <c r="L444" s="26">
        <v>33.5</v>
      </c>
      <c r="M444" s="26">
        <v>0</v>
      </c>
      <c r="N444" s="26">
        <v>0</v>
      </c>
      <c r="O444" s="27">
        <v>17.5</v>
      </c>
      <c r="P444" s="27">
        <v>0</v>
      </c>
      <c r="Q444" s="27">
        <v>0</v>
      </c>
      <c r="R444" s="27">
        <v>20.5</v>
      </c>
      <c r="S444" s="27">
        <v>0</v>
      </c>
      <c r="T444" s="27">
        <v>0</v>
      </c>
      <c r="U444" s="27">
        <v>21</v>
      </c>
      <c r="V444" s="27">
        <v>0</v>
      </c>
      <c r="W444" s="27">
        <v>0</v>
      </c>
      <c r="X444" s="27">
        <v>20</v>
      </c>
      <c r="Y444" s="27">
        <v>0</v>
      </c>
      <c r="Z444" s="27">
        <v>0</v>
      </c>
      <c r="AA444" s="27">
        <v>10</v>
      </c>
      <c r="AB444" s="27">
        <v>0</v>
      </c>
      <c r="AC444" s="27">
        <v>0</v>
      </c>
      <c r="AD444" s="27">
        <v>0</v>
      </c>
      <c r="AE444" s="27">
        <v>0</v>
      </c>
      <c r="AF444" s="27">
        <v>0</v>
      </c>
      <c r="AG444" s="26">
        <f t="shared" si="28"/>
        <v>135</v>
      </c>
      <c r="AH444" s="26">
        <f t="shared" si="29"/>
        <v>0</v>
      </c>
      <c r="AI444" s="26">
        <f t="shared" si="30"/>
        <v>0</v>
      </c>
      <c r="AJ444" s="15" t="s">
        <v>425</v>
      </c>
      <c r="AK444" s="15" t="s">
        <v>425</v>
      </c>
      <c r="AL444" s="15" t="s">
        <v>317</v>
      </c>
      <c r="AM444" s="19">
        <v>43844</v>
      </c>
    </row>
    <row r="445" spans="1:39" x14ac:dyDescent="0.2">
      <c r="A445" s="15" t="str">
        <f t="shared" si="27"/>
        <v>811401145639</v>
      </c>
      <c r="B445" s="32">
        <v>811401</v>
      </c>
      <c r="C445" s="32" t="s">
        <v>365</v>
      </c>
      <c r="D445" s="15">
        <v>145639</v>
      </c>
      <c r="E445" s="15" t="s">
        <v>152</v>
      </c>
      <c r="F445" s="26">
        <v>0</v>
      </c>
      <c r="G445" s="26">
        <v>0</v>
      </c>
      <c r="H445" s="26">
        <v>0</v>
      </c>
      <c r="I445" s="26">
        <v>0</v>
      </c>
      <c r="J445" s="26">
        <v>0</v>
      </c>
      <c r="K445" s="26">
        <v>0</v>
      </c>
      <c r="L445" s="26">
        <v>0</v>
      </c>
      <c r="M445" s="26">
        <v>0</v>
      </c>
      <c r="N445" s="26">
        <v>0</v>
      </c>
      <c r="O445" s="27">
        <v>7.5</v>
      </c>
      <c r="P445" s="27">
        <v>0</v>
      </c>
      <c r="Q445" s="27">
        <v>0</v>
      </c>
      <c r="R445" s="27">
        <v>0</v>
      </c>
      <c r="S445" s="27">
        <v>0</v>
      </c>
      <c r="T445" s="27">
        <v>0</v>
      </c>
      <c r="U445" s="27">
        <v>0</v>
      </c>
      <c r="V445" s="27">
        <v>0</v>
      </c>
      <c r="W445" s="27">
        <v>0</v>
      </c>
      <c r="X445" s="27">
        <v>0</v>
      </c>
      <c r="Y445" s="27">
        <v>0</v>
      </c>
      <c r="Z445" s="27">
        <v>0</v>
      </c>
      <c r="AA445" s="27">
        <v>0</v>
      </c>
      <c r="AB445" s="27">
        <v>0</v>
      </c>
      <c r="AC445" s="27">
        <v>0</v>
      </c>
      <c r="AD445" s="27">
        <v>0</v>
      </c>
      <c r="AE445" s="27">
        <v>0</v>
      </c>
      <c r="AF445" s="27">
        <v>0</v>
      </c>
      <c r="AG445" s="26">
        <f t="shared" si="28"/>
        <v>7.5</v>
      </c>
      <c r="AH445" s="26">
        <f t="shared" si="29"/>
        <v>0</v>
      </c>
      <c r="AI445" s="26">
        <f t="shared" si="30"/>
        <v>0</v>
      </c>
      <c r="AJ445" s="15" t="s">
        <v>425</v>
      </c>
      <c r="AK445" s="15" t="s">
        <v>425</v>
      </c>
      <c r="AL445" s="15" t="s">
        <v>317</v>
      </c>
      <c r="AM445" s="19">
        <v>43865</v>
      </c>
    </row>
    <row r="446" spans="1:39" x14ac:dyDescent="0.2">
      <c r="A446" s="15" t="str">
        <f t="shared" si="27"/>
        <v>811455176279</v>
      </c>
      <c r="B446" s="32">
        <v>811455</v>
      </c>
      <c r="C446" s="32" t="s">
        <v>296</v>
      </c>
      <c r="D446" s="17">
        <v>176279</v>
      </c>
      <c r="E446" s="15" t="s">
        <v>145</v>
      </c>
      <c r="F446" s="26">
        <v>2.5</v>
      </c>
      <c r="G446" s="26">
        <v>0</v>
      </c>
      <c r="H446" s="26">
        <v>0</v>
      </c>
      <c r="I446" s="26">
        <v>0</v>
      </c>
      <c r="J446" s="26">
        <v>0</v>
      </c>
      <c r="K446" s="26">
        <v>0</v>
      </c>
      <c r="L446" s="26">
        <v>17.5</v>
      </c>
      <c r="M446" s="26">
        <v>0</v>
      </c>
      <c r="N446" s="26">
        <v>0</v>
      </c>
      <c r="O446" s="27">
        <v>19</v>
      </c>
      <c r="P446" s="27">
        <v>0</v>
      </c>
      <c r="Q446" s="27">
        <v>0</v>
      </c>
      <c r="R446" s="27">
        <v>0</v>
      </c>
      <c r="S446" s="27">
        <v>0</v>
      </c>
      <c r="T446" s="27">
        <v>0</v>
      </c>
      <c r="U446" s="27">
        <v>0</v>
      </c>
      <c r="V446" s="27">
        <v>0</v>
      </c>
      <c r="W446" s="27">
        <v>0</v>
      </c>
      <c r="X446" s="27">
        <v>7.5</v>
      </c>
      <c r="Y446" s="27">
        <v>0</v>
      </c>
      <c r="Z446" s="27">
        <v>0</v>
      </c>
      <c r="AA446" s="27">
        <v>0</v>
      </c>
      <c r="AB446" s="27">
        <v>0</v>
      </c>
      <c r="AC446" s="27">
        <v>0</v>
      </c>
      <c r="AD446" s="27">
        <v>7.5</v>
      </c>
      <c r="AE446" s="27">
        <v>0</v>
      </c>
      <c r="AF446" s="27">
        <v>0</v>
      </c>
      <c r="AG446" s="26">
        <f t="shared" si="28"/>
        <v>54</v>
      </c>
      <c r="AH446" s="26">
        <f t="shared" si="29"/>
        <v>0</v>
      </c>
      <c r="AI446" s="26">
        <f t="shared" si="30"/>
        <v>0</v>
      </c>
      <c r="AJ446" s="15" t="s">
        <v>425</v>
      </c>
      <c r="AK446" s="15" t="s">
        <v>425</v>
      </c>
      <c r="AL446" s="15" t="s">
        <v>317</v>
      </c>
      <c r="AM446" s="19">
        <v>43868</v>
      </c>
    </row>
    <row r="447" spans="1:39" x14ac:dyDescent="0.2">
      <c r="A447" s="15" t="str">
        <f t="shared" si="27"/>
        <v>811480119071</v>
      </c>
      <c r="B447" s="32">
        <v>811480</v>
      </c>
      <c r="C447" s="32" t="s">
        <v>113</v>
      </c>
      <c r="D447" s="17">
        <v>119071</v>
      </c>
      <c r="E447" s="15" t="s">
        <v>154</v>
      </c>
      <c r="F447" s="26">
        <v>0</v>
      </c>
      <c r="G447" s="26">
        <v>0</v>
      </c>
      <c r="H447" s="26">
        <v>0</v>
      </c>
      <c r="I447" s="26">
        <v>0</v>
      </c>
      <c r="J447" s="26">
        <v>0</v>
      </c>
      <c r="K447" s="26">
        <v>0</v>
      </c>
      <c r="L447" s="26">
        <v>0</v>
      </c>
      <c r="M447" s="26">
        <v>0</v>
      </c>
      <c r="N447" s="26">
        <v>0</v>
      </c>
      <c r="O447" s="27">
        <v>3.25</v>
      </c>
      <c r="P447" s="27">
        <v>0</v>
      </c>
      <c r="Q447" s="27">
        <v>0</v>
      </c>
      <c r="R447" s="27">
        <v>7.5</v>
      </c>
      <c r="S447" s="27">
        <v>0</v>
      </c>
      <c r="T447" s="27">
        <v>0</v>
      </c>
      <c r="U447" s="27">
        <v>7.5</v>
      </c>
      <c r="V447" s="27">
        <v>0</v>
      </c>
      <c r="W447" s="27">
        <v>0</v>
      </c>
      <c r="X447" s="27">
        <v>47.5</v>
      </c>
      <c r="Y447" s="27">
        <v>0</v>
      </c>
      <c r="Z447" s="27">
        <v>5</v>
      </c>
      <c r="AA447" s="27">
        <v>22.5</v>
      </c>
      <c r="AB447" s="27">
        <v>0</v>
      </c>
      <c r="AC447" s="27">
        <v>0</v>
      </c>
      <c r="AD447" s="27">
        <v>37.5</v>
      </c>
      <c r="AE447" s="27">
        <v>0</v>
      </c>
      <c r="AF447" s="27">
        <v>0</v>
      </c>
      <c r="AG447" s="26">
        <f t="shared" si="28"/>
        <v>125.75</v>
      </c>
      <c r="AH447" s="26">
        <f t="shared" si="29"/>
        <v>0</v>
      </c>
      <c r="AI447" s="26">
        <f t="shared" si="30"/>
        <v>5</v>
      </c>
      <c r="AJ447" s="15" t="s">
        <v>425</v>
      </c>
      <c r="AK447" s="15" t="s">
        <v>425</v>
      </c>
      <c r="AL447" s="15" t="s">
        <v>317</v>
      </c>
      <c r="AM447" s="19">
        <v>43873</v>
      </c>
    </row>
    <row r="448" spans="1:39" x14ac:dyDescent="0.2">
      <c r="A448" s="15" t="str">
        <f t="shared" si="27"/>
        <v>811535176279</v>
      </c>
      <c r="B448" s="15">
        <v>811535</v>
      </c>
      <c r="C448" s="15" t="s">
        <v>280</v>
      </c>
      <c r="D448" s="15">
        <v>176279</v>
      </c>
      <c r="E448" s="15" t="s">
        <v>145</v>
      </c>
      <c r="F448" s="26">
        <v>0</v>
      </c>
      <c r="G448" s="26">
        <v>0</v>
      </c>
      <c r="H448" s="26">
        <v>0</v>
      </c>
      <c r="I448" s="26">
        <v>2.5</v>
      </c>
      <c r="J448" s="26">
        <v>0</v>
      </c>
      <c r="K448" s="26">
        <v>0</v>
      </c>
      <c r="L448" s="26">
        <v>4</v>
      </c>
      <c r="M448" s="26">
        <v>4</v>
      </c>
      <c r="N448" s="26">
        <v>0</v>
      </c>
      <c r="O448" s="27">
        <v>0</v>
      </c>
      <c r="P448" s="27">
        <v>0</v>
      </c>
      <c r="Q448" s="27">
        <v>0</v>
      </c>
      <c r="R448" s="27">
        <v>0</v>
      </c>
      <c r="S448" s="27">
        <v>0</v>
      </c>
      <c r="T448" s="27">
        <v>0</v>
      </c>
      <c r="U448" s="27">
        <v>0</v>
      </c>
      <c r="V448" s="27">
        <v>0</v>
      </c>
      <c r="W448" s="27">
        <v>0</v>
      </c>
      <c r="X448" s="27">
        <v>5</v>
      </c>
      <c r="Y448" s="27">
        <v>0</v>
      </c>
      <c r="Z448" s="27">
        <v>0</v>
      </c>
      <c r="AA448" s="27">
        <v>0</v>
      </c>
      <c r="AB448" s="27">
        <v>0</v>
      </c>
      <c r="AC448" s="27">
        <v>0</v>
      </c>
      <c r="AD448" s="27">
        <v>2.5</v>
      </c>
      <c r="AE448" s="27">
        <v>0</v>
      </c>
      <c r="AF448" s="27">
        <v>0</v>
      </c>
      <c r="AG448" s="26">
        <f t="shared" si="28"/>
        <v>14</v>
      </c>
      <c r="AH448" s="26">
        <f t="shared" si="29"/>
        <v>4</v>
      </c>
      <c r="AI448" s="26">
        <f t="shared" si="30"/>
        <v>0</v>
      </c>
      <c r="AJ448" s="15" t="s">
        <v>425</v>
      </c>
      <c r="AK448" s="15" t="s">
        <v>425</v>
      </c>
      <c r="AL448" s="15" t="s">
        <v>317</v>
      </c>
      <c r="AM448" s="19">
        <v>43879</v>
      </c>
    </row>
    <row r="449" spans="1:39" x14ac:dyDescent="0.2">
      <c r="A449" s="15" t="str">
        <f t="shared" si="27"/>
        <v>811639141512</v>
      </c>
      <c r="B449" s="32">
        <v>811639</v>
      </c>
      <c r="C449" s="32" t="s">
        <v>238</v>
      </c>
      <c r="D449" s="17">
        <v>141512</v>
      </c>
      <c r="E449" s="15" t="s">
        <v>106</v>
      </c>
      <c r="F449" s="26">
        <v>31.5</v>
      </c>
      <c r="G449" s="26">
        <v>0</v>
      </c>
      <c r="H449" s="26">
        <v>0</v>
      </c>
      <c r="I449" s="26">
        <v>10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7">
        <v>0</v>
      </c>
      <c r="P449" s="27">
        <v>0</v>
      </c>
      <c r="Q449" s="27">
        <v>0</v>
      </c>
      <c r="R449" s="27">
        <v>0</v>
      </c>
      <c r="S449" s="27">
        <v>0</v>
      </c>
      <c r="T449" s="27">
        <v>0</v>
      </c>
      <c r="U449" s="27">
        <v>0</v>
      </c>
      <c r="V449" s="27">
        <v>0</v>
      </c>
      <c r="W449" s="27">
        <v>0</v>
      </c>
      <c r="X449" s="27">
        <v>0</v>
      </c>
      <c r="Y449" s="27">
        <v>0</v>
      </c>
      <c r="Z449" s="27">
        <v>0</v>
      </c>
      <c r="AA449" s="27">
        <v>0</v>
      </c>
      <c r="AB449" s="27">
        <v>0</v>
      </c>
      <c r="AC449" s="27">
        <v>0</v>
      </c>
      <c r="AD449" s="27">
        <v>0</v>
      </c>
      <c r="AE449" s="27">
        <v>0</v>
      </c>
      <c r="AF449" s="27">
        <v>0</v>
      </c>
      <c r="AG449" s="26">
        <f t="shared" si="28"/>
        <v>41.5</v>
      </c>
      <c r="AH449" s="26">
        <f t="shared" si="29"/>
        <v>0</v>
      </c>
      <c r="AI449" s="26">
        <f t="shared" si="30"/>
        <v>0</v>
      </c>
      <c r="AJ449" s="15" t="s">
        <v>425</v>
      </c>
      <c r="AK449" s="15" t="s">
        <v>425</v>
      </c>
      <c r="AL449" s="15" t="s">
        <v>317</v>
      </c>
      <c r="AM449" s="19">
        <v>43889</v>
      </c>
    </row>
    <row r="450" spans="1:39" x14ac:dyDescent="0.2">
      <c r="A450" s="15" t="str">
        <f t="shared" si="27"/>
        <v>811862149872</v>
      </c>
      <c r="B450" s="32">
        <v>811862</v>
      </c>
      <c r="C450" s="32" t="s">
        <v>180</v>
      </c>
      <c r="D450" s="17">
        <v>149872</v>
      </c>
      <c r="E450" s="15" t="s">
        <v>139</v>
      </c>
      <c r="F450" s="26">
        <v>174.3</v>
      </c>
      <c r="G450" s="26">
        <v>5</v>
      </c>
      <c r="H450" s="26">
        <v>0</v>
      </c>
      <c r="I450" s="26">
        <v>129</v>
      </c>
      <c r="J450" s="26">
        <v>5</v>
      </c>
      <c r="K450" s="26">
        <v>0</v>
      </c>
      <c r="L450" s="26">
        <v>162.80000000000001</v>
      </c>
      <c r="M450" s="26">
        <v>0</v>
      </c>
      <c r="N450" s="26">
        <v>2.5</v>
      </c>
      <c r="O450" s="27">
        <v>205.05</v>
      </c>
      <c r="P450" s="27">
        <v>0</v>
      </c>
      <c r="Q450" s="27">
        <v>10.050000000000001</v>
      </c>
      <c r="R450" s="27">
        <v>87.5</v>
      </c>
      <c r="S450" s="27">
        <v>5</v>
      </c>
      <c r="T450" s="27">
        <v>5</v>
      </c>
      <c r="U450" s="27">
        <v>214.25</v>
      </c>
      <c r="V450" s="27">
        <v>7.95</v>
      </c>
      <c r="W450" s="27">
        <v>0</v>
      </c>
      <c r="X450" s="27">
        <v>178.25</v>
      </c>
      <c r="Y450" s="27">
        <v>0</v>
      </c>
      <c r="Z450" s="27">
        <v>10</v>
      </c>
      <c r="AA450" s="27">
        <v>260</v>
      </c>
      <c r="AB450" s="27">
        <v>0</v>
      </c>
      <c r="AC450" s="27">
        <v>12.5</v>
      </c>
      <c r="AD450" s="27">
        <v>255.5</v>
      </c>
      <c r="AE450" s="27">
        <v>0</v>
      </c>
      <c r="AF450" s="27">
        <v>32.5</v>
      </c>
      <c r="AG450" s="26">
        <f t="shared" si="28"/>
        <v>1666.65</v>
      </c>
      <c r="AH450" s="26">
        <f t="shared" si="29"/>
        <v>22.95</v>
      </c>
      <c r="AI450" s="26">
        <f t="shared" si="30"/>
        <v>72.55</v>
      </c>
      <c r="AJ450" s="15" t="s">
        <v>425</v>
      </c>
      <c r="AK450" s="15" t="s">
        <v>425</v>
      </c>
      <c r="AL450" s="15" t="s">
        <v>317</v>
      </c>
      <c r="AM450" s="19">
        <v>43987</v>
      </c>
    </row>
    <row r="451" spans="1:39" x14ac:dyDescent="0.2">
      <c r="A451" s="15" t="str">
        <f t="shared" ref="A451:A514" si="31">B451&amp;D451</f>
        <v>812071179911</v>
      </c>
      <c r="B451" s="32">
        <v>812071</v>
      </c>
      <c r="C451" s="32" t="s">
        <v>157</v>
      </c>
      <c r="D451" s="17">
        <v>179911</v>
      </c>
      <c r="E451" s="15" t="s">
        <v>156</v>
      </c>
      <c r="F451" s="26">
        <v>32</v>
      </c>
      <c r="G451" s="26">
        <v>0</v>
      </c>
      <c r="H451" s="26">
        <v>0</v>
      </c>
      <c r="I451" s="26">
        <v>32.1</v>
      </c>
      <c r="J451" s="26">
        <v>0</v>
      </c>
      <c r="K451" s="26">
        <v>0</v>
      </c>
      <c r="L451" s="26">
        <v>28.900000000000002</v>
      </c>
      <c r="M451" s="26">
        <v>0.8</v>
      </c>
      <c r="N451" s="26">
        <v>5</v>
      </c>
      <c r="O451" s="27">
        <v>10.25</v>
      </c>
      <c r="P451" s="27">
        <v>4</v>
      </c>
      <c r="Q451" s="27">
        <v>0</v>
      </c>
      <c r="R451" s="27">
        <v>0</v>
      </c>
      <c r="S451" s="27">
        <v>0</v>
      </c>
      <c r="T451" s="27">
        <v>0</v>
      </c>
      <c r="U451" s="27">
        <v>0</v>
      </c>
      <c r="V451" s="27">
        <v>0</v>
      </c>
      <c r="W451" s="27">
        <v>0</v>
      </c>
      <c r="X451" s="27">
        <v>0</v>
      </c>
      <c r="Y451" s="27">
        <v>0</v>
      </c>
      <c r="Z451" s="27">
        <v>0</v>
      </c>
      <c r="AA451" s="27">
        <v>0</v>
      </c>
      <c r="AB451" s="27">
        <v>0</v>
      </c>
      <c r="AC451" s="27">
        <v>0</v>
      </c>
      <c r="AD451" s="27">
        <v>0</v>
      </c>
      <c r="AE451" s="27">
        <v>0</v>
      </c>
      <c r="AF451" s="27">
        <v>0</v>
      </c>
      <c r="AG451" s="26">
        <f t="shared" si="28"/>
        <v>103.25</v>
      </c>
      <c r="AH451" s="26">
        <f t="shared" si="29"/>
        <v>4.8</v>
      </c>
      <c r="AI451" s="26">
        <f t="shared" si="30"/>
        <v>5</v>
      </c>
      <c r="AJ451" s="15" t="s">
        <v>425</v>
      </c>
      <c r="AK451" s="15" t="s">
        <v>425</v>
      </c>
      <c r="AL451" s="15" t="s">
        <v>317</v>
      </c>
      <c r="AM451" s="19">
        <v>44012</v>
      </c>
    </row>
    <row r="452" spans="1:39" x14ac:dyDescent="0.2">
      <c r="A452" s="15" t="str">
        <f t="shared" si="31"/>
        <v>812071119261</v>
      </c>
      <c r="B452" s="14">
        <v>812071</v>
      </c>
      <c r="C452" s="14" t="s">
        <v>157</v>
      </c>
      <c r="D452" s="16">
        <v>119261</v>
      </c>
      <c r="E452" s="18" t="s">
        <v>140</v>
      </c>
      <c r="F452" s="26">
        <v>0</v>
      </c>
      <c r="G452" s="26">
        <v>0</v>
      </c>
      <c r="H452" s="26">
        <v>0</v>
      </c>
      <c r="I452" s="26">
        <v>0</v>
      </c>
      <c r="J452" s="26">
        <v>0</v>
      </c>
      <c r="K452" s="26">
        <v>0</v>
      </c>
      <c r="L452" s="26">
        <v>0</v>
      </c>
      <c r="M452" s="26">
        <v>0</v>
      </c>
      <c r="N452" s="26">
        <v>0</v>
      </c>
      <c r="O452" s="27">
        <v>25</v>
      </c>
      <c r="P452" s="27">
        <v>0</v>
      </c>
      <c r="Q452" s="27">
        <v>0</v>
      </c>
      <c r="R452" s="27">
        <v>50</v>
      </c>
      <c r="S452" s="27">
        <v>0</v>
      </c>
      <c r="T452" s="27">
        <v>0</v>
      </c>
      <c r="U452" s="27">
        <v>141</v>
      </c>
      <c r="V452" s="27">
        <v>0</v>
      </c>
      <c r="W452" s="27">
        <v>0</v>
      </c>
      <c r="X452" s="27">
        <v>195</v>
      </c>
      <c r="Y452" s="27">
        <v>0</v>
      </c>
      <c r="Z452" s="27">
        <v>0</v>
      </c>
      <c r="AA452" s="27">
        <v>225.7</v>
      </c>
      <c r="AB452" s="27">
        <v>19</v>
      </c>
      <c r="AC452" s="27">
        <v>0</v>
      </c>
      <c r="AD452" s="27">
        <v>144.85</v>
      </c>
      <c r="AE452" s="27">
        <v>0</v>
      </c>
      <c r="AF452" s="27">
        <v>0</v>
      </c>
      <c r="AG452" s="26">
        <f t="shared" si="28"/>
        <v>781.55000000000007</v>
      </c>
      <c r="AH452" s="26">
        <f t="shared" si="29"/>
        <v>19</v>
      </c>
      <c r="AI452" s="26">
        <f t="shared" si="30"/>
        <v>0</v>
      </c>
      <c r="AJ452" s="15" t="s">
        <v>425</v>
      </c>
      <c r="AK452" s="15" t="s">
        <v>425</v>
      </c>
      <c r="AL452" s="15" t="s">
        <v>317</v>
      </c>
      <c r="AM452" s="19">
        <v>44012</v>
      </c>
    </row>
    <row r="453" spans="1:39" x14ac:dyDescent="0.2">
      <c r="A453" s="15" t="str">
        <f t="shared" si="31"/>
        <v>812072144868</v>
      </c>
      <c r="B453" s="32">
        <v>812072</v>
      </c>
      <c r="C453" s="32" t="s">
        <v>159</v>
      </c>
      <c r="D453" s="17">
        <v>144868</v>
      </c>
      <c r="E453" s="15" t="s">
        <v>158</v>
      </c>
      <c r="F453" s="26">
        <v>2.5</v>
      </c>
      <c r="G453" s="26">
        <v>0</v>
      </c>
      <c r="H453" s="26">
        <v>0</v>
      </c>
      <c r="I453" s="26">
        <v>0</v>
      </c>
      <c r="J453" s="26">
        <v>0</v>
      </c>
      <c r="K453" s="26">
        <v>0</v>
      </c>
      <c r="L453" s="26">
        <v>0</v>
      </c>
      <c r="M453" s="26">
        <v>0</v>
      </c>
      <c r="N453" s="26">
        <v>0</v>
      </c>
      <c r="O453" s="27">
        <v>2.5</v>
      </c>
      <c r="P453" s="27">
        <v>0</v>
      </c>
      <c r="Q453" s="27">
        <v>0</v>
      </c>
      <c r="R453" s="27">
        <v>0</v>
      </c>
      <c r="S453" s="27">
        <v>0</v>
      </c>
      <c r="T453" s="27">
        <v>0</v>
      </c>
      <c r="U453" s="27">
        <v>0</v>
      </c>
      <c r="V453" s="27">
        <v>0</v>
      </c>
      <c r="W453" s="27">
        <v>0</v>
      </c>
      <c r="X453" s="27">
        <v>0</v>
      </c>
      <c r="Y453" s="27">
        <v>0</v>
      </c>
      <c r="Z453" s="27">
        <v>0</v>
      </c>
      <c r="AA453" s="27">
        <v>0</v>
      </c>
      <c r="AB453" s="27">
        <v>0</v>
      </c>
      <c r="AC453" s="27">
        <v>0</v>
      </c>
      <c r="AD453" s="27">
        <v>0</v>
      </c>
      <c r="AE453" s="27">
        <v>0</v>
      </c>
      <c r="AF453" s="27">
        <v>0</v>
      </c>
      <c r="AG453" s="26">
        <f t="shared" si="28"/>
        <v>5</v>
      </c>
      <c r="AH453" s="26">
        <f t="shared" si="29"/>
        <v>0</v>
      </c>
      <c r="AI453" s="26">
        <f t="shared" si="30"/>
        <v>0</v>
      </c>
      <c r="AJ453" s="15" t="s">
        <v>425</v>
      </c>
      <c r="AK453" s="15" t="s">
        <v>425</v>
      </c>
      <c r="AL453" s="15" t="s">
        <v>317</v>
      </c>
      <c r="AM453" s="19">
        <v>44012</v>
      </c>
    </row>
    <row r="454" spans="1:39" x14ac:dyDescent="0.2">
      <c r="A454" s="15" t="str">
        <f t="shared" si="31"/>
        <v>812142174445</v>
      </c>
      <c r="B454" s="32">
        <v>812142</v>
      </c>
      <c r="C454" s="32" t="s">
        <v>289</v>
      </c>
      <c r="D454" s="17">
        <v>174445</v>
      </c>
      <c r="E454" s="15" t="s">
        <v>143</v>
      </c>
      <c r="F454" s="26">
        <v>40</v>
      </c>
      <c r="G454" s="26">
        <v>0</v>
      </c>
      <c r="H454" s="26">
        <v>0</v>
      </c>
      <c r="I454" s="26">
        <v>12</v>
      </c>
      <c r="J454" s="26">
        <v>0</v>
      </c>
      <c r="K454" s="26">
        <v>0</v>
      </c>
      <c r="L454" s="26">
        <v>25</v>
      </c>
      <c r="M454" s="26">
        <v>0</v>
      </c>
      <c r="N454" s="26">
        <v>0</v>
      </c>
      <c r="O454" s="27">
        <v>17.5</v>
      </c>
      <c r="P454" s="27">
        <v>0</v>
      </c>
      <c r="Q454" s="27">
        <v>0</v>
      </c>
      <c r="R454" s="27">
        <v>16</v>
      </c>
      <c r="S454" s="27">
        <v>0</v>
      </c>
      <c r="T454" s="27">
        <v>0</v>
      </c>
      <c r="U454" s="27">
        <v>23.75</v>
      </c>
      <c r="V454" s="27">
        <v>0</v>
      </c>
      <c r="W454" s="27">
        <v>0</v>
      </c>
      <c r="X454" s="27">
        <v>18.75</v>
      </c>
      <c r="Y454" s="27">
        <v>0</v>
      </c>
      <c r="Z454" s="27">
        <v>0</v>
      </c>
      <c r="AA454" s="27">
        <v>12.5</v>
      </c>
      <c r="AB454" s="27">
        <v>0</v>
      </c>
      <c r="AC454" s="27">
        <v>0</v>
      </c>
      <c r="AD454" s="27">
        <v>50</v>
      </c>
      <c r="AE454" s="27">
        <v>0</v>
      </c>
      <c r="AF454" s="27">
        <v>0</v>
      </c>
      <c r="AG454" s="26">
        <f t="shared" si="28"/>
        <v>215.5</v>
      </c>
      <c r="AH454" s="26">
        <f t="shared" si="29"/>
        <v>0</v>
      </c>
      <c r="AI454" s="26">
        <f t="shared" si="30"/>
        <v>0</v>
      </c>
      <c r="AJ454" s="15" t="s">
        <v>425</v>
      </c>
      <c r="AK454" s="15" t="s">
        <v>425</v>
      </c>
      <c r="AL454" s="15" t="s">
        <v>317</v>
      </c>
      <c r="AM454" s="19">
        <v>44019</v>
      </c>
    </row>
    <row r="455" spans="1:39" x14ac:dyDescent="0.2">
      <c r="A455" s="15" t="str">
        <f t="shared" si="31"/>
        <v>812161145639</v>
      </c>
      <c r="B455" s="32">
        <v>812161</v>
      </c>
      <c r="C455" s="32" t="s">
        <v>184</v>
      </c>
      <c r="D455" s="17">
        <v>145639</v>
      </c>
      <c r="E455" s="15" t="s">
        <v>152</v>
      </c>
      <c r="F455" s="26">
        <v>89.25</v>
      </c>
      <c r="G455" s="26">
        <v>2.0499999999999998</v>
      </c>
      <c r="H455" s="26">
        <v>0</v>
      </c>
      <c r="I455" s="26">
        <v>33</v>
      </c>
      <c r="J455" s="26">
        <v>2.0499999999999998</v>
      </c>
      <c r="K455" s="26">
        <v>0</v>
      </c>
      <c r="L455" s="26">
        <v>102.95</v>
      </c>
      <c r="M455" s="26">
        <v>6.25</v>
      </c>
      <c r="N455" s="26">
        <v>7.5</v>
      </c>
      <c r="O455" s="27">
        <v>43.75</v>
      </c>
      <c r="P455" s="27">
        <v>0.5</v>
      </c>
      <c r="Q455" s="27">
        <v>0</v>
      </c>
      <c r="R455" s="27">
        <v>20.5</v>
      </c>
      <c r="S455" s="27">
        <v>0</v>
      </c>
      <c r="T455" s="27">
        <v>0</v>
      </c>
      <c r="U455" s="27">
        <v>79.5</v>
      </c>
      <c r="V455" s="27">
        <v>0</v>
      </c>
      <c r="W455" s="27">
        <v>12.5</v>
      </c>
      <c r="X455" s="27">
        <v>34</v>
      </c>
      <c r="Y455" s="27">
        <v>0</v>
      </c>
      <c r="Z455" s="27">
        <v>0</v>
      </c>
      <c r="AA455" s="27">
        <v>43.5</v>
      </c>
      <c r="AB455" s="27">
        <v>0</v>
      </c>
      <c r="AC455" s="27">
        <v>16</v>
      </c>
      <c r="AD455" s="27">
        <v>92.25</v>
      </c>
      <c r="AE455" s="27">
        <v>0</v>
      </c>
      <c r="AF455" s="27">
        <v>10</v>
      </c>
      <c r="AG455" s="26">
        <f t="shared" si="28"/>
        <v>538.70000000000005</v>
      </c>
      <c r="AH455" s="26">
        <f t="shared" si="29"/>
        <v>10.85</v>
      </c>
      <c r="AI455" s="26">
        <f t="shared" si="30"/>
        <v>46</v>
      </c>
      <c r="AJ455" s="15" t="s">
        <v>425</v>
      </c>
      <c r="AK455" s="15" t="s">
        <v>425</v>
      </c>
      <c r="AL455" s="15" t="s">
        <v>317</v>
      </c>
      <c r="AM455" s="19">
        <v>44021</v>
      </c>
    </row>
    <row r="456" spans="1:39" x14ac:dyDescent="0.2">
      <c r="A456" s="15" t="str">
        <f t="shared" si="31"/>
        <v>812196174445</v>
      </c>
      <c r="B456" s="32">
        <v>812196</v>
      </c>
      <c r="C456" s="32" t="s">
        <v>298</v>
      </c>
      <c r="D456" s="17">
        <v>174445</v>
      </c>
      <c r="E456" s="15" t="s">
        <v>143</v>
      </c>
      <c r="F456" s="26">
        <v>10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7">
        <v>0</v>
      </c>
      <c r="P456" s="27">
        <v>0</v>
      </c>
      <c r="Q456" s="27">
        <v>0</v>
      </c>
      <c r="R456" s="27">
        <v>2.5</v>
      </c>
      <c r="S456" s="27">
        <v>0</v>
      </c>
      <c r="T456" s="27">
        <v>0</v>
      </c>
      <c r="U456" s="27">
        <v>2.25</v>
      </c>
      <c r="V456" s="27">
        <v>0</v>
      </c>
      <c r="W456" s="27">
        <v>0</v>
      </c>
      <c r="X456" s="27">
        <v>0</v>
      </c>
      <c r="Y456" s="27">
        <v>0</v>
      </c>
      <c r="Z456" s="27">
        <v>0</v>
      </c>
      <c r="AA456" s="27">
        <v>0</v>
      </c>
      <c r="AB456" s="27">
        <v>0</v>
      </c>
      <c r="AC456" s="27">
        <v>0</v>
      </c>
      <c r="AD456" s="27">
        <v>0</v>
      </c>
      <c r="AE456" s="27">
        <v>0</v>
      </c>
      <c r="AF456" s="27">
        <v>0</v>
      </c>
      <c r="AG456" s="26">
        <f t="shared" si="28"/>
        <v>14.75</v>
      </c>
      <c r="AH456" s="26">
        <f t="shared" si="29"/>
        <v>0</v>
      </c>
      <c r="AI456" s="26">
        <f t="shared" si="30"/>
        <v>0</v>
      </c>
      <c r="AJ456" s="15" t="s">
        <v>425</v>
      </c>
      <c r="AK456" s="15" t="s">
        <v>425</v>
      </c>
      <c r="AL456" s="15" t="s">
        <v>317</v>
      </c>
      <c r="AM456" s="19">
        <v>44023</v>
      </c>
    </row>
    <row r="457" spans="1:39" x14ac:dyDescent="0.2">
      <c r="A457" s="15" t="str">
        <f t="shared" si="31"/>
        <v>812425146909</v>
      </c>
      <c r="B457" s="32">
        <v>812425</v>
      </c>
      <c r="C457" s="32" t="s">
        <v>110</v>
      </c>
      <c r="D457" s="17">
        <v>146909</v>
      </c>
      <c r="E457" s="15" t="s">
        <v>109</v>
      </c>
      <c r="F457" s="26">
        <v>164.1</v>
      </c>
      <c r="G457" s="26">
        <v>0</v>
      </c>
      <c r="H457" s="26">
        <v>0</v>
      </c>
      <c r="I457" s="26">
        <v>109.5</v>
      </c>
      <c r="J457" s="26">
        <v>0</v>
      </c>
      <c r="K457" s="26">
        <v>0</v>
      </c>
      <c r="L457" s="26">
        <v>90.5</v>
      </c>
      <c r="M457" s="26">
        <v>0</v>
      </c>
      <c r="N457" s="26">
        <v>0</v>
      </c>
      <c r="O457" s="27">
        <v>77.099999999999994</v>
      </c>
      <c r="P457" s="27">
        <v>1</v>
      </c>
      <c r="Q457" s="27">
        <v>5.6</v>
      </c>
      <c r="R457" s="27">
        <v>117</v>
      </c>
      <c r="S457" s="27">
        <v>1</v>
      </c>
      <c r="T457" s="27">
        <v>0</v>
      </c>
      <c r="U457" s="27">
        <v>67</v>
      </c>
      <c r="V457" s="27">
        <v>0</v>
      </c>
      <c r="W457" s="27">
        <v>0</v>
      </c>
      <c r="X457" s="27">
        <v>62</v>
      </c>
      <c r="Y457" s="27">
        <v>0</v>
      </c>
      <c r="Z457" s="27">
        <v>0</v>
      </c>
      <c r="AA457" s="27">
        <v>11.75</v>
      </c>
      <c r="AB457" s="27">
        <v>1.75</v>
      </c>
      <c r="AC457" s="27">
        <v>0</v>
      </c>
      <c r="AD457" s="27">
        <v>165.75</v>
      </c>
      <c r="AE457" s="27">
        <v>7.5</v>
      </c>
      <c r="AF457" s="27">
        <v>0</v>
      </c>
      <c r="AG457" s="26">
        <f t="shared" si="28"/>
        <v>864.7</v>
      </c>
      <c r="AH457" s="26">
        <f t="shared" si="29"/>
        <v>11.25</v>
      </c>
      <c r="AI457" s="26">
        <f t="shared" si="30"/>
        <v>5.6</v>
      </c>
      <c r="AJ457" s="15" t="s">
        <v>425</v>
      </c>
      <c r="AK457" s="15" t="s">
        <v>425</v>
      </c>
      <c r="AL457" s="15" t="s">
        <v>317</v>
      </c>
      <c r="AM457" s="19">
        <v>44043</v>
      </c>
    </row>
    <row r="458" spans="1:39" x14ac:dyDescent="0.2">
      <c r="A458" s="15" t="str">
        <f t="shared" si="31"/>
        <v>812428176279</v>
      </c>
      <c r="B458" s="32">
        <v>812428</v>
      </c>
      <c r="C458" s="32" t="s">
        <v>242</v>
      </c>
      <c r="D458" s="17">
        <v>176279</v>
      </c>
      <c r="E458" s="15" t="s">
        <v>145</v>
      </c>
      <c r="F458" s="26">
        <v>0</v>
      </c>
      <c r="G458" s="26">
        <v>0</v>
      </c>
      <c r="H458" s="26">
        <v>0</v>
      </c>
      <c r="I458" s="26">
        <v>0</v>
      </c>
      <c r="J458" s="26">
        <v>0</v>
      </c>
      <c r="K458" s="26">
        <v>0</v>
      </c>
      <c r="L458" s="26">
        <v>0</v>
      </c>
      <c r="M458" s="26">
        <v>0</v>
      </c>
      <c r="N458" s="26">
        <v>0</v>
      </c>
      <c r="O458" s="27">
        <v>8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  <c r="V458" s="27">
        <v>0</v>
      </c>
      <c r="W458" s="27">
        <v>0</v>
      </c>
      <c r="X458" s="27">
        <v>7.5</v>
      </c>
      <c r="Y458" s="27">
        <v>0</v>
      </c>
      <c r="Z458" s="27">
        <v>0</v>
      </c>
      <c r="AA458" s="27">
        <v>0</v>
      </c>
      <c r="AB458" s="27">
        <v>0</v>
      </c>
      <c r="AC458" s="27">
        <v>0</v>
      </c>
      <c r="AD458" s="27">
        <v>5</v>
      </c>
      <c r="AE458" s="27">
        <v>0</v>
      </c>
      <c r="AF458" s="27">
        <v>0</v>
      </c>
      <c r="AG458" s="26">
        <f t="shared" si="28"/>
        <v>20.5</v>
      </c>
      <c r="AH458" s="26">
        <f t="shared" si="29"/>
        <v>0</v>
      </c>
      <c r="AI458" s="26">
        <f t="shared" si="30"/>
        <v>0</v>
      </c>
      <c r="AJ458" s="15" t="s">
        <v>425</v>
      </c>
      <c r="AK458" s="15" t="s">
        <v>425</v>
      </c>
      <c r="AL458" s="15" t="s">
        <v>317</v>
      </c>
      <c r="AM458" s="19">
        <v>44043</v>
      </c>
    </row>
    <row r="459" spans="1:39" x14ac:dyDescent="0.2">
      <c r="A459" s="15" t="str">
        <f t="shared" si="31"/>
        <v>812658119071</v>
      </c>
      <c r="B459" s="32">
        <v>812658</v>
      </c>
      <c r="C459" s="32" t="s">
        <v>286</v>
      </c>
      <c r="D459" s="17">
        <v>119071</v>
      </c>
      <c r="E459" s="15" t="s">
        <v>154</v>
      </c>
      <c r="F459" s="26">
        <v>0</v>
      </c>
      <c r="G459" s="26">
        <v>0</v>
      </c>
      <c r="H459" s="26">
        <v>0</v>
      </c>
      <c r="I459" s="26">
        <v>0</v>
      </c>
      <c r="J459" s="26">
        <v>0</v>
      </c>
      <c r="K459" s="26">
        <v>0</v>
      </c>
      <c r="L459" s="26">
        <v>0</v>
      </c>
      <c r="M459" s="26">
        <v>0</v>
      </c>
      <c r="N459" s="26">
        <v>0</v>
      </c>
      <c r="O459" s="27">
        <v>0</v>
      </c>
      <c r="P459" s="27">
        <v>0</v>
      </c>
      <c r="Q459" s="27">
        <v>0</v>
      </c>
      <c r="R459" s="27">
        <v>0</v>
      </c>
      <c r="S459" s="27">
        <v>0</v>
      </c>
      <c r="T459" s="27">
        <v>0</v>
      </c>
      <c r="U459" s="27">
        <v>0</v>
      </c>
      <c r="V459" s="27">
        <v>0</v>
      </c>
      <c r="W459" s="27">
        <v>0</v>
      </c>
      <c r="X459" s="27">
        <v>0</v>
      </c>
      <c r="Y459" s="27">
        <v>0</v>
      </c>
      <c r="Z459" s="27">
        <v>0</v>
      </c>
      <c r="AA459" s="27">
        <v>0</v>
      </c>
      <c r="AB459" s="27">
        <v>0</v>
      </c>
      <c r="AC459" s="27">
        <v>0</v>
      </c>
      <c r="AD459" s="27">
        <v>0</v>
      </c>
      <c r="AE459" s="27">
        <v>0</v>
      </c>
      <c r="AF459" s="27">
        <v>0</v>
      </c>
      <c r="AG459" s="26">
        <f t="shared" si="28"/>
        <v>0</v>
      </c>
      <c r="AH459" s="26">
        <f t="shared" si="29"/>
        <v>0</v>
      </c>
      <c r="AI459" s="26">
        <f t="shared" si="30"/>
        <v>0</v>
      </c>
      <c r="AJ459" s="15" t="s">
        <v>425</v>
      </c>
      <c r="AK459" s="15" t="s">
        <v>425</v>
      </c>
      <c r="AL459" s="15" t="s">
        <v>317</v>
      </c>
      <c r="AM459" s="19">
        <v>44069</v>
      </c>
    </row>
    <row r="460" spans="1:39" x14ac:dyDescent="0.2">
      <c r="A460" s="15" t="str">
        <f t="shared" si="31"/>
        <v>813074177957</v>
      </c>
      <c r="B460" s="32">
        <v>813074</v>
      </c>
      <c r="C460" s="32" t="s">
        <v>225</v>
      </c>
      <c r="D460" s="17">
        <v>177957</v>
      </c>
      <c r="E460" s="15" t="s">
        <v>197</v>
      </c>
      <c r="F460" s="26">
        <v>10</v>
      </c>
      <c r="G460" s="26">
        <v>0</v>
      </c>
      <c r="H460" s="26">
        <v>0</v>
      </c>
      <c r="I460" s="26">
        <v>0</v>
      </c>
      <c r="J460" s="26">
        <v>0</v>
      </c>
      <c r="K460" s="26">
        <v>0</v>
      </c>
      <c r="L460" s="26">
        <v>9</v>
      </c>
      <c r="M460" s="26">
        <v>0</v>
      </c>
      <c r="N460" s="26">
        <v>0</v>
      </c>
      <c r="O460" s="27">
        <v>7.5</v>
      </c>
      <c r="P460" s="27">
        <v>0</v>
      </c>
      <c r="Q460" s="27">
        <v>0</v>
      </c>
      <c r="R460" s="27">
        <v>7.5</v>
      </c>
      <c r="S460" s="27">
        <v>0</v>
      </c>
      <c r="T460" s="27">
        <v>0</v>
      </c>
      <c r="U460" s="27">
        <v>12</v>
      </c>
      <c r="V460" s="27">
        <v>0</v>
      </c>
      <c r="W460" s="27">
        <v>0</v>
      </c>
      <c r="X460" s="27">
        <v>25</v>
      </c>
      <c r="Y460" s="27">
        <v>0</v>
      </c>
      <c r="Z460" s="27">
        <v>0</v>
      </c>
      <c r="AA460" s="27">
        <v>10</v>
      </c>
      <c r="AB460" s="27">
        <v>0</v>
      </c>
      <c r="AC460" s="27">
        <v>0</v>
      </c>
      <c r="AD460" s="27">
        <v>30</v>
      </c>
      <c r="AE460" s="27">
        <v>0</v>
      </c>
      <c r="AF460" s="27">
        <v>0</v>
      </c>
      <c r="AG460" s="26">
        <f t="shared" si="28"/>
        <v>111</v>
      </c>
      <c r="AH460" s="26">
        <f t="shared" si="29"/>
        <v>0</v>
      </c>
      <c r="AI460" s="26">
        <f t="shared" si="30"/>
        <v>0</v>
      </c>
      <c r="AJ460" s="15" t="s">
        <v>425</v>
      </c>
      <c r="AK460" s="15" t="s">
        <v>425</v>
      </c>
      <c r="AL460" s="15" t="s">
        <v>317</v>
      </c>
      <c r="AM460" s="19">
        <v>44100</v>
      </c>
    </row>
    <row r="461" spans="1:39" x14ac:dyDescent="0.2">
      <c r="A461" s="15" t="str">
        <f t="shared" si="31"/>
        <v>813147204307</v>
      </c>
      <c r="B461" s="32">
        <v>813147</v>
      </c>
      <c r="C461" s="32" t="s">
        <v>190</v>
      </c>
      <c r="D461" s="17">
        <v>204307</v>
      </c>
      <c r="E461" s="15" t="s">
        <v>162</v>
      </c>
      <c r="F461" s="26">
        <v>0</v>
      </c>
      <c r="G461" s="26">
        <v>0</v>
      </c>
      <c r="H461" s="26">
        <v>0</v>
      </c>
      <c r="I461" s="26">
        <v>0</v>
      </c>
      <c r="J461" s="26">
        <v>0</v>
      </c>
      <c r="K461" s="26">
        <v>0</v>
      </c>
      <c r="L461" s="26">
        <v>0</v>
      </c>
      <c r="M461" s="26">
        <v>0</v>
      </c>
      <c r="N461" s="26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20</v>
      </c>
      <c r="V461" s="27">
        <v>0</v>
      </c>
      <c r="W461" s="27">
        <v>0</v>
      </c>
      <c r="X461" s="27">
        <v>0</v>
      </c>
      <c r="Y461" s="27">
        <v>0</v>
      </c>
      <c r="Z461" s="27">
        <v>0</v>
      </c>
      <c r="AA461" s="27">
        <v>0</v>
      </c>
      <c r="AB461" s="27">
        <v>0</v>
      </c>
      <c r="AC461" s="27">
        <v>0</v>
      </c>
      <c r="AD461" s="27">
        <v>0</v>
      </c>
      <c r="AE461" s="27">
        <v>0</v>
      </c>
      <c r="AF461" s="27">
        <v>0</v>
      </c>
      <c r="AG461" s="26">
        <f t="shared" si="28"/>
        <v>20</v>
      </c>
      <c r="AH461" s="26">
        <f t="shared" si="29"/>
        <v>0</v>
      </c>
      <c r="AI461" s="26">
        <f t="shared" si="30"/>
        <v>0</v>
      </c>
      <c r="AJ461" s="15" t="s">
        <v>425</v>
      </c>
      <c r="AK461" s="15" t="s">
        <v>425</v>
      </c>
      <c r="AL461" s="15" t="s">
        <v>317</v>
      </c>
      <c r="AM461" s="19">
        <v>44104</v>
      </c>
    </row>
    <row r="462" spans="1:39" x14ac:dyDescent="0.2">
      <c r="A462" s="15" t="str">
        <f t="shared" si="31"/>
        <v>813327204307</v>
      </c>
      <c r="B462" s="32">
        <v>813327</v>
      </c>
      <c r="C462" s="32" t="s">
        <v>163</v>
      </c>
      <c r="D462" s="17">
        <v>204307</v>
      </c>
      <c r="E462" s="15" t="s">
        <v>162</v>
      </c>
      <c r="F462" s="26">
        <v>133.65</v>
      </c>
      <c r="G462" s="26">
        <v>0.5</v>
      </c>
      <c r="H462" s="26">
        <v>0</v>
      </c>
      <c r="I462" s="26">
        <v>103.25</v>
      </c>
      <c r="J462" s="26">
        <v>0.5</v>
      </c>
      <c r="K462" s="26">
        <v>0</v>
      </c>
      <c r="L462" s="26">
        <v>39.25</v>
      </c>
      <c r="M462" s="26">
        <v>0</v>
      </c>
      <c r="N462" s="26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  <c r="V462" s="27">
        <v>0</v>
      </c>
      <c r="W462" s="27">
        <v>0</v>
      </c>
      <c r="X462" s="27">
        <v>0</v>
      </c>
      <c r="Y462" s="27">
        <v>0</v>
      </c>
      <c r="Z462" s="27">
        <v>0</v>
      </c>
      <c r="AA462" s="27">
        <v>0</v>
      </c>
      <c r="AB462" s="27">
        <v>0</v>
      </c>
      <c r="AC462" s="27">
        <v>0</v>
      </c>
      <c r="AD462" s="27">
        <v>144.5</v>
      </c>
      <c r="AE462" s="27">
        <v>1.25</v>
      </c>
      <c r="AF462" s="27">
        <v>0</v>
      </c>
      <c r="AG462" s="26">
        <f t="shared" si="28"/>
        <v>420.65</v>
      </c>
      <c r="AH462" s="26">
        <f t="shared" si="29"/>
        <v>2.25</v>
      </c>
      <c r="AI462" s="26">
        <f t="shared" si="30"/>
        <v>0</v>
      </c>
      <c r="AJ462" s="15" t="s">
        <v>425</v>
      </c>
      <c r="AK462" s="15" t="s">
        <v>425</v>
      </c>
      <c r="AL462" s="15" t="s">
        <v>317</v>
      </c>
      <c r="AM462" s="19">
        <v>44124</v>
      </c>
    </row>
    <row r="463" spans="1:39" x14ac:dyDescent="0.2">
      <c r="A463" s="15" t="str">
        <f t="shared" si="31"/>
        <v>813602177603</v>
      </c>
      <c r="B463" s="32">
        <v>813602</v>
      </c>
      <c r="C463" s="32" t="s">
        <v>327</v>
      </c>
      <c r="D463" s="17">
        <v>177603</v>
      </c>
      <c r="E463" s="15" t="s">
        <v>328</v>
      </c>
      <c r="F463" s="26">
        <v>18.5</v>
      </c>
      <c r="G463" s="26">
        <v>0</v>
      </c>
      <c r="H463" s="26">
        <v>0</v>
      </c>
      <c r="I463" s="26">
        <v>10</v>
      </c>
      <c r="J463" s="26">
        <v>0</v>
      </c>
      <c r="K463" s="26">
        <v>0</v>
      </c>
      <c r="L463" s="26">
        <v>33.75</v>
      </c>
      <c r="M463" s="26">
        <v>0</v>
      </c>
      <c r="N463" s="26">
        <v>0</v>
      </c>
      <c r="O463" s="27">
        <v>25</v>
      </c>
      <c r="P463" s="27">
        <v>0</v>
      </c>
      <c r="Q463" s="27">
        <v>0</v>
      </c>
      <c r="R463" s="27">
        <v>10</v>
      </c>
      <c r="S463" s="27">
        <v>5</v>
      </c>
      <c r="T463" s="27">
        <v>0</v>
      </c>
      <c r="U463" s="27">
        <v>37.5</v>
      </c>
      <c r="V463" s="27">
        <v>0</v>
      </c>
      <c r="W463" s="27">
        <v>0</v>
      </c>
      <c r="X463" s="27">
        <v>25</v>
      </c>
      <c r="Y463" s="27">
        <v>0</v>
      </c>
      <c r="Z463" s="27">
        <v>0</v>
      </c>
      <c r="AA463" s="27">
        <v>39.5</v>
      </c>
      <c r="AB463" s="27">
        <v>0</v>
      </c>
      <c r="AC463" s="27">
        <v>0</v>
      </c>
      <c r="AD463" s="27">
        <v>25.5</v>
      </c>
      <c r="AE463" s="27">
        <v>0</v>
      </c>
      <c r="AF463" s="27">
        <v>0</v>
      </c>
      <c r="AG463" s="26">
        <f t="shared" si="28"/>
        <v>224.75</v>
      </c>
      <c r="AH463" s="26">
        <f t="shared" si="29"/>
        <v>5</v>
      </c>
      <c r="AI463" s="26">
        <f t="shared" si="30"/>
        <v>0</v>
      </c>
      <c r="AJ463" s="15" t="s">
        <v>425</v>
      </c>
      <c r="AK463" s="15" t="s">
        <v>425</v>
      </c>
      <c r="AL463" s="15" t="s">
        <v>317</v>
      </c>
      <c r="AM463" s="19">
        <v>44156</v>
      </c>
    </row>
    <row r="464" spans="1:39" x14ac:dyDescent="0.2">
      <c r="A464" s="15" t="str">
        <f t="shared" si="31"/>
        <v>813800144868</v>
      </c>
      <c r="B464" s="32">
        <v>813800</v>
      </c>
      <c r="C464" s="32" t="s">
        <v>310</v>
      </c>
      <c r="D464" s="17">
        <v>144868</v>
      </c>
      <c r="E464" s="15" t="s">
        <v>158</v>
      </c>
      <c r="F464" s="26">
        <v>2.5</v>
      </c>
      <c r="G464" s="26">
        <v>0</v>
      </c>
      <c r="H464" s="26">
        <v>0</v>
      </c>
      <c r="I464" s="26">
        <v>66.5</v>
      </c>
      <c r="J464" s="26">
        <v>0</v>
      </c>
      <c r="K464" s="26">
        <v>0</v>
      </c>
      <c r="L464" s="26">
        <v>35.5</v>
      </c>
      <c r="M464" s="26">
        <v>0</v>
      </c>
      <c r="N464" s="26">
        <v>0</v>
      </c>
      <c r="O464" s="27">
        <v>15</v>
      </c>
      <c r="P464" s="27">
        <v>0</v>
      </c>
      <c r="Q464" s="27">
        <v>0</v>
      </c>
      <c r="R464" s="27">
        <v>18.2</v>
      </c>
      <c r="S464" s="27">
        <v>0</v>
      </c>
      <c r="T464" s="27">
        <v>0</v>
      </c>
      <c r="U464" s="27">
        <v>31</v>
      </c>
      <c r="V464" s="27">
        <v>0</v>
      </c>
      <c r="W464" s="27">
        <v>0</v>
      </c>
      <c r="X464" s="27">
        <v>10</v>
      </c>
      <c r="Y464" s="27">
        <v>0</v>
      </c>
      <c r="Z464" s="27">
        <v>0</v>
      </c>
      <c r="AA464" s="27">
        <v>20</v>
      </c>
      <c r="AB464" s="27">
        <v>0</v>
      </c>
      <c r="AC464" s="27">
        <v>0</v>
      </c>
      <c r="AD464" s="27">
        <v>105.7</v>
      </c>
      <c r="AE464" s="27">
        <v>0</v>
      </c>
      <c r="AF464" s="27">
        <v>0</v>
      </c>
      <c r="AG464" s="26">
        <f t="shared" si="28"/>
        <v>304.39999999999998</v>
      </c>
      <c r="AH464" s="26">
        <f t="shared" si="29"/>
        <v>0</v>
      </c>
      <c r="AI464" s="26">
        <f t="shared" si="30"/>
        <v>0</v>
      </c>
      <c r="AJ464" s="15" t="s">
        <v>425</v>
      </c>
      <c r="AK464" s="15" t="s">
        <v>425</v>
      </c>
      <c r="AL464" s="15" t="s">
        <v>317</v>
      </c>
      <c r="AM464" s="19">
        <v>44175</v>
      </c>
    </row>
    <row r="465" spans="1:39" x14ac:dyDescent="0.2">
      <c r="A465" s="15" t="str">
        <f t="shared" si="31"/>
        <v>813820201172</v>
      </c>
      <c r="B465" s="32">
        <v>813820</v>
      </c>
      <c r="C465" s="32" t="s">
        <v>191</v>
      </c>
      <c r="D465" s="17">
        <v>201172</v>
      </c>
      <c r="E465" s="15" t="s">
        <v>144</v>
      </c>
      <c r="F465" s="26">
        <v>0</v>
      </c>
      <c r="G465" s="26">
        <v>0</v>
      </c>
      <c r="H465" s="26">
        <v>0</v>
      </c>
      <c r="I465" s="26">
        <v>0</v>
      </c>
      <c r="J465" s="26">
        <v>0</v>
      </c>
      <c r="K465" s="26">
        <v>0</v>
      </c>
      <c r="L465" s="26">
        <v>7.5</v>
      </c>
      <c r="M465" s="26">
        <v>0</v>
      </c>
      <c r="N465" s="26">
        <v>0</v>
      </c>
      <c r="O465" s="27">
        <v>2.5</v>
      </c>
      <c r="P465" s="27">
        <v>0</v>
      </c>
      <c r="Q465" s="27">
        <v>0</v>
      </c>
      <c r="R465" s="27">
        <v>5.95</v>
      </c>
      <c r="S465" s="27">
        <v>0</v>
      </c>
      <c r="T465" s="27">
        <v>0</v>
      </c>
      <c r="U465" s="27">
        <v>0</v>
      </c>
      <c r="V465" s="27">
        <v>0</v>
      </c>
      <c r="W465" s="27">
        <v>0</v>
      </c>
      <c r="X465" s="27">
        <v>0</v>
      </c>
      <c r="Y465" s="27">
        <v>0</v>
      </c>
      <c r="Z465" s="27">
        <v>0</v>
      </c>
      <c r="AA465" s="27">
        <v>0</v>
      </c>
      <c r="AB465" s="27">
        <v>0</v>
      </c>
      <c r="AC465" s="27">
        <v>0</v>
      </c>
      <c r="AD465" s="27">
        <v>0</v>
      </c>
      <c r="AE465" s="27">
        <v>0</v>
      </c>
      <c r="AF465" s="27">
        <v>0</v>
      </c>
      <c r="AG465" s="26">
        <f t="shared" si="28"/>
        <v>15.95</v>
      </c>
      <c r="AH465" s="26">
        <f t="shared" si="29"/>
        <v>0</v>
      </c>
      <c r="AI465" s="26">
        <f t="shared" si="30"/>
        <v>0</v>
      </c>
      <c r="AJ465" s="15" t="s">
        <v>425</v>
      </c>
      <c r="AK465" s="15" t="s">
        <v>425</v>
      </c>
      <c r="AL465" s="15" t="s">
        <v>317</v>
      </c>
      <c r="AM465" s="19">
        <v>44177</v>
      </c>
    </row>
    <row r="466" spans="1:39" x14ac:dyDescent="0.2">
      <c r="A466" s="15" t="str">
        <f t="shared" si="31"/>
        <v>813897205225</v>
      </c>
      <c r="B466" s="32">
        <v>813897</v>
      </c>
      <c r="C466" s="32" t="s">
        <v>36</v>
      </c>
      <c r="D466" s="17">
        <v>205225</v>
      </c>
      <c r="E466" s="15" t="s">
        <v>26</v>
      </c>
      <c r="F466" s="26">
        <v>0</v>
      </c>
      <c r="G466" s="26">
        <v>0</v>
      </c>
      <c r="H466" s="26">
        <v>0</v>
      </c>
      <c r="I466" s="26">
        <v>0</v>
      </c>
      <c r="J466" s="26">
        <v>0</v>
      </c>
      <c r="K466" s="26">
        <v>0</v>
      </c>
      <c r="L466" s="26">
        <v>0</v>
      </c>
      <c r="M466" s="26">
        <v>0</v>
      </c>
      <c r="N466" s="26">
        <v>0</v>
      </c>
      <c r="O466" s="27">
        <v>0</v>
      </c>
      <c r="P466" s="27">
        <v>0</v>
      </c>
      <c r="Q466" s="27">
        <v>0</v>
      </c>
      <c r="R466" s="27">
        <v>2.5</v>
      </c>
      <c r="S466" s="27">
        <v>0</v>
      </c>
      <c r="T466" s="27">
        <v>0</v>
      </c>
      <c r="U466" s="27">
        <v>38</v>
      </c>
      <c r="V466" s="27">
        <v>0</v>
      </c>
      <c r="W466" s="27">
        <v>0</v>
      </c>
      <c r="X466" s="27">
        <v>0</v>
      </c>
      <c r="Y466" s="27">
        <v>0</v>
      </c>
      <c r="Z466" s="27">
        <v>0</v>
      </c>
      <c r="AA466" s="27">
        <v>18.25</v>
      </c>
      <c r="AB466" s="27">
        <v>0</v>
      </c>
      <c r="AC466" s="27">
        <v>5</v>
      </c>
      <c r="AD466" s="27">
        <v>4</v>
      </c>
      <c r="AE466" s="27">
        <v>0</v>
      </c>
      <c r="AF466" s="27">
        <v>0</v>
      </c>
      <c r="AG466" s="26">
        <f t="shared" si="28"/>
        <v>62.75</v>
      </c>
      <c r="AH466" s="26">
        <f t="shared" si="29"/>
        <v>0</v>
      </c>
      <c r="AI466" s="26">
        <f t="shared" si="30"/>
        <v>5</v>
      </c>
      <c r="AJ466" s="15" t="s">
        <v>425</v>
      </c>
      <c r="AK466" s="15" t="s">
        <v>425</v>
      </c>
      <c r="AL466" s="15" t="s">
        <v>317</v>
      </c>
      <c r="AM466" s="19">
        <v>44184</v>
      </c>
    </row>
    <row r="467" spans="1:39" x14ac:dyDescent="0.2">
      <c r="A467" s="15" t="str">
        <f t="shared" si="31"/>
        <v>814050206049</v>
      </c>
      <c r="B467" s="32">
        <v>814050</v>
      </c>
      <c r="C467" s="32" t="s">
        <v>223</v>
      </c>
      <c r="D467" s="17">
        <v>206049</v>
      </c>
      <c r="E467" s="15" t="s">
        <v>199</v>
      </c>
      <c r="F467" s="26">
        <v>260.75</v>
      </c>
      <c r="G467" s="26">
        <v>8.25</v>
      </c>
      <c r="H467" s="26">
        <v>0</v>
      </c>
      <c r="I467" s="26">
        <v>40</v>
      </c>
      <c r="J467" s="26">
        <v>8.25</v>
      </c>
      <c r="K467" s="26">
        <v>0</v>
      </c>
      <c r="L467" s="26">
        <v>191</v>
      </c>
      <c r="M467" s="26">
        <v>7.5</v>
      </c>
      <c r="N467" s="26">
        <v>10</v>
      </c>
      <c r="O467" s="27">
        <v>141.5</v>
      </c>
      <c r="P467" s="27">
        <v>0</v>
      </c>
      <c r="Q467" s="27">
        <v>0</v>
      </c>
      <c r="R467" s="27">
        <v>22.5</v>
      </c>
      <c r="S467" s="27">
        <v>7.5</v>
      </c>
      <c r="T467" s="27">
        <v>0</v>
      </c>
      <c r="U467" s="27">
        <v>191.55</v>
      </c>
      <c r="V467" s="27">
        <v>0</v>
      </c>
      <c r="W467" s="27">
        <v>0</v>
      </c>
      <c r="X467" s="27">
        <v>49.5</v>
      </c>
      <c r="Y467" s="27">
        <v>0</v>
      </c>
      <c r="Z467" s="27">
        <v>0</v>
      </c>
      <c r="AA467" s="27">
        <v>23.5</v>
      </c>
      <c r="AB467" s="27">
        <v>0</v>
      </c>
      <c r="AC467" s="27">
        <v>0</v>
      </c>
      <c r="AD467" s="27">
        <v>103.5</v>
      </c>
      <c r="AE467" s="27">
        <v>0</v>
      </c>
      <c r="AF467" s="27">
        <v>2.5</v>
      </c>
      <c r="AG467" s="26">
        <f t="shared" si="28"/>
        <v>1023.8</v>
      </c>
      <c r="AH467" s="26">
        <f t="shared" si="29"/>
        <v>31.5</v>
      </c>
      <c r="AI467" s="26">
        <f t="shared" si="30"/>
        <v>12.5</v>
      </c>
      <c r="AJ467" s="15" t="s">
        <v>425</v>
      </c>
      <c r="AK467" s="15" t="s">
        <v>425</v>
      </c>
      <c r="AL467" s="15" t="s">
        <v>317</v>
      </c>
      <c r="AM467" s="19">
        <v>44196</v>
      </c>
    </row>
    <row r="468" spans="1:39" x14ac:dyDescent="0.2">
      <c r="A468" s="15" t="str">
        <f t="shared" si="31"/>
        <v>814290119261</v>
      </c>
      <c r="B468" s="32">
        <v>814290</v>
      </c>
      <c r="C468" s="32" t="s">
        <v>216</v>
      </c>
      <c r="D468" s="17">
        <v>119261</v>
      </c>
      <c r="E468" s="15" t="s">
        <v>140</v>
      </c>
      <c r="F468" s="26">
        <v>30</v>
      </c>
      <c r="G468" s="26">
        <v>0</v>
      </c>
      <c r="H468" s="26">
        <v>0</v>
      </c>
      <c r="I468" s="26">
        <v>35</v>
      </c>
      <c r="J468" s="26">
        <v>0</v>
      </c>
      <c r="K468" s="26">
        <v>0</v>
      </c>
      <c r="L468" s="26">
        <v>50.25</v>
      </c>
      <c r="M468" s="26">
        <v>1.25</v>
      </c>
      <c r="N468" s="26">
        <v>0</v>
      </c>
      <c r="O468" s="27">
        <v>51</v>
      </c>
      <c r="P468" s="27">
        <v>0</v>
      </c>
      <c r="Q468" s="27">
        <v>0</v>
      </c>
      <c r="R468" s="27">
        <v>35</v>
      </c>
      <c r="S468" s="27">
        <v>0</v>
      </c>
      <c r="T468" s="27">
        <v>0</v>
      </c>
      <c r="U468" s="27">
        <v>50</v>
      </c>
      <c r="V468" s="27">
        <v>0</v>
      </c>
      <c r="W468" s="27">
        <v>0</v>
      </c>
      <c r="X468" s="27">
        <v>52</v>
      </c>
      <c r="Y468" s="27">
        <v>0</v>
      </c>
      <c r="Z468" s="27">
        <v>0</v>
      </c>
      <c r="AA468" s="27">
        <v>30</v>
      </c>
      <c r="AB468" s="27">
        <v>0</v>
      </c>
      <c r="AC468" s="27">
        <v>0</v>
      </c>
      <c r="AD468" s="27">
        <v>35</v>
      </c>
      <c r="AE468" s="27">
        <v>0</v>
      </c>
      <c r="AF468" s="27">
        <v>0</v>
      </c>
      <c r="AG468" s="26">
        <f t="shared" si="28"/>
        <v>368.25</v>
      </c>
      <c r="AH468" s="26">
        <f t="shared" si="29"/>
        <v>1.25</v>
      </c>
      <c r="AI468" s="26">
        <f t="shared" si="30"/>
        <v>0</v>
      </c>
      <c r="AJ468" s="15" t="s">
        <v>425</v>
      </c>
      <c r="AK468" s="15" t="s">
        <v>425</v>
      </c>
      <c r="AL468" s="15" t="s">
        <v>317</v>
      </c>
      <c r="AM468" s="19">
        <v>44223</v>
      </c>
    </row>
    <row r="469" spans="1:39" x14ac:dyDescent="0.2">
      <c r="A469" s="15" t="str">
        <f t="shared" si="31"/>
        <v>814503177957</v>
      </c>
      <c r="B469" s="32">
        <v>814503</v>
      </c>
      <c r="C469" s="32" t="s">
        <v>198</v>
      </c>
      <c r="D469" s="17">
        <v>177957</v>
      </c>
      <c r="E469" s="15" t="s">
        <v>197</v>
      </c>
      <c r="F469" s="26">
        <v>10</v>
      </c>
      <c r="G469" s="26">
        <v>0</v>
      </c>
      <c r="H469" s="26">
        <v>0</v>
      </c>
      <c r="I469" s="26">
        <v>0</v>
      </c>
      <c r="J469" s="26">
        <v>0</v>
      </c>
      <c r="K469" s="26">
        <v>0</v>
      </c>
      <c r="L469" s="26">
        <v>16.75</v>
      </c>
      <c r="M469" s="26">
        <v>0</v>
      </c>
      <c r="N469" s="26">
        <v>5</v>
      </c>
      <c r="O469" s="27">
        <v>7.5</v>
      </c>
      <c r="P469" s="27">
        <v>0</v>
      </c>
      <c r="Q469" s="27">
        <v>2.5</v>
      </c>
      <c r="R469" s="27">
        <v>12.5</v>
      </c>
      <c r="S469" s="27">
        <v>7.5</v>
      </c>
      <c r="T469" s="27">
        <v>5</v>
      </c>
      <c r="U469" s="27">
        <v>20</v>
      </c>
      <c r="V469" s="27">
        <v>7.5</v>
      </c>
      <c r="W469" s="27">
        <v>1.5</v>
      </c>
      <c r="X469" s="27">
        <v>23</v>
      </c>
      <c r="Y469" s="27">
        <v>0</v>
      </c>
      <c r="Z469" s="27">
        <v>0</v>
      </c>
      <c r="AA469" s="27">
        <v>0</v>
      </c>
      <c r="AB469" s="27">
        <v>0</v>
      </c>
      <c r="AC469" s="27">
        <v>0</v>
      </c>
      <c r="AD469" s="27">
        <v>2.5</v>
      </c>
      <c r="AE469" s="27">
        <v>0</v>
      </c>
      <c r="AF469" s="27">
        <v>2.5</v>
      </c>
      <c r="AG469" s="26">
        <f t="shared" si="28"/>
        <v>92.25</v>
      </c>
      <c r="AH469" s="26">
        <f t="shared" si="29"/>
        <v>15</v>
      </c>
      <c r="AI469" s="26">
        <f t="shared" si="30"/>
        <v>16.5</v>
      </c>
      <c r="AJ469" s="15" t="s">
        <v>425</v>
      </c>
      <c r="AK469" s="15" t="s">
        <v>425</v>
      </c>
      <c r="AL469" s="15" t="s">
        <v>317</v>
      </c>
      <c r="AM469" s="19">
        <v>44243</v>
      </c>
    </row>
    <row r="470" spans="1:39" x14ac:dyDescent="0.2">
      <c r="A470" s="15" t="str">
        <f t="shared" si="31"/>
        <v>814521143416</v>
      </c>
      <c r="B470" s="32">
        <v>814521</v>
      </c>
      <c r="C470" s="32" t="s">
        <v>239</v>
      </c>
      <c r="D470" s="17">
        <v>143416</v>
      </c>
      <c r="E470" s="15" t="s">
        <v>224</v>
      </c>
      <c r="F470" s="26">
        <v>51.25</v>
      </c>
      <c r="G470" s="26">
        <v>0</v>
      </c>
      <c r="H470" s="26">
        <v>0</v>
      </c>
      <c r="I470" s="26">
        <v>97.25</v>
      </c>
      <c r="J470" s="26">
        <v>0</v>
      </c>
      <c r="K470" s="26">
        <v>0</v>
      </c>
      <c r="L470" s="26">
        <v>100</v>
      </c>
      <c r="M470" s="26">
        <v>0</v>
      </c>
      <c r="N470" s="26">
        <v>0</v>
      </c>
      <c r="O470" s="27">
        <v>76.75</v>
      </c>
      <c r="P470" s="27">
        <v>0</v>
      </c>
      <c r="Q470" s="27">
        <v>6.25</v>
      </c>
      <c r="R470" s="27">
        <v>51</v>
      </c>
      <c r="S470" s="27">
        <v>0</v>
      </c>
      <c r="T470" s="27">
        <v>0</v>
      </c>
      <c r="U470" s="27">
        <v>62.25</v>
      </c>
      <c r="V470" s="27">
        <v>0</v>
      </c>
      <c r="W470" s="27">
        <v>0</v>
      </c>
      <c r="X470" s="27">
        <v>62.5</v>
      </c>
      <c r="Y470" s="27">
        <v>5</v>
      </c>
      <c r="Z470" s="27">
        <v>0</v>
      </c>
      <c r="AA470" s="27">
        <v>72.5</v>
      </c>
      <c r="AB470" s="27">
        <v>0</v>
      </c>
      <c r="AC470" s="27">
        <v>0</v>
      </c>
      <c r="AD470" s="27">
        <v>80</v>
      </c>
      <c r="AE470" s="27">
        <v>0</v>
      </c>
      <c r="AF470" s="27">
        <v>0</v>
      </c>
      <c r="AG470" s="26">
        <f t="shared" si="28"/>
        <v>653.5</v>
      </c>
      <c r="AH470" s="26">
        <f t="shared" si="29"/>
        <v>5</v>
      </c>
      <c r="AI470" s="26">
        <f t="shared" si="30"/>
        <v>6.25</v>
      </c>
      <c r="AJ470" s="15" t="s">
        <v>425</v>
      </c>
      <c r="AK470" s="15" t="s">
        <v>425</v>
      </c>
      <c r="AL470" s="15" t="s">
        <v>317</v>
      </c>
      <c r="AM470" s="19">
        <v>44245</v>
      </c>
    </row>
    <row r="471" spans="1:39" x14ac:dyDescent="0.2">
      <c r="A471" s="15" t="str">
        <f t="shared" si="31"/>
        <v>814602206933</v>
      </c>
      <c r="B471" s="32">
        <v>814602</v>
      </c>
      <c r="C471" s="32" t="s">
        <v>182</v>
      </c>
      <c r="D471" s="17">
        <v>206933</v>
      </c>
      <c r="E471" s="15" t="s">
        <v>181</v>
      </c>
      <c r="F471" s="26">
        <v>43</v>
      </c>
      <c r="G471" s="26">
        <v>0</v>
      </c>
      <c r="H471" s="26">
        <v>0</v>
      </c>
      <c r="I471" s="26">
        <v>62.5</v>
      </c>
      <c r="J471" s="26">
        <v>0</v>
      </c>
      <c r="K471" s="26">
        <v>0</v>
      </c>
      <c r="L471" s="26">
        <v>46.5</v>
      </c>
      <c r="M471" s="26">
        <v>0</v>
      </c>
      <c r="N471" s="26">
        <v>5</v>
      </c>
      <c r="O471" s="27">
        <v>62</v>
      </c>
      <c r="P471" s="27">
        <v>0</v>
      </c>
      <c r="Q471" s="27">
        <v>4</v>
      </c>
      <c r="R471" s="27">
        <v>22.5</v>
      </c>
      <c r="S471" s="27">
        <v>0</v>
      </c>
      <c r="T471" s="27">
        <v>0</v>
      </c>
      <c r="U471" s="27">
        <v>38.5</v>
      </c>
      <c r="V471" s="27">
        <v>0</v>
      </c>
      <c r="W471" s="27">
        <v>0</v>
      </c>
      <c r="X471" s="27">
        <v>67.5</v>
      </c>
      <c r="Y471" s="27">
        <v>0</v>
      </c>
      <c r="Z471" s="27">
        <v>0</v>
      </c>
      <c r="AA471" s="27">
        <v>61.5</v>
      </c>
      <c r="AB471" s="27">
        <v>0</v>
      </c>
      <c r="AC471" s="27">
        <v>0</v>
      </c>
      <c r="AD471" s="27">
        <v>66</v>
      </c>
      <c r="AE471" s="27">
        <v>0</v>
      </c>
      <c r="AF471" s="27">
        <v>0</v>
      </c>
      <c r="AG471" s="26">
        <f t="shared" si="28"/>
        <v>470</v>
      </c>
      <c r="AH471" s="26">
        <f t="shared" si="29"/>
        <v>0</v>
      </c>
      <c r="AI471" s="26">
        <f t="shared" si="30"/>
        <v>9</v>
      </c>
      <c r="AJ471" s="15" t="s">
        <v>425</v>
      </c>
      <c r="AK471" s="15" t="s">
        <v>425</v>
      </c>
      <c r="AL471" s="15" t="s">
        <v>317</v>
      </c>
      <c r="AM471" s="19">
        <v>44252</v>
      </c>
    </row>
    <row r="472" spans="1:39" x14ac:dyDescent="0.2">
      <c r="A472" s="15" t="str">
        <f t="shared" si="31"/>
        <v>814651141146</v>
      </c>
      <c r="B472" s="32">
        <v>814651</v>
      </c>
      <c r="C472" s="32" t="s">
        <v>161</v>
      </c>
      <c r="D472" s="17">
        <v>141146</v>
      </c>
      <c r="E472" s="15" t="s">
        <v>160</v>
      </c>
      <c r="F472" s="26">
        <v>15</v>
      </c>
      <c r="G472" s="26">
        <v>0</v>
      </c>
      <c r="H472" s="26">
        <v>0</v>
      </c>
      <c r="I472" s="26">
        <v>0</v>
      </c>
      <c r="J472" s="26">
        <v>0</v>
      </c>
      <c r="K472" s="26">
        <v>0</v>
      </c>
      <c r="L472" s="26">
        <v>0</v>
      </c>
      <c r="M472" s="26">
        <v>0</v>
      </c>
      <c r="N472" s="26">
        <v>0</v>
      </c>
      <c r="O472" s="27">
        <v>0</v>
      </c>
      <c r="P472" s="27">
        <v>0</v>
      </c>
      <c r="Q472" s="27">
        <v>0</v>
      </c>
      <c r="R472" s="27">
        <v>0</v>
      </c>
      <c r="S472" s="27">
        <v>0</v>
      </c>
      <c r="T472" s="27">
        <v>0</v>
      </c>
      <c r="U472" s="27">
        <v>0</v>
      </c>
      <c r="V472" s="27">
        <v>0</v>
      </c>
      <c r="W472" s="27">
        <v>0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7">
        <v>0</v>
      </c>
      <c r="AD472" s="27">
        <v>0</v>
      </c>
      <c r="AE472" s="27">
        <v>0</v>
      </c>
      <c r="AF472" s="27">
        <v>0</v>
      </c>
      <c r="AG472" s="26">
        <f t="shared" si="28"/>
        <v>15</v>
      </c>
      <c r="AH472" s="26">
        <f t="shared" si="29"/>
        <v>0</v>
      </c>
      <c r="AI472" s="26">
        <f t="shared" si="30"/>
        <v>0</v>
      </c>
      <c r="AJ472" s="15" t="s">
        <v>425</v>
      </c>
      <c r="AK472" s="15" t="s">
        <v>425</v>
      </c>
      <c r="AL472" s="15" t="s">
        <v>317</v>
      </c>
      <c r="AM472" s="19">
        <v>44253</v>
      </c>
    </row>
    <row r="473" spans="1:39" x14ac:dyDescent="0.2">
      <c r="A473" s="15" t="str">
        <f t="shared" si="31"/>
        <v>814935206807</v>
      </c>
      <c r="B473" s="32">
        <v>814935</v>
      </c>
      <c r="C473" s="32" t="s">
        <v>251</v>
      </c>
      <c r="D473" s="15">
        <v>206807</v>
      </c>
      <c r="E473" s="15" t="s">
        <v>398</v>
      </c>
      <c r="F473" s="26">
        <v>0</v>
      </c>
      <c r="G473" s="26">
        <v>0</v>
      </c>
      <c r="H473" s="26">
        <v>0</v>
      </c>
      <c r="I473" s="26">
        <v>0</v>
      </c>
      <c r="J473" s="26">
        <v>0</v>
      </c>
      <c r="K473" s="26">
        <v>0</v>
      </c>
      <c r="L473" s="26">
        <v>0</v>
      </c>
      <c r="M473" s="26">
        <v>0</v>
      </c>
      <c r="N473" s="26">
        <v>0</v>
      </c>
      <c r="O473" s="27">
        <v>0</v>
      </c>
      <c r="P473" s="27">
        <v>0</v>
      </c>
      <c r="Q473" s="27">
        <v>0</v>
      </c>
      <c r="R473" s="27">
        <v>0</v>
      </c>
      <c r="S473" s="27">
        <v>0</v>
      </c>
      <c r="T473" s="27">
        <v>0</v>
      </c>
      <c r="U473" s="27">
        <v>0</v>
      </c>
      <c r="V473" s="27">
        <v>0</v>
      </c>
      <c r="W473" s="27">
        <v>0</v>
      </c>
      <c r="X473" s="27">
        <v>0</v>
      </c>
      <c r="Y473" s="27">
        <v>0</v>
      </c>
      <c r="Z473" s="27">
        <v>0</v>
      </c>
      <c r="AA473" s="27">
        <v>0</v>
      </c>
      <c r="AB473" s="27">
        <v>0</v>
      </c>
      <c r="AC473" s="27">
        <v>0</v>
      </c>
      <c r="AD473" s="27">
        <v>0</v>
      </c>
      <c r="AE473" s="27">
        <v>0</v>
      </c>
      <c r="AF473" s="27">
        <v>0</v>
      </c>
      <c r="AG473" s="26">
        <f t="shared" si="28"/>
        <v>0</v>
      </c>
      <c r="AH473" s="26">
        <f t="shared" si="29"/>
        <v>0</v>
      </c>
      <c r="AI473" s="26">
        <f t="shared" si="30"/>
        <v>0</v>
      </c>
      <c r="AJ473" s="15" t="s">
        <v>425</v>
      </c>
      <c r="AK473" s="15" t="s">
        <v>425</v>
      </c>
      <c r="AL473" s="15" t="s">
        <v>317</v>
      </c>
      <c r="AM473" s="19">
        <v>44298</v>
      </c>
    </row>
    <row r="474" spans="1:39" x14ac:dyDescent="0.2">
      <c r="A474" s="15" t="str">
        <f t="shared" si="31"/>
        <v>814942172150</v>
      </c>
      <c r="B474" s="32">
        <v>814942</v>
      </c>
      <c r="C474" s="32" t="s">
        <v>292</v>
      </c>
      <c r="D474" s="17">
        <v>172150</v>
      </c>
      <c r="E474" s="15" t="s">
        <v>148</v>
      </c>
      <c r="F474" s="26">
        <v>15</v>
      </c>
      <c r="G474" s="26">
        <v>0</v>
      </c>
      <c r="H474" s="26">
        <v>0</v>
      </c>
      <c r="I474" s="26">
        <v>42</v>
      </c>
      <c r="J474" s="26">
        <v>0</v>
      </c>
      <c r="K474" s="26">
        <v>0</v>
      </c>
      <c r="L474" s="26">
        <v>23</v>
      </c>
      <c r="M474" s="26">
        <v>5</v>
      </c>
      <c r="N474" s="26">
        <v>0</v>
      </c>
      <c r="O474" s="27">
        <v>52.5</v>
      </c>
      <c r="P474" s="27">
        <v>0</v>
      </c>
      <c r="Q474" s="27">
        <v>0</v>
      </c>
      <c r="R474" s="27">
        <v>20</v>
      </c>
      <c r="S474" s="27">
        <v>0</v>
      </c>
      <c r="T474" s="27">
        <v>0</v>
      </c>
      <c r="U474" s="27">
        <v>30</v>
      </c>
      <c r="V474" s="27">
        <v>0</v>
      </c>
      <c r="W474" s="27">
        <v>0</v>
      </c>
      <c r="X474" s="27">
        <v>10</v>
      </c>
      <c r="Y474" s="27">
        <v>0</v>
      </c>
      <c r="Z474" s="27">
        <v>0</v>
      </c>
      <c r="AA474" s="27">
        <v>10</v>
      </c>
      <c r="AB474" s="27">
        <v>0</v>
      </c>
      <c r="AC474" s="27">
        <v>0</v>
      </c>
      <c r="AD474" s="27">
        <v>35</v>
      </c>
      <c r="AE474" s="27">
        <v>0</v>
      </c>
      <c r="AF474" s="27">
        <v>0</v>
      </c>
      <c r="AG474" s="26">
        <f t="shared" si="28"/>
        <v>237.5</v>
      </c>
      <c r="AH474" s="26">
        <f t="shared" si="29"/>
        <v>5</v>
      </c>
      <c r="AI474" s="26">
        <f t="shared" si="30"/>
        <v>0</v>
      </c>
      <c r="AJ474" s="15" t="s">
        <v>425</v>
      </c>
      <c r="AK474" s="15" t="s">
        <v>425</v>
      </c>
      <c r="AL474" s="15" t="s">
        <v>317</v>
      </c>
      <c r="AM474" s="19">
        <v>44300</v>
      </c>
    </row>
    <row r="475" spans="1:39" x14ac:dyDescent="0.2">
      <c r="A475" s="15" t="str">
        <f t="shared" si="31"/>
        <v>815393205225</v>
      </c>
      <c r="B475" s="32">
        <v>815393</v>
      </c>
      <c r="C475" s="32" t="s">
        <v>352</v>
      </c>
      <c r="D475" s="15">
        <v>205225</v>
      </c>
      <c r="E475" s="15" t="s">
        <v>26</v>
      </c>
      <c r="F475" s="26">
        <v>57.5</v>
      </c>
      <c r="G475" s="26">
        <v>12.5</v>
      </c>
      <c r="H475" s="26">
        <v>0</v>
      </c>
      <c r="I475" s="26">
        <v>78.95</v>
      </c>
      <c r="J475" s="26">
        <v>12.5</v>
      </c>
      <c r="K475" s="26">
        <v>0</v>
      </c>
      <c r="L475" s="26">
        <v>87</v>
      </c>
      <c r="M475" s="26">
        <v>0</v>
      </c>
      <c r="N475" s="26">
        <v>0</v>
      </c>
      <c r="O475" s="27">
        <v>78</v>
      </c>
      <c r="P475" s="27">
        <v>7</v>
      </c>
      <c r="Q475" s="27">
        <v>0</v>
      </c>
      <c r="R475" s="27">
        <v>88.95</v>
      </c>
      <c r="S475" s="27">
        <v>0</v>
      </c>
      <c r="T475" s="27">
        <v>0</v>
      </c>
      <c r="U475" s="27">
        <v>69.75</v>
      </c>
      <c r="V475" s="27">
        <v>0</v>
      </c>
      <c r="W475" s="27">
        <v>0</v>
      </c>
      <c r="X475" s="27">
        <v>55</v>
      </c>
      <c r="Y475" s="27">
        <v>0</v>
      </c>
      <c r="Z475" s="27">
        <v>0</v>
      </c>
      <c r="AA475" s="27">
        <v>77.5</v>
      </c>
      <c r="AB475" s="27">
        <v>0</v>
      </c>
      <c r="AC475" s="27">
        <v>20</v>
      </c>
      <c r="AD475" s="27">
        <v>110</v>
      </c>
      <c r="AE475" s="27">
        <v>0</v>
      </c>
      <c r="AF475" s="27">
        <v>2.5</v>
      </c>
      <c r="AG475" s="26">
        <f t="shared" si="28"/>
        <v>702.65</v>
      </c>
      <c r="AH475" s="26">
        <f t="shared" si="29"/>
        <v>32</v>
      </c>
      <c r="AI475" s="26">
        <f t="shared" si="30"/>
        <v>22.5</v>
      </c>
      <c r="AJ475" s="15" t="s">
        <v>425</v>
      </c>
      <c r="AK475" s="15" t="s">
        <v>425</v>
      </c>
      <c r="AL475" s="15" t="s">
        <v>317</v>
      </c>
      <c r="AM475" s="19">
        <v>44380</v>
      </c>
    </row>
    <row r="476" spans="1:39" x14ac:dyDescent="0.2">
      <c r="A476" s="15" t="str">
        <f t="shared" si="31"/>
        <v>815401204307</v>
      </c>
      <c r="B476" s="32">
        <v>815401</v>
      </c>
      <c r="C476" s="32" t="s">
        <v>342</v>
      </c>
      <c r="D476" s="15">
        <v>204307</v>
      </c>
      <c r="E476" s="15" t="s">
        <v>162</v>
      </c>
      <c r="F476" s="26">
        <v>45</v>
      </c>
      <c r="G476" s="26">
        <v>0.75</v>
      </c>
      <c r="H476" s="26">
        <v>0</v>
      </c>
      <c r="I476" s="26">
        <v>10</v>
      </c>
      <c r="J476" s="26">
        <v>0.75</v>
      </c>
      <c r="K476" s="26">
        <v>0</v>
      </c>
      <c r="L476" s="26">
        <v>0</v>
      </c>
      <c r="M476" s="26">
        <v>0</v>
      </c>
      <c r="N476" s="26">
        <v>0</v>
      </c>
      <c r="O476" s="27">
        <v>0</v>
      </c>
      <c r="P476" s="27">
        <v>0</v>
      </c>
      <c r="Q476" s="27">
        <v>0</v>
      </c>
      <c r="R476" s="27">
        <v>0</v>
      </c>
      <c r="S476" s="27">
        <v>0</v>
      </c>
      <c r="T476" s="27">
        <v>0</v>
      </c>
      <c r="U476" s="27">
        <v>0</v>
      </c>
      <c r="V476" s="27">
        <v>0</v>
      </c>
      <c r="W476" s="27">
        <v>0</v>
      </c>
      <c r="X476" s="27">
        <v>0</v>
      </c>
      <c r="Y476" s="27">
        <v>0</v>
      </c>
      <c r="Z476" s="27">
        <v>0</v>
      </c>
      <c r="AA476" s="27">
        <v>0</v>
      </c>
      <c r="AB476" s="27">
        <v>0</v>
      </c>
      <c r="AC476" s="27">
        <v>0</v>
      </c>
      <c r="AD476" s="27">
        <v>70</v>
      </c>
      <c r="AE476" s="27">
        <v>0</v>
      </c>
      <c r="AF476" s="27">
        <v>0</v>
      </c>
      <c r="AG476" s="26">
        <f t="shared" si="28"/>
        <v>125</v>
      </c>
      <c r="AH476" s="26">
        <f t="shared" si="29"/>
        <v>1.5</v>
      </c>
      <c r="AI476" s="26">
        <f t="shared" si="30"/>
        <v>0</v>
      </c>
      <c r="AJ476" s="15" t="s">
        <v>425</v>
      </c>
      <c r="AK476" s="15" t="s">
        <v>425</v>
      </c>
      <c r="AL476" s="15" t="s">
        <v>317</v>
      </c>
      <c r="AM476" s="19">
        <v>44382</v>
      </c>
    </row>
    <row r="477" spans="1:39" x14ac:dyDescent="0.2">
      <c r="A477" s="15" t="str">
        <f t="shared" si="31"/>
        <v>815502208268</v>
      </c>
      <c r="B477" s="32">
        <v>815502</v>
      </c>
      <c r="C477" s="32" t="s">
        <v>350</v>
      </c>
      <c r="D477" s="15">
        <v>208268</v>
      </c>
      <c r="E477" s="15" t="s">
        <v>351</v>
      </c>
      <c r="F477" s="26">
        <v>47.75</v>
      </c>
      <c r="G477" s="26">
        <v>5</v>
      </c>
      <c r="H477" s="26">
        <v>0</v>
      </c>
      <c r="I477" s="26">
        <v>0</v>
      </c>
      <c r="J477" s="26">
        <v>5</v>
      </c>
      <c r="K477" s="26">
        <v>0</v>
      </c>
      <c r="L477" s="26">
        <v>0</v>
      </c>
      <c r="M477" s="26">
        <v>0</v>
      </c>
      <c r="N477" s="26">
        <v>0</v>
      </c>
      <c r="O477" s="27">
        <v>0</v>
      </c>
      <c r="P477" s="27">
        <v>0</v>
      </c>
      <c r="Q477" s="27">
        <v>0</v>
      </c>
      <c r="R477" s="27">
        <v>0</v>
      </c>
      <c r="S477" s="27">
        <v>0</v>
      </c>
      <c r="T477" s="27">
        <v>0</v>
      </c>
      <c r="U477" s="27">
        <v>0</v>
      </c>
      <c r="V477" s="27">
        <v>0</v>
      </c>
      <c r="W477" s="27">
        <v>0</v>
      </c>
      <c r="X477" s="27">
        <v>0</v>
      </c>
      <c r="Y477" s="27">
        <v>0</v>
      </c>
      <c r="Z477" s="27">
        <v>0</v>
      </c>
      <c r="AA477" s="27">
        <v>0</v>
      </c>
      <c r="AB477" s="27">
        <v>0</v>
      </c>
      <c r="AC477" s="27">
        <v>0</v>
      </c>
      <c r="AD477" s="27">
        <v>0</v>
      </c>
      <c r="AE477" s="27">
        <v>0</v>
      </c>
      <c r="AF477" s="27">
        <v>0</v>
      </c>
      <c r="AG477" s="26">
        <f t="shared" si="28"/>
        <v>47.75</v>
      </c>
      <c r="AH477" s="26">
        <f t="shared" si="29"/>
        <v>10</v>
      </c>
      <c r="AI477" s="26">
        <f t="shared" si="30"/>
        <v>0</v>
      </c>
      <c r="AJ477" s="15" t="s">
        <v>425</v>
      </c>
      <c r="AK477" s="15" t="s">
        <v>425</v>
      </c>
      <c r="AL477" s="15" t="s">
        <v>317</v>
      </c>
      <c r="AM477" s="19">
        <v>44390</v>
      </c>
    </row>
    <row r="478" spans="1:39" x14ac:dyDescent="0.2">
      <c r="A478" s="15" t="str">
        <f t="shared" si="31"/>
        <v>815594206049</v>
      </c>
      <c r="B478" s="32">
        <v>815594</v>
      </c>
      <c r="C478" s="32" t="s">
        <v>354</v>
      </c>
      <c r="D478" s="15">
        <v>206049</v>
      </c>
      <c r="E478" s="15" t="s">
        <v>199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137.5</v>
      </c>
      <c r="M478" s="26">
        <v>0</v>
      </c>
      <c r="N478" s="26">
        <v>0</v>
      </c>
      <c r="O478" s="27">
        <v>35</v>
      </c>
      <c r="P478" s="27">
        <v>0</v>
      </c>
      <c r="Q478" s="27">
        <v>0</v>
      </c>
      <c r="R478" s="27">
        <v>116</v>
      </c>
      <c r="S478" s="27">
        <v>0</v>
      </c>
      <c r="T478" s="27">
        <v>5</v>
      </c>
      <c r="U478" s="27">
        <v>36.75</v>
      </c>
      <c r="V478" s="27">
        <v>0</v>
      </c>
      <c r="W478" s="27">
        <v>0</v>
      </c>
      <c r="X478" s="27">
        <v>9</v>
      </c>
      <c r="Y478" s="27">
        <v>0</v>
      </c>
      <c r="Z478" s="27">
        <v>0</v>
      </c>
      <c r="AA478" s="27">
        <v>52</v>
      </c>
      <c r="AB478" s="27">
        <v>0</v>
      </c>
      <c r="AC478" s="27">
        <v>0</v>
      </c>
      <c r="AD478" s="27">
        <v>125</v>
      </c>
      <c r="AE478" s="27">
        <v>0</v>
      </c>
      <c r="AF478" s="27">
        <v>0</v>
      </c>
      <c r="AG478" s="26">
        <f t="shared" si="28"/>
        <v>511.25</v>
      </c>
      <c r="AH478" s="26">
        <f t="shared" si="29"/>
        <v>0</v>
      </c>
      <c r="AI478" s="26">
        <f t="shared" si="30"/>
        <v>5</v>
      </c>
      <c r="AJ478" s="15" t="s">
        <v>425</v>
      </c>
      <c r="AK478" s="15" t="s">
        <v>425</v>
      </c>
      <c r="AL478" s="15" t="s">
        <v>317</v>
      </c>
      <c r="AM478" s="19">
        <v>44399</v>
      </c>
    </row>
    <row r="479" spans="1:39" x14ac:dyDescent="0.2">
      <c r="A479" s="15" t="str">
        <f t="shared" si="31"/>
        <v>815595208184</v>
      </c>
      <c r="B479" s="32">
        <v>815595</v>
      </c>
      <c r="C479" s="32" t="s">
        <v>341</v>
      </c>
      <c r="D479" s="15">
        <v>208184</v>
      </c>
      <c r="E479" s="15" t="s">
        <v>355</v>
      </c>
      <c r="F479" s="26">
        <v>0</v>
      </c>
      <c r="G479" s="26">
        <v>0</v>
      </c>
      <c r="H479" s="26">
        <v>0</v>
      </c>
      <c r="I479" s="26">
        <v>18.5</v>
      </c>
      <c r="J479" s="26">
        <v>0</v>
      </c>
      <c r="K479" s="26">
        <v>0</v>
      </c>
      <c r="L479" s="26">
        <v>33</v>
      </c>
      <c r="M479" s="26">
        <v>0</v>
      </c>
      <c r="N479" s="26">
        <v>1</v>
      </c>
      <c r="O479" s="27">
        <v>40.5</v>
      </c>
      <c r="P479" s="27">
        <v>0</v>
      </c>
      <c r="Q479" s="27">
        <v>0</v>
      </c>
      <c r="R479" s="27">
        <v>0</v>
      </c>
      <c r="S479" s="27">
        <v>0</v>
      </c>
      <c r="T479" s="27">
        <v>0</v>
      </c>
      <c r="U479" s="27">
        <v>15</v>
      </c>
      <c r="V479" s="27">
        <v>0</v>
      </c>
      <c r="W479" s="27">
        <v>0</v>
      </c>
      <c r="X479" s="27">
        <v>25</v>
      </c>
      <c r="Y479" s="27">
        <v>0</v>
      </c>
      <c r="Z479" s="27">
        <v>0</v>
      </c>
      <c r="AA479" s="27">
        <v>30.5</v>
      </c>
      <c r="AB479" s="27">
        <v>0</v>
      </c>
      <c r="AC479" s="27">
        <v>0</v>
      </c>
      <c r="AD479" s="27">
        <v>0</v>
      </c>
      <c r="AE479" s="27">
        <v>0</v>
      </c>
      <c r="AF479" s="27">
        <v>0</v>
      </c>
      <c r="AG479" s="26">
        <f t="shared" si="28"/>
        <v>162.5</v>
      </c>
      <c r="AH479" s="26">
        <f t="shared" si="29"/>
        <v>0</v>
      </c>
      <c r="AI479" s="26">
        <f t="shared" si="30"/>
        <v>1</v>
      </c>
      <c r="AJ479" s="15" t="s">
        <v>425</v>
      </c>
      <c r="AK479" s="15" t="s">
        <v>425</v>
      </c>
      <c r="AL479" s="15" t="s">
        <v>317</v>
      </c>
      <c r="AM479" s="19">
        <v>44399</v>
      </c>
    </row>
    <row r="480" spans="1:39" x14ac:dyDescent="0.2">
      <c r="A480" s="15" t="str">
        <f t="shared" si="31"/>
        <v>815646119261</v>
      </c>
      <c r="B480" s="32">
        <v>815646</v>
      </c>
      <c r="C480" s="32" t="s">
        <v>63</v>
      </c>
      <c r="D480" s="15">
        <v>119261</v>
      </c>
      <c r="E480" s="15" t="s">
        <v>140</v>
      </c>
      <c r="F480" s="26">
        <v>0</v>
      </c>
      <c r="G480" s="26">
        <v>0</v>
      </c>
      <c r="H480" s="26">
        <v>0</v>
      </c>
      <c r="I480" s="26">
        <v>50</v>
      </c>
      <c r="J480" s="26">
        <v>0</v>
      </c>
      <c r="K480" s="26">
        <v>0</v>
      </c>
      <c r="L480" s="26">
        <v>0</v>
      </c>
      <c r="M480" s="26">
        <v>0</v>
      </c>
      <c r="N480" s="26">
        <v>0</v>
      </c>
      <c r="O480" s="27">
        <v>0</v>
      </c>
      <c r="P480" s="27">
        <v>0</v>
      </c>
      <c r="Q480" s="27">
        <v>0</v>
      </c>
      <c r="R480" s="27">
        <v>0</v>
      </c>
      <c r="S480" s="27">
        <v>0</v>
      </c>
      <c r="T480" s="27">
        <v>0</v>
      </c>
      <c r="U480" s="27">
        <v>0</v>
      </c>
      <c r="V480" s="27">
        <v>0</v>
      </c>
      <c r="W480" s="27">
        <v>0</v>
      </c>
      <c r="X480" s="27">
        <v>0</v>
      </c>
      <c r="Y480" s="27">
        <v>0</v>
      </c>
      <c r="Z480" s="27">
        <v>0</v>
      </c>
      <c r="AA480" s="27">
        <v>45</v>
      </c>
      <c r="AB480" s="27">
        <v>0</v>
      </c>
      <c r="AC480" s="27">
        <v>0</v>
      </c>
      <c r="AD480" s="27">
        <v>0</v>
      </c>
      <c r="AE480" s="27">
        <v>0</v>
      </c>
      <c r="AF480" s="27">
        <v>0</v>
      </c>
      <c r="AG480" s="26">
        <f t="shared" si="28"/>
        <v>95</v>
      </c>
      <c r="AH480" s="26">
        <f t="shared" si="29"/>
        <v>0</v>
      </c>
      <c r="AI480" s="26">
        <f t="shared" si="30"/>
        <v>0</v>
      </c>
      <c r="AJ480" s="15" t="s">
        <v>425</v>
      </c>
      <c r="AK480" s="15" t="s">
        <v>425</v>
      </c>
      <c r="AL480" s="15" t="s">
        <v>317</v>
      </c>
      <c r="AM480" s="19">
        <v>44403</v>
      </c>
    </row>
    <row r="481" spans="1:39" x14ac:dyDescent="0.2">
      <c r="A481" s="15" t="str">
        <f t="shared" si="31"/>
        <v>815647119261</v>
      </c>
      <c r="B481" s="32">
        <v>815647</v>
      </c>
      <c r="C481" s="32" t="s">
        <v>372</v>
      </c>
      <c r="D481" s="15">
        <v>119261</v>
      </c>
      <c r="E481" s="15" t="s">
        <v>140</v>
      </c>
      <c r="F481" s="26">
        <v>0</v>
      </c>
      <c r="G481" s="26">
        <v>0</v>
      </c>
      <c r="H481" s="26">
        <v>0</v>
      </c>
      <c r="I481" s="26">
        <v>10</v>
      </c>
      <c r="J481" s="26">
        <v>0</v>
      </c>
      <c r="K481" s="26">
        <v>0</v>
      </c>
      <c r="L481" s="26">
        <v>0</v>
      </c>
      <c r="M481" s="26">
        <v>0</v>
      </c>
      <c r="N481" s="26">
        <v>0</v>
      </c>
      <c r="O481" s="27">
        <v>0</v>
      </c>
      <c r="P481" s="27">
        <v>0</v>
      </c>
      <c r="Q481" s="27">
        <v>0</v>
      </c>
      <c r="R481" s="27">
        <v>0</v>
      </c>
      <c r="S481" s="27">
        <v>0</v>
      </c>
      <c r="T481" s="27">
        <v>0</v>
      </c>
      <c r="U481" s="27">
        <v>0</v>
      </c>
      <c r="V481" s="27">
        <v>0</v>
      </c>
      <c r="W481" s="27">
        <v>0</v>
      </c>
      <c r="X481" s="27">
        <v>0</v>
      </c>
      <c r="Y481" s="27">
        <v>0</v>
      </c>
      <c r="Z481" s="27">
        <v>0</v>
      </c>
      <c r="AA481" s="27">
        <v>0</v>
      </c>
      <c r="AB481" s="27">
        <v>0</v>
      </c>
      <c r="AC481" s="27">
        <v>0</v>
      </c>
      <c r="AD481" s="27">
        <v>0</v>
      </c>
      <c r="AE481" s="27">
        <v>0</v>
      </c>
      <c r="AF481" s="27">
        <v>0</v>
      </c>
      <c r="AG481" s="26">
        <f t="shared" si="28"/>
        <v>10</v>
      </c>
      <c r="AH481" s="26">
        <f t="shared" si="29"/>
        <v>0</v>
      </c>
      <c r="AI481" s="26">
        <f t="shared" si="30"/>
        <v>0</v>
      </c>
      <c r="AJ481" s="15" t="s">
        <v>425</v>
      </c>
      <c r="AK481" s="15" t="s">
        <v>425</v>
      </c>
      <c r="AL481" s="15" t="s">
        <v>317</v>
      </c>
      <c r="AM481" s="19">
        <v>44403</v>
      </c>
    </row>
    <row r="482" spans="1:39" x14ac:dyDescent="0.2">
      <c r="A482" s="15" t="str">
        <f t="shared" si="31"/>
        <v>815658119261</v>
      </c>
      <c r="B482" s="32">
        <v>815658</v>
      </c>
      <c r="C482" s="32" t="s">
        <v>373</v>
      </c>
      <c r="D482" s="15">
        <v>119261</v>
      </c>
      <c r="E482" s="15" t="s">
        <v>140</v>
      </c>
      <c r="F482" s="26">
        <v>0</v>
      </c>
      <c r="G482" s="26">
        <v>0</v>
      </c>
      <c r="H482" s="26">
        <v>0</v>
      </c>
      <c r="I482" s="26">
        <v>0</v>
      </c>
      <c r="J482" s="26">
        <v>0</v>
      </c>
      <c r="K482" s="26">
        <v>0</v>
      </c>
      <c r="L482" s="26">
        <v>50</v>
      </c>
      <c r="M482" s="26">
        <v>0</v>
      </c>
      <c r="N482" s="26">
        <v>0</v>
      </c>
      <c r="O482" s="27">
        <v>26</v>
      </c>
      <c r="P482" s="27">
        <v>0</v>
      </c>
      <c r="Q482" s="27">
        <v>0</v>
      </c>
      <c r="R482" s="27">
        <v>25</v>
      </c>
      <c r="S482" s="27">
        <v>0</v>
      </c>
      <c r="T482" s="27">
        <v>0</v>
      </c>
      <c r="U482" s="27">
        <v>38.5</v>
      </c>
      <c r="V482" s="27">
        <v>0</v>
      </c>
      <c r="W482" s="27">
        <v>0</v>
      </c>
      <c r="X482" s="27">
        <v>53</v>
      </c>
      <c r="Y482" s="27">
        <v>0</v>
      </c>
      <c r="Z482" s="27">
        <v>0</v>
      </c>
      <c r="AA482" s="27">
        <v>37.5</v>
      </c>
      <c r="AB482" s="27">
        <v>0</v>
      </c>
      <c r="AC482" s="27">
        <v>0</v>
      </c>
      <c r="AD482" s="27">
        <v>50</v>
      </c>
      <c r="AE482" s="27">
        <v>0</v>
      </c>
      <c r="AF482" s="27">
        <v>0</v>
      </c>
      <c r="AG482" s="26">
        <f t="shared" si="28"/>
        <v>280</v>
      </c>
      <c r="AH482" s="26">
        <f t="shared" si="29"/>
        <v>0</v>
      </c>
      <c r="AI482" s="26">
        <f t="shared" si="30"/>
        <v>0</v>
      </c>
      <c r="AJ482" s="15" t="s">
        <v>425</v>
      </c>
      <c r="AK482" s="15" t="s">
        <v>425</v>
      </c>
      <c r="AL482" s="15" t="s">
        <v>317</v>
      </c>
      <c r="AM482" s="19">
        <v>44403</v>
      </c>
    </row>
    <row r="483" spans="1:39" x14ac:dyDescent="0.2">
      <c r="A483" s="15" t="str">
        <f t="shared" si="31"/>
        <v>815672119261</v>
      </c>
      <c r="B483" s="32">
        <v>815672</v>
      </c>
      <c r="C483" s="32" t="s">
        <v>374</v>
      </c>
      <c r="D483" s="15">
        <v>119261</v>
      </c>
      <c r="E483" s="15" t="s">
        <v>140</v>
      </c>
      <c r="F483" s="26">
        <v>0</v>
      </c>
      <c r="G483" s="26">
        <v>0</v>
      </c>
      <c r="H483" s="26">
        <v>0</v>
      </c>
      <c r="I483" s="26">
        <v>55</v>
      </c>
      <c r="J483" s="26">
        <v>0</v>
      </c>
      <c r="K483" s="26">
        <v>0</v>
      </c>
      <c r="L483" s="26">
        <v>35</v>
      </c>
      <c r="M483" s="26">
        <v>0</v>
      </c>
      <c r="N483" s="26">
        <v>0</v>
      </c>
      <c r="O483" s="27">
        <v>35</v>
      </c>
      <c r="P483" s="27">
        <v>0</v>
      </c>
      <c r="Q483" s="27">
        <v>0</v>
      </c>
      <c r="R483" s="27">
        <v>0</v>
      </c>
      <c r="S483" s="27">
        <v>0</v>
      </c>
      <c r="T483" s="27">
        <v>0</v>
      </c>
      <c r="U483" s="27">
        <v>39.5</v>
      </c>
      <c r="V483" s="27">
        <v>0</v>
      </c>
      <c r="W483" s="27">
        <v>0</v>
      </c>
      <c r="X483" s="27">
        <v>34.5</v>
      </c>
      <c r="Y483" s="27">
        <v>0</v>
      </c>
      <c r="Z483" s="27">
        <v>0</v>
      </c>
      <c r="AA483" s="27">
        <v>25</v>
      </c>
      <c r="AB483" s="27">
        <v>0</v>
      </c>
      <c r="AC483" s="27">
        <v>0</v>
      </c>
      <c r="AD483" s="27">
        <v>0</v>
      </c>
      <c r="AE483" s="27">
        <v>0</v>
      </c>
      <c r="AF483" s="27">
        <v>0</v>
      </c>
      <c r="AG483" s="26">
        <f t="shared" si="28"/>
        <v>224</v>
      </c>
      <c r="AH483" s="26">
        <f t="shared" si="29"/>
        <v>0</v>
      </c>
      <c r="AI483" s="26">
        <f t="shared" si="30"/>
        <v>0</v>
      </c>
      <c r="AJ483" s="15" t="s">
        <v>425</v>
      </c>
      <c r="AK483" s="15" t="s">
        <v>425</v>
      </c>
      <c r="AL483" s="15" t="s">
        <v>317</v>
      </c>
      <c r="AM483" s="19">
        <v>44404</v>
      </c>
    </row>
    <row r="484" spans="1:39" x14ac:dyDescent="0.2">
      <c r="A484" s="15" t="str">
        <f t="shared" si="31"/>
        <v>816116206049</v>
      </c>
      <c r="B484" s="32">
        <v>816116</v>
      </c>
      <c r="C484" s="32" t="s">
        <v>386</v>
      </c>
      <c r="D484" s="15">
        <v>206049</v>
      </c>
      <c r="E484" s="15" t="s">
        <v>199</v>
      </c>
      <c r="F484" s="26">
        <v>0</v>
      </c>
      <c r="G484" s="26">
        <v>0</v>
      </c>
      <c r="H484" s="26">
        <v>0</v>
      </c>
      <c r="I484" s="26">
        <v>0</v>
      </c>
      <c r="J484" s="26">
        <v>0</v>
      </c>
      <c r="K484" s="26">
        <v>0</v>
      </c>
      <c r="L484" s="26">
        <v>0</v>
      </c>
      <c r="M484" s="26">
        <v>0</v>
      </c>
      <c r="N484" s="26">
        <v>0</v>
      </c>
      <c r="O484" s="27">
        <v>0</v>
      </c>
      <c r="P484" s="27">
        <v>0</v>
      </c>
      <c r="Q484" s="27">
        <v>0</v>
      </c>
      <c r="R484" s="27">
        <v>40</v>
      </c>
      <c r="S484" s="27">
        <v>0</v>
      </c>
      <c r="T484" s="27">
        <v>0</v>
      </c>
      <c r="U484" s="27">
        <v>9.5</v>
      </c>
      <c r="V484" s="27">
        <v>0</v>
      </c>
      <c r="W484" s="27">
        <v>0</v>
      </c>
      <c r="X484" s="27">
        <v>3.5</v>
      </c>
      <c r="Y484" s="27">
        <v>0</v>
      </c>
      <c r="Z484" s="27">
        <v>0</v>
      </c>
      <c r="AA484" s="27">
        <v>7.5</v>
      </c>
      <c r="AB484" s="27">
        <v>0</v>
      </c>
      <c r="AC484" s="27">
        <v>0</v>
      </c>
      <c r="AD484" s="27">
        <v>0</v>
      </c>
      <c r="AE484" s="27">
        <v>0</v>
      </c>
      <c r="AF484" s="27">
        <v>0</v>
      </c>
      <c r="AG484" s="26">
        <f t="shared" si="28"/>
        <v>60.5</v>
      </c>
      <c r="AH484" s="26">
        <f t="shared" si="29"/>
        <v>0</v>
      </c>
      <c r="AI484" s="26">
        <f t="shared" si="30"/>
        <v>0</v>
      </c>
      <c r="AJ484" s="15" t="s">
        <v>425</v>
      </c>
      <c r="AK484" s="15" t="s">
        <v>425</v>
      </c>
      <c r="AL484" s="15" t="s">
        <v>317</v>
      </c>
      <c r="AM484" s="19">
        <v>44433</v>
      </c>
    </row>
    <row r="485" spans="1:39" x14ac:dyDescent="0.2">
      <c r="A485" s="15" t="str">
        <f t="shared" si="31"/>
        <v>816253201172</v>
      </c>
      <c r="B485" s="32">
        <v>816253</v>
      </c>
      <c r="C485" s="32" t="s">
        <v>399</v>
      </c>
      <c r="D485" s="15">
        <v>201172</v>
      </c>
      <c r="E485" s="15" t="s">
        <v>144</v>
      </c>
      <c r="F485" s="26">
        <v>7.5</v>
      </c>
      <c r="G485" s="26">
        <v>0</v>
      </c>
      <c r="H485" s="26">
        <v>0</v>
      </c>
      <c r="I485" s="26">
        <v>7.5</v>
      </c>
      <c r="J485" s="26">
        <v>0</v>
      </c>
      <c r="K485" s="26">
        <v>0</v>
      </c>
      <c r="L485" s="26">
        <v>5</v>
      </c>
      <c r="M485" s="26">
        <v>0</v>
      </c>
      <c r="N485" s="26">
        <v>0</v>
      </c>
      <c r="O485" s="27">
        <v>12.5</v>
      </c>
      <c r="P485" s="27">
        <v>0</v>
      </c>
      <c r="Q485" s="27">
        <v>0</v>
      </c>
      <c r="R485" s="27">
        <v>2.5</v>
      </c>
      <c r="S485" s="27">
        <v>0</v>
      </c>
      <c r="T485" s="27">
        <v>0</v>
      </c>
      <c r="U485" s="27">
        <v>2.5</v>
      </c>
      <c r="V485" s="27">
        <v>0</v>
      </c>
      <c r="W485" s="27">
        <v>0</v>
      </c>
      <c r="X485" s="27">
        <v>0</v>
      </c>
      <c r="Y485" s="27">
        <v>0</v>
      </c>
      <c r="Z485" s="27">
        <v>0</v>
      </c>
      <c r="AA485" s="27">
        <v>0</v>
      </c>
      <c r="AB485" s="27">
        <v>0</v>
      </c>
      <c r="AC485" s="27">
        <v>0</v>
      </c>
      <c r="AD485" s="27">
        <v>0</v>
      </c>
      <c r="AE485" s="27">
        <v>0</v>
      </c>
      <c r="AF485" s="27">
        <v>0</v>
      </c>
      <c r="AG485" s="26">
        <f t="shared" si="28"/>
        <v>37.5</v>
      </c>
      <c r="AH485" s="26">
        <f t="shared" si="29"/>
        <v>0</v>
      </c>
      <c r="AI485" s="26">
        <f t="shared" si="30"/>
        <v>0</v>
      </c>
      <c r="AJ485" s="15" t="s">
        <v>425</v>
      </c>
      <c r="AK485" s="15" t="s">
        <v>425</v>
      </c>
      <c r="AL485" s="15" t="s">
        <v>317</v>
      </c>
      <c r="AM485" s="19">
        <v>44442</v>
      </c>
    </row>
    <row r="486" spans="1:39" x14ac:dyDescent="0.2">
      <c r="A486" s="15" t="str">
        <f t="shared" si="31"/>
        <v>816314179911</v>
      </c>
      <c r="B486" s="32">
        <v>816314</v>
      </c>
      <c r="C486" s="32" t="s">
        <v>391</v>
      </c>
      <c r="D486" s="15">
        <v>179911</v>
      </c>
      <c r="E486" s="15" t="s">
        <v>156</v>
      </c>
      <c r="F486" s="26">
        <v>8</v>
      </c>
      <c r="G486" s="26">
        <v>0</v>
      </c>
      <c r="H486" s="26">
        <v>0</v>
      </c>
      <c r="I486" s="26">
        <v>0</v>
      </c>
      <c r="J486" s="26">
        <v>0</v>
      </c>
      <c r="K486" s="26">
        <v>0</v>
      </c>
      <c r="L486" s="26">
        <v>0</v>
      </c>
      <c r="M486" s="26">
        <v>0</v>
      </c>
      <c r="N486" s="26">
        <v>0</v>
      </c>
      <c r="O486" s="27">
        <v>0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1</v>
      </c>
      <c r="V486" s="27">
        <v>0</v>
      </c>
      <c r="W486" s="27">
        <v>0</v>
      </c>
      <c r="X486" s="27">
        <v>0</v>
      </c>
      <c r="Y486" s="27">
        <v>0</v>
      </c>
      <c r="Z486" s="27">
        <v>0</v>
      </c>
      <c r="AA486" s="27">
        <v>0</v>
      </c>
      <c r="AB486" s="27">
        <v>0</v>
      </c>
      <c r="AC486" s="27">
        <v>0</v>
      </c>
      <c r="AD486" s="27">
        <v>0</v>
      </c>
      <c r="AE486" s="27">
        <v>0</v>
      </c>
      <c r="AF486" s="27">
        <v>0</v>
      </c>
      <c r="AG486" s="26">
        <f t="shared" si="28"/>
        <v>9</v>
      </c>
      <c r="AH486" s="26">
        <f t="shared" si="29"/>
        <v>0</v>
      </c>
      <c r="AI486" s="26">
        <f t="shared" si="30"/>
        <v>0</v>
      </c>
      <c r="AJ486" s="15" t="s">
        <v>425</v>
      </c>
      <c r="AK486" s="15" t="s">
        <v>425</v>
      </c>
      <c r="AL486" s="15" t="s">
        <v>317</v>
      </c>
      <c r="AM486" s="19">
        <v>44450</v>
      </c>
    </row>
    <row r="487" spans="1:39" x14ac:dyDescent="0.2">
      <c r="A487" s="15" t="str">
        <f t="shared" si="31"/>
        <v>816351145135</v>
      </c>
      <c r="B487" s="32">
        <v>816351</v>
      </c>
      <c r="C487" s="32" t="s">
        <v>395</v>
      </c>
      <c r="D487" s="15">
        <v>145135</v>
      </c>
      <c r="E487" s="15" t="s">
        <v>396</v>
      </c>
      <c r="F487" s="26">
        <v>202.75</v>
      </c>
      <c r="G487" s="26">
        <v>0</v>
      </c>
      <c r="H487" s="26">
        <v>0</v>
      </c>
      <c r="I487" s="26">
        <v>173.95</v>
      </c>
      <c r="J487" s="26">
        <v>0</v>
      </c>
      <c r="K487" s="26">
        <v>0</v>
      </c>
      <c r="L487" s="26">
        <v>231.1</v>
      </c>
      <c r="M487" s="26">
        <v>0</v>
      </c>
      <c r="N487" s="26">
        <v>2.5</v>
      </c>
      <c r="O487" s="27">
        <v>203.15</v>
      </c>
      <c r="P487" s="27">
        <v>0.1</v>
      </c>
      <c r="Q487" s="27">
        <v>2.5</v>
      </c>
      <c r="R487" s="27">
        <v>185.5</v>
      </c>
      <c r="S487" s="27">
        <v>25.25</v>
      </c>
      <c r="T487" s="27">
        <v>12.25</v>
      </c>
      <c r="U487" s="27">
        <v>64</v>
      </c>
      <c r="V487" s="27">
        <v>0</v>
      </c>
      <c r="W487" s="27">
        <v>2.5</v>
      </c>
      <c r="X487" s="27">
        <v>18</v>
      </c>
      <c r="Y487" s="27">
        <v>0</v>
      </c>
      <c r="Z487" s="27">
        <v>0</v>
      </c>
      <c r="AA487" s="27">
        <v>38.5</v>
      </c>
      <c r="AB487" s="27">
        <v>0</v>
      </c>
      <c r="AC487" s="27">
        <v>0</v>
      </c>
      <c r="AD487" s="27">
        <v>133.25</v>
      </c>
      <c r="AE487" s="27">
        <v>0</v>
      </c>
      <c r="AF487" s="27">
        <v>0</v>
      </c>
      <c r="AG487" s="26">
        <f t="shared" si="28"/>
        <v>1250.1999999999998</v>
      </c>
      <c r="AH487" s="26">
        <f t="shared" si="29"/>
        <v>25.35</v>
      </c>
      <c r="AI487" s="26">
        <f t="shared" si="30"/>
        <v>19.75</v>
      </c>
      <c r="AJ487" s="15" t="s">
        <v>425</v>
      </c>
      <c r="AK487" s="15" t="s">
        <v>425</v>
      </c>
      <c r="AL487" s="15" t="s">
        <v>317</v>
      </c>
      <c r="AM487" s="19">
        <v>44455</v>
      </c>
    </row>
    <row r="488" spans="1:39" x14ac:dyDescent="0.2">
      <c r="A488" s="15" t="str">
        <f t="shared" si="31"/>
        <v>816529204307</v>
      </c>
      <c r="B488" s="32">
        <v>816529</v>
      </c>
      <c r="C488" s="32" t="s">
        <v>427</v>
      </c>
      <c r="D488" s="15">
        <v>204307</v>
      </c>
      <c r="E488" s="15" t="s">
        <v>162</v>
      </c>
      <c r="F488" s="26">
        <v>37</v>
      </c>
      <c r="G488" s="26">
        <v>0</v>
      </c>
      <c r="H488" s="26">
        <v>0</v>
      </c>
      <c r="I488" s="26">
        <v>17.5</v>
      </c>
      <c r="J488" s="26">
        <v>0</v>
      </c>
      <c r="K488" s="26">
        <v>0</v>
      </c>
      <c r="L488" s="26">
        <v>5</v>
      </c>
      <c r="M488" s="26">
        <v>0</v>
      </c>
      <c r="N488" s="26">
        <v>0</v>
      </c>
      <c r="O488" s="27">
        <v>0</v>
      </c>
      <c r="P488" s="27">
        <v>0</v>
      </c>
      <c r="Q488" s="27">
        <v>0</v>
      </c>
      <c r="R488" s="27">
        <v>0</v>
      </c>
      <c r="S488" s="27">
        <v>0</v>
      </c>
      <c r="T488" s="27">
        <v>0</v>
      </c>
      <c r="U488" s="27">
        <v>0</v>
      </c>
      <c r="V488" s="27">
        <v>0</v>
      </c>
      <c r="W488" s="27">
        <v>0</v>
      </c>
      <c r="X488" s="27">
        <v>0</v>
      </c>
      <c r="Y488" s="27">
        <v>0</v>
      </c>
      <c r="Z488" s="27">
        <v>0</v>
      </c>
      <c r="AA488" s="27">
        <v>0</v>
      </c>
      <c r="AB488" s="27">
        <v>0</v>
      </c>
      <c r="AC488" s="27">
        <v>0</v>
      </c>
      <c r="AD488" s="27">
        <v>0</v>
      </c>
      <c r="AE488" s="27">
        <v>0</v>
      </c>
      <c r="AF488" s="27">
        <v>0</v>
      </c>
      <c r="AG488" s="26">
        <f t="shared" si="28"/>
        <v>59.5</v>
      </c>
      <c r="AH488" s="26">
        <f t="shared" si="29"/>
        <v>0</v>
      </c>
      <c r="AI488" s="26">
        <f t="shared" si="30"/>
        <v>0</v>
      </c>
      <c r="AJ488" s="15" t="s">
        <v>425</v>
      </c>
      <c r="AK488" s="15" t="s">
        <v>425</v>
      </c>
      <c r="AL488" s="15" t="s">
        <v>317</v>
      </c>
      <c r="AM488" s="19">
        <v>44466</v>
      </c>
    </row>
    <row r="489" spans="1:39" x14ac:dyDescent="0.2">
      <c r="A489" s="15" t="str">
        <f t="shared" si="31"/>
        <v>816685201172</v>
      </c>
      <c r="B489" s="32">
        <v>816685</v>
      </c>
      <c r="C489" s="32" t="s">
        <v>411</v>
      </c>
      <c r="D489" s="15">
        <v>201172</v>
      </c>
      <c r="E489" s="15" t="s">
        <v>144</v>
      </c>
      <c r="F489" s="26">
        <v>175.95</v>
      </c>
      <c r="G489" s="26">
        <v>0</v>
      </c>
      <c r="H489" s="26">
        <v>0</v>
      </c>
      <c r="I489" s="26">
        <v>177.75</v>
      </c>
      <c r="J489" s="26">
        <v>0</v>
      </c>
      <c r="K489" s="26">
        <v>0</v>
      </c>
      <c r="L489" s="26">
        <v>257.89999999999998</v>
      </c>
      <c r="M489" s="26">
        <v>12.5</v>
      </c>
      <c r="N489" s="26">
        <v>0</v>
      </c>
      <c r="O489" s="27">
        <v>179.7</v>
      </c>
      <c r="P489" s="27">
        <v>0</v>
      </c>
      <c r="Q489" s="27">
        <v>0</v>
      </c>
      <c r="R489" s="27">
        <v>163.85</v>
      </c>
      <c r="S489" s="27">
        <v>0</v>
      </c>
      <c r="T489" s="27">
        <v>13.5</v>
      </c>
      <c r="U489" s="27">
        <v>118.5</v>
      </c>
      <c r="V489" s="27">
        <v>0</v>
      </c>
      <c r="W489" s="27">
        <v>5</v>
      </c>
      <c r="X489" s="27">
        <v>111.5</v>
      </c>
      <c r="Y489" s="27">
        <v>10</v>
      </c>
      <c r="Z489" s="27">
        <v>12.5</v>
      </c>
      <c r="AA489" s="27">
        <v>20</v>
      </c>
      <c r="AB489" s="27">
        <v>0</v>
      </c>
      <c r="AC489" s="27">
        <v>8.5</v>
      </c>
      <c r="AD489" s="27">
        <v>202</v>
      </c>
      <c r="AE489" s="27">
        <v>5</v>
      </c>
      <c r="AF489" s="27">
        <v>10</v>
      </c>
      <c r="AG489" s="26">
        <f t="shared" si="28"/>
        <v>1407.15</v>
      </c>
      <c r="AH489" s="26">
        <f t="shared" si="29"/>
        <v>27.5</v>
      </c>
      <c r="AI489" s="26">
        <f t="shared" si="30"/>
        <v>49.5</v>
      </c>
      <c r="AJ489" s="15" t="s">
        <v>425</v>
      </c>
      <c r="AK489" s="15" t="s">
        <v>425</v>
      </c>
      <c r="AL489" s="15" t="s">
        <v>317</v>
      </c>
      <c r="AM489" s="19">
        <v>44478</v>
      </c>
    </row>
    <row r="490" spans="1:39" x14ac:dyDescent="0.2">
      <c r="A490" s="15" t="str">
        <f t="shared" si="31"/>
        <v>816905204307</v>
      </c>
      <c r="B490" s="32">
        <v>816905</v>
      </c>
      <c r="C490" s="32" t="s">
        <v>418</v>
      </c>
      <c r="D490" s="15">
        <v>204307</v>
      </c>
      <c r="E490" s="15" t="s">
        <v>162</v>
      </c>
      <c r="F490" s="26">
        <v>33</v>
      </c>
      <c r="G490" s="26">
        <v>0</v>
      </c>
      <c r="H490" s="26">
        <v>0</v>
      </c>
      <c r="I490" s="26">
        <v>17.5</v>
      </c>
      <c r="J490" s="26">
        <v>0</v>
      </c>
      <c r="K490" s="26">
        <v>0</v>
      </c>
      <c r="L490" s="26">
        <v>5</v>
      </c>
      <c r="M490" s="26">
        <v>0</v>
      </c>
      <c r="N490" s="26">
        <v>0</v>
      </c>
      <c r="O490" s="27">
        <v>0</v>
      </c>
      <c r="P490" s="27">
        <v>0</v>
      </c>
      <c r="Q490" s="27">
        <v>0</v>
      </c>
      <c r="R490" s="27">
        <v>0</v>
      </c>
      <c r="S490" s="27">
        <v>0</v>
      </c>
      <c r="T490" s="27">
        <v>0</v>
      </c>
      <c r="U490" s="27">
        <v>0</v>
      </c>
      <c r="V490" s="27">
        <v>0</v>
      </c>
      <c r="W490" s="27">
        <v>0</v>
      </c>
      <c r="X490" s="27">
        <v>0</v>
      </c>
      <c r="Y490" s="27">
        <v>0</v>
      </c>
      <c r="Z490" s="27">
        <v>0</v>
      </c>
      <c r="AA490" s="27">
        <v>0</v>
      </c>
      <c r="AB490" s="27">
        <v>0</v>
      </c>
      <c r="AC490" s="27">
        <v>0</v>
      </c>
      <c r="AD490" s="27">
        <v>0</v>
      </c>
      <c r="AE490" s="27">
        <v>0</v>
      </c>
      <c r="AF490" s="27">
        <v>0</v>
      </c>
      <c r="AG490" s="26">
        <f t="shared" si="28"/>
        <v>55.5</v>
      </c>
      <c r="AH490" s="26">
        <f t="shared" si="29"/>
        <v>0</v>
      </c>
      <c r="AI490" s="26">
        <f t="shared" si="30"/>
        <v>0</v>
      </c>
      <c r="AJ490" s="15" t="s">
        <v>425</v>
      </c>
      <c r="AK490" s="15" t="s">
        <v>425</v>
      </c>
      <c r="AL490" s="15" t="s">
        <v>317</v>
      </c>
      <c r="AM490" s="19">
        <v>44499</v>
      </c>
    </row>
    <row r="491" spans="1:39" x14ac:dyDescent="0.2">
      <c r="A491" s="15" t="str">
        <f t="shared" si="31"/>
        <v>817029208976</v>
      </c>
      <c r="B491" s="32">
        <v>817029</v>
      </c>
      <c r="C491" s="32" t="s">
        <v>420</v>
      </c>
      <c r="D491" s="15">
        <v>208976</v>
      </c>
      <c r="E491" s="15" t="s">
        <v>421</v>
      </c>
      <c r="F491" s="26">
        <v>7.5</v>
      </c>
      <c r="G491" s="26">
        <v>0</v>
      </c>
      <c r="H491" s="26">
        <v>0</v>
      </c>
      <c r="I491" s="26">
        <v>2.5</v>
      </c>
      <c r="J491" s="26">
        <v>0</v>
      </c>
      <c r="K491" s="26">
        <v>0</v>
      </c>
      <c r="L491" s="26">
        <v>0</v>
      </c>
      <c r="M491" s="26">
        <v>0</v>
      </c>
      <c r="N491" s="26">
        <v>0</v>
      </c>
      <c r="O491" s="27">
        <v>0</v>
      </c>
      <c r="P491" s="27">
        <v>0</v>
      </c>
      <c r="Q491" s="27">
        <v>0</v>
      </c>
      <c r="R491" s="27">
        <v>0</v>
      </c>
      <c r="S491" s="27">
        <v>0</v>
      </c>
      <c r="T491" s="27">
        <v>0</v>
      </c>
      <c r="U491" s="27">
        <v>0</v>
      </c>
      <c r="V491" s="27">
        <v>0</v>
      </c>
      <c r="W491" s="27">
        <v>0</v>
      </c>
      <c r="X491" s="27">
        <v>0</v>
      </c>
      <c r="Y491" s="27">
        <v>0</v>
      </c>
      <c r="Z491" s="27">
        <v>0</v>
      </c>
      <c r="AA491" s="27">
        <v>0</v>
      </c>
      <c r="AB491" s="27">
        <v>0</v>
      </c>
      <c r="AC491" s="27">
        <v>0</v>
      </c>
      <c r="AD491" s="27">
        <v>0</v>
      </c>
      <c r="AE491" s="27">
        <v>0</v>
      </c>
      <c r="AF491" s="27">
        <v>0</v>
      </c>
      <c r="AG491" s="26">
        <f t="shared" si="28"/>
        <v>10</v>
      </c>
      <c r="AH491" s="26">
        <f t="shared" si="29"/>
        <v>0</v>
      </c>
      <c r="AI491" s="26">
        <f t="shared" si="30"/>
        <v>0</v>
      </c>
      <c r="AJ491" s="15" t="s">
        <v>425</v>
      </c>
      <c r="AK491" s="15" t="s">
        <v>425</v>
      </c>
      <c r="AL491" s="15" t="s">
        <v>317</v>
      </c>
      <c r="AM491" s="19">
        <v>44516</v>
      </c>
    </row>
    <row r="492" spans="1:39" x14ac:dyDescent="0.2">
      <c r="A492" s="15" t="str">
        <f t="shared" si="31"/>
        <v>817031208268</v>
      </c>
      <c r="B492" s="32">
        <v>817031</v>
      </c>
      <c r="C492" s="32" t="s">
        <v>428</v>
      </c>
      <c r="D492" s="15">
        <v>208268</v>
      </c>
      <c r="E492" s="15" t="s">
        <v>351</v>
      </c>
      <c r="F492" s="26">
        <v>35.5</v>
      </c>
      <c r="G492" s="26">
        <v>0</v>
      </c>
      <c r="H492" s="26">
        <v>0</v>
      </c>
      <c r="I492" s="26">
        <v>0</v>
      </c>
      <c r="J492" s="26">
        <v>0</v>
      </c>
      <c r="K492" s="26">
        <v>0</v>
      </c>
      <c r="L492" s="26">
        <v>0</v>
      </c>
      <c r="M492" s="26">
        <v>0</v>
      </c>
      <c r="N492" s="26">
        <v>0</v>
      </c>
      <c r="O492" s="27">
        <v>5</v>
      </c>
      <c r="P492" s="27">
        <v>0</v>
      </c>
      <c r="Q492" s="27">
        <v>0</v>
      </c>
      <c r="R492" s="27">
        <v>0</v>
      </c>
      <c r="S492" s="27">
        <v>0</v>
      </c>
      <c r="T492" s="27">
        <v>0</v>
      </c>
      <c r="U492" s="27">
        <v>0</v>
      </c>
      <c r="V492" s="27">
        <v>0</v>
      </c>
      <c r="W492" s="27">
        <v>0</v>
      </c>
      <c r="X492" s="27">
        <v>0</v>
      </c>
      <c r="Y492" s="27">
        <v>0</v>
      </c>
      <c r="Z492" s="27">
        <v>0</v>
      </c>
      <c r="AA492" s="27">
        <v>0</v>
      </c>
      <c r="AB492" s="27">
        <v>0</v>
      </c>
      <c r="AC492" s="27">
        <v>0</v>
      </c>
      <c r="AD492" s="27">
        <v>0</v>
      </c>
      <c r="AE492" s="27">
        <v>0</v>
      </c>
      <c r="AF492" s="27">
        <v>0</v>
      </c>
      <c r="AG492" s="26">
        <f t="shared" si="28"/>
        <v>40.5</v>
      </c>
      <c r="AH492" s="26">
        <f t="shared" si="29"/>
        <v>0</v>
      </c>
      <c r="AI492" s="26">
        <f t="shared" si="30"/>
        <v>0</v>
      </c>
      <c r="AJ492" s="15" t="s">
        <v>425</v>
      </c>
      <c r="AK492" s="15" t="s">
        <v>425</v>
      </c>
      <c r="AL492" s="15" t="s">
        <v>317</v>
      </c>
      <c r="AM492" s="19">
        <v>44516</v>
      </c>
    </row>
    <row r="493" spans="1:39" x14ac:dyDescent="0.2">
      <c r="A493" s="15" t="str">
        <f t="shared" si="31"/>
        <v>817031212409</v>
      </c>
      <c r="B493" s="14">
        <v>817031</v>
      </c>
      <c r="C493" s="14" t="s">
        <v>428</v>
      </c>
      <c r="D493" s="16">
        <v>212409</v>
      </c>
      <c r="E493" s="18" t="s">
        <v>529</v>
      </c>
      <c r="F493" s="26">
        <v>0</v>
      </c>
      <c r="G493" s="26">
        <v>0</v>
      </c>
      <c r="H493" s="26">
        <v>0</v>
      </c>
      <c r="I493" s="26">
        <v>41.5</v>
      </c>
      <c r="J493" s="26">
        <v>0</v>
      </c>
      <c r="K493" s="26">
        <v>0</v>
      </c>
      <c r="L493" s="26">
        <v>15</v>
      </c>
      <c r="M493" s="26">
        <v>0</v>
      </c>
      <c r="N493" s="26">
        <v>0</v>
      </c>
      <c r="O493" s="27">
        <v>47.25</v>
      </c>
      <c r="P493" s="27">
        <v>0</v>
      </c>
      <c r="Q493" s="27">
        <v>0</v>
      </c>
      <c r="R493" s="27">
        <v>13.5</v>
      </c>
      <c r="S493" s="27">
        <v>0</v>
      </c>
      <c r="T493" s="27">
        <v>0</v>
      </c>
      <c r="U493" s="27">
        <v>27.5</v>
      </c>
      <c r="V493" s="27">
        <v>0</v>
      </c>
      <c r="W493" s="27">
        <v>0</v>
      </c>
      <c r="X493" s="27">
        <v>20</v>
      </c>
      <c r="Y493" s="27">
        <v>0</v>
      </c>
      <c r="Z493" s="27">
        <v>0</v>
      </c>
      <c r="AA493" s="27">
        <v>36</v>
      </c>
      <c r="AB493" s="27">
        <v>0</v>
      </c>
      <c r="AC493" s="27">
        <v>0</v>
      </c>
      <c r="AD493" s="27">
        <v>79</v>
      </c>
      <c r="AE493" s="27">
        <v>0</v>
      </c>
      <c r="AF493" s="27">
        <v>9</v>
      </c>
      <c r="AG493" s="26">
        <f t="shared" ref="AG493:AG546" si="32">SUMIF($F$2:$AF$2,"Total",F493:AF493)</f>
        <v>279.75</v>
      </c>
      <c r="AH493" s="26">
        <f t="shared" ref="AH493:AH546" si="33">SUMIF($F$2:$AF$2,"WS",F493:AF493)</f>
        <v>0</v>
      </c>
      <c r="AI493" s="26">
        <f t="shared" ref="AI493:AI546" si="34">SUMIF($F$2:$AF$2,"PPCSS",F493:AF493)</f>
        <v>9</v>
      </c>
      <c r="AJ493" s="15" t="s">
        <v>425</v>
      </c>
      <c r="AK493" s="15" t="s">
        <v>425</v>
      </c>
      <c r="AL493" s="15" t="s">
        <v>317</v>
      </c>
      <c r="AM493" s="19">
        <v>44516</v>
      </c>
    </row>
    <row r="494" spans="1:39" x14ac:dyDescent="0.2">
      <c r="A494" s="15" t="str">
        <f t="shared" si="31"/>
        <v>817032206049</v>
      </c>
      <c r="B494" s="32">
        <v>817032</v>
      </c>
      <c r="C494" s="32" t="s">
        <v>423</v>
      </c>
      <c r="D494" s="15">
        <v>206049</v>
      </c>
      <c r="E494" s="15" t="s">
        <v>199</v>
      </c>
      <c r="F494" s="26">
        <v>0</v>
      </c>
      <c r="G494" s="26">
        <v>0</v>
      </c>
      <c r="H494" s="26">
        <v>0</v>
      </c>
      <c r="I494" s="26">
        <v>0</v>
      </c>
      <c r="J494" s="26">
        <v>0</v>
      </c>
      <c r="K494" s="26">
        <v>0</v>
      </c>
      <c r="L494" s="26">
        <v>0</v>
      </c>
      <c r="M494" s="26">
        <v>0</v>
      </c>
      <c r="N494" s="26">
        <v>0</v>
      </c>
      <c r="O494" s="27">
        <v>0</v>
      </c>
      <c r="P494" s="27">
        <v>0</v>
      </c>
      <c r="Q494" s="27">
        <v>0</v>
      </c>
      <c r="R494" s="27">
        <v>40</v>
      </c>
      <c r="S494" s="27">
        <v>0</v>
      </c>
      <c r="T494" s="27">
        <v>0</v>
      </c>
      <c r="U494" s="27">
        <v>9.5</v>
      </c>
      <c r="V494" s="27">
        <v>0</v>
      </c>
      <c r="W494" s="27">
        <v>0</v>
      </c>
      <c r="X494" s="27">
        <v>0</v>
      </c>
      <c r="Y494" s="27">
        <v>0</v>
      </c>
      <c r="Z494" s="27">
        <v>0</v>
      </c>
      <c r="AA494" s="27">
        <v>8.5</v>
      </c>
      <c r="AB494" s="27">
        <v>0</v>
      </c>
      <c r="AC494" s="27">
        <v>0</v>
      </c>
      <c r="AD494" s="27">
        <v>0</v>
      </c>
      <c r="AE494" s="27">
        <v>0</v>
      </c>
      <c r="AF494" s="27">
        <v>0</v>
      </c>
      <c r="AG494" s="26">
        <f t="shared" si="32"/>
        <v>58</v>
      </c>
      <c r="AH494" s="26">
        <f t="shared" si="33"/>
        <v>0</v>
      </c>
      <c r="AI494" s="26">
        <f t="shared" si="34"/>
        <v>0</v>
      </c>
      <c r="AJ494" s="15" t="s">
        <v>425</v>
      </c>
      <c r="AK494" s="15" t="s">
        <v>425</v>
      </c>
      <c r="AL494" s="15" t="s">
        <v>317</v>
      </c>
      <c r="AM494" s="19">
        <v>44516</v>
      </c>
    </row>
    <row r="495" spans="1:39" x14ac:dyDescent="0.2">
      <c r="A495" s="15" t="str">
        <f t="shared" si="31"/>
        <v>817052206049</v>
      </c>
      <c r="B495" s="32">
        <v>817052</v>
      </c>
      <c r="C495" s="32" t="s">
        <v>429</v>
      </c>
      <c r="D495" s="15">
        <v>206049</v>
      </c>
      <c r="E495" s="15" t="s">
        <v>199</v>
      </c>
      <c r="F495" s="26">
        <v>142</v>
      </c>
      <c r="G495" s="26">
        <v>5</v>
      </c>
      <c r="H495" s="26">
        <v>0</v>
      </c>
      <c r="I495" s="26">
        <v>65</v>
      </c>
      <c r="J495" s="26">
        <v>5</v>
      </c>
      <c r="K495" s="26">
        <v>0</v>
      </c>
      <c r="L495" s="26">
        <v>123.5</v>
      </c>
      <c r="M495" s="26">
        <v>0</v>
      </c>
      <c r="N495" s="26">
        <v>0</v>
      </c>
      <c r="O495" s="27">
        <v>161.19999999999999</v>
      </c>
      <c r="P495" s="27">
        <v>7.5</v>
      </c>
      <c r="Q495" s="27">
        <v>5</v>
      </c>
      <c r="R495" s="27">
        <v>0</v>
      </c>
      <c r="S495" s="27">
        <v>0</v>
      </c>
      <c r="T495" s="27">
        <v>0</v>
      </c>
      <c r="U495" s="27">
        <v>154.9</v>
      </c>
      <c r="V495" s="27">
        <v>0</v>
      </c>
      <c r="W495" s="27">
        <v>2.5</v>
      </c>
      <c r="X495" s="27">
        <v>147.5</v>
      </c>
      <c r="Y495" s="27">
        <v>0</v>
      </c>
      <c r="Z495" s="27">
        <v>5</v>
      </c>
      <c r="AA495" s="27">
        <v>17</v>
      </c>
      <c r="AB495" s="27">
        <v>0</v>
      </c>
      <c r="AC495" s="27">
        <v>0</v>
      </c>
      <c r="AD495" s="27">
        <v>133</v>
      </c>
      <c r="AE495" s="27">
        <v>0</v>
      </c>
      <c r="AF495" s="27">
        <v>0</v>
      </c>
      <c r="AG495" s="26">
        <f t="shared" si="32"/>
        <v>944.1</v>
      </c>
      <c r="AH495" s="26">
        <f t="shared" si="33"/>
        <v>17.5</v>
      </c>
      <c r="AI495" s="26">
        <f t="shared" si="34"/>
        <v>12.5</v>
      </c>
      <c r="AJ495" s="15" t="s">
        <v>425</v>
      </c>
      <c r="AK495" s="15" t="s">
        <v>425</v>
      </c>
      <c r="AL495" s="15" t="s">
        <v>317</v>
      </c>
      <c r="AM495" s="19">
        <v>44518</v>
      </c>
    </row>
    <row r="496" spans="1:39" x14ac:dyDescent="0.2">
      <c r="A496" s="15" t="str">
        <f t="shared" si="31"/>
        <v>817053208268</v>
      </c>
      <c r="B496" s="32">
        <v>817053</v>
      </c>
      <c r="C496" s="32" t="s">
        <v>435</v>
      </c>
      <c r="D496" s="15">
        <v>208268</v>
      </c>
      <c r="E496" s="15" t="s">
        <v>351</v>
      </c>
      <c r="F496" s="26">
        <v>5</v>
      </c>
      <c r="G496" s="26">
        <v>0</v>
      </c>
      <c r="H496" s="26">
        <v>0</v>
      </c>
      <c r="I496" s="26">
        <v>5</v>
      </c>
      <c r="J496" s="26">
        <v>0</v>
      </c>
      <c r="K496" s="26">
        <v>0</v>
      </c>
      <c r="L496" s="26">
        <v>0</v>
      </c>
      <c r="M496" s="26">
        <v>0</v>
      </c>
      <c r="N496" s="26">
        <v>0</v>
      </c>
      <c r="O496" s="27">
        <v>0</v>
      </c>
      <c r="P496" s="27">
        <v>0</v>
      </c>
      <c r="Q496" s="27">
        <v>0</v>
      </c>
      <c r="R496" s="27">
        <v>0</v>
      </c>
      <c r="S496" s="27">
        <v>0</v>
      </c>
      <c r="T496" s="27">
        <v>0</v>
      </c>
      <c r="U496" s="27">
        <v>0</v>
      </c>
      <c r="V496" s="27">
        <v>0</v>
      </c>
      <c r="W496" s="27">
        <v>0</v>
      </c>
      <c r="X496" s="27">
        <v>0</v>
      </c>
      <c r="Y496" s="27">
        <v>0</v>
      </c>
      <c r="Z496" s="27">
        <v>0</v>
      </c>
      <c r="AA496" s="27">
        <v>0</v>
      </c>
      <c r="AB496" s="27">
        <v>0</v>
      </c>
      <c r="AC496" s="27">
        <v>0</v>
      </c>
      <c r="AD496" s="27">
        <v>0</v>
      </c>
      <c r="AE496" s="27">
        <v>0</v>
      </c>
      <c r="AF496" s="27">
        <v>0</v>
      </c>
      <c r="AG496" s="26">
        <f t="shared" si="32"/>
        <v>10</v>
      </c>
      <c r="AH496" s="26">
        <f t="shared" si="33"/>
        <v>0</v>
      </c>
      <c r="AI496" s="26">
        <f t="shared" si="34"/>
        <v>0</v>
      </c>
      <c r="AJ496" s="15" t="s">
        <v>425</v>
      </c>
      <c r="AK496" s="15" t="s">
        <v>425</v>
      </c>
      <c r="AL496" s="15" t="s">
        <v>317</v>
      </c>
      <c r="AM496" s="19">
        <v>44518</v>
      </c>
    </row>
    <row r="497" spans="1:39" x14ac:dyDescent="0.2">
      <c r="A497" s="15" t="str">
        <f t="shared" si="31"/>
        <v>817053212409</v>
      </c>
      <c r="B497" s="14">
        <v>817053</v>
      </c>
      <c r="C497" s="14" t="s">
        <v>435</v>
      </c>
      <c r="D497" s="16">
        <v>212409</v>
      </c>
      <c r="E497" s="18" t="s">
        <v>529</v>
      </c>
      <c r="F497" s="26">
        <v>0</v>
      </c>
      <c r="G497" s="26">
        <v>0</v>
      </c>
      <c r="H497" s="26">
        <v>0</v>
      </c>
      <c r="I497" s="26">
        <v>15</v>
      </c>
      <c r="J497" s="26">
        <v>0</v>
      </c>
      <c r="K497" s="26">
        <v>0</v>
      </c>
      <c r="L497" s="26">
        <v>0</v>
      </c>
      <c r="M497" s="26">
        <v>0</v>
      </c>
      <c r="N497" s="26">
        <v>0</v>
      </c>
      <c r="O497" s="27">
        <v>17.5</v>
      </c>
      <c r="P497" s="27">
        <v>0</v>
      </c>
      <c r="Q497" s="27">
        <v>0</v>
      </c>
      <c r="R497" s="27">
        <v>0</v>
      </c>
      <c r="S497" s="27">
        <v>0</v>
      </c>
      <c r="T497" s="27">
        <v>0</v>
      </c>
      <c r="U497" s="27">
        <v>2.5</v>
      </c>
      <c r="V497" s="27">
        <v>0</v>
      </c>
      <c r="W497" s="27">
        <v>0</v>
      </c>
      <c r="X497" s="27">
        <v>7.5</v>
      </c>
      <c r="Y497" s="27">
        <v>0</v>
      </c>
      <c r="Z497" s="27">
        <v>0</v>
      </c>
      <c r="AA497" s="27">
        <v>5</v>
      </c>
      <c r="AB497" s="27">
        <v>0</v>
      </c>
      <c r="AC497" s="27">
        <v>0</v>
      </c>
      <c r="AD497" s="27">
        <v>20</v>
      </c>
      <c r="AE497" s="27">
        <v>0</v>
      </c>
      <c r="AF497" s="27">
        <v>0</v>
      </c>
      <c r="AG497" s="26">
        <f t="shared" si="32"/>
        <v>67.5</v>
      </c>
      <c r="AH497" s="26">
        <f t="shared" si="33"/>
        <v>0</v>
      </c>
      <c r="AI497" s="26">
        <f t="shared" si="34"/>
        <v>0</v>
      </c>
      <c r="AJ497" s="15" t="s">
        <v>425</v>
      </c>
      <c r="AK497" s="15" t="s">
        <v>425</v>
      </c>
      <c r="AL497" s="15" t="s">
        <v>317</v>
      </c>
      <c r="AM497" s="19">
        <v>44518</v>
      </c>
    </row>
    <row r="498" spans="1:39" x14ac:dyDescent="0.2">
      <c r="A498" s="15" t="str">
        <f t="shared" si="31"/>
        <v>817127206049</v>
      </c>
      <c r="B498" s="32">
        <v>817127</v>
      </c>
      <c r="C498" s="32" t="s">
        <v>453</v>
      </c>
      <c r="D498" s="15">
        <v>206049</v>
      </c>
      <c r="E498" s="15" t="s">
        <v>199</v>
      </c>
      <c r="F498" s="26">
        <v>0</v>
      </c>
      <c r="G498" s="26">
        <v>0</v>
      </c>
      <c r="H498" s="26">
        <v>0</v>
      </c>
      <c r="I498" s="26">
        <v>0</v>
      </c>
      <c r="J498" s="26">
        <v>0</v>
      </c>
      <c r="K498" s="26">
        <v>0</v>
      </c>
      <c r="L498" s="26">
        <v>0</v>
      </c>
      <c r="M498" s="26">
        <v>0</v>
      </c>
      <c r="N498" s="26">
        <v>0</v>
      </c>
      <c r="O498" s="27">
        <v>0</v>
      </c>
      <c r="P498" s="27">
        <v>0</v>
      </c>
      <c r="Q498" s="27">
        <v>0</v>
      </c>
      <c r="R498" s="27">
        <v>50</v>
      </c>
      <c r="S498" s="27">
        <v>0</v>
      </c>
      <c r="T498" s="27">
        <v>0</v>
      </c>
      <c r="U498" s="27">
        <v>2</v>
      </c>
      <c r="V498" s="27">
        <v>0</v>
      </c>
      <c r="W498" s="27">
        <v>0</v>
      </c>
      <c r="X498" s="27">
        <v>1</v>
      </c>
      <c r="Y498" s="27">
        <v>0</v>
      </c>
      <c r="Z498" s="27">
        <v>0</v>
      </c>
      <c r="AA498" s="27">
        <v>2</v>
      </c>
      <c r="AB498" s="27">
        <v>0</v>
      </c>
      <c r="AC498" s="27">
        <v>0</v>
      </c>
      <c r="AD498" s="27">
        <v>0</v>
      </c>
      <c r="AE498" s="27">
        <v>0</v>
      </c>
      <c r="AF498" s="27">
        <v>0</v>
      </c>
      <c r="AG498" s="26">
        <f t="shared" si="32"/>
        <v>55</v>
      </c>
      <c r="AH498" s="26">
        <f t="shared" si="33"/>
        <v>0</v>
      </c>
      <c r="AI498" s="26">
        <f t="shared" si="34"/>
        <v>0</v>
      </c>
      <c r="AJ498" s="15" t="s">
        <v>425</v>
      </c>
      <c r="AK498" s="15" t="s">
        <v>425</v>
      </c>
      <c r="AL498" s="15" t="s">
        <v>317</v>
      </c>
      <c r="AM498" s="19">
        <v>44525</v>
      </c>
    </row>
    <row r="499" spans="1:39" x14ac:dyDescent="0.2">
      <c r="A499" s="15" t="str">
        <f t="shared" si="31"/>
        <v>817136205225</v>
      </c>
      <c r="B499" s="32">
        <v>817136</v>
      </c>
      <c r="C499" s="32" t="s">
        <v>431</v>
      </c>
      <c r="D499" s="15">
        <v>205225</v>
      </c>
      <c r="E499" s="15" t="s">
        <v>26</v>
      </c>
      <c r="F499" s="26">
        <v>231.35</v>
      </c>
      <c r="G499" s="26">
        <v>15</v>
      </c>
      <c r="H499" s="26">
        <v>0</v>
      </c>
      <c r="I499" s="26">
        <v>142.1</v>
      </c>
      <c r="J499" s="26">
        <v>15</v>
      </c>
      <c r="K499" s="26">
        <v>0</v>
      </c>
      <c r="L499" s="26">
        <v>336.85</v>
      </c>
      <c r="M499" s="26">
        <v>4</v>
      </c>
      <c r="N499" s="26">
        <v>2.5499999999999998</v>
      </c>
      <c r="O499" s="27">
        <v>252.75000000000003</v>
      </c>
      <c r="P499" s="27">
        <v>2.4</v>
      </c>
      <c r="Q499" s="27">
        <v>7</v>
      </c>
      <c r="R499" s="27">
        <v>56</v>
      </c>
      <c r="S499" s="27">
        <v>0</v>
      </c>
      <c r="T499" s="27">
        <v>0</v>
      </c>
      <c r="U499" s="27">
        <v>138.15</v>
      </c>
      <c r="V499" s="27">
        <v>7.5</v>
      </c>
      <c r="W499" s="27">
        <v>12.5</v>
      </c>
      <c r="X499" s="27">
        <v>67.2</v>
      </c>
      <c r="Y499" s="27">
        <v>5</v>
      </c>
      <c r="Z499" s="27">
        <v>10.5</v>
      </c>
      <c r="AA499" s="27">
        <v>135</v>
      </c>
      <c r="AB499" s="27">
        <v>0</v>
      </c>
      <c r="AC499" s="27">
        <v>0</v>
      </c>
      <c r="AD499" s="27">
        <v>133.85</v>
      </c>
      <c r="AE499" s="27">
        <v>0</v>
      </c>
      <c r="AF499" s="27">
        <v>9.1</v>
      </c>
      <c r="AG499" s="26">
        <f t="shared" si="32"/>
        <v>1493.25</v>
      </c>
      <c r="AH499" s="26">
        <f t="shared" si="33"/>
        <v>48.9</v>
      </c>
      <c r="AI499" s="26">
        <f t="shared" si="34"/>
        <v>41.65</v>
      </c>
      <c r="AJ499" s="15" t="s">
        <v>425</v>
      </c>
      <c r="AK499" s="15" t="s">
        <v>425</v>
      </c>
      <c r="AL499" s="15" t="s">
        <v>317</v>
      </c>
      <c r="AM499" s="19">
        <v>44526</v>
      </c>
    </row>
    <row r="500" spans="1:39" x14ac:dyDescent="0.2">
      <c r="A500" s="15" t="str">
        <f t="shared" si="31"/>
        <v>817152144868</v>
      </c>
      <c r="B500" s="32">
        <v>817152</v>
      </c>
      <c r="C500" s="32" t="s">
        <v>436</v>
      </c>
      <c r="D500" s="15">
        <v>144868</v>
      </c>
      <c r="E500" s="15" t="s">
        <v>158</v>
      </c>
      <c r="F500" s="26">
        <v>0</v>
      </c>
      <c r="G500" s="26">
        <v>0</v>
      </c>
      <c r="H500" s="26">
        <v>0</v>
      </c>
      <c r="I500" s="26">
        <v>5</v>
      </c>
      <c r="J500" s="26">
        <v>0</v>
      </c>
      <c r="K500" s="26">
        <v>0</v>
      </c>
      <c r="L500" s="26">
        <v>20.5</v>
      </c>
      <c r="M500" s="26">
        <v>0</v>
      </c>
      <c r="N500" s="26">
        <v>0</v>
      </c>
      <c r="O500" s="27">
        <v>17.5</v>
      </c>
      <c r="P500" s="27">
        <v>0</v>
      </c>
      <c r="Q500" s="27">
        <v>0</v>
      </c>
      <c r="R500" s="27">
        <v>20</v>
      </c>
      <c r="S500" s="27">
        <v>0</v>
      </c>
      <c r="T500" s="27">
        <v>0</v>
      </c>
      <c r="U500" s="27">
        <v>5</v>
      </c>
      <c r="V500" s="27">
        <v>0</v>
      </c>
      <c r="W500" s="27">
        <v>0</v>
      </c>
      <c r="X500" s="27">
        <v>12.5</v>
      </c>
      <c r="Y500" s="27">
        <v>0</v>
      </c>
      <c r="Z500" s="27">
        <v>0</v>
      </c>
      <c r="AA500" s="27">
        <v>5</v>
      </c>
      <c r="AB500" s="27">
        <v>0</v>
      </c>
      <c r="AC500" s="27">
        <v>0</v>
      </c>
      <c r="AD500" s="27">
        <v>10</v>
      </c>
      <c r="AE500" s="27">
        <v>0</v>
      </c>
      <c r="AF500" s="27">
        <v>0</v>
      </c>
      <c r="AG500" s="26">
        <f t="shared" si="32"/>
        <v>95.5</v>
      </c>
      <c r="AH500" s="26">
        <f t="shared" si="33"/>
        <v>0</v>
      </c>
      <c r="AI500" s="26">
        <f t="shared" si="34"/>
        <v>0</v>
      </c>
      <c r="AJ500" s="15" t="s">
        <v>425</v>
      </c>
      <c r="AK500" s="15" t="s">
        <v>425</v>
      </c>
      <c r="AL500" s="15" t="s">
        <v>317</v>
      </c>
      <c r="AM500" s="19">
        <v>44527</v>
      </c>
    </row>
    <row r="501" spans="1:39" x14ac:dyDescent="0.2">
      <c r="A501" s="15" t="str">
        <f t="shared" si="31"/>
        <v>817153119261</v>
      </c>
      <c r="B501" s="32">
        <v>817153</v>
      </c>
      <c r="C501" s="32" t="s">
        <v>437</v>
      </c>
      <c r="D501" s="15">
        <v>119261</v>
      </c>
      <c r="E501" s="15" t="s">
        <v>140</v>
      </c>
      <c r="F501" s="26">
        <v>0</v>
      </c>
      <c r="G501" s="26">
        <v>0</v>
      </c>
      <c r="H501" s="26">
        <v>0</v>
      </c>
      <c r="I501" s="26">
        <v>0</v>
      </c>
      <c r="J501" s="26">
        <v>0</v>
      </c>
      <c r="K501" s="26">
        <v>0</v>
      </c>
      <c r="L501" s="26">
        <v>10</v>
      </c>
      <c r="M501" s="26">
        <v>0</v>
      </c>
      <c r="N501" s="26">
        <v>0</v>
      </c>
      <c r="O501" s="27">
        <v>0</v>
      </c>
      <c r="P501" s="27">
        <v>0</v>
      </c>
      <c r="Q501" s="27">
        <v>0</v>
      </c>
      <c r="R501" s="27">
        <v>0</v>
      </c>
      <c r="S501" s="27">
        <v>0</v>
      </c>
      <c r="T501" s="27">
        <v>0</v>
      </c>
      <c r="U501" s="27">
        <v>0</v>
      </c>
      <c r="V501" s="27">
        <v>0</v>
      </c>
      <c r="W501" s="27">
        <v>0</v>
      </c>
      <c r="X501" s="27">
        <v>0</v>
      </c>
      <c r="Y501" s="27">
        <v>0</v>
      </c>
      <c r="Z501" s="27">
        <v>0</v>
      </c>
      <c r="AA501" s="27">
        <v>0</v>
      </c>
      <c r="AB501" s="27">
        <v>0</v>
      </c>
      <c r="AC501" s="27">
        <v>0</v>
      </c>
      <c r="AD501" s="27">
        <v>35</v>
      </c>
      <c r="AE501" s="27">
        <v>0</v>
      </c>
      <c r="AF501" s="27">
        <v>0</v>
      </c>
      <c r="AG501" s="26">
        <f t="shared" si="32"/>
        <v>45</v>
      </c>
      <c r="AH501" s="26">
        <f t="shared" si="33"/>
        <v>0</v>
      </c>
      <c r="AI501" s="26">
        <f t="shared" si="34"/>
        <v>0</v>
      </c>
      <c r="AJ501" s="15" t="s">
        <v>425</v>
      </c>
      <c r="AK501" s="15" t="s">
        <v>425</v>
      </c>
      <c r="AL501" s="15" t="s">
        <v>317</v>
      </c>
      <c r="AM501" s="19">
        <v>44527</v>
      </c>
    </row>
    <row r="502" spans="1:39" x14ac:dyDescent="0.2">
      <c r="A502" s="15" t="str">
        <f t="shared" si="31"/>
        <v>817189119261</v>
      </c>
      <c r="B502" s="32">
        <v>817189</v>
      </c>
      <c r="C502" s="32" t="s">
        <v>439</v>
      </c>
      <c r="D502" s="15">
        <v>119261</v>
      </c>
      <c r="E502" s="15" t="s">
        <v>140</v>
      </c>
      <c r="F502" s="26">
        <v>0</v>
      </c>
      <c r="G502" s="26">
        <v>0</v>
      </c>
      <c r="H502" s="26">
        <v>0</v>
      </c>
      <c r="I502" s="26">
        <v>126</v>
      </c>
      <c r="J502" s="26">
        <v>0</v>
      </c>
      <c r="K502" s="26">
        <v>0</v>
      </c>
      <c r="L502" s="26">
        <v>110</v>
      </c>
      <c r="M502" s="26">
        <v>0</v>
      </c>
      <c r="N502" s="26">
        <v>0</v>
      </c>
      <c r="O502" s="27">
        <v>50</v>
      </c>
      <c r="P502" s="27">
        <v>0</v>
      </c>
      <c r="Q502" s="27">
        <v>0</v>
      </c>
      <c r="R502" s="27">
        <v>50</v>
      </c>
      <c r="S502" s="27">
        <v>0</v>
      </c>
      <c r="T502" s="27">
        <v>0</v>
      </c>
      <c r="U502" s="27">
        <v>81</v>
      </c>
      <c r="V502" s="27">
        <v>0</v>
      </c>
      <c r="W502" s="27">
        <v>0</v>
      </c>
      <c r="X502" s="27">
        <v>111</v>
      </c>
      <c r="Y502" s="27">
        <v>0</v>
      </c>
      <c r="Z502" s="27">
        <v>0</v>
      </c>
      <c r="AA502" s="27">
        <v>113.5</v>
      </c>
      <c r="AB502" s="27">
        <v>0</v>
      </c>
      <c r="AC502" s="27">
        <v>0</v>
      </c>
      <c r="AD502" s="27">
        <v>110</v>
      </c>
      <c r="AE502" s="27">
        <v>0</v>
      </c>
      <c r="AF502" s="27">
        <v>0</v>
      </c>
      <c r="AG502" s="26">
        <f t="shared" si="32"/>
        <v>751.5</v>
      </c>
      <c r="AH502" s="26">
        <f t="shared" si="33"/>
        <v>0</v>
      </c>
      <c r="AI502" s="26">
        <f t="shared" si="34"/>
        <v>0</v>
      </c>
      <c r="AJ502" s="15" t="s">
        <v>425</v>
      </c>
      <c r="AK502" s="15" t="s">
        <v>425</v>
      </c>
      <c r="AL502" s="15" t="s">
        <v>317</v>
      </c>
      <c r="AM502" s="19">
        <v>44532</v>
      </c>
    </row>
    <row r="503" spans="1:39" x14ac:dyDescent="0.2">
      <c r="A503" s="15" t="str">
        <f t="shared" si="31"/>
        <v>817320178105</v>
      </c>
      <c r="B503" s="32">
        <v>817320</v>
      </c>
      <c r="C503" s="32" t="s">
        <v>441</v>
      </c>
      <c r="D503" s="15">
        <v>178105</v>
      </c>
      <c r="E503" s="15" t="s">
        <v>65</v>
      </c>
      <c r="F503" s="26">
        <v>72.599999999999994</v>
      </c>
      <c r="G503" s="26">
        <v>0</v>
      </c>
      <c r="H503" s="26">
        <v>0</v>
      </c>
      <c r="I503" s="26">
        <v>66</v>
      </c>
      <c r="J503" s="26">
        <v>0</v>
      </c>
      <c r="K503" s="26">
        <v>0</v>
      </c>
      <c r="L503" s="26">
        <v>62.5</v>
      </c>
      <c r="M503" s="26">
        <v>0</v>
      </c>
      <c r="N503" s="26">
        <v>0</v>
      </c>
      <c r="O503" s="27">
        <v>37.5</v>
      </c>
      <c r="P503" s="27">
        <v>0</v>
      </c>
      <c r="Q503" s="27">
        <v>0</v>
      </c>
      <c r="R503" s="27">
        <v>15</v>
      </c>
      <c r="S503" s="27">
        <v>0</v>
      </c>
      <c r="T503" s="27">
        <v>0</v>
      </c>
      <c r="U503" s="27">
        <v>23</v>
      </c>
      <c r="V503" s="27">
        <v>2</v>
      </c>
      <c r="W503" s="27">
        <v>1</v>
      </c>
      <c r="X503" s="27">
        <v>12.5</v>
      </c>
      <c r="Y503" s="27">
        <v>0</v>
      </c>
      <c r="Z503" s="27">
        <v>0</v>
      </c>
      <c r="AA503" s="27">
        <v>33.5</v>
      </c>
      <c r="AB503" s="27">
        <v>0</v>
      </c>
      <c r="AC503" s="27">
        <v>0</v>
      </c>
      <c r="AD503" s="27">
        <v>17.5</v>
      </c>
      <c r="AE503" s="27">
        <v>0</v>
      </c>
      <c r="AF503" s="27">
        <v>0</v>
      </c>
      <c r="AG503" s="26">
        <f t="shared" si="32"/>
        <v>340.1</v>
      </c>
      <c r="AH503" s="26">
        <f t="shared" si="33"/>
        <v>2</v>
      </c>
      <c r="AI503" s="26">
        <f t="shared" si="34"/>
        <v>1</v>
      </c>
      <c r="AJ503" s="15" t="s">
        <v>425</v>
      </c>
      <c r="AK503" s="15" t="s">
        <v>425</v>
      </c>
      <c r="AL503" s="15" t="s">
        <v>317</v>
      </c>
      <c r="AM503" s="19">
        <v>44545</v>
      </c>
    </row>
    <row r="504" spans="1:39" x14ac:dyDescent="0.2">
      <c r="A504" s="15" t="str">
        <f t="shared" si="31"/>
        <v>817377178105</v>
      </c>
      <c r="B504" s="32">
        <v>817377</v>
      </c>
      <c r="C504" s="32" t="s">
        <v>161</v>
      </c>
      <c r="D504" s="15">
        <v>178105</v>
      </c>
      <c r="E504" s="15" t="s">
        <v>65</v>
      </c>
      <c r="F504" s="26">
        <v>10</v>
      </c>
      <c r="G504" s="26">
        <v>0</v>
      </c>
      <c r="H504" s="26">
        <v>0</v>
      </c>
      <c r="I504" s="26">
        <v>14</v>
      </c>
      <c r="J504" s="26">
        <v>0</v>
      </c>
      <c r="K504" s="26">
        <v>0</v>
      </c>
      <c r="L504" s="26">
        <v>53.5</v>
      </c>
      <c r="M504" s="26">
        <v>0</v>
      </c>
      <c r="N504" s="26">
        <v>0</v>
      </c>
      <c r="O504" s="27">
        <v>17.5</v>
      </c>
      <c r="P504" s="27">
        <v>0</v>
      </c>
      <c r="Q504" s="27">
        <v>0</v>
      </c>
      <c r="R504" s="27">
        <v>44.5</v>
      </c>
      <c r="S504" s="27">
        <v>0</v>
      </c>
      <c r="T504" s="27">
        <v>0</v>
      </c>
      <c r="U504" s="27">
        <v>11.5</v>
      </c>
      <c r="V504" s="27">
        <v>0</v>
      </c>
      <c r="W504" s="27">
        <v>0</v>
      </c>
      <c r="X504" s="27">
        <v>30.25</v>
      </c>
      <c r="Y504" s="27">
        <v>1.75</v>
      </c>
      <c r="Z504" s="27">
        <v>0</v>
      </c>
      <c r="AA504" s="27">
        <v>42.75</v>
      </c>
      <c r="AB504" s="27">
        <v>0</v>
      </c>
      <c r="AC504" s="27">
        <v>0</v>
      </c>
      <c r="AD504" s="27">
        <v>42.5</v>
      </c>
      <c r="AE504" s="27">
        <v>0</v>
      </c>
      <c r="AF504" s="27">
        <v>0</v>
      </c>
      <c r="AG504" s="26">
        <f t="shared" si="32"/>
        <v>266.5</v>
      </c>
      <c r="AH504" s="26">
        <f t="shared" si="33"/>
        <v>1.75</v>
      </c>
      <c r="AI504" s="26">
        <f t="shared" si="34"/>
        <v>0</v>
      </c>
      <c r="AJ504" s="15" t="s">
        <v>425</v>
      </c>
      <c r="AK504" s="15" t="s">
        <v>425</v>
      </c>
      <c r="AL504" s="15" t="s">
        <v>317</v>
      </c>
      <c r="AM504" s="19">
        <v>44550</v>
      </c>
    </row>
    <row r="505" spans="1:39" x14ac:dyDescent="0.2">
      <c r="A505" s="15" t="str">
        <f t="shared" si="31"/>
        <v>817382119065</v>
      </c>
      <c r="B505" s="32">
        <v>817382</v>
      </c>
      <c r="C505" s="32" t="s">
        <v>444</v>
      </c>
      <c r="D505" s="15">
        <v>119065</v>
      </c>
      <c r="E505" s="15" t="s">
        <v>381</v>
      </c>
      <c r="F505" s="26">
        <v>0</v>
      </c>
      <c r="G505" s="26">
        <v>0</v>
      </c>
      <c r="H505" s="26">
        <v>0</v>
      </c>
      <c r="I505" s="26">
        <v>5</v>
      </c>
      <c r="J505" s="26">
        <v>0</v>
      </c>
      <c r="K505" s="26">
        <v>0</v>
      </c>
      <c r="L505" s="26">
        <v>0</v>
      </c>
      <c r="M505" s="26">
        <v>0</v>
      </c>
      <c r="N505" s="26">
        <v>0</v>
      </c>
      <c r="O505" s="27">
        <v>0</v>
      </c>
      <c r="P505" s="27">
        <v>0</v>
      </c>
      <c r="Q505" s="27">
        <v>0</v>
      </c>
      <c r="R505" s="27">
        <v>0</v>
      </c>
      <c r="S505" s="27">
        <v>0</v>
      </c>
      <c r="T505" s="27">
        <v>0</v>
      </c>
      <c r="U505" s="27">
        <v>0</v>
      </c>
      <c r="V505" s="27">
        <v>0</v>
      </c>
      <c r="W505" s="27">
        <v>0</v>
      </c>
      <c r="X505" s="27">
        <v>0</v>
      </c>
      <c r="Y505" s="27">
        <v>0</v>
      </c>
      <c r="Z505" s="27">
        <v>0</v>
      </c>
      <c r="AA505" s="27">
        <v>0</v>
      </c>
      <c r="AB505" s="27">
        <v>0</v>
      </c>
      <c r="AC505" s="27">
        <v>0</v>
      </c>
      <c r="AD505" s="27">
        <v>12.5</v>
      </c>
      <c r="AE505" s="27">
        <v>0</v>
      </c>
      <c r="AF505" s="27">
        <v>0</v>
      </c>
      <c r="AG505" s="26">
        <f t="shared" si="32"/>
        <v>17.5</v>
      </c>
      <c r="AH505" s="26">
        <f t="shared" si="33"/>
        <v>0</v>
      </c>
      <c r="AI505" s="26">
        <f t="shared" si="34"/>
        <v>0</v>
      </c>
      <c r="AJ505" s="15" t="s">
        <v>425</v>
      </c>
      <c r="AK505" s="15" t="s">
        <v>425</v>
      </c>
      <c r="AL505" s="15" t="s">
        <v>317</v>
      </c>
      <c r="AM505" s="19">
        <v>44550</v>
      </c>
    </row>
    <row r="506" spans="1:39" x14ac:dyDescent="0.2">
      <c r="A506" s="15" t="str">
        <f t="shared" si="31"/>
        <v>817386179911</v>
      </c>
      <c r="B506" s="32">
        <v>817386</v>
      </c>
      <c r="C506" s="32" t="s">
        <v>445</v>
      </c>
      <c r="D506" s="15">
        <v>179911</v>
      </c>
      <c r="E506" s="15" t="s">
        <v>156</v>
      </c>
      <c r="F506" s="26">
        <v>10</v>
      </c>
      <c r="G506" s="26">
        <v>0</v>
      </c>
      <c r="H506" s="26">
        <v>0</v>
      </c>
      <c r="I506" s="26">
        <v>4</v>
      </c>
      <c r="J506" s="26">
        <v>0</v>
      </c>
      <c r="K506" s="26">
        <v>0</v>
      </c>
      <c r="L506" s="26">
        <v>0</v>
      </c>
      <c r="M506" s="26">
        <v>0</v>
      </c>
      <c r="N506" s="26">
        <v>0</v>
      </c>
      <c r="O506" s="27">
        <v>0</v>
      </c>
      <c r="P506" s="27">
        <v>0</v>
      </c>
      <c r="Q506" s="27">
        <v>0</v>
      </c>
      <c r="R506" s="27">
        <v>0</v>
      </c>
      <c r="S506" s="27">
        <v>0</v>
      </c>
      <c r="T506" s="27">
        <v>0</v>
      </c>
      <c r="U506" s="27">
        <v>0.5</v>
      </c>
      <c r="V506" s="27">
        <v>0</v>
      </c>
      <c r="W506" s="27">
        <v>0</v>
      </c>
      <c r="X506" s="27">
        <v>0</v>
      </c>
      <c r="Y506" s="27">
        <v>0</v>
      </c>
      <c r="Z506" s="27">
        <v>0</v>
      </c>
      <c r="AA506" s="27">
        <v>0</v>
      </c>
      <c r="AB506" s="27">
        <v>0</v>
      </c>
      <c r="AC506" s="27">
        <v>0</v>
      </c>
      <c r="AD506" s="27">
        <v>0</v>
      </c>
      <c r="AE506" s="27">
        <v>0</v>
      </c>
      <c r="AF506" s="27">
        <v>0</v>
      </c>
      <c r="AG506" s="26">
        <f t="shared" si="32"/>
        <v>14.5</v>
      </c>
      <c r="AH506" s="26">
        <f t="shared" si="33"/>
        <v>0</v>
      </c>
      <c r="AI506" s="26">
        <f t="shared" si="34"/>
        <v>0</v>
      </c>
      <c r="AJ506" s="15" t="s">
        <v>425</v>
      </c>
      <c r="AK506" s="15" t="s">
        <v>425</v>
      </c>
      <c r="AL506" s="15" t="s">
        <v>317</v>
      </c>
      <c r="AM506" s="19">
        <v>44550</v>
      </c>
    </row>
    <row r="507" spans="1:39" x14ac:dyDescent="0.2">
      <c r="A507" s="15" t="str">
        <f t="shared" si="31"/>
        <v>817417119261</v>
      </c>
      <c r="B507" s="32">
        <v>817417</v>
      </c>
      <c r="C507" s="32" t="s">
        <v>446</v>
      </c>
      <c r="D507" s="15">
        <v>119261</v>
      </c>
      <c r="E507" s="15" t="s">
        <v>140</v>
      </c>
      <c r="F507" s="26">
        <v>0</v>
      </c>
      <c r="G507" s="26">
        <v>0</v>
      </c>
      <c r="H507" s="26">
        <v>0</v>
      </c>
      <c r="I507" s="26">
        <v>0</v>
      </c>
      <c r="J507" s="26">
        <v>0</v>
      </c>
      <c r="K507" s="26">
        <v>0</v>
      </c>
      <c r="L507" s="26">
        <v>10</v>
      </c>
      <c r="M507" s="26">
        <v>0</v>
      </c>
      <c r="N507" s="26">
        <v>0</v>
      </c>
      <c r="O507" s="27">
        <v>10</v>
      </c>
      <c r="P507" s="27">
        <v>0</v>
      </c>
      <c r="Q507" s="27">
        <v>0</v>
      </c>
      <c r="R507" s="27">
        <v>0</v>
      </c>
      <c r="S507" s="27">
        <v>0</v>
      </c>
      <c r="T507" s="27">
        <v>0</v>
      </c>
      <c r="U507" s="27">
        <v>0</v>
      </c>
      <c r="V507" s="27">
        <v>0</v>
      </c>
      <c r="W507" s="27">
        <v>0</v>
      </c>
      <c r="X507" s="27">
        <v>0</v>
      </c>
      <c r="Y507" s="27">
        <v>0</v>
      </c>
      <c r="Z507" s="27">
        <v>0</v>
      </c>
      <c r="AA507" s="27">
        <v>0</v>
      </c>
      <c r="AB507" s="27">
        <v>0</v>
      </c>
      <c r="AC507" s="27">
        <v>0</v>
      </c>
      <c r="AD507" s="27">
        <v>0</v>
      </c>
      <c r="AE507" s="27">
        <v>0</v>
      </c>
      <c r="AF507" s="27">
        <v>0</v>
      </c>
      <c r="AG507" s="26">
        <f t="shared" si="32"/>
        <v>20</v>
      </c>
      <c r="AH507" s="26">
        <f t="shared" si="33"/>
        <v>0</v>
      </c>
      <c r="AI507" s="26">
        <f t="shared" si="34"/>
        <v>0</v>
      </c>
      <c r="AJ507" s="15" t="s">
        <v>425</v>
      </c>
      <c r="AK507" s="15" t="s">
        <v>425</v>
      </c>
      <c r="AL507" s="15" t="s">
        <v>317</v>
      </c>
      <c r="AM507" s="19">
        <v>44552</v>
      </c>
    </row>
    <row r="508" spans="1:39" x14ac:dyDescent="0.2">
      <c r="A508" s="15" t="str">
        <f t="shared" si="31"/>
        <v>817514119261</v>
      </c>
      <c r="B508" s="32">
        <v>817514</v>
      </c>
      <c r="C508" s="32" t="s">
        <v>256</v>
      </c>
      <c r="D508" s="15">
        <v>119261</v>
      </c>
      <c r="E508" s="15" t="s">
        <v>140</v>
      </c>
      <c r="F508" s="26">
        <v>0</v>
      </c>
      <c r="G508" s="26">
        <v>0</v>
      </c>
      <c r="H508" s="26">
        <v>0</v>
      </c>
      <c r="I508" s="26">
        <v>0</v>
      </c>
      <c r="J508" s="26">
        <v>0</v>
      </c>
      <c r="K508" s="26">
        <v>0</v>
      </c>
      <c r="L508" s="26">
        <v>75</v>
      </c>
      <c r="M508" s="26">
        <v>0</v>
      </c>
      <c r="N508" s="26">
        <v>0</v>
      </c>
      <c r="O508" s="27">
        <v>13</v>
      </c>
      <c r="P508" s="27">
        <v>0</v>
      </c>
      <c r="Q508" s="27">
        <v>0</v>
      </c>
      <c r="R508" s="27">
        <v>0</v>
      </c>
      <c r="S508" s="27">
        <v>0</v>
      </c>
      <c r="T508" s="27">
        <v>0</v>
      </c>
      <c r="U508" s="27">
        <v>37</v>
      </c>
      <c r="V508" s="27">
        <v>0</v>
      </c>
      <c r="W508" s="27">
        <v>0</v>
      </c>
      <c r="X508" s="27">
        <v>69.5</v>
      </c>
      <c r="Y508" s="27">
        <v>0</v>
      </c>
      <c r="Z508" s="27">
        <v>0</v>
      </c>
      <c r="AA508" s="27">
        <v>27.75</v>
      </c>
      <c r="AB508" s="27">
        <v>1.25</v>
      </c>
      <c r="AC508" s="27">
        <v>0</v>
      </c>
      <c r="AD508" s="27">
        <v>20</v>
      </c>
      <c r="AE508" s="27">
        <v>0</v>
      </c>
      <c r="AF508" s="27">
        <v>0</v>
      </c>
      <c r="AG508" s="26">
        <f t="shared" si="32"/>
        <v>242.25</v>
      </c>
      <c r="AH508" s="26">
        <f t="shared" si="33"/>
        <v>1.25</v>
      </c>
      <c r="AI508" s="26">
        <f t="shared" si="34"/>
        <v>0</v>
      </c>
      <c r="AJ508" s="15" t="s">
        <v>425</v>
      </c>
      <c r="AK508" s="15" t="s">
        <v>425</v>
      </c>
      <c r="AL508" s="15" t="s">
        <v>317</v>
      </c>
      <c r="AM508" s="19">
        <v>44558</v>
      </c>
    </row>
    <row r="509" spans="1:39" x14ac:dyDescent="0.2">
      <c r="A509" s="15" t="str">
        <f t="shared" si="31"/>
        <v>817543210123</v>
      </c>
      <c r="B509" s="32">
        <v>817543</v>
      </c>
      <c r="C509" s="32" t="s">
        <v>447</v>
      </c>
      <c r="D509" s="15">
        <v>210123</v>
      </c>
      <c r="E509" s="15" t="s">
        <v>71</v>
      </c>
      <c r="F509" s="26">
        <v>50</v>
      </c>
      <c r="G509" s="26">
        <v>5</v>
      </c>
      <c r="H509" s="26">
        <v>0</v>
      </c>
      <c r="I509" s="26">
        <v>27.5</v>
      </c>
      <c r="J509" s="26">
        <v>5</v>
      </c>
      <c r="K509" s="26">
        <v>0</v>
      </c>
      <c r="L509" s="26">
        <v>25.5</v>
      </c>
      <c r="M509" s="26">
        <v>0</v>
      </c>
      <c r="N509" s="26">
        <v>5.5</v>
      </c>
      <c r="O509" s="27">
        <v>44.25</v>
      </c>
      <c r="P509" s="27">
        <v>0</v>
      </c>
      <c r="Q509" s="27">
        <v>0</v>
      </c>
      <c r="R509" s="27">
        <v>45</v>
      </c>
      <c r="S509" s="27">
        <v>0</v>
      </c>
      <c r="T509" s="27">
        <v>0</v>
      </c>
      <c r="U509" s="27">
        <v>52.5</v>
      </c>
      <c r="V509" s="27">
        <v>0</v>
      </c>
      <c r="W509" s="27">
        <v>11.5</v>
      </c>
      <c r="X509" s="27">
        <v>76.5</v>
      </c>
      <c r="Y509" s="27">
        <v>0</v>
      </c>
      <c r="Z509" s="27">
        <v>0</v>
      </c>
      <c r="AA509" s="27">
        <v>35</v>
      </c>
      <c r="AB509" s="27">
        <v>0</v>
      </c>
      <c r="AC509" s="27">
        <v>0</v>
      </c>
      <c r="AD509" s="27">
        <v>126</v>
      </c>
      <c r="AE509" s="27">
        <v>3</v>
      </c>
      <c r="AF509" s="27">
        <v>8</v>
      </c>
      <c r="AG509" s="26">
        <f t="shared" si="32"/>
        <v>482.25</v>
      </c>
      <c r="AH509" s="26">
        <f t="shared" si="33"/>
        <v>13</v>
      </c>
      <c r="AI509" s="26">
        <f t="shared" si="34"/>
        <v>25</v>
      </c>
      <c r="AJ509" s="15" t="s">
        <v>425</v>
      </c>
      <c r="AK509" s="15" t="s">
        <v>425</v>
      </c>
      <c r="AL509" s="15" t="s">
        <v>317</v>
      </c>
      <c r="AM509" s="19">
        <v>44560</v>
      </c>
    </row>
    <row r="510" spans="1:39" x14ac:dyDescent="0.2">
      <c r="A510" s="15" t="str">
        <f t="shared" si="31"/>
        <v>817591119261</v>
      </c>
      <c r="B510" s="32">
        <v>817591</v>
      </c>
      <c r="C510" s="32" t="s">
        <v>449</v>
      </c>
      <c r="D510" s="15">
        <v>119261</v>
      </c>
      <c r="E510" s="15" t="s">
        <v>140</v>
      </c>
      <c r="F510" s="26">
        <v>50</v>
      </c>
      <c r="G510" s="26">
        <v>0</v>
      </c>
      <c r="H510" s="26">
        <v>0</v>
      </c>
      <c r="I510" s="26">
        <v>50</v>
      </c>
      <c r="J510" s="26">
        <v>0</v>
      </c>
      <c r="K510" s="26">
        <v>0</v>
      </c>
      <c r="L510" s="26">
        <v>10</v>
      </c>
      <c r="M510" s="26">
        <v>0</v>
      </c>
      <c r="N510" s="26">
        <v>0</v>
      </c>
      <c r="O510" s="27">
        <v>50</v>
      </c>
      <c r="P510" s="27">
        <v>0</v>
      </c>
      <c r="Q510" s="27">
        <v>0</v>
      </c>
      <c r="R510" s="27">
        <v>0</v>
      </c>
      <c r="S510" s="27">
        <v>0</v>
      </c>
      <c r="T510" s="27">
        <v>0</v>
      </c>
      <c r="U510" s="27">
        <v>58.5</v>
      </c>
      <c r="V510" s="27">
        <v>0</v>
      </c>
      <c r="W510" s="27">
        <v>0</v>
      </c>
      <c r="X510" s="27">
        <v>79.5</v>
      </c>
      <c r="Y510" s="27">
        <v>0</v>
      </c>
      <c r="Z510" s="27">
        <v>0</v>
      </c>
      <c r="AA510" s="27">
        <v>52.5</v>
      </c>
      <c r="AB510" s="27">
        <v>0</v>
      </c>
      <c r="AC510" s="27">
        <v>0</v>
      </c>
      <c r="AD510" s="27">
        <v>111</v>
      </c>
      <c r="AE510" s="27">
        <v>0</v>
      </c>
      <c r="AF510" s="27">
        <v>0</v>
      </c>
      <c r="AG510" s="26">
        <f t="shared" si="32"/>
        <v>461.5</v>
      </c>
      <c r="AH510" s="26">
        <f t="shared" si="33"/>
        <v>0</v>
      </c>
      <c r="AI510" s="26">
        <f t="shared" si="34"/>
        <v>0</v>
      </c>
      <c r="AJ510" s="15" t="s">
        <v>425</v>
      </c>
      <c r="AK510" s="15" t="s">
        <v>425</v>
      </c>
      <c r="AL510" s="15" t="s">
        <v>317</v>
      </c>
      <c r="AM510" s="19">
        <v>44565</v>
      </c>
    </row>
    <row r="511" spans="1:39" x14ac:dyDescent="0.2">
      <c r="A511" s="15" t="str">
        <f t="shared" si="31"/>
        <v>817742125022</v>
      </c>
      <c r="B511" s="32">
        <v>817742</v>
      </c>
      <c r="C511" s="32" t="s">
        <v>462</v>
      </c>
      <c r="D511" s="15">
        <v>125022</v>
      </c>
      <c r="E511" s="15" t="s">
        <v>195</v>
      </c>
      <c r="F511" s="26">
        <v>143</v>
      </c>
      <c r="G511" s="26">
        <v>0</v>
      </c>
      <c r="H511" s="26">
        <v>0</v>
      </c>
      <c r="I511" s="26">
        <v>99.65</v>
      </c>
      <c r="J511" s="26">
        <v>0</v>
      </c>
      <c r="K511" s="26">
        <v>0</v>
      </c>
      <c r="L511" s="26">
        <v>113.75</v>
      </c>
      <c r="M511" s="26">
        <v>0</v>
      </c>
      <c r="N511" s="26">
        <v>7.5</v>
      </c>
      <c r="O511" s="27">
        <v>131.25</v>
      </c>
      <c r="P511" s="27">
        <v>0</v>
      </c>
      <c r="Q511" s="27">
        <v>0</v>
      </c>
      <c r="R511" s="27">
        <v>102</v>
      </c>
      <c r="S511" s="27">
        <v>0</v>
      </c>
      <c r="T511" s="27">
        <v>0</v>
      </c>
      <c r="U511" s="27">
        <v>115.5</v>
      </c>
      <c r="V511" s="27">
        <v>0</v>
      </c>
      <c r="W511" s="27">
        <v>0</v>
      </c>
      <c r="X511" s="27">
        <v>118</v>
      </c>
      <c r="Y511" s="27">
        <v>0</v>
      </c>
      <c r="Z511" s="27">
        <v>0</v>
      </c>
      <c r="AA511" s="27">
        <v>158.55000000000001</v>
      </c>
      <c r="AB511" s="27">
        <v>0</v>
      </c>
      <c r="AC511" s="27">
        <v>0</v>
      </c>
      <c r="AD511" s="27">
        <v>114</v>
      </c>
      <c r="AE511" s="27">
        <v>0</v>
      </c>
      <c r="AF511" s="27">
        <v>0</v>
      </c>
      <c r="AG511" s="26">
        <f t="shared" si="32"/>
        <v>1095.7</v>
      </c>
      <c r="AH511" s="26">
        <f t="shared" si="33"/>
        <v>0</v>
      </c>
      <c r="AI511" s="26">
        <f t="shared" si="34"/>
        <v>7.5</v>
      </c>
      <c r="AJ511" s="15" t="s">
        <v>425</v>
      </c>
      <c r="AK511" s="15" t="s">
        <v>425</v>
      </c>
      <c r="AL511" s="15" t="s">
        <v>317</v>
      </c>
      <c r="AM511" s="19">
        <v>44580</v>
      </c>
    </row>
    <row r="512" spans="1:39" x14ac:dyDescent="0.2">
      <c r="A512" s="15" t="str">
        <f t="shared" si="31"/>
        <v>817915119261</v>
      </c>
      <c r="B512" s="32">
        <v>817915</v>
      </c>
      <c r="C512" s="32" t="s">
        <v>467</v>
      </c>
      <c r="D512" s="15">
        <v>119261</v>
      </c>
      <c r="E512" s="15" t="s">
        <v>140</v>
      </c>
      <c r="F512" s="26">
        <v>50</v>
      </c>
      <c r="G512" s="26">
        <v>0</v>
      </c>
      <c r="H512" s="26">
        <v>0</v>
      </c>
      <c r="I512" s="26">
        <v>55</v>
      </c>
      <c r="J512" s="26">
        <v>0</v>
      </c>
      <c r="K512" s="26">
        <v>0</v>
      </c>
      <c r="L512" s="26">
        <v>50</v>
      </c>
      <c r="M512" s="26">
        <v>0</v>
      </c>
      <c r="N512" s="26">
        <v>0</v>
      </c>
      <c r="O512" s="27">
        <v>50</v>
      </c>
      <c r="P512" s="27">
        <v>0</v>
      </c>
      <c r="Q512" s="27">
        <v>0</v>
      </c>
      <c r="R512" s="27">
        <v>50</v>
      </c>
      <c r="S512" s="27">
        <v>0</v>
      </c>
      <c r="T512" s="27">
        <v>0</v>
      </c>
      <c r="U512" s="27">
        <v>50</v>
      </c>
      <c r="V512" s="27">
        <v>0</v>
      </c>
      <c r="W512" s="27">
        <v>0</v>
      </c>
      <c r="X512" s="27">
        <v>53</v>
      </c>
      <c r="Y512" s="27">
        <v>0</v>
      </c>
      <c r="Z512" s="27">
        <v>0</v>
      </c>
      <c r="AA512" s="27">
        <v>55</v>
      </c>
      <c r="AB512" s="27">
        <v>0</v>
      </c>
      <c r="AC512" s="27">
        <v>0</v>
      </c>
      <c r="AD512" s="27">
        <v>50</v>
      </c>
      <c r="AE512" s="27">
        <v>0</v>
      </c>
      <c r="AF512" s="27">
        <v>0</v>
      </c>
      <c r="AG512" s="26">
        <f t="shared" si="32"/>
        <v>463</v>
      </c>
      <c r="AH512" s="26">
        <f t="shared" si="33"/>
        <v>0</v>
      </c>
      <c r="AI512" s="26">
        <f t="shared" si="34"/>
        <v>0</v>
      </c>
      <c r="AJ512" s="15" t="s">
        <v>425</v>
      </c>
      <c r="AK512" s="15" t="s">
        <v>425</v>
      </c>
      <c r="AL512" s="15" t="s">
        <v>317</v>
      </c>
      <c r="AM512" s="19">
        <v>44592</v>
      </c>
    </row>
    <row r="513" spans="1:39" x14ac:dyDescent="0.2">
      <c r="A513" s="15" t="str">
        <f t="shared" si="31"/>
        <v>818066119261</v>
      </c>
      <c r="B513" s="32">
        <v>818066</v>
      </c>
      <c r="C513" s="32" t="s">
        <v>477</v>
      </c>
      <c r="D513" s="15">
        <v>119261</v>
      </c>
      <c r="E513" s="15" t="s">
        <v>140</v>
      </c>
      <c r="F513" s="26">
        <v>0</v>
      </c>
      <c r="G513" s="26">
        <v>0</v>
      </c>
      <c r="H513" s="26">
        <v>0</v>
      </c>
      <c r="I513" s="26">
        <v>55</v>
      </c>
      <c r="J513" s="26">
        <v>0</v>
      </c>
      <c r="K513" s="26">
        <v>0</v>
      </c>
      <c r="L513" s="26">
        <v>50</v>
      </c>
      <c r="M513" s="26">
        <v>0</v>
      </c>
      <c r="N513" s="26">
        <v>0</v>
      </c>
      <c r="O513" s="27">
        <v>35</v>
      </c>
      <c r="P513" s="27">
        <v>0</v>
      </c>
      <c r="Q513" s="27">
        <v>0</v>
      </c>
      <c r="R513" s="27">
        <v>25</v>
      </c>
      <c r="S513" s="27">
        <v>0</v>
      </c>
      <c r="T513" s="27">
        <v>0</v>
      </c>
      <c r="U513" s="27">
        <v>53</v>
      </c>
      <c r="V513" s="27">
        <v>7.5</v>
      </c>
      <c r="W513" s="27">
        <v>0</v>
      </c>
      <c r="X513" s="27">
        <v>79.5</v>
      </c>
      <c r="Y513" s="27">
        <v>10</v>
      </c>
      <c r="Z513" s="27">
        <v>3.25</v>
      </c>
      <c r="AA513" s="27">
        <v>37.5</v>
      </c>
      <c r="AB513" s="27">
        <v>0</v>
      </c>
      <c r="AC513" s="27">
        <v>0</v>
      </c>
      <c r="AD513" s="27">
        <v>35</v>
      </c>
      <c r="AE513" s="27">
        <v>0</v>
      </c>
      <c r="AF513" s="27">
        <v>0</v>
      </c>
      <c r="AG513" s="26">
        <f t="shared" si="32"/>
        <v>370</v>
      </c>
      <c r="AH513" s="26">
        <f t="shared" si="33"/>
        <v>17.5</v>
      </c>
      <c r="AI513" s="26">
        <f t="shared" si="34"/>
        <v>3.25</v>
      </c>
      <c r="AJ513" s="15" t="s">
        <v>425</v>
      </c>
      <c r="AK513" s="15" t="s">
        <v>425</v>
      </c>
      <c r="AL513" s="15" t="s">
        <v>317</v>
      </c>
      <c r="AM513" s="19">
        <v>44609</v>
      </c>
    </row>
    <row r="514" spans="1:39" x14ac:dyDescent="0.2">
      <c r="A514" s="15" t="str">
        <f t="shared" si="31"/>
        <v>818537119261</v>
      </c>
      <c r="B514" s="14">
        <v>818537</v>
      </c>
      <c r="C514" s="14" t="s">
        <v>521</v>
      </c>
      <c r="D514" s="14">
        <v>119261</v>
      </c>
      <c r="E514" s="18" t="s">
        <v>140</v>
      </c>
      <c r="F514" s="26">
        <v>50</v>
      </c>
      <c r="G514" s="26">
        <v>0</v>
      </c>
      <c r="H514" s="26">
        <v>0</v>
      </c>
      <c r="I514" s="26">
        <v>0</v>
      </c>
      <c r="J514" s="26">
        <v>0</v>
      </c>
      <c r="K514" s="26">
        <v>0</v>
      </c>
      <c r="L514" s="26">
        <v>25</v>
      </c>
      <c r="M514" s="26">
        <v>0</v>
      </c>
      <c r="N514" s="26">
        <v>0</v>
      </c>
      <c r="O514" s="27">
        <v>0</v>
      </c>
      <c r="P514" s="27">
        <v>0</v>
      </c>
      <c r="Q514" s="27">
        <v>0</v>
      </c>
      <c r="R514" s="27">
        <v>0</v>
      </c>
      <c r="S514" s="27">
        <v>0</v>
      </c>
      <c r="T514" s="27">
        <v>0</v>
      </c>
      <c r="U514" s="27">
        <v>0</v>
      </c>
      <c r="V514" s="27">
        <v>0</v>
      </c>
      <c r="W514" s="27">
        <v>0</v>
      </c>
      <c r="X514" s="27">
        <v>0</v>
      </c>
      <c r="Y514" s="27">
        <v>0</v>
      </c>
      <c r="Z514" s="27">
        <v>0</v>
      </c>
      <c r="AA514" s="27">
        <v>0</v>
      </c>
      <c r="AB514" s="27">
        <v>0</v>
      </c>
      <c r="AC514" s="27">
        <v>0</v>
      </c>
      <c r="AD514" s="27">
        <v>0</v>
      </c>
      <c r="AE514" s="27">
        <v>0</v>
      </c>
      <c r="AF514" s="27">
        <v>0</v>
      </c>
      <c r="AG514" s="26">
        <f t="shared" si="32"/>
        <v>75</v>
      </c>
      <c r="AH514" s="26">
        <f t="shared" si="33"/>
        <v>0</v>
      </c>
      <c r="AI514" s="26">
        <f t="shared" si="34"/>
        <v>0</v>
      </c>
      <c r="AJ514" s="15" t="s">
        <v>425</v>
      </c>
      <c r="AK514" s="15" t="s">
        <v>425</v>
      </c>
      <c r="AL514" s="15" t="s">
        <v>317</v>
      </c>
      <c r="AM514" s="19">
        <v>44650</v>
      </c>
    </row>
    <row r="515" spans="1:39" x14ac:dyDescent="0.2">
      <c r="A515" s="15" t="str">
        <f t="shared" ref="A515:A544" si="35">B515&amp;D515</f>
        <v>818661171947</v>
      </c>
      <c r="B515" s="14">
        <v>818661</v>
      </c>
      <c r="C515" s="14" t="s">
        <v>524</v>
      </c>
      <c r="D515" s="14">
        <v>171947</v>
      </c>
      <c r="E515" s="18" t="s">
        <v>170</v>
      </c>
      <c r="F515" s="26">
        <v>65</v>
      </c>
      <c r="G515" s="26">
        <v>0</v>
      </c>
      <c r="H515" s="26">
        <v>0</v>
      </c>
      <c r="I515" s="26">
        <v>150.69999999999999</v>
      </c>
      <c r="J515" s="26">
        <v>0</v>
      </c>
      <c r="K515" s="26">
        <v>0</v>
      </c>
      <c r="L515" s="26">
        <v>183.75</v>
      </c>
      <c r="M515" s="26">
        <v>0</v>
      </c>
      <c r="N515" s="26">
        <v>0</v>
      </c>
      <c r="O515" s="27">
        <v>217.75</v>
      </c>
      <c r="P515" s="27">
        <v>0</v>
      </c>
      <c r="Q515" s="27">
        <v>0</v>
      </c>
      <c r="R515" s="27">
        <v>200</v>
      </c>
      <c r="S515" s="27">
        <v>0</v>
      </c>
      <c r="T515" s="27">
        <v>0</v>
      </c>
      <c r="U515" s="27">
        <v>200</v>
      </c>
      <c r="V515" s="27">
        <v>0</v>
      </c>
      <c r="W515" s="27">
        <v>2.5</v>
      </c>
      <c r="X515" s="27">
        <v>215</v>
      </c>
      <c r="Y515" s="27">
        <v>0</v>
      </c>
      <c r="Z515" s="27">
        <v>0</v>
      </c>
      <c r="AA515" s="27">
        <v>190</v>
      </c>
      <c r="AB515" s="27">
        <v>0</v>
      </c>
      <c r="AC515" s="27">
        <v>0</v>
      </c>
      <c r="AD515" s="27">
        <v>202</v>
      </c>
      <c r="AE515" s="27">
        <v>10</v>
      </c>
      <c r="AF515" s="27">
        <v>0</v>
      </c>
      <c r="AG515" s="26">
        <f t="shared" si="32"/>
        <v>1624.2</v>
      </c>
      <c r="AH515" s="26">
        <f t="shared" si="33"/>
        <v>10</v>
      </c>
      <c r="AI515" s="26">
        <f t="shared" si="34"/>
        <v>2.5</v>
      </c>
      <c r="AJ515" s="15" t="s">
        <v>425</v>
      </c>
      <c r="AK515" s="15" t="s">
        <v>425</v>
      </c>
      <c r="AL515" s="15" t="s">
        <v>317</v>
      </c>
      <c r="AM515" s="19">
        <v>44669</v>
      </c>
    </row>
    <row r="516" spans="1:39" x14ac:dyDescent="0.2">
      <c r="A516" s="15" t="str">
        <f t="shared" si="35"/>
        <v>818731205270</v>
      </c>
      <c r="B516" s="14">
        <v>818731</v>
      </c>
      <c r="C516" s="14" t="s">
        <v>530</v>
      </c>
      <c r="D516" s="16">
        <v>205270</v>
      </c>
      <c r="E516" s="18" t="s">
        <v>153</v>
      </c>
      <c r="F516" s="26">
        <v>0</v>
      </c>
      <c r="G516" s="26">
        <v>0</v>
      </c>
      <c r="H516" s="26">
        <v>0</v>
      </c>
      <c r="I516" s="26">
        <v>33.5</v>
      </c>
      <c r="J516" s="26">
        <v>0</v>
      </c>
      <c r="K516" s="26">
        <v>0</v>
      </c>
      <c r="L516" s="26">
        <v>92</v>
      </c>
      <c r="M516" s="26">
        <v>0</v>
      </c>
      <c r="N516" s="26">
        <v>2.5</v>
      </c>
      <c r="O516" s="27">
        <v>61.45</v>
      </c>
      <c r="P516" s="27">
        <v>0</v>
      </c>
      <c r="Q516" s="27">
        <v>0</v>
      </c>
      <c r="R516" s="27">
        <v>38.75</v>
      </c>
      <c r="S516" s="27">
        <v>0</v>
      </c>
      <c r="T516" s="27">
        <v>0</v>
      </c>
      <c r="U516" s="27">
        <v>12.5</v>
      </c>
      <c r="V516" s="27">
        <v>0</v>
      </c>
      <c r="W516" s="27">
        <v>0</v>
      </c>
      <c r="X516" s="27">
        <v>13.5</v>
      </c>
      <c r="Y516" s="27">
        <v>0</v>
      </c>
      <c r="Z516" s="27">
        <v>0</v>
      </c>
      <c r="AA516" s="27">
        <v>29</v>
      </c>
      <c r="AB516" s="27">
        <v>0</v>
      </c>
      <c r="AC516" s="27">
        <v>0</v>
      </c>
      <c r="AD516" s="27">
        <v>39</v>
      </c>
      <c r="AE516" s="27">
        <v>0</v>
      </c>
      <c r="AF516" s="27">
        <v>0</v>
      </c>
      <c r="AG516" s="26">
        <f t="shared" si="32"/>
        <v>319.7</v>
      </c>
      <c r="AH516" s="26">
        <f t="shared" si="33"/>
        <v>0</v>
      </c>
      <c r="AI516" s="26">
        <f t="shared" si="34"/>
        <v>2.5</v>
      </c>
      <c r="AJ516" s="15" t="s">
        <v>425</v>
      </c>
      <c r="AK516" s="15" t="s">
        <v>425</v>
      </c>
      <c r="AL516" s="15" t="s">
        <v>317</v>
      </c>
      <c r="AM516" s="19">
        <v>44674</v>
      </c>
    </row>
    <row r="517" spans="1:39" x14ac:dyDescent="0.2">
      <c r="A517" s="15" t="str">
        <f t="shared" si="35"/>
        <v>818908176276</v>
      </c>
      <c r="B517" s="14">
        <v>818908</v>
      </c>
      <c r="C517" s="14" t="s">
        <v>136</v>
      </c>
      <c r="D517" s="16">
        <v>176276</v>
      </c>
      <c r="E517" s="18" t="s">
        <v>151</v>
      </c>
      <c r="F517" s="26">
        <v>0</v>
      </c>
      <c r="G517" s="26">
        <v>0</v>
      </c>
      <c r="H517" s="26">
        <v>0</v>
      </c>
      <c r="I517" s="26">
        <v>12</v>
      </c>
      <c r="J517" s="26">
        <v>0</v>
      </c>
      <c r="K517" s="26">
        <v>0</v>
      </c>
      <c r="L517" s="26">
        <v>5</v>
      </c>
      <c r="M517" s="26">
        <v>0</v>
      </c>
      <c r="N517" s="26">
        <v>0</v>
      </c>
      <c r="O517" s="27">
        <v>15</v>
      </c>
      <c r="P517" s="27">
        <v>0</v>
      </c>
      <c r="Q517" s="27">
        <v>0</v>
      </c>
      <c r="R517" s="27">
        <v>45.5</v>
      </c>
      <c r="S517" s="27">
        <v>0</v>
      </c>
      <c r="T517" s="27">
        <v>0</v>
      </c>
      <c r="U517" s="27">
        <v>42.5</v>
      </c>
      <c r="V517" s="27">
        <v>0</v>
      </c>
      <c r="W517" s="27">
        <v>0</v>
      </c>
      <c r="X517" s="27">
        <v>10</v>
      </c>
      <c r="Y517" s="27">
        <v>0</v>
      </c>
      <c r="Z517" s="27">
        <v>0</v>
      </c>
      <c r="AA517" s="27">
        <v>12</v>
      </c>
      <c r="AB517" s="27">
        <v>0</v>
      </c>
      <c r="AC517" s="27">
        <v>0</v>
      </c>
      <c r="AD517" s="27">
        <v>30</v>
      </c>
      <c r="AE517" s="27">
        <v>0</v>
      </c>
      <c r="AF517" s="27">
        <v>0</v>
      </c>
      <c r="AG517" s="26">
        <f t="shared" si="32"/>
        <v>172</v>
      </c>
      <c r="AH517" s="26">
        <f t="shared" si="33"/>
        <v>0</v>
      </c>
      <c r="AI517" s="26">
        <f t="shared" si="34"/>
        <v>0</v>
      </c>
      <c r="AJ517" s="15" t="s">
        <v>425</v>
      </c>
      <c r="AK517" s="15" t="s">
        <v>425</v>
      </c>
      <c r="AL517" s="15" t="s">
        <v>317</v>
      </c>
      <c r="AM517" s="19">
        <v>44692</v>
      </c>
    </row>
    <row r="518" spans="1:39" x14ac:dyDescent="0.2">
      <c r="A518" s="15" t="str">
        <f t="shared" si="35"/>
        <v>818983212409</v>
      </c>
      <c r="B518" s="14">
        <v>818983</v>
      </c>
      <c r="C518" s="14" t="s">
        <v>433</v>
      </c>
      <c r="D518" s="16">
        <v>212409</v>
      </c>
      <c r="E518" s="18" t="s">
        <v>529</v>
      </c>
      <c r="F518" s="26">
        <v>0</v>
      </c>
      <c r="G518" s="26">
        <v>0</v>
      </c>
      <c r="H518" s="26">
        <v>0</v>
      </c>
      <c r="I518" s="26">
        <v>61</v>
      </c>
      <c r="J518" s="26">
        <v>0</v>
      </c>
      <c r="K518" s="26">
        <v>0</v>
      </c>
      <c r="L518" s="26">
        <v>148.25</v>
      </c>
      <c r="M518" s="26">
        <v>3.25</v>
      </c>
      <c r="N518" s="26">
        <v>0</v>
      </c>
      <c r="O518" s="27">
        <v>97</v>
      </c>
      <c r="P518" s="27">
        <v>17.5</v>
      </c>
      <c r="Q518" s="27">
        <v>4</v>
      </c>
      <c r="R518" s="27">
        <v>69</v>
      </c>
      <c r="S518" s="27">
        <v>0</v>
      </c>
      <c r="T518" s="27">
        <v>11</v>
      </c>
      <c r="U518" s="27">
        <v>40</v>
      </c>
      <c r="V518" s="27">
        <v>0</v>
      </c>
      <c r="W518" s="27">
        <v>0</v>
      </c>
      <c r="X518" s="27">
        <v>40</v>
      </c>
      <c r="Y518" s="27">
        <v>0</v>
      </c>
      <c r="Z518" s="27">
        <v>0</v>
      </c>
      <c r="AA518" s="27">
        <v>41</v>
      </c>
      <c r="AB518" s="27">
        <v>0</v>
      </c>
      <c r="AC518" s="27">
        <v>0</v>
      </c>
      <c r="AD518" s="27">
        <v>59.25</v>
      </c>
      <c r="AE518" s="27">
        <v>0</v>
      </c>
      <c r="AF518" s="27">
        <v>3</v>
      </c>
      <c r="AG518" s="26">
        <f t="shared" si="32"/>
        <v>555.5</v>
      </c>
      <c r="AH518" s="26">
        <f t="shared" si="33"/>
        <v>20.75</v>
      </c>
      <c r="AI518" s="26">
        <f t="shared" si="34"/>
        <v>18</v>
      </c>
      <c r="AJ518" s="15" t="s">
        <v>425</v>
      </c>
      <c r="AK518" s="15" t="s">
        <v>425</v>
      </c>
      <c r="AL518" s="15" t="s">
        <v>317</v>
      </c>
      <c r="AM518" s="19">
        <v>44700</v>
      </c>
    </row>
    <row r="519" spans="1:39" x14ac:dyDescent="0.2">
      <c r="A519" s="15" t="str">
        <f t="shared" si="35"/>
        <v>819023204307</v>
      </c>
      <c r="B519" s="14">
        <v>819023</v>
      </c>
      <c r="C519" s="14" t="s">
        <v>537</v>
      </c>
      <c r="D519" s="16">
        <v>204307</v>
      </c>
      <c r="E519" s="18" t="s">
        <v>162</v>
      </c>
      <c r="F519" s="26">
        <v>0</v>
      </c>
      <c r="G519" s="26">
        <v>0</v>
      </c>
      <c r="H519" s="26">
        <v>0</v>
      </c>
      <c r="I519" s="26">
        <v>54.5</v>
      </c>
      <c r="J519" s="26">
        <v>0</v>
      </c>
      <c r="K519" s="26">
        <v>0</v>
      </c>
      <c r="L519" s="26">
        <v>185.25</v>
      </c>
      <c r="M519" s="26">
        <v>0</v>
      </c>
      <c r="N519" s="26">
        <v>0</v>
      </c>
      <c r="O519" s="27">
        <v>146.25</v>
      </c>
      <c r="P519" s="27">
        <v>0</v>
      </c>
      <c r="Q519" s="27">
        <v>0</v>
      </c>
      <c r="R519" s="27">
        <v>92.5</v>
      </c>
      <c r="S519" s="27">
        <v>0</v>
      </c>
      <c r="T519" s="27">
        <v>0</v>
      </c>
      <c r="U519" s="27">
        <v>132</v>
      </c>
      <c r="V519" s="27">
        <v>0</v>
      </c>
      <c r="W519" s="27">
        <v>0</v>
      </c>
      <c r="X519" s="27">
        <v>85</v>
      </c>
      <c r="Y519" s="27">
        <v>0</v>
      </c>
      <c r="Z519" s="27">
        <v>0</v>
      </c>
      <c r="AA519" s="27">
        <v>25</v>
      </c>
      <c r="AB519" s="27">
        <v>0</v>
      </c>
      <c r="AC519" s="27">
        <v>0</v>
      </c>
      <c r="AD519" s="27">
        <v>117.15</v>
      </c>
      <c r="AE519" s="27">
        <v>0.65</v>
      </c>
      <c r="AF519" s="27">
        <v>20</v>
      </c>
      <c r="AG519" s="26">
        <f t="shared" si="32"/>
        <v>837.65</v>
      </c>
      <c r="AH519" s="26">
        <f t="shared" si="33"/>
        <v>0.65</v>
      </c>
      <c r="AI519" s="26">
        <f t="shared" si="34"/>
        <v>20</v>
      </c>
      <c r="AJ519" s="15" t="s">
        <v>425</v>
      </c>
      <c r="AK519" s="15" t="s">
        <v>425</v>
      </c>
      <c r="AL519" s="15" t="s">
        <v>317</v>
      </c>
      <c r="AM519" s="19">
        <v>44702</v>
      </c>
    </row>
    <row r="520" spans="1:39" x14ac:dyDescent="0.2">
      <c r="A520" s="15" t="str">
        <f t="shared" si="35"/>
        <v>819453144868</v>
      </c>
      <c r="B520" s="14">
        <v>819453</v>
      </c>
      <c r="C520" s="14" t="s">
        <v>161</v>
      </c>
      <c r="D520" s="16">
        <v>144868</v>
      </c>
      <c r="E520" s="18" t="s">
        <v>158</v>
      </c>
      <c r="F520" s="26">
        <v>0</v>
      </c>
      <c r="G520" s="26">
        <v>0</v>
      </c>
      <c r="H520" s="26">
        <v>0</v>
      </c>
      <c r="I520" s="26">
        <v>0</v>
      </c>
      <c r="J520" s="26">
        <v>0</v>
      </c>
      <c r="K520" s="26">
        <v>0</v>
      </c>
      <c r="L520" s="26">
        <v>47.5</v>
      </c>
      <c r="M520" s="26">
        <v>8.5</v>
      </c>
      <c r="N520" s="26">
        <v>0</v>
      </c>
      <c r="O520" s="27">
        <v>119.25</v>
      </c>
      <c r="P520" s="27">
        <v>0</v>
      </c>
      <c r="Q520" s="27">
        <v>0</v>
      </c>
      <c r="R520" s="27">
        <v>102</v>
      </c>
      <c r="S520" s="27">
        <v>2.5</v>
      </c>
      <c r="T520" s="27">
        <v>0</v>
      </c>
      <c r="U520" s="27">
        <v>123.75</v>
      </c>
      <c r="V520" s="27">
        <v>1.25</v>
      </c>
      <c r="W520" s="27">
        <v>0</v>
      </c>
      <c r="X520" s="27">
        <v>54.5</v>
      </c>
      <c r="Y520" s="27">
        <v>0</v>
      </c>
      <c r="Z520" s="27">
        <v>0</v>
      </c>
      <c r="AA520" s="27">
        <v>151</v>
      </c>
      <c r="AB520" s="27">
        <v>0</v>
      </c>
      <c r="AC520" s="27">
        <v>0</v>
      </c>
      <c r="AD520" s="27">
        <v>162.5</v>
      </c>
      <c r="AE520" s="27">
        <v>0</v>
      </c>
      <c r="AF520" s="27">
        <v>0</v>
      </c>
      <c r="AG520" s="26">
        <f t="shared" si="32"/>
        <v>760.5</v>
      </c>
      <c r="AH520" s="26">
        <f t="shared" si="33"/>
        <v>12.25</v>
      </c>
      <c r="AI520" s="26">
        <f t="shared" si="34"/>
        <v>0</v>
      </c>
      <c r="AJ520" s="15" t="s">
        <v>425</v>
      </c>
      <c r="AK520" s="15" t="s">
        <v>425</v>
      </c>
      <c r="AL520" s="15" t="s">
        <v>317</v>
      </c>
      <c r="AM520" s="19">
        <v>44735</v>
      </c>
    </row>
    <row r="521" spans="1:39" x14ac:dyDescent="0.2">
      <c r="A521" s="15" t="str">
        <f t="shared" si="35"/>
        <v>819471204307</v>
      </c>
      <c r="B521" s="14">
        <v>819471</v>
      </c>
      <c r="C521" s="14" t="s">
        <v>552</v>
      </c>
      <c r="D521" s="16">
        <v>204307</v>
      </c>
      <c r="E521" s="18" t="s">
        <v>162</v>
      </c>
      <c r="F521" s="26">
        <v>0</v>
      </c>
      <c r="G521" s="26">
        <v>0</v>
      </c>
      <c r="H521" s="26">
        <v>0</v>
      </c>
      <c r="I521" s="26">
        <v>0</v>
      </c>
      <c r="J521" s="26">
        <v>0</v>
      </c>
      <c r="K521" s="26">
        <v>0</v>
      </c>
      <c r="L521" s="26">
        <v>38.5</v>
      </c>
      <c r="M521" s="26">
        <v>0</v>
      </c>
      <c r="N521" s="26">
        <v>0</v>
      </c>
      <c r="O521" s="27">
        <v>139.5</v>
      </c>
      <c r="P521" s="27">
        <v>0</v>
      </c>
      <c r="Q521" s="27">
        <v>5</v>
      </c>
      <c r="R521" s="27">
        <v>148.5</v>
      </c>
      <c r="S521" s="27">
        <v>0</v>
      </c>
      <c r="T521" s="27">
        <v>0</v>
      </c>
      <c r="U521" s="27">
        <v>10</v>
      </c>
      <c r="V521" s="27">
        <v>0</v>
      </c>
      <c r="W521" s="27">
        <v>0</v>
      </c>
      <c r="X521" s="27">
        <v>75</v>
      </c>
      <c r="Y521" s="27">
        <v>0</v>
      </c>
      <c r="Z521" s="27">
        <v>0</v>
      </c>
      <c r="AA521" s="27">
        <v>55</v>
      </c>
      <c r="AB521" s="27">
        <v>0</v>
      </c>
      <c r="AC521" s="27">
        <v>0</v>
      </c>
      <c r="AD521" s="27">
        <v>0</v>
      </c>
      <c r="AE521" s="27">
        <v>0</v>
      </c>
      <c r="AF521" s="27">
        <v>0</v>
      </c>
      <c r="AG521" s="26">
        <f t="shared" si="32"/>
        <v>466.5</v>
      </c>
      <c r="AH521" s="26">
        <f t="shared" si="33"/>
        <v>0</v>
      </c>
      <c r="AI521" s="26">
        <f t="shared" si="34"/>
        <v>5</v>
      </c>
      <c r="AJ521" s="15" t="s">
        <v>425</v>
      </c>
      <c r="AK521" s="15" t="s">
        <v>425</v>
      </c>
      <c r="AL521" s="15" t="s">
        <v>317</v>
      </c>
      <c r="AM521" s="19">
        <v>44735</v>
      </c>
    </row>
    <row r="522" spans="1:39" x14ac:dyDescent="0.2">
      <c r="A522" s="15" t="str">
        <f t="shared" si="35"/>
        <v>819473204307</v>
      </c>
      <c r="B522" s="14">
        <v>819473</v>
      </c>
      <c r="C522" s="14" t="s">
        <v>553</v>
      </c>
      <c r="D522" s="16">
        <v>204307</v>
      </c>
      <c r="E522" s="18" t="s">
        <v>162</v>
      </c>
      <c r="F522" s="26">
        <v>0</v>
      </c>
      <c r="G522" s="26">
        <v>0</v>
      </c>
      <c r="H522" s="26">
        <v>0</v>
      </c>
      <c r="I522" s="26">
        <v>0</v>
      </c>
      <c r="J522" s="26">
        <v>0</v>
      </c>
      <c r="K522" s="26">
        <v>0</v>
      </c>
      <c r="L522" s="26">
        <v>40</v>
      </c>
      <c r="M522" s="26">
        <v>0</v>
      </c>
      <c r="N522" s="26">
        <v>0</v>
      </c>
      <c r="O522" s="27">
        <v>97.75</v>
      </c>
      <c r="P522" s="27">
        <v>0</v>
      </c>
      <c r="Q522" s="27">
        <v>0</v>
      </c>
      <c r="R522" s="27">
        <v>34</v>
      </c>
      <c r="S522" s="27">
        <v>0</v>
      </c>
      <c r="T522" s="27">
        <v>2.5</v>
      </c>
      <c r="U522" s="27">
        <v>50</v>
      </c>
      <c r="V522" s="27">
        <v>0</v>
      </c>
      <c r="W522" s="27">
        <v>0</v>
      </c>
      <c r="X522" s="27">
        <v>0</v>
      </c>
      <c r="Y522" s="27">
        <v>0</v>
      </c>
      <c r="Z522" s="27">
        <v>0</v>
      </c>
      <c r="AA522" s="27">
        <v>0</v>
      </c>
      <c r="AB522" s="27">
        <v>0</v>
      </c>
      <c r="AC522" s="27">
        <v>0</v>
      </c>
      <c r="AD522" s="27">
        <v>265.8</v>
      </c>
      <c r="AE522" s="27">
        <v>0</v>
      </c>
      <c r="AF522" s="27">
        <v>15</v>
      </c>
      <c r="AG522" s="26">
        <f t="shared" si="32"/>
        <v>487.55</v>
      </c>
      <c r="AH522" s="26">
        <f t="shared" si="33"/>
        <v>0</v>
      </c>
      <c r="AI522" s="26">
        <f t="shared" si="34"/>
        <v>17.5</v>
      </c>
      <c r="AJ522" s="15" t="s">
        <v>425</v>
      </c>
      <c r="AK522" s="15" t="s">
        <v>425</v>
      </c>
      <c r="AL522" s="15" t="s">
        <v>317</v>
      </c>
      <c r="AM522" s="19">
        <v>44735</v>
      </c>
    </row>
    <row r="523" spans="1:39" x14ac:dyDescent="0.2">
      <c r="A523" s="15" t="str">
        <f t="shared" si="35"/>
        <v>819832213301</v>
      </c>
      <c r="B523" s="14">
        <v>819832</v>
      </c>
      <c r="C523" s="14" t="s">
        <v>570</v>
      </c>
      <c r="D523" s="16">
        <v>213301</v>
      </c>
      <c r="E523" s="18" t="s">
        <v>571</v>
      </c>
      <c r="F523" s="26">
        <v>0</v>
      </c>
      <c r="G523" s="26">
        <v>0</v>
      </c>
      <c r="H523" s="26">
        <v>0</v>
      </c>
      <c r="I523" s="26">
        <v>0</v>
      </c>
      <c r="J523" s="26">
        <v>0</v>
      </c>
      <c r="K523" s="26">
        <v>0</v>
      </c>
      <c r="L523" s="26">
        <v>0</v>
      </c>
      <c r="M523" s="26">
        <v>0</v>
      </c>
      <c r="N523" s="26">
        <v>0</v>
      </c>
      <c r="O523" s="27">
        <v>41.5</v>
      </c>
      <c r="P523" s="27">
        <v>0</v>
      </c>
      <c r="Q523" s="27">
        <v>0</v>
      </c>
      <c r="R523" s="27">
        <v>0</v>
      </c>
      <c r="S523" s="27">
        <v>0</v>
      </c>
      <c r="T523" s="27">
        <v>0</v>
      </c>
      <c r="U523" s="27">
        <v>17</v>
      </c>
      <c r="V523" s="27">
        <v>0</v>
      </c>
      <c r="W523" s="27">
        <v>0</v>
      </c>
      <c r="X523" s="27">
        <v>14.5</v>
      </c>
      <c r="Y523" s="27">
        <v>0</v>
      </c>
      <c r="Z523" s="27">
        <v>0</v>
      </c>
      <c r="AA523" s="27">
        <v>11.25</v>
      </c>
      <c r="AB523" s="27">
        <v>0</v>
      </c>
      <c r="AC523" s="27">
        <v>0</v>
      </c>
      <c r="AD523" s="27">
        <v>20.5</v>
      </c>
      <c r="AE523" s="27">
        <v>0</v>
      </c>
      <c r="AF523" s="27">
        <v>0</v>
      </c>
      <c r="AG523" s="26">
        <f t="shared" si="32"/>
        <v>104.75</v>
      </c>
      <c r="AH523" s="26">
        <f t="shared" si="33"/>
        <v>0</v>
      </c>
      <c r="AI523" s="26">
        <f t="shared" si="34"/>
        <v>0</v>
      </c>
      <c r="AJ523" s="15" t="s">
        <v>425</v>
      </c>
      <c r="AK523" s="15" t="s">
        <v>425</v>
      </c>
      <c r="AL523" s="15" t="s">
        <v>317</v>
      </c>
      <c r="AM523" s="19">
        <v>44761</v>
      </c>
    </row>
    <row r="524" spans="1:39" x14ac:dyDescent="0.2">
      <c r="A524" s="15" t="str">
        <f t="shared" si="35"/>
        <v>819853205225</v>
      </c>
      <c r="B524" s="14">
        <v>819853</v>
      </c>
      <c r="C524" s="14" t="s">
        <v>573</v>
      </c>
      <c r="D524" s="16">
        <v>205225</v>
      </c>
      <c r="E524" s="18" t="s">
        <v>26</v>
      </c>
      <c r="F524" s="26">
        <v>0</v>
      </c>
      <c r="G524" s="26">
        <v>0</v>
      </c>
      <c r="H524" s="26">
        <v>0</v>
      </c>
      <c r="I524" s="26">
        <v>0</v>
      </c>
      <c r="J524" s="26">
        <v>0</v>
      </c>
      <c r="K524" s="26">
        <v>0</v>
      </c>
      <c r="L524" s="26">
        <v>0</v>
      </c>
      <c r="M524" s="26">
        <v>0</v>
      </c>
      <c r="N524" s="26">
        <v>0</v>
      </c>
      <c r="O524" s="27">
        <v>86.6</v>
      </c>
      <c r="P524" s="27">
        <v>15.1</v>
      </c>
      <c r="Q524" s="27">
        <v>0</v>
      </c>
      <c r="R524" s="27">
        <v>87.2</v>
      </c>
      <c r="S524" s="27">
        <v>0</v>
      </c>
      <c r="T524" s="27">
        <v>7.5</v>
      </c>
      <c r="U524" s="27">
        <v>38.5</v>
      </c>
      <c r="V524" s="27">
        <v>0</v>
      </c>
      <c r="W524" s="27">
        <v>0</v>
      </c>
      <c r="X524" s="27">
        <v>128.5</v>
      </c>
      <c r="Y524" s="27">
        <v>0</v>
      </c>
      <c r="Z524" s="27">
        <v>0</v>
      </c>
      <c r="AA524" s="27">
        <v>60</v>
      </c>
      <c r="AB524" s="27">
        <v>0</v>
      </c>
      <c r="AC524" s="27">
        <v>0</v>
      </c>
      <c r="AD524" s="27">
        <v>67.5</v>
      </c>
      <c r="AE524" s="27">
        <v>0</v>
      </c>
      <c r="AF524" s="27">
        <v>7.5</v>
      </c>
      <c r="AG524" s="26">
        <f t="shared" si="32"/>
        <v>468.3</v>
      </c>
      <c r="AH524" s="26">
        <f t="shared" si="33"/>
        <v>15.1</v>
      </c>
      <c r="AI524" s="26">
        <f t="shared" si="34"/>
        <v>15</v>
      </c>
      <c r="AJ524" s="15" t="s">
        <v>425</v>
      </c>
      <c r="AK524" s="15" t="s">
        <v>425</v>
      </c>
      <c r="AL524" s="15" t="s">
        <v>317</v>
      </c>
      <c r="AM524" s="19">
        <v>44762</v>
      </c>
    </row>
    <row r="525" spans="1:39" x14ac:dyDescent="0.2">
      <c r="A525" s="15" t="str">
        <f t="shared" si="35"/>
        <v>819913205225</v>
      </c>
      <c r="B525" s="14">
        <v>819913</v>
      </c>
      <c r="C525" s="14" t="s">
        <v>574</v>
      </c>
      <c r="D525" s="16">
        <v>205225</v>
      </c>
      <c r="E525" s="18" t="s">
        <v>26</v>
      </c>
      <c r="F525" s="26">
        <v>0</v>
      </c>
      <c r="G525" s="26">
        <v>0</v>
      </c>
      <c r="H525" s="26">
        <v>0</v>
      </c>
      <c r="I525" s="26">
        <v>0</v>
      </c>
      <c r="J525" s="26">
        <v>0</v>
      </c>
      <c r="K525" s="26">
        <v>0</v>
      </c>
      <c r="L525" s="26">
        <v>0</v>
      </c>
      <c r="M525" s="26">
        <v>0</v>
      </c>
      <c r="N525" s="26">
        <v>0</v>
      </c>
      <c r="O525" s="27">
        <v>20</v>
      </c>
      <c r="P525" s="27">
        <v>0</v>
      </c>
      <c r="Q525" s="27">
        <v>0</v>
      </c>
      <c r="R525" s="27">
        <v>17.5</v>
      </c>
      <c r="S525" s="27">
        <v>0</v>
      </c>
      <c r="T525" s="27">
        <v>0</v>
      </c>
      <c r="U525" s="27">
        <v>15</v>
      </c>
      <c r="V525" s="27">
        <v>0</v>
      </c>
      <c r="W525" s="27">
        <v>4</v>
      </c>
      <c r="X525" s="27">
        <v>10</v>
      </c>
      <c r="Y525" s="27">
        <v>0</v>
      </c>
      <c r="Z525" s="27">
        <v>0</v>
      </c>
      <c r="AA525" s="27">
        <v>16</v>
      </c>
      <c r="AB525" s="27">
        <v>0</v>
      </c>
      <c r="AC525" s="27">
        <v>0.5</v>
      </c>
      <c r="AD525" s="27">
        <v>30.5</v>
      </c>
      <c r="AE525" s="27">
        <v>0</v>
      </c>
      <c r="AF525" s="27">
        <v>12.5</v>
      </c>
      <c r="AG525" s="26">
        <f t="shared" si="32"/>
        <v>109</v>
      </c>
      <c r="AH525" s="26">
        <f t="shared" si="33"/>
        <v>0</v>
      </c>
      <c r="AI525" s="26">
        <f t="shared" si="34"/>
        <v>17</v>
      </c>
      <c r="AJ525" s="15" t="s">
        <v>425</v>
      </c>
      <c r="AK525" s="15" t="s">
        <v>425</v>
      </c>
      <c r="AL525" s="15" t="s">
        <v>317</v>
      </c>
      <c r="AM525" s="19">
        <v>44767</v>
      </c>
    </row>
    <row r="526" spans="1:39" x14ac:dyDescent="0.2">
      <c r="A526" s="15" t="str">
        <f t="shared" si="35"/>
        <v>820030212409</v>
      </c>
      <c r="B526" s="14">
        <v>820030</v>
      </c>
      <c r="C526" s="14" t="s">
        <v>3</v>
      </c>
      <c r="D526" s="16">
        <v>212409</v>
      </c>
      <c r="E526" s="18" t="s">
        <v>529</v>
      </c>
      <c r="F526" s="26">
        <v>0</v>
      </c>
      <c r="G526" s="26">
        <v>0</v>
      </c>
      <c r="H526" s="26">
        <v>0</v>
      </c>
      <c r="I526" s="26">
        <v>0</v>
      </c>
      <c r="J526" s="26">
        <v>0</v>
      </c>
      <c r="K526" s="26">
        <v>0</v>
      </c>
      <c r="L526" s="26">
        <v>0</v>
      </c>
      <c r="M526" s="26">
        <v>0</v>
      </c>
      <c r="N526" s="26">
        <v>0</v>
      </c>
      <c r="O526" s="27">
        <v>0</v>
      </c>
      <c r="P526" s="27">
        <v>0</v>
      </c>
      <c r="Q526" s="27">
        <v>0</v>
      </c>
      <c r="R526" s="27">
        <v>16</v>
      </c>
      <c r="S526" s="27">
        <v>5</v>
      </c>
      <c r="T526" s="27">
        <v>0</v>
      </c>
      <c r="U526" s="27">
        <v>55</v>
      </c>
      <c r="V526" s="27">
        <v>0</v>
      </c>
      <c r="W526" s="27">
        <v>0</v>
      </c>
      <c r="X526" s="27">
        <v>30</v>
      </c>
      <c r="Y526" s="27">
        <v>0</v>
      </c>
      <c r="Z526" s="27">
        <v>0</v>
      </c>
      <c r="AA526" s="27">
        <v>47.5</v>
      </c>
      <c r="AB526" s="27">
        <v>0</v>
      </c>
      <c r="AC526" s="27">
        <v>0</v>
      </c>
      <c r="AD526" s="27">
        <v>35</v>
      </c>
      <c r="AE526" s="27">
        <v>0</v>
      </c>
      <c r="AF526" s="27">
        <v>0</v>
      </c>
      <c r="AG526" s="26">
        <f t="shared" si="32"/>
        <v>183.5</v>
      </c>
      <c r="AH526" s="26">
        <f t="shared" si="33"/>
        <v>5</v>
      </c>
      <c r="AI526" s="26">
        <f t="shared" si="34"/>
        <v>0</v>
      </c>
      <c r="AJ526" s="15" t="s">
        <v>425</v>
      </c>
      <c r="AK526" s="15" t="s">
        <v>425</v>
      </c>
      <c r="AL526" s="15" t="s">
        <v>317</v>
      </c>
      <c r="AM526" s="19">
        <v>44776</v>
      </c>
    </row>
    <row r="527" spans="1:39" x14ac:dyDescent="0.2">
      <c r="A527" s="15" t="str">
        <f t="shared" si="35"/>
        <v>820031213301</v>
      </c>
      <c r="B527" s="14">
        <v>820031</v>
      </c>
      <c r="C527" s="14" t="s">
        <v>578</v>
      </c>
      <c r="D527" s="16">
        <v>213301</v>
      </c>
      <c r="E527" s="18" t="s">
        <v>571</v>
      </c>
      <c r="F527" s="26">
        <v>0</v>
      </c>
      <c r="G527" s="26">
        <v>0</v>
      </c>
      <c r="H527" s="26">
        <v>0</v>
      </c>
      <c r="I527" s="26">
        <v>0</v>
      </c>
      <c r="J527" s="26">
        <v>0</v>
      </c>
      <c r="K527" s="26">
        <v>0</v>
      </c>
      <c r="L527" s="26">
        <v>0</v>
      </c>
      <c r="M527" s="26">
        <v>0</v>
      </c>
      <c r="N527" s="26">
        <v>0</v>
      </c>
      <c r="O527" s="27">
        <v>0</v>
      </c>
      <c r="P527" s="27">
        <v>0</v>
      </c>
      <c r="Q527" s="27">
        <v>0</v>
      </c>
      <c r="R527" s="27">
        <v>30</v>
      </c>
      <c r="S527" s="27">
        <v>0</v>
      </c>
      <c r="T527" s="27">
        <v>0</v>
      </c>
      <c r="U527" s="27">
        <v>21.4</v>
      </c>
      <c r="V527" s="27">
        <v>8.5</v>
      </c>
      <c r="W527" s="27">
        <v>0</v>
      </c>
      <c r="X527" s="27">
        <v>25</v>
      </c>
      <c r="Y527" s="27">
        <v>0</v>
      </c>
      <c r="Z527" s="27">
        <v>0</v>
      </c>
      <c r="AA527" s="27">
        <v>13.25</v>
      </c>
      <c r="AB527" s="27">
        <v>0</v>
      </c>
      <c r="AC527" s="27">
        <v>0</v>
      </c>
      <c r="AD527" s="27">
        <v>10.5</v>
      </c>
      <c r="AE527" s="27">
        <v>0</v>
      </c>
      <c r="AF527" s="27">
        <v>0</v>
      </c>
      <c r="AG527" s="26">
        <f t="shared" si="32"/>
        <v>100.15</v>
      </c>
      <c r="AH527" s="26">
        <f t="shared" si="33"/>
        <v>8.5</v>
      </c>
      <c r="AI527" s="26">
        <f t="shared" si="34"/>
        <v>0</v>
      </c>
      <c r="AJ527" s="15" t="s">
        <v>425</v>
      </c>
      <c r="AK527" s="15" t="s">
        <v>425</v>
      </c>
      <c r="AL527" s="15" t="s">
        <v>317</v>
      </c>
      <c r="AM527" s="19">
        <v>44776</v>
      </c>
    </row>
    <row r="528" spans="1:39" x14ac:dyDescent="0.2">
      <c r="A528" s="15" t="str">
        <f t="shared" si="35"/>
        <v>820032174445</v>
      </c>
      <c r="B528" s="14">
        <v>820032</v>
      </c>
      <c r="C528" s="14" t="s">
        <v>77</v>
      </c>
      <c r="D528" s="16">
        <v>174445</v>
      </c>
      <c r="E528" s="18" t="s">
        <v>143</v>
      </c>
      <c r="F528" s="26">
        <v>0</v>
      </c>
      <c r="G528" s="26">
        <v>0</v>
      </c>
      <c r="H528" s="26">
        <v>0</v>
      </c>
      <c r="I528" s="26">
        <v>0</v>
      </c>
      <c r="J528" s="26">
        <v>0</v>
      </c>
      <c r="K528" s="26">
        <v>0</v>
      </c>
      <c r="L528" s="26">
        <v>0</v>
      </c>
      <c r="M528" s="26">
        <v>0</v>
      </c>
      <c r="N528" s="26">
        <v>0</v>
      </c>
      <c r="O528" s="27">
        <v>0</v>
      </c>
      <c r="P528" s="27">
        <v>0</v>
      </c>
      <c r="Q528" s="27">
        <v>0</v>
      </c>
      <c r="R528" s="27">
        <v>23</v>
      </c>
      <c r="S528" s="27">
        <v>0.5</v>
      </c>
      <c r="T528" s="27">
        <v>0</v>
      </c>
      <c r="U528" s="27">
        <v>34.25</v>
      </c>
      <c r="V528" s="27">
        <v>0</v>
      </c>
      <c r="W528" s="27">
        <v>0</v>
      </c>
      <c r="X528" s="27">
        <v>15</v>
      </c>
      <c r="Y528" s="27">
        <v>0</v>
      </c>
      <c r="Z528" s="27">
        <v>0</v>
      </c>
      <c r="AA528" s="27">
        <v>13</v>
      </c>
      <c r="AB528" s="27">
        <v>0</v>
      </c>
      <c r="AC528" s="27">
        <v>0</v>
      </c>
      <c r="AD528" s="27">
        <v>25</v>
      </c>
      <c r="AE528" s="27">
        <v>0</v>
      </c>
      <c r="AF528" s="27">
        <v>0</v>
      </c>
      <c r="AG528" s="26">
        <f t="shared" si="32"/>
        <v>110.25</v>
      </c>
      <c r="AH528" s="26">
        <f t="shared" si="33"/>
        <v>0.5</v>
      </c>
      <c r="AI528" s="26">
        <f t="shared" si="34"/>
        <v>0</v>
      </c>
      <c r="AJ528" s="15" t="s">
        <v>425</v>
      </c>
      <c r="AK528" s="15" t="s">
        <v>425</v>
      </c>
      <c r="AL528" s="15" t="s">
        <v>317</v>
      </c>
      <c r="AM528" s="19">
        <v>44776</v>
      </c>
    </row>
    <row r="529" spans="1:39" x14ac:dyDescent="0.2">
      <c r="A529" s="15" t="str">
        <f t="shared" si="35"/>
        <v>820032212409</v>
      </c>
      <c r="B529" s="14">
        <v>820032</v>
      </c>
      <c r="C529" s="14" t="s">
        <v>77</v>
      </c>
      <c r="D529" s="16">
        <v>212409</v>
      </c>
      <c r="E529" s="18" t="s">
        <v>529</v>
      </c>
      <c r="F529" s="26">
        <v>0</v>
      </c>
      <c r="G529" s="26">
        <v>0</v>
      </c>
      <c r="H529" s="26">
        <v>0</v>
      </c>
      <c r="I529" s="26">
        <v>0</v>
      </c>
      <c r="J529" s="26">
        <v>0</v>
      </c>
      <c r="K529" s="26">
        <v>0</v>
      </c>
      <c r="L529" s="26">
        <v>0</v>
      </c>
      <c r="M529" s="26">
        <v>0</v>
      </c>
      <c r="N529" s="26">
        <v>0</v>
      </c>
      <c r="O529" s="27">
        <v>0</v>
      </c>
      <c r="P529" s="27">
        <v>0</v>
      </c>
      <c r="Q529" s="27">
        <v>0</v>
      </c>
      <c r="R529" s="27">
        <v>14.5</v>
      </c>
      <c r="S529" s="27">
        <v>0</v>
      </c>
      <c r="T529" s="27">
        <v>0</v>
      </c>
      <c r="U529" s="27">
        <v>0</v>
      </c>
      <c r="V529" s="27">
        <v>0</v>
      </c>
      <c r="W529" s="27">
        <v>0</v>
      </c>
      <c r="X529" s="27">
        <v>0</v>
      </c>
      <c r="Y529" s="27">
        <v>0</v>
      </c>
      <c r="Z529" s="27">
        <v>0</v>
      </c>
      <c r="AA529" s="27">
        <v>0</v>
      </c>
      <c r="AB529" s="27">
        <v>0</v>
      </c>
      <c r="AC529" s="27">
        <v>0</v>
      </c>
      <c r="AD529" s="27">
        <v>0</v>
      </c>
      <c r="AE529" s="27">
        <v>0</v>
      </c>
      <c r="AF529" s="27">
        <v>0</v>
      </c>
      <c r="AG529" s="26">
        <f t="shared" si="32"/>
        <v>14.5</v>
      </c>
      <c r="AH529" s="26">
        <f t="shared" si="33"/>
        <v>0</v>
      </c>
      <c r="AI529" s="26">
        <f t="shared" si="34"/>
        <v>0</v>
      </c>
      <c r="AJ529" s="15" t="s">
        <v>425</v>
      </c>
      <c r="AK529" s="15" t="s">
        <v>425</v>
      </c>
      <c r="AL529" s="15" t="s">
        <v>317</v>
      </c>
      <c r="AM529" s="19">
        <v>44776</v>
      </c>
    </row>
    <row r="530" spans="1:39" x14ac:dyDescent="0.2">
      <c r="A530" s="15" t="str">
        <f t="shared" si="35"/>
        <v>820287204307</v>
      </c>
      <c r="B530" s="14">
        <v>820287</v>
      </c>
      <c r="C530" s="14" t="s">
        <v>392</v>
      </c>
      <c r="D530" s="16" t="s">
        <v>588</v>
      </c>
      <c r="E530" s="18" t="s">
        <v>162</v>
      </c>
      <c r="F530" s="26">
        <v>0</v>
      </c>
      <c r="G530" s="26">
        <v>0</v>
      </c>
      <c r="H530" s="26">
        <v>0</v>
      </c>
      <c r="I530" s="26">
        <v>0</v>
      </c>
      <c r="J530" s="26">
        <v>0</v>
      </c>
      <c r="K530" s="26">
        <v>0</v>
      </c>
      <c r="L530" s="26">
        <v>0</v>
      </c>
      <c r="M530" s="26">
        <v>0</v>
      </c>
      <c r="N530" s="26">
        <v>0</v>
      </c>
      <c r="O530" s="27">
        <v>0</v>
      </c>
      <c r="P530" s="27">
        <v>0</v>
      </c>
      <c r="Q530" s="27">
        <v>0</v>
      </c>
      <c r="R530" s="27">
        <v>9</v>
      </c>
      <c r="S530" s="27">
        <v>9</v>
      </c>
      <c r="T530" s="27">
        <v>0</v>
      </c>
      <c r="U530" s="27">
        <v>157</v>
      </c>
      <c r="V530" s="27">
        <v>0</v>
      </c>
      <c r="W530" s="27">
        <v>10</v>
      </c>
      <c r="X530" s="27">
        <v>100</v>
      </c>
      <c r="Y530" s="27">
        <v>1.3</v>
      </c>
      <c r="Z530" s="27">
        <v>0</v>
      </c>
      <c r="AA530" s="27">
        <v>100</v>
      </c>
      <c r="AB530" s="27">
        <v>4.5</v>
      </c>
      <c r="AC530" s="27">
        <v>0</v>
      </c>
      <c r="AD530" s="27">
        <v>66.099999999999994</v>
      </c>
      <c r="AE530" s="27">
        <v>11.1</v>
      </c>
      <c r="AF530" s="27">
        <v>5</v>
      </c>
      <c r="AG530" s="26">
        <f t="shared" si="32"/>
        <v>432.1</v>
      </c>
      <c r="AH530" s="26">
        <f t="shared" si="33"/>
        <v>25.9</v>
      </c>
      <c r="AI530" s="26">
        <f t="shared" si="34"/>
        <v>15</v>
      </c>
      <c r="AJ530" s="15" t="s">
        <v>425</v>
      </c>
      <c r="AK530" s="15" t="s">
        <v>425</v>
      </c>
      <c r="AL530" s="15" t="s">
        <v>317</v>
      </c>
      <c r="AM530" s="19">
        <v>44800</v>
      </c>
    </row>
    <row r="531" spans="1:39" x14ac:dyDescent="0.2">
      <c r="A531" s="15" t="str">
        <f t="shared" si="35"/>
        <v>820286204307</v>
      </c>
      <c r="B531" s="14">
        <v>820286</v>
      </c>
      <c r="C531" s="14" t="s">
        <v>589</v>
      </c>
      <c r="D531" s="16">
        <v>204307</v>
      </c>
      <c r="E531" s="18" t="s">
        <v>162</v>
      </c>
      <c r="F531" s="26">
        <v>0</v>
      </c>
      <c r="G531" s="26">
        <v>0</v>
      </c>
      <c r="H531" s="26">
        <v>0</v>
      </c>
      <c r="I531" s="26">
        <v>0</v>
      </c>
      <c r="J531" s="26">
        <v>0</v>
      </c>
      <c r="K531" s="26">
        <v>0</v>
      </c>
      <c r="L531" s="26">
        <v>0</v>
      </c>
      <c r="M531" s="26">
        <v>0</v>
      </c>
      <c r="N531" s="26">
        <v>0</v>
      </c>
      <c r="O531" s="27">
        <v>0</v>
      </c>
      <c r="P531" s="27">
        <v>0</v>
      </c>
      <c r="Q531" s="27">
        <v>0</v>
      </c>
      <c r="R531" s="27">
        <v>0</v>
      </c>
      <c r="S531" s="27">
        <v>0</v>
      </c>
      <c r="T531" s="27">
        <v>0</v>
      </c>
      <c r="U531" s="27">
        <v>135</v>
      </c>
      <c r="V531" s="27">
        <v>0</v>
      </c>
      <c r="W531" s="27">
        <v>0</v>
      </c>
      <c r="X531" s="27">
        <v>96</v>
      </c>
      <c r="Y531" s="27">
        <v>0</v>
      </c>
      <c r="Z531" s="27">
        <v>11</v>
      </c>
      <c r="AA531" s="27">
        <v>90</v>
      </c>
      <c r="AB531" s="27">
        <v>0</v>
      </c>
      <c r="AC531" s="27">
        <v>0</v>
      </c>
      <c r="AD531" s="27">
        <v>55</v>
      </c>
      <c r="AE531" s="27">
        <v>0</v>
      </c>
      <c r="AF531" s="27">
        <v>0</v>
      </c>
      <c r="AG531" s="26">
        <f t="shared" si="32"/>
        <v>376</v>
      </c>
      <c r="AH531" s="26">
        <f t="shared" si="33"/>
        <v>0</v>
      </c>
      <c r="AI531" s="26">
        <f t="shared" si="34"/>
        <v>11</v>
      </c>
      <c r="AJ531" s="15" t="s">
        <v>425</v>
      </c>
      <c r="AK531" s="15" t="s">
        <v>425</v>
      </c>
      <c r="AL531" s="15" t="s">
        <v>317</v>
      </c>
      <c r="AM531" s="19">
        <v>44800</v>
      </c>
    </row>
    <row r="532" spans="1:39" x14ac:dyDescent="0.2">
      <c r="A532" s="15" t="str">
        <f t="shared" si="35"/>
        <v>820380145135</v>
      </c>
      <c r="B532" s="14">
        <v>820380</v>
      </c>
      <c r="C532" s="14" t="s">
        <v>590</v>
      </c>
      <c r="D532" s="16">
        <v>145135</v>
      </c>
      <c r="E532" s="18" t="s">
        <v>396</v>
      </c>
      <c r="F532" s="26">
        <v>0</v>
      </c>
      <c r="G532" s="26">
        <v>0</v>
      </c>
      <c r="H532" s="26">
        <v>0</v>
      </c>
      <c r="I532" s="26">
        <v>0</v>
      </c>
      <c r="J532" s="26">
        <v>0</v>
      </c>
      <c r="K532" s="26">
        <v>0</v>
      </c>
      <c r="L532" s="26">
        <v>0</v>
      </c>
      <c r="M532" s="26">
        <v>0</v>
      </c>
      <c r="N532" s="26">
        <v>0</v>
      </c>
      <c r="O532" s="27">
        <v>0</v>
      </c>
      <c r="P532" s="27">
        <v>0</v>
      </c>
      <c r="Q532" s="27">
        <v>0</v>
      </c>
      <c r="R532" s="27">
        <v>0</v>
      </c>
      <c r="S532" s="27">
        <v>0</v>
      </c>
      <c r="T532" s="27">
        <v>0</v>
      </c>
      <c r="U532" s="27">
        <v>192.4</v>
      </c>
      <c r="V532" s="27">
        <v>26.6</v>
      </c>
      <c r="W532" s="27">
        <v>8.5</v>
      </c>
      <c r="X532" s="27">
        <v>130.5</v>
      </c>
      <c r="Y532" s="27">
        <v>2.5</v>
      </c>
      <c r="Z532" s="27">
        <v>7.5</v>
      </c>
      <c r="AA532" s="27">
        <v>121.55</v>
      </c>
      <c r="AB532" s="27">
        <v>0</v>
      </c>
      <c r="AC532" s="27">
        <v>10</v>
      </c>
      <c r="AD532" s="27">
        <v>240.5</v>
      </c>
      <c r="AE532" s="27">
        <v>0</v>
      </c>
      <c r="AF532" s="27">
        <v>0</v>
      </c>
      <c r="AG532" s="26">
        <f t="shared" si="32"/>
        <v>684.95</v>
      </c>
      <c r="AH532" s="26">
        <f t="shared" si="33"/>
        <v>29.1</v>
      </c>
      <c r="AI532" s="26">
        <f t="shared" si="34"/>
        <v>26</v>
      </c>
      <c r="AJ532" s="15" t="s">
        <v>425</v>
      </c>
      <c r="AK532" s="15" t="s">
        <v>425</v>
      </c>
      <c r="AL532" s="15" t="s">
        <v>317</v>
      </c>
      <c r="AM532" s="19">
        <v>44807</v>
      </c>
    </row>
    <row r="533" spans="1:39" x14ac:dyDescent="0.2">
      <c r="A533" s="15" t="str">
        <f t="shared" si="35"/>
        <v>820621119261</v>
      </c>
      <c r="B533" s="14">
        <v>820621</v>
      </c>
      <c r="C533" s="14" t="s">
        <v>611</v>
      </c>
      <c r="D533" s="16">
        <v>119261</v>
      </c>
      <c r="E533" s="18" t="s">
        <v>140</v>
      </c>
      <c r="F533" s="26">
        <v>0</v>
      </c>
      <c r="G533" s="26">
        <v>0</v>
      </c>
      <c r="H533" s="26">
        <v>0</v>
      </c>
      <c r="I533" s="26">
        <v>0</v>
      </c>
      <c r="J533" s="26">
        <v>0</v>
      </c>
      <c r="K533" s="26">
        <v>0</v>
      </c>
      <c r="L533" s="26">
        <v>0</v>
      </c>
      <c r="M533" s="26">
        <v>0</v>
      </c>
      <c r="N533" s="26">
        <v>0</v>
      </c>
      <c r="O533" s="27">
        <v>0</v>
      </c>
      <c r="P533" s="27">
        <v>0</v>
      </c>
      <c r="Q533" s="27">
        <v>0</v>
      </c>
      <c r="R533" s="27">
        <v>0</v>
      </c>
      <c r="S533" s="27">
        <v>0</v>
      </c>
      <c r="T533" s="27">
        <v>0</v>
      </c>
      <c r="U533" s="27">
        <v>0</v>
      </c>
      <c r="V533" s="27">
        <v>0</v>
      </c>
      <c r="W533" s="27">
        <v>0</v>
      </c>
      <c r="X533" s="27">
        <v>63</v>
      </c>
      <c r="Y533" s="27">
        <v>0</v>
      </c>
      <c r="Z533" s="27">
        <v>0</v>
      </c>
      <c r="AA533" s="27">
        <v>0</v>
      </c>
      <c r="AB533" s="27">
        <v>0</v>
      </c>
      <c r="AC533" s="27">
        <v>0</v>
      </c>
      <c r="AD533" s="27">
        <v>50</v>
      </c>
      <c r="AE533" s="27">
        <v>0</v>
      </c>
      <c r="AF533" s="27">
        <v>0</v>
      </c>
      <c r="AG533" s="26">
        <f t="shared" si="32"/>
        <v>113</v>
      </c>
      <c r="AH533" s="26">
        <f t="shared" si="33"/>
        <v>0</v>
      </c>
      <c r="AI533" s="26">
        <f t="shared" si="34"/>
        <v>0</v>
      </c>
      <c r="AJ533" s="15" t="s">
        <v>425</v>
      </c>
      <c r="AK533" s="15" t="s">
        <v>425</v>
      </c>
      <c r="AL533" s="15" t="s">
        <v>317</v>
      </c>
      <c r="AM533" s="19">
        <v>44824</v>
      </c>
    </row>
    <row r="534" spans="1:39" x14ac:dyDescent="0.2">
      <c r="A534" s="15" t="str">
        <f t="shared" si="35"/>
        <v>814651144868</v>
      </c>
      <c r="B534" s="14">
        <v>814651</v>
      </c>
      <c r="C534" s="14" t="s">
        <v>161</v>
      </c>
      <c r="D534" s="16">
        <v>144868</v>
      </c>
      <c r="E534" s="18" t="s">
        <v>158</v>
      </c>
      <c r="F534" s="26">
        <v>0</v>
      </c>
      <c r="G534" s="26">
        <v>0</v>
      </c>
      <c r="H534" s="26">
        <v>0</v>
      </c>
      <c r="I534" s="26">
        <v>0</v>
      </c>
      <c r="J534" s="26">
        <v>0</v>
      </c>
      <c r="K534" s="26">
        <v>0</v>
      </c>
      <c r="L534" s="26">
        <v>0</v>
      </c>
      <c r="M534" s="26">
        <v>0</v>
      </c>
      <c r="N534" s="26">
        <v>0</v>
      </c>
      <c r="O534" s="27">
        <v>0</v>
      </c>
      <c r="P534" s="27">
        <v>0</v>
      </c>
      <c r="Q534" s="27">
        <v>0</v>
      </c>
      <c r="R534" s="27">
        <v>0</v>
      </c>
      <c r="S534" s="27">
        <v>0</v>
      </c>
      <c r="T534" s="27">
        <v>0</v>
      </c>
      <c r="U534" s="27">
        <v>0</v>
      </c>
      <c r="V534" s="27">
        <v>0</v>
      </c>
      <c r="W534" s="27">
        <v>0</v>
      </c>
      <c r="X534" s="27">
        <v>17.5</v>
      </c>
      <c r="Y534" s="27">
        <v>0</v>
      </c>
      <c r="Z534" s="27">
        <v>0</v>
      </c>
      <c r="AA534" s="27">
        <v>0</v>
      </c>
      <c r="AB534" s="27">
        <v>0</v>
      </c>
      <c r="AC534" s="27">
        <v>0</v>
      </c>
      <c r="AD534" s="27">
        <v>0</v>
      </c>
      <c r="AE534" s="27">
        <v>0</v>
      </c>
      <c r="AF534" s="27">
        <v>0</v>
      </c>
      <c r="AG534" s="26">
        <f t="shared" si="32"/>
        <v>17.5</v>
      </c>
      <c r="AH534" s="26">
        <f t="shared" si="33"/>
        <v>0</v>
      </c>
      <c r="AI534" s="26">
        <f t="shared" si="34"/>
        <v>0</v>
      </c>
      <c r="AJ534" s="15" t="s">
        <v>425</v>
      </c>
      <c r="AK534" s="15" t="s">
        <v>425</v>
      </c>
      <c r="AL534" s="15" t="s">
        <v>317</v>
      </c>
      <c r="AM534" s="19">
        <v>44253</v>
      </c>
    </row>
    <row r="535" spans="1:39" x14ac:dyDescent="0.2">
      <c r="A535" s="15" t="str">
        <f t="shared" si="35"/>
        <v>820639204307</v>
      </c>
      <c r="B535" s="14">
        <v>820639</v>
      </c>
      <c r="C535" s="14" t="s">
        <v>613</v>
      </c>
      <c r="D535" s="16">
        <v>204307</v>
      </c>
      <c r="E535" s="18" t="s">
        <v>162</v>
      </c>
      <c r="F535" s="26">
        <v>0</v>
      </c>
      <c r="G535" s="26">
        <v>0</v>
      </c>
      <c r="H535" s="26">
        <v>0</v>
      </c>
      <c r="I535" s="26">
        <v>0</v>
      </c>
      <c r="J535" s="26">
        <v>0</v>
      </c>
      <c r="K535" s="26">
        <v>0</v>
      </c>
      <c r="L535" s="26">
        <v>0</v>
      </c>
      <c r="M535" s="26">
        <v>0</v>
      </c>
      <c r="N535" s="26">
        <v>0</v>
      </c>
      <c r="O535" s="27">
        <v>0</v>
      </c>
      <c r="P535" s="27">
        <v>0</v>
      </c>
      <c r="Q535" s="27">
        <v>0</v>
      </c>
      <c r="R535" s="27">
        <v>0</v>
      </c>
      <c r="S535" s="27">
        <v>0</v>
      </c>
      <c r="T535" s="27">
        <v>0</v>
      </c>
      <c r="U535" s="27">
        <v>0</v>
      </c>
      <c r="V535" s="27">
        <v>0</v>
      </c>
      <c r="W535" s="27">
        <v>0</v>
      </c>
      <c r="X535" s="27">
        <v>50</v>
      </c>
      <c r="Y535" s="27">
        <v>0</v>
      </c>
      <c r="Z535" s="27">
        <v>0</v>
      </c>
      <c r="AA535" s="27">
        <v>25</v>
      </c>
      <c r="AB535" s="27">
        <v>0</v>
      </c>
      <c r="AC535" s="27">
        <v>0</v>
      </c>
      <c r="AD535" s="27">
        <v>15</v>
      </c>
      <c r="AE535" s="27">
        <v>0</v>
      </c>
      <c r="AF535" s="27">
        <v>0</v>
      </c>
      <c r="AG535" s="26">
        <f t="shared" si="32"/>
        <v>90</v>
      </c>
      <c r="AH535" s="26">
        <f t="shared" si="33"/>
        <v>0</v>
      </c>
      <c r="AI535" s="26">
        <f t="shared" si="34"/>
        <v>0</v>
      </c>
      <c r="AJ535" s="15" t="s">
        <v>425</v>
      </c>
      <c r="AK535" s="15" t="s">
        <v>425</v>
      </c>
      <c r="AL535" s="15" t="s">
        <v>317</v>
      </c>
      <c r="AM535" s="19">
        <v>44824</v>
      </c>
    </row>
    <row r="536" spans="1:39" x14ac:dyDescent="0.2">
      <c r="A536" s="15" t="str">
        <f t="shared" si="35"/>
        <v>821007206049</v>
      </c>
      <c r="B536" s="14">
        <v>821007</v>
      </c>
      <c r="C536" s="14" t="s">
        <v>617</v>
      </c>
      <c r="D536" s="16">
        <v>206049</v>
      </c>
      <c r="E536" s="18" t="s">
        <v>199</v>
      </c>
      <c r="F536" s="26">
        <v>0</v>
      </c>
      <c r="G536" s="26">
        <v>0</v>
      </c>
      <c r="H536" s="26">
        <v>0</v>
      </c>
      <c r="I536" s="26">
        <v>0</v>
      </c>
      <c r="J536" s="26">
        <v>0</v>
      </c>
      <c r="K536" s="26">
        <v>0</v>
      </c>
      <c r="L536" s="26">
        <v>0</v>
      </c>
      <c r="M536" s="26">
        <v>0</v>
      </c>
      <c r="N536" s="26">
        <v>0</v>
      </c>
      <c r="O536" s="27">
        <v>0</v>
      </c>
      <c r="P536" s="27">
        <v>0</v>
      </c>
      <c r="Q536" s="27">
        <v>0</v>
      </c>
      <c r="R536" s="27">
        <v>0</v>
      </c>
      <c r="S536" s="27">
        <v>0</v>
      </c>
      <c r="T536" s="27">
        <v>0</v>
      </c>
      <c r="U536" s="27">
        <v>0</v>
      </c>
      <c r="V536" s="27">
        <v>0</v>
      </c>
      <c r="W536" s="27">
        <v>0</v>
      </c>
      <c r="X536" s="27">
        <v>15</v>
      </c>
      <c r="Y536" s="27">
        <v>0</v>
      </c>
      <c r="Z536" s="27">
        <v>0</v>
      </c>
      <c r="AA536" s="27">
        <v>82</v>
      </c>
      <c r="AB536" s="27">
        <v>0</v>
      </c>
      <c r="AC536" s="27">
        <v>0</v>
      </c>
      <c r="AD536" s="27">
        <v>322.25</v>
      </c>
      <c r="AE536" s="27">
        <v>0</v>
      </c>
      <c r="AF536" s="27">
        <v>2.5</v>
      </c>
      <c r="AG536" s="26">
        <f t="shared" si="32"/>
        <v>419.25</v>
      </c>
      <c r="AH536" s="26">
        <f t="shared" si="33"/>
        <v>0</v>
      </c>
      <c r="AI536" s="26">
        <f t="shared" si="34"/>
        <v>2.5</v>
      </c>
      <c r="AJ536" s="15" t="s">
        <v>425</v>
      </c>
      <c r="AK536" s="15" t="s">
        <v>425</v>
      </c>
      <c r="AL536" s="15" t="s">
        <v>317</v>
      </c>
      <c r="AM536" s="19">
        <v>44853</v>
      </c>
    </row>
    <row r="537" spans="1:39" x14ac:dyDescent="0.2">
      <c r="A537" s="15" t="str">
        <f t="shared" si="35"/>
        <v>821008206049</v>
      </c>
      <c r="B537" s="14">
        <v>821008</v>
      </c>
      <c r="C537" s="14" t="s">
        <v>618</v>
      </c>
      <c r="D537" s="16">
        <v>206049</v>
      </c>
      <c r="E537" s="18" t="s">
        <v>199</v>
      </c>
      <c r="F537" s="26">
        <v>0</v>
      </c>
      <c r="G537" s="26">
        <v>0</v>
      </c>
      <c r="H537" s="26">
        <v>0</v>
      </c>
      <c r="I537" s="26">
        <v>0</v>
      </c>
      <c r="J537" s="26">
        <v>0</v>
      </c>
      <c r="K537" s="26">
        <v>0</v>
      </c>
      <c r="L537" s="26">
        <v>0</v>
      </c>
      <c r="M537" s="26">
        <v>0</v>
      </c>
      <c r="N537" s="26">
        <v>0</v>
      </c>
      <c r="O537" s="27">
        <v>0</v>
      </c>
      <c r="P537" s="27">
        <v>0</v>
      </c>
      <c r="Q537" s="27">
        <v>0</v>
      </c>
      <c r="R537" s="27">
        <v>0</v>
      </c>
      <c r="S537" s="27">
        <v>0</v>
      </c>
      <c r="T537" s="27">
        <v>0</v>
      </c>
      <c r="U537" s="27">
        <v>0</v>
      </c>
      <c r="V537" s="27">
        <v>0</v>
      </c>
      <c r="W537" s="27">
        <v>0</v>
      </c>
      <c r="X537" s="27">
        <v>111</v>
      </c>
      <c r="Y537" s="27">
        <v>0</v>
      </c>
      <c r="Z537" s="27">
        <v>10</v>
      </c>
      <c r="AA537" s="27">
        <v>193.5</v>
      </c>
      <c r="AB537" s="27">
        <v>0</v>
      </c>
      <c r="AC537" s="27">
        <v>0</v>
      </c>
      <c r="AD537" s="27">
        <v>105</v>
      </c>
      <c r="AE537" s="27">
        <v>0</v>
      </c>
      <c r="AF537" s="27">
        <v>0</v>
      </c>
      <c r="AG537" s="26">
        <f t="shared" si="32"/>
        <v>409.5</v>
      </c>
      <c r="AH537" s="26">
        <f t="shared" si="33"/>
        <v>0</v>
      </c>
      <c r="AI537" s="26">
        <f t="shared" si="34"/>
        <v>10</v>
      </c>
      <c r="AJ537" s="15" t="s">
        <v>425</v>
      </c>
      <c r="AK537" s="15" t="s">
        <v>425</v>
      </c>
      <c r="AL537" s="15" t="s">
        <v>317</v>
      </c>
      <c r="AM537" s="19">
        <v>44853</v>
      </c>
    </row>
    <row r="538" spans="1:39" x14ac:dyDescent="0.2">
      <c r="A538" s="15" t="str">
        <f t="shared" si="35"/>
        <v>821023206049</v>
      </c>
      <c r="B538" s="14">
        <v>821023</v>
      </c>
      <c r="C538" s="14" t="s">
        <v>619</v>
      </c>
      <c r="D538" s="16">
        <v>206049</v>
      </c>
      <c r="E538" s="18" t="s">
        <v>199</v>
      </c>
      <c r="F538" s="26">
        <v>0</v>
      </c>
      <c r="G538" s="26">
        <v>0</v>
      </c>
      <c r="H538" s="26">
        <v>0</v>
      </c>
      <c r="I538" s="26">
        <v>0</v>
      </c>
      <c r="J538" s="26">
        <v>0</v>
      </c>
      <c r="K538" s="26">
        <v>0</v>
      </c>
      <c r="L538" s="26">
        <v>0</v>
      </c>
      <c r="M538" s="26">
        <v>0</v>
      </c>
      <c r="N538" s="26">
        <v>0</v>
      </c>
      <c r="O538" s="27">
        <v>0</v>
      </c>
      <c r="P538" s="27">
        <v>0</v>
      </c>
      <c r="Q538" s="27">
        <v>0</v>
      </c>
      <c r="R538" s="27">
        <v>0</v>
      </c>
      <c r="S538" s="27">
        <v>0</v>
      </c>
      <c r="T538" s="27">
        <v>0</v>
      </c>
      <c r="U538" s="27">
        <v>0</v>
      </c>
      <c r="V538" s="27">
        <v>0</v>
      </c>
      <c r="W538" s="27">
        <v>0</v>
      </c>
      <c r="X538" s="27">
        <v>15</v>
      </c>
      <c r="Y538" s="27">
        <v>0</v>
      </c>
      <c r="Z538" s="27">
        <v>0</v>
      </c>
      <c r="AA538" s="27">
        <v>3</v>
      </c>
      <c r="AB538" s="27">
        <v>0</v>
      </c>
      <c r="AC538" s="27">
        <v>0</v>
      </c>
      <c r="AD538" s="27">
        <v>0</v>
      </c>
      <c r="AE538" s="27">
        <v>0</v>
      </c>
      <c r="AF538" s="27">
        <v>0</v>
      </c>
      <c r="AG538" s="26">
        <f t="shared" si="32"/>
        <v>18</v>
      </c>
      <c r="AH538" s="26">
        <f t="shared" si="33"/>
        <v>0</v>
      </c>
      <c r="AI538" s="26">
        <f t="shared" si="34"/>
        <v>0</v>
      </c>
      <c r="AJ538" s="15" t="s">
        <v>425</v>
      </c>
      <c r="AK538" s="15" t="s">
        <v>425</v>
      </c>
      <c r="AL538" s="15" t="s">
        <v>317</v>
      </c>
      <c r="AM538" s="19">
        <v>44853</v>
      </c>
    </row>
    <row r="539" spans="1:39" x14ac:dyDescent="0.2">
      <c r="A539" s="15" t="str">
        <f t="shared" si="35"/>
        <v>821184119261</v>
      </c>
      <c r="B539" s="14">
        <v>821184</v>
      </c>
      <c r="C539" s="14" t="s">
        <v>630</v>
      </c>
      <c r="D539" s="14">
        <v>119261</v>
      </c>
      <c r="E539" s="18" t="s">
        <v>140</v>
      </c>
      <c r="F539" s="26">
        <v>0</v>
      </c>
      <c r="G539" s="26">
        <v>0</v>
      </c>
      <c r="H539" s="26">
        <v>0</v>
      </c>
      <c r="I539" s="26">
        <v>0</v>
      </c>
      <c r="J539" s="26">
        <v>0</v>
      </c>
      <c r="K539" s="26">
        <v>0</v>
      </c>
      <c r="L539" s="26">
        <v>0</v>
      </c>
      <c r="M539" s="26">
        <v>0</v>
      </c>
      <c r="N539" s="26">
        <v>0</v>
      </c>
      <c r="O539" s="27">
        <v>0</v>
      </c>
      <c r="P539" s="27">
        <v>0</v>
      </c>
      <c r="Q539" s="27">
        <v>0</v>
      </c>
      <c r="R539" s="27">
        <v>0</v>
      </c>
      <c r="S539" s="27">
        <v>0</v>
      </c>
      <c r="T539" s="27">
        <v>0</v>
      </c>
      <c r="U539" s="27">
        <v>0</v>
      </c>
      <c r="V539" s="27">
        <v>0</v>
      </c>
      <c r="W539" s="27">
        <v>0</v>
      </c>
      <c r="X539" s="27">
        <v>15</v>
      </c>
      <c r="Y539" s="27">
        <v>0</v>
      </c>
      <c r="Z539" s="27">
        <v>0</v>
      </c>
      <c r="AA539" s="27">
        <v>387</v>
      </c>
      <c r="AB539" s="27">
        <v>0</v>
      </c>
      <c r="AC539" s="27">
        <v>0</v>
      </c>
      <c r="AD539" s="27">
        <v>397.25</v>
      </c>
      <c r="AE539" s="27">
        <v>1</v>
      </c>
      <c r="AF539" s="27">
        <v>0</v>
      </c>
      <c r="AG539" s="26">
        <f t="shared" si="32"/>
        <v>799.25</v>
      </c>
      <c r="AH539" s="26">
        <f t="shared" si="33"/>
        <v>1</v>
      </c>
      <c r="AI539" s="26">
        <f t="shared" si="34"/>
        <v>0</v>
      </c>
      <c r="AJ539" s="29" t="s">
        <v>425</v>
      </c>
      <c r="AK539" s="29" t="s">
        <v>425</v>
      </c>
      <c r="AL539" s="29" t="s">
        <v>317</v>
      </c>
      <c r="AM539" s="28">
        <v>44874</v>
      </c>
    </row>
    <row r="540" spans="1:39" x14ac:dyDescent="0.2">
      <c r="A540" s="15" t="str">
        <f t="shared" si="35"/>
        <v>809918172150</v>
      </c>
      <c r="B540" s="14">
        <v>809918</v>
      </c>
      <c r="C540" s="14" t="s">
        <v>167</v>
      </c>
      <c r="D540" s="14">
        <v>172150</v>
      </c>
      <c r="E540" s="18" t="s">
        <v>148</v>
      </c>
      <c r="F540" s="26">
        <v>0</v>
      </c>
      <c r="G540" s="26">
        <v>0</v>
      </c>
      <c r="H540" s="26">
        <v>0</v>
      </c>
      <c r="I540" s="26">
        <v>0</v>
      </c>
      <c r="J540" s="26">
        <v>0</v>
      </c>
      <c r="K540" s="26">
        <v>0</v>
      </c>
      <c r="L540" s="26">
        <v>0</v>
      </c>
      <c r="M540" s="26">
        <v>0</v>
      </c>
      <c r="N540" s="26">
        <v>0</v>
      </c>
      <c r="O540" s="27">
        <v>0</v>
      </c>
      <c r="P540" s="27">
        <v>0</v>
      </c>
      <c r="Q540" s="27">
        <v>0</v>
      </c>
      <c r="R540" s="27">
        <v>0</v>
      </c>
      <c r="S540" s="27">
        <v>0</v>
      </c>
      <c r="T540" s="27">
        <v>0</v>
      </c>
      <c r="U540" s="27">
        <v>0</v>
      </c>
      <c r="V540" s="27">
        <v>0</v>
      </c>
      <c r="W540" s="27">
        <v>0</v>
      </c>
      <c r="X540" s="27">
        <v>15</v>
      </c>
      <c r="Y540" s="27">
        <v>0</v>
      </c>
      <c r="Z540" s="27">
        <v>0</v>
      </c>
      <c r="AA540" s="27">
        <v>2.5</v>
      </c>
      <c r="AB540" s="27">
        <v>2.5</v>
      </c>
      <c r="AC540" s="27">
        <v>0</v>
      </c>
      <c r="AD540" s="27">
        <v>0</v>
      </c>
      <c r="AE540" s="27">
        <v>0</v>
      </c>
      <c r="AF540" s="27">
        <v>0</v>
      </c>
      <c r="AG540" s="26">
        <f t="shared" si="32"/>
        <v>17.5</v>
      </c>
      <c r="AH540" s="26">
        <f t="shared" si="33"/>
        <v>2.5</v>
      </c>
      <c r="AI540" s="26">
        <f t="shared" si="34"/>
        <v>0</v>
      </c>
      <c r="AJ540" s="18" t="s">
        <v>425</v>
      </c>
      <c r="AK540" s="18" t="s">
        <v>425</v>
      </c>
      <c r="AL540" s="18" t="s">
        <v>317</v>
      </c>
      <c r="AM540" s="28">
        <v>43659</v>
      </c>
    </row>
    <row r="541" spans="1:39" x14ac:dyDescent="0.2">
      <c r="A541" s="15" t="str">
        <f t="shared" si="35"/>
        <v>821272119261</v>
      </c>
      <c r="B541" s="14">
        <v>821272</v>
      </c>
      <c r="C541" s="14" t="s">
        <v>214</v>
      </c>
      <c r="D541" s="14">
        <v>119261</v>
      </c>
      <c r="E541" s="18" t="s">
        <v>140</v>
      </c>
      <c r="F541" s="26">
        <v>0</v>
      </c>
      <c r="G541" s="26">
        <v>0</v>
      </c>
      <c r="H541" s="26">
        <v>0</v>
      </c>
      <c r="I541" s="26">
        <v>0</v>
      </c>
      <c r="J541" s="26">
        <v>0</v>
      </c>
      <c r="K541" s="26">
        <v>0</v>
      </c>
      <c r="L541" s="26">
        <v>0</v>
      </c>
      <c r="M541" s="26">
        <v>0</v>
      </c>
      <c r="N541" s="26">
        <v>0</v>
      </c>
      <c r="O541" s="27">
        <v>0</v>
      </c>
      <c r="P541" s="27">
        <v>0</v>
      </c>
      <c r="Q541" s="27">
        <v>0</v>
      </c>
      <c r="R541" s="27">
        <v>0</v>
      </c>
      <c r="S541" s="27">
        <v>0</v>
      </c>
      <c r="T541" s="27">
        <v>0</v>
      </c>
      <c r="U541" s="27">
        <v>0</v>
      </c>
      <c r="V541" s="27">
        <v>0</v>
      </c>
      <c r="W541" s="27">
        <v>0</v>
      </c>
      <c r="X541" s="27">
        <v>15</v>
      </c>
      <c r="Y541" s="27">
        <v>0</v>
      </c>
      <c r="Z541" s="27">
        <v>0</v>
      </c>
      <c r="AA541" s="27">
        <v>77.5</v>
      </c>
      <c r="AB541" s="27">
        <v>0</v>
      </c>
      <c r="AC541" s="27">
        <v>0</v>
      </c>
      <c r="AD541" s="27">
        <v>78</v>
      </c>
      <c r="AE541" s="27">
        <v>0</v>
      </c>
      <c r="AF541" s="27">
        <v>0</v>
      </c>
      <c r="AG541" s="26">
        <f t="shared" si="32"/>
        <v>170.5</v>
      </c>
      <c r="AH541" s="26">
        <f t="shared" si="33"/>
        <v>0</v>
      </c>
      <c r="AI541" s="26">
        <f t="shared" si="34"/>
        <v>0</v>
      </c>
      <c r="AJ541" s="18" t="s">
        <v>425</v>
      </c>
      <c r="AK541" s="18" t="s">
        <v>425</v>
      </c>
      <c r="AL541" s="18" t="s">
        <v>317</v>
      </c>
      <c r="AM541" s="28">
        <v>44883</v>
      </c>
    </row>
    <row r="542" spans="1:39" x14ac:dyDescent="0.2">
      <c r="A542" s="15" t="str">
        <f t="shared" si="35"/>
        <v>821284205225</v>
      </c>
      <c r="B542" s="14">
        <v>821284</v>
      </c>
      <c r="C542" s="14" t="s">
        <v>389</v>
      </c>
      <c r="D542" s="14">
        <v>205225</v>
      </c>
      <c r="E542" s="18" t="s">
        <v>26</v>
      </c>
      <c r="F542" s="26">
        <v>0</v>
      </c>
      <c r="G542" s="26">
        <v>0</v>
      </c>
      <c r="H542" s="26">
        <v>0</v>
      </c>
      <c r="I542" s="26">
        <v>0</v>
      </c>
      <c r="J542" s="26">
        <v>0</v>
      </c>
      <c r="K542" s="26">
        <v>0</v>
      </c>
      <c r="L542" s="26">
        <v>0</v>
      </c>
      <c r="M542" s="26">
        <v>0</v>
      </c>
      <c r="N542" s="26">
        <v>0</v>
      </c>
      <c r="O542" s="27">
        <v>0</v>
      </c>
      <c r="P542" s="27">
        <v>0</v>
      </c>
      <c r="Q542" s="27">
        <v>0</v>
      </c>
      <c r="R542" s="27">
        <v>0</v>
      </c>
      <c r="S542" s="27">
        <v>0</v>
      </c>
      <c r="T542" s="27">
        <v>0</v>
      </c>
      <c r="U542" s="27">
        <v>0</v>
      </c>
      <c r="V542" s="27">
        <v>0</v>
      </c>
      <c r="W542" s="27">
        <v>0</v>
      </c>
      <c r="X542" s="27">
        <v>15</v>
      </c>
      <c r="Y542" s="27">
        <v>0</v>
      </c>
      <c r="Z542" s="27">
        <v>0</v>
      </c>
      <c r="AA542" s="27">
        <v>52</v>
      </c>
      <c r="AB542" s="27">
        <v>0</v>
      </c>
      <c r="AC542" s="27">
        <v>0</v>
      </c>
      <c r="AD542" s="27">
        <v>138.75</v>
      </c>
      <c r="AE542" s="27">
        <v>0</v>
      </c>
      <c r="AF542" s="27">
        <v>0</v>
      </c>
      <c r="AG542" s="26">
        <f t="shared" si="32"/>
        <v>205.75</v>
      </c>
      <c r="AH542" s="26">
        <f t="shared" si="33"/>
        <v>0</v>
      </c>
      <c r="AI542" s="26">
        <f t="shared" si="34"/>
        <v>0</v>
      </c>
      <c r="AJ542" s="18" t="s">
        <v>425</v>
      </c>
      <c r="AK542" s="18" t="s">
        <v>425</v>
      </c>
      <c r="AL542" s="18" t="s">
        <v>317</v>
      </c>
      <c r="AM542" s="28">
        <v>44883</v>
      </c>
    </row>
    <row r="543" spans="1:39" x14ac:dyDescent="0.2">
      <c r="A543" s="15" t="str">
        <f t="shared" si="35"/>
        <v>821349205225</v>
      </c>
      <c r="B543" s="14">
        <v>821349</v>
      </c>
      <c r="C543" s="14" t="s">
        <v>631</v>
      </c>
      <c r="D543" s="14">
        <v>205225</v>
      </c>
      <c r="E543" s="18" t="s">
        <v>26</v>
      </c>
      <c r="F543" s="26">
        <v>0</v>
      </c>
      <c r="G543" s="26">
        <v>0</v>
      </c>
      <c r="H543" s="26">
        <v>0</v>
      </c>
      <c r="I543" s="26">
        <v>0</v>
      </c>
      <c r="J543" s="26">
        <v>0</v>
      </c>
      <c r="K543" s="26">
        <v>0</v>
      </c>
      <c r="L543" s="26">
        <v>0</v>
      </c>
      <c r="M543" s="26">
        <v>0</v>
      </c>
      <c r="N543" s="26">
        <v>0</v>
      </c>
      <c r="O543" s="27">
        <v>0</v>
      </c>
      <c r="P543" s="27">
        <v>0</v>
      </c>
      <c r="Q543" s="27">
        <v>0</v>
      </c>
      <c r="R543" s="27">
        <v>0</v>
      </c>
      <c r="S543" s="27">
        <v>0</v>
      </c>
      <c r="T543" s="27">
        <v>0</v>
      </c>
      <c r="U543" s="27">
        <v>0</v>
      </c>
      <c r="V543" s="27">
        <v>0</v>
      </c>
      <c r="W543" s="27">
        <v>0</v>
      </c>
      <c r="X543" s="27">
        <v>15</v>
      </c>
      <c r="Y543" s="27">
        <v>0</v>
      </c>
      <c r="Z543" s="27">
        <v>0</v>
      </c>
      <c r="AA543" s="27">
        <v>40.5</v>
      </c>
      <c r="AB543" s="27">
        <v>0</v>
      </c>
      <c r="AC543" s="27">
        <v>2.5</v>
      </c>
      <c r="AD543" s="27">
        <v>73</v>
      </c>
      <c r="AE543" s="27">
        <v>0</v>
      </c>
      <c r="AF543" s="27">
        <v>0</v>
      </c>
      <c r="AG543" s="26">
        <f t="shared" si="32"/>
        <v>128.5</v>
      </c>
      <c r="AH543" s="26">
        <f t="shared" si="33"/>
        <v>0</v>
      </c>
      <c r="AI543" s="26">
        <f t="shared" si="34"/>
        <v>2.5</v>
      </c>
      <c r="AJ543" s="18" t="s">
        <v>425</v>
      </c>
      <c r="AK543" s="18" t="s">
        <v>425</v>
      </c>
      <c r="AL543" s="18" t="s">
        <v>317</v>
      </c>
      <c r="AM543" s="28">
        <v>44888</v>
      </c>
    </row>
    <row r="544" spans="1:39" x14ac:dyDescent="0.2">
      <c r="A544" s="15" t="str">
        <f t="shared" si="35"/>
        <v>821352204307</v>
      </c>
      <c r="B544" s="14">
        <v>821352</v>
      </c>
      <c r="C544" s="14" t="s">
        <v>55</v>
      </c>
      <c r="D544" s="14">
        <v>204307</v>
      </c>
      <c r="E544" s="18" t="s">
        <v>162</v>
      </c>
      <c r="F544" s="26">
        <v>0</v>
      </c>
      <c r="G544" s="26">
        <v>0</v>
      </c>
      <c r="H544" s="26">
        <v>0</v>
      </c>
      <c r="I544" s="26">
        <v>0</v>
      </c>
      <c r="J544" s="26">
        <v>0</v>
      </c>
      <c r="K544" s="26">
        <v>0</v>
      </c>
      <c r="L544" s="26">
        <v>0</v>
      </c>
      <c r="M544" s="26">
        <v>0</v>
      </c>
      <c r="N544" s="26">
        <v>0</v>
      </c>
      <c r="O544" s="27">
        <v>0</v>
      </c>
      <c r="P544" s="27">
        <v>0</v>
      </c>
      <c r="Q544" s="27">
        <v>0</v>
      </c>
      <c r="R544" s="27">
        <v>0</v>
      </c>
      <c r="S544" s="27">
        <v>0</v>
      </c>
      <c r="T544" s="27">
        <v>0</v>
      </c>
      <c r="U544" s="27">
        <v>0</v>
      </c>
      <c r="V544" s="27">
        <v>0</v>
      </c>
      <c r="W544" s="27">
        <v>0</v>
      </c>
      <c r="X544" s="27">
        <v>15</v>
      </c>
      <c r="Y544" s="27">
        <v>0</v>
      </c>
      <c r="Z544" s="27">
        <v>0</v>
      </c>
      <c r="AA544" s="27">
        <v>15</v>
      </c>
      <c r="AB544" s="27">
        <v>0</v>
      </c>
      <c r="AC544" s="27">
        <v>0</v>
      </c>
      <c r="AD544" s="27">
        <v>91</v>
      </c>
      <c r="AE544" s="27">
        <v>0</v>
      </c>
      <c r="AF544" s="27">
        <v>0</v>
      </c>
      <c r="AG544" s="26">
        <f t="shared" si="32"/>
        <v>121</v>
      </c>
      <c r="AH544" s="26">
        <f t="shared" si="33"/>
        <v>0</v>
      </c>
      <c r="AI544" s="26">
        <f t="shared" si="34"/>
        <v>0</v>
      </c>
      <c r="AJ544" s="18" t="s">
        <v>425</v>
      </c>
      <c r="AK544" s="18" t="s">
        <v>425</v>
      </c>
      <c r="AL544" s="18" t="s">
        <v>317</v>
      </c>
      <c r="AM544" s="28">
        <v>44889</v>
      </c>
    </row>
    <row r="545" spans="1:39" x14ac:dyDescent="0.2">
      <c r="A545" s="18" t="s">
        <v>646</v>
      </c>
      <c r="B545" s="14">
        <v>821820</v>
      </c>
      <c r="C545" s="14" t="s">
        <v>77</v>
      </c>
      <c r="D545" s="14">
        <v>206049</v>
      </c>
      <c r="E545" s="18" t="s">
        <v>199</v>
      </c>
      <c r="F545" s="26">
        <v>0</v>
      </c>
      <c r="G545" s="26">
        <v>0</v>
      </c>
      <c r="H545" s="26">
        <v>0</v>
      </c>
      <c r="I545" s="26">
        <v>0</v>
      </c>
      <c r="J545" s="26">
        <v>0</v>
      </c>
      <c r="K545" s="26">
        <v>0</v>
      </c>
      <c r="L545" s="26">
        <v>0</v>
      </c>
      <c r="M545" s="26">
        <v>0</v>
      </c>
      <c r="N545" s="26">
        <v>0</v>
      </c>
      <c r="O545" s="27">
        <v>0</v>
      </c>
      <c r="P545" s="27">
        <v>0</v>
      </c>
      <c r="Q545" s="27">
        <v>0</v>
      </c>
      <c r="R545" s="27">
        <v>0</v>
      </c>
      <c r="S545" s="27">
        <v>0</v>
      </c>
      <c r="T545" s="27">
        <v>0</v>
      </c>
      <c r="U545" s="27">
        <v>0</v>
      </c>
      <c r="V545" s="27">
        <v>0</v>
      </c>
      <c r="W545" s="27">
        <v>0</v>
      </c>
      <c r="X545" s="30">
        <v>0</v>
      </c>
      <c r="Y545" s="30">
        <v>0</v>
      </c>
      <c r="Z545" s="30">
        <v>0</v>
      </c>
      <c r="AA545" s="30">
        <v>0</v>
      </c>
      <c r="AB545" s="30">
        <v>0</v>
      </c>
      <c r="AC545" s="30">
        <v>0</v>
      </c>
      <c r="AD545" s="27">
        <v>60</v>
      </c>
      <c r="AE545" s="27">
        <v>0</v>
      </c>
      <c r="AF545" s="27">
        <v>0</v>
      </c>
      <c r="AG545" s="26">
        <f t="shared" si="32"/>
        <v>60</v>
      </c>
      <c r="AH545" s="26">
        <f t="shared" si="33"/>
        <v>0</v>
      </c>
      <c r="AI545" s="26">
        <f t="shared" si="34"/>
        <v>0</v>
      </c>
      <c r="AJ545" s="18" t="s">
        <v>425</v>
      </c>
      <c r="AK545" s="18" t="s">
        <v>425</v>
      </c>
      <c r="AL545" s="18" t="s">
        <v>317</v>
      </c>
      <c r="AM545" s="31">
        <v>44919</v>
      </c>
    </row>
    <row r="546" spans="1:39" x14ac:dyDescent="0.2">
      <c r="A546" s="18" t="s">
        <v>647</v>
      </c>
      <c r="B546" s="14">
        <v>821739</v>
      </c>
      <c r="C546" s="14" t="s">
        <v>648</v>
      </c>
      <c r="D546" s="14">
        <v>149892</v>
      </c>
      <c r="E546" s="18" t="s">
        <v>649</v>
      </c>
      <c r="F546" s="26">
        <v>0</v>
      </c>
      <c r="G546" s="26">
        <v>0</v>
      </c>
      <c r="H546" s="26">
        <v>0</v>
      </c>
      <c r="I546" s="26">
        <v>0</v>
      </c>
      <c r="J546" s="26">
        <v>0</v>
      </c>
      <c r="K546" s="26">
        <v>0</v>
      </c>
      <c r="L546" s="26">
        <v>0</v>
      </c>
      <c r="M546" s="26">
        <v>0</v>
      </c>
      <c r="N546" s="26">
        <v>0</v>
      </c>
      <c r="O546" s="27">
        <v>0</v>
      </c>
      <c r="P546" s="27">
        <v>0</v>
      </c>
      <c r="Q546" s="27">
        <v>0</v>
      </c>
      <c r="R546" s="27">
        <v>0</v>
      </c>
      <c r="S546" s="27">
        <v>0</v>
      </c>
      <c r="T546" s="27">
        <v>0</v>
      </c>
      <c r="U546" s="27">
        <v>0</v>
      </c>
      <c r="V546" s="27">
        <v>0</v>
      </c>
      <c r="W546" s="27">
        <v>0</v>
      </c>
      <c r="X546" s="30">
        <v>0</v>
      </c>
      <c r="Y546" s="30">
        <v>0</v>
      </c>
      <c r="Z546" s="30">
        <v>0</v>
      </c>
      <c r="AA546" s="30">
        <v>0</v>
      </c>
      <c r="AB546" s="30">
        <v>0</v>
      </c>
      <c r="AC546" s="30">
        <v>0</v>
      </c>
      <c r="AD546" s="27">
        <v>15.5</v>
      </c>
      <c r="AE546" s="27">
        <v>0</v>
      </c>
      <c r="AF546" s="27">
        <v>5.5</v>
      </c>
      <c r="AG546" s="26">
        <f t="shared" si="32"/>
        <v>15.5</v>
      </c>
      <c r="AH546" s="26">
        <f t="shared" si="33"/>
        <v>0</v>
      </c>
      <c r="AI546" s="26">
        <f t="shared" si="34"/>
        <v>5.5</v>
      </c>
      <c r="AJ546" s="18" t="s">
        <v>425</v>
      </c>
      <c r="AK546" s="18" t="s">
        <v>425</v>
      </c>
      <c r="AL546" s="18" t="s">
        <v>317</v>
      </c>
      <c r="AM546" s="31">
        <v>44914</v>
      </c>
    </row>
    <row r="547" spans="1:39" x14ac:dyDescent="0.2">
      <c r="A547" s="33"/>
      <c r="B547" s="34"/>
      <c r="C547" s="34"/>
      <c r="D547" s="34"/>
      <c r="E547" s="33"/>
      <c r="F547" s="35">
        <f>SUM(F3:F546)</f>
        <v>16006.199999999999</v>
      </c>
      <c r="G547" s="35">
        <f>SUM(G3:G546)</f>
        <v>363.90000000000003</v>
      </c>
      <c r="H547" s="35">
        <f>SUM(H3:H546)</f>
        <v>0</v>
      </c>
      <c r="I547" s="35">
        <f>SUM(I3:I546)</f>
        <v>14826.450000000003</v>
      </c>
      <c r="J547" s="35">
        <f>SUM(J3:J546)</f>
        <v>363.90000000000003</v>
      </c>
      <c r="K547" s="35">
        <f>SUM(K3:K546)</f>
        <v>0</v>
      </c>
      <c r="L547" s="35">
        <f>SUM(L3:L546)</f>
        <v>20304.7</v>
      </c>
      <c r="M547" s="35">
        <f>SUM(M3:M546)</f>
        <v>342.05</v>
      </c>
      <c r="N547" s="35">
        <f>SUM(N3:N546)</f>
        <v>679.2</v>
      </c>
      <c r="O547" s="35">
        <f>SUM(O3:O546)</f>
        <v>17090.899999999994</v>
      </c>
      <c r="P547" s="35">
        <f>SUM(P3:P546)</f>
        <v>353.6</v>
      </c>
      <c r="Q547" s="35">
        <f>SUM(Q3:Q546)</f>
        <v>546.95000000000005</v>
      </c>
      <c r="R547" s="35">
        <f>SUM(R3:R546)</f>
        <v>14640.000000000002</v>
      </c>
      <c r="S547" s="35">
        <f>SUM(S3:S546)</f>
        <v>380.65000000000003</v>
      </c>
      <c r="T547" s="35">
        <f>SUM(T3:T546)</f>
        <v>641</v>
      </c>
      <c r="U547" s="35">
        <f>SUM(U3:U546)</f>
        <v>17317.450000000004</v>
      </c>
      <c r="V547" s="35">
        <f>SUM(V3:V546)</f>
        <v>319.40000000000003</v>
      </c>
      <c r="W547" s="35">
        <f>SUM(W3:W546)</f>
        <v>961.2</v>
      </c>
      <c r="X547" s="35">
        <f>SUM(X3:X546)</f>
        <v>16647.700000000004</v>
      </c>
      <c r="Y547" s="35">
        <f>SUM(Y3:Y546)</f>
        <v>438.15000000000003</v>
      </c>
      <c r="Z547" s="35">
        <f>SUM(Z3:Z546)</f>
        <v>925.1</v>
      </c>
      <c r="AA547" s="35">
        <f>SUM(AA3:AA546)</f>
        <v>19690.349999999995</v>
      </c>
      <c r="AB547" s="35">
        <f>SUM(AB3:AB546)</f>
        <v>320.05</v>
      </c>
      <c r="AC547" s="35">
        <f>SUM(AC3:AC546)</f>
        <v>846</v>
      </c>
      <c r="AD547" s="35">
        <f>SUM(AD3:AD546)</f>
        <v>27189.550000000003</v>
      </c>
      <c r="AE547" s="35">
        <f>SUM(AE3:AE546)</f>
        <v>234.9</v>
      </c>
      <c r="AF547" s="35">
        <f>SUM(AF3:AF546)</f>
        <v>1583.8</v>
      </c>
      <c r="AG547" s="35">
        <f>SUM(AG3:AG546)</f>
        <v>163713.30000000002</v>
      </c>
      <c r="AH547" s="35">
        <f>SUM(AH3:AH546)</f>
        <v>3116.5999999999995</v>
      </c>
      <c r="AI547" s="35">
        <f>SUM(AI3:AI546)</f>
        <v>6183.2500000000018</v>
      </c>
    </row>
  </sheetData>
  <autoFilter ref="A2:AM547" xr:uid="{E2C1243D-1C09-4179-8F1C-075E8D0E1645}">
    <sortState ref="A3:AM547">
      <sortCondition ref="AL2:AL546"/>
    </sortState>
  </autoFilter>
  <mergeCells count="10">
    <mergeCell ref="F1:H1"/>
    <mergeCell ref="I1:K1"/>
    <mergeCell ref="AG1:AI1"/>
    <mergeCell ref="R1:T1"/>
    <mergeCell ref="O1:Q1"/>
    <mergeCell ref="L1:N1"/>
    <mergeCell ref="U1:W1"/>
    <mergeCell ref="X1:Z1"/>
    <mergeCell ref="AA1:AC1"/>
    <mergeCell ref="AD1:AF1"/>
  </mergeCells>
  <conditionalFormatting sqref="B3:B546">
    <cfRule type="duplicateValues" dxfId="6" priority="2039"/>
  </conditionalFormatting>
  <conditionalFormatting sqref="B3:B546">
    <cfRule type="duplicateValues" dxfId="5" priority="2040"/>
    <cfRule type="duplicateValues" dxfId="4" priority="2041"/>
    <cfRule type="duplicateValues" dxfId="3" priority="2042"/>
    <cfRule type="duplicateValues" dxfId="2" priority="2043"/>
    <cfRule type="duplicateValues" dxfId="1" priority="2044"/>
  </conditionalFormatting>
  <conditionalFormatting sqref="A3:A546">
    <cfRule type="duplicateValues" dxfId="0" priority="204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8:I13"/>
  <sheetViews>
    <sheetView workbookViewId="0">
      <selection activeCell="I10" sqref="I10"/>
    </sheetView>
  </sheetViews>
  <sheetFormatPr defaultRowHeight="12.75" x14ac:dyDescent="0.2"/>
  <sheetData>
    <row r="8" spans="7:9" x14ac:dyDescent="0.2">
      <c r="G8" t="s">
        <v>479</v>
      </c>
      <c r="H8" t="s">
        <v>480</v>
      </c>
    </row>
    <row r="9" spans="7:9" x14ac:dyDescent="0.2">
      <c r="G9">
        <v>0</v>
      </c>
      <c r="H9" s="4" t="s">
        <v>481</v>
      </c>
      <c r="I9" s="4" t="s">
        <v>481</v>
      </c>
    </row>
    <row r="10" spans="7:9" x14ac:dyDescent="0.2">
      <c r="G10">
        <v>400</v>
      </c>
      <c r="H10" t="s">
        <v>482</v>
      </c>
      <c r="I10" t="s">
        <v>486</v>
      </c>
    </row>
    <row r="11" spans="7:9" x14ac:dyDescent="0.2">
      <c r="G11">
        <v>600</v>
      </c>
      <c r="H11" t="s">
        <v>483</v>
      </c>
      <c r="I11" t="s">
        <v>487</v>
      </c>
    </row>
    <row r="12" spans="7:9" x14ac:dyDescent="0.2">
      <c r="G12">
        <v>900</v>
      </c>
      <c r="H12" t="s">
        <v>484</v>
      </c>
      <c r="I12" t="s">
        <v>488</v>
      </c>
    </row>
    <row r="13" spans="7:9" x14ac:dyDescent="0.2">
      <c r="G13">
        <v>1200</v>
      </c>
      <c r="H13" t="s">
        <v>485</v>
      </c>
      <c r="I13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F11"/>
  <sheetViews>
    <sheetView workbookViewId="0">
      <selection activeCell="C3" sqref="C3:F11"/>
    </sheetView>
  </sheetViews>
  <sheetFormatPr defaultRowHeight="12.75" x14ac:dyDescent="0.2"/>
  <cols>
    <col min="3" max="3" width="12" customWidth="1"/>
    <col min="4" max="4" width="9.140625" style="8"/>
    <col min="5" max="5" width="11.5703125" bestFit="1" customWidth="1"/>
  </cols>
  <sheetData>
    <row r="3" spans="3:6" ht="15" x14ac:dyDescent="0.25">
      <c r="E3" s="38" t="s">
        <v>499</v>
      </c>
      <c r="F3" s="38"/>
    </row>
    <row r="4" spans="3:6" ht="15" customHeight="1" x14ac:dyDescent="0.2">
      <c r="C4" s="39" t="s">
        <v>495</v>
      </c>
      <c r="D4" s="39" t="s">
        <v>479</v>
      </c>
      <c r="E4" s="39" t="s">
        <v>498</v>
      </c>
      <c r="F4" s="39" t="s">
        <v>497</v>
      </c>
    </row>
    <row r="5" spans="3:6" ht="29.25" customHeight="1" x14ac:dyDescent="0.2">
      <c r="C5" s="39"/>
      <c r="D5" s="39"/>
      <c r="E5" s="39"/>
      <c r="F5" s="39"/>
    </row>
    <row r="6" spans="3:6" ht="15" x14ac:dyDescent="0.2">
      <c r="C6" s="5" t="s">
        <v>490</v>
      </c>
      <c r="D6" s="7" t="s">
        <v>481</v>
      </c>
      <c r="E6" s="11" t="e">
        <f>SUMIF('mtd sale'!#REF!,SUMMARY!D6,'mtd sale'!#REF!)</f>
        <v>#REF!</v>
      </c>
      <c r="F6" s="6" t="e">
        <f>COUNTIF('mtd sale'!#REF!,SUMMARY!D6)</f>
        <v>#REF!</v>
      </c>
    </row>
    <row r="7" spans="3:6" ht="15" x14ac:dyDescent="0.2">
      <c r="C7" s="5" t="s">
        <v>491</v>
      </c>
      <c r="D7" s="6" t="s">
        <v>486</v>
      </c>
      <c r="E7" s="11" t="e">
        <f>SUMIF('mtd sale'!#REF!,SUMMARY!D7,'mtd sale'!#REF!)</f>
        <v>#REF!</v>
      </c>
      <c r="F7" s="6" t="e">
        <f>COUNTIF('mtd sale'!#REF!,SUMMARY!D7)</f>
        <v>#REF!</v>
      </c>
    </row>
    <row r="8" spans="3:6" ht="15" x14ac:dyDescent="0.2">
      <c r="C8" s="5" t="s">
        <v>492</v>
      </c>
      <c r="D8" s="6" t="s">
        <v>487</v>
      </c>
      <c r="E8" s="11" t="e">
        <f>SUMIF('mtd sale'!#REF!,SUMMARY!D8,'mtd sale'!#REF!)</f>
        <v>#REF!</v>
      </c>
      <c r="F8" s="6" t="e">
        <f>COUNTIF('mtd sale'!#REF!,SUMMARY!D8)</f>
        <v>#REF!</v>
      </c>
    </row>
    <row r="9" spans="3:6" ht="15" x14ac:dyDescent="0.2">
      <c r="C9" s="5" t="s">
        <v>493</v>
      </c>
      <c r="D9" s="6" t="s">
        <v>488</v>
      </c>
      <c r="E9" s="11" t="e">
        <f>SUMIF('mtd sale'!#REF!,SUMMARY!D9,'mtd sale'!#REF!)</f>
        <v>#REF!</v>
      </c>
      <c r="F9" s="6" t="e">
        <f>COUNTIF('mtd sale'!#REF!,SUMMARY!D9)</f>
        <v>#REF!</v>
      </c>
    </row>
    <row r="10" spans="3:6" ht="15" x14ac:dyDescent="0.2">
      <c r="C10" s="5" t="s">
        <v>494</v>
      </c>
      <c r="D10" s="6" t="s">
        <v>489</v>
      </c>
      <c r="E10" s="11" t="e">
        <f>SUMIF('mtd sale'!#REF!,SUMMARY!D10,'mtd sale'!#REF!)</f>
        <v>#REF!</v>
      </c>
      <c r="F10" s="6" t="e">
        <f>COUNTIF('mtd sale'!#REF!,SUMMARY!D10)</f>
        <v>#REF!</v>
      </c>
    </row>
    <row r="11" spans="3:6" ht="15" x14ac:dyDescent="0.2">
      <c r="C11" s="9" t="s">
        <v>496</v>
      </c>
      <c r="D11" s="10"/>
      <c r="E11" s="12" t="e">
        <f t="shared" ref="E11:F11" si="0">SUM(E6:E10)</f>
        <v>#REF!</v>
      </c>
      <c r="F11" s="10" t="e">
        <f t="shared" si="0"/>
        <v>#REF!</v>
      </c>
    </row>
  </sheetData>
  <mergeCells count="5">
    <mergeCell ref="E3:F3"/>
    <mergeCell ref="C4:C5"/>
    <mergeCell ref="D4:D5"/>
    <mergeCell ref="E4:E5"/>
    <mergeCell ref="F4:F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mtd sale</vt:lpstr>
      <vt:lpstr>SCHEME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Jitendra Kumar Vyas</cp:lastModifiedBy>
  <cp:revision>1</cp:revision>
  <dcterms:created xsi:type="dcterms:W3CDTF">2021-10-25T12:04:34Z</dcterms:created>
  <dcterms:modified xsi:type="dcterms:W3CDTF">2023-01-05T08:51:19Z</dcterms:modified>
  <cp:category/>
</cp:coreProperties>
</file>