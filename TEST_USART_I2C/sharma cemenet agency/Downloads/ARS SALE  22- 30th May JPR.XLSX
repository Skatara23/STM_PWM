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/>
  <mc:AlternateContent xmlns:mc="http://schemas.openxmlformats.org/markup-compatibility/2006">
    <mc:Choice Requires="x15">
      <x15ac:absPath xmlns:x15ac="http://schemas.microsoft.com/office/spreadsheetml/2010/11/ac" url="C:\Users\1002001\Desktop\ARS LIFTING 2018-19\ARS SALE 2021-22\"/>
    </mc:Choice>
  </mc:AlternateContent>
  <xr:revisionPtr revIDLastSave="0" documentId="13_ncr:1_{646BEC7E-5C67-41A0-93B9-D939DB3EF4CB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mtd sale" sheetId="4" r:id="rId1"/>
    <sheet name="SCHEME" sheetId="5" state="hidden" r:id="rId2"/>
    <sheet name="SUMMARY" sheetId="6" state="hidden" r:id="rId3"/>
  </sheets>
  <definedNames>
    <definedName name="_xlnm._FilterDatabase" localSheetId="0" hidden="1">'mtd sale'!$A$2:$K$426</definedName>
  </definedNames>
  <calcPr calcId="191029"/>
</workbook>
</file>

<file path=xl/calcChain.xml><?xml version="1.0" encoding="utf-8"?>
<calcChain xmlns="http://schemas.openxmlformats.org/spreadsheetml/2006/main">
  <c r="F426" i="4" l="1"/>
  <c r="A425" i="4" l="1"/>
  <c r="A7" i="4" l="1"/>
  <c r="A22" i="4"/>
  <c r="A190" i="4"/>
  <c r="A209" i="4"/>
  <c r="A210" i="4"/>
  <c r="A208" i="4"/>
  <c r="A212" i="4"/>
  <c r="A213" i="4"/>
  <c r="A211" i="4" l="1"/>
  <c r="A299" i="4" l="1"/>
  <c r="A298" i="4"/>
  <c r="A104" i="4"/>
  <c r="A297" i="4"/>
  <c r="A424" i="4"/>
  <c r="A404" i="4"/>
  <c r="A323" i="4"/>
  <c r="A3" i="4" l="1"/>
  <c r="A4" i="4"/>
  <c r="A5" i="4"/>
  <c r="A6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45" i="4"/>
  <c r="A101" i="4"/>
  <c r="A102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1" i="4"/>
  <c r="A182" i="4"/>
  <c r="A183" i="4"/>
  <c r="A184" i="4"/>
  <c r="A185" i="4"/>
  <c r="A186" i="4"/>
  <c r="A187" i="4"/>
  <c r="A188" i="4"/>
  <c r="A189" i="4"/>
  <c r="A191" i="4"/>
  <c r="A192" i="4"/>
  <c r="A193" i="4"/>
  <c r="A194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180" i="4"/>
  <c r="A195" i="4"/>
  <c r="A295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296" i="4"/>
  <c r="A103" i="4"/>
  <c r="F9" i="6" l="1"/>
  <c r="E9" i="6"/>
  <c r="E10" i="6"/>
  <c r="E8" i="6"/>
  <c r="E7" i="6"/>
  <c r="E6" i="6"/>
  <c r="F6" i="6"/>
  <c r="F8" i="6"/>
  <c r="F7" i="6"/>
  <c r="F10" i="6"/>
  <c r="F11" i="6" l="1"/>
  <c r="E11" i="6"/>
</calcChain>
</file>

<file path=xl/sharedStrings.xml><?xml version="1.0" encoding="utf-8"?>
<sst xmlns="http://schemas.openxmlformats.org/spreadsheetml/2006/main" count="2155" uniqueCount="537">
  <si>
    <t>BHARATPUR</t>
  </si>
  <si>
    <t>YADAV BUILDING MATERIAL</t>
  </si>
  <si>
    <t>NAVEEN DISTRIBUTORS</t>
  </si>
  <si>
    <t>BALAJI CEMENT AGENCY</t>
  </si>
  <si>
    <t>SAINI BUILDING MATERIAL SUPPLI</t>
  </si>
  <si>
    <t>SAINI TRADERS</t>
  </si>
  <si>
    <t>Kuntal Building Material</t>
  </si>
  <si>
    <t>ARTI BUILDING MATERIAL</t>
  </si>
  <si>
    <t>SHRI BALAJI BUILDING MATERIAL</t>
  </si>
  <si>
    <t>LAXMI BUILDING MATERIAL</t>
  </si>
  <si>
    <t>MITALI ALLOYS PVT LTD</t>
  </si>
  <si>
    <t>ALWAR</t>
  </si>
  <si>
    <t>AGARWAL AGENCIES</t>
  </si>
  <si>
    <t>GARG AGRO AGENCIES</t>
  </si>
  <si>
    <t>ASHWINI AND SONS</t>
  </si>
  <si>
    <t>SAINI BUILDING MATERIAL</t>
  </si>
  <si>
    <t>SHIV SHAKTI BUILDING MATERIAL</t>
  </si>
  <si>
    <t>AGARWAL MACHINERY STORES</t>
  </si>
  <si>
    <t>SHRI GOMTI BM &amp; SUPPLIERS</t>
  </si>
  <si>
    <t>DHOLPUR</t>
  </si>
  <si>
    <t>SHARMA CEMENT AGENCY</t>
  </si>
  <si>
    <t>PAHARIA CHEMICALS</t>
  </si>
  <si>
    <t>POOJA TRADING COMPANY</t>
  </si>
  <si>
    <t>BANSAL TRADING COMPANY</t>
  </si>
  <si>
    <t>AGARWAL CEMENT AGENCY</t>
  </si>
  <si>
    <t>MAA BHAGWATI TRADERS</t>
  </si>
  <si>
    <t>MAHAVEER ASSOCIATES</t>
  </si>
  <si>
    <t>SHREE SHYAM TRADERS</t>
  </si>
  <si>
    <t>KHAJANCHI TRADING CO.</t>
  </si>
  <si>
    <t>MASTER CEMENT AGENCY</t>
  </si>
  <si>
    <t>SHARMA TRADERS</t>
  </si>
  <si>
    <t>SHIV TRADERS</t>
  </si>
  <si>
    <t>RIDHI SIDHI TRADERS</t>
  </si>
  <si>
    <t>SHIKHA ENTERPRSIES</t>
  </si>
  <si>
    <t>SHAH TRADERS</t>
  </si>
  <si>
    <t>SHIV CHARAN LAL RAKESH KUMAR</t>
  </si>
  <si>
    <t>Goyal &amp; Co.</t>
  </si>
  <si>
    <t>SHREE BALAJI TRADERS</t>
  </si>
  <si>
    <t>PAWAN BUILDERS</t>
  </si>
  <si>
    <t>VED (MP) CEMENT AGENCY</t>
  </si>
  <si>
    <t>R K TRADERS</t>
  </si>
  <si>
    <t>UMA IRON &amp; CEMENT AGENCY</t>
  </si>
  <si>
    <t>RIDHIMA ENTERPRISES</t>
  </si>
  <si>
    <t>SISODIYA TRADERS</t>
  </si>
  <si>
    <t>GARG TRADING COMPANY</t>
  </si>
  <si>
    <t>OM CEMENT HOUSE</t>
  </si>
  <si>
    <t>H S TRADERS</t>
  </si>
  <si>
    <t>YADAV TRADING COMPANY</t>
  </si>
  <si>
    <t>YADAV CEMENT AGENCY</t>
  </si>
  <si>
    <t>SHREE JI BUILDING MATERIAL STO</t>
  </si>
  <si>
    <t>SHIV SHAKTI TRADERS</t>
  </si>
  <si>
    <t>KHANDELWAL CEMENT AGENCY</t>
  </si>
  <si>
    <t>SHARDUL CEMENT AGENCY</t>
  </si>
  <si>
    <t>PUSHPENDRA SINGH J K CEMENT AG</t>
  </si>
  <si>
    <t>KISHAN SINGH CEMENT AGENCY</t>
  </si>
  <si>
    <t>SHREE SHYAM CEMENT AGENCY</t>
  </si>
  <si>
    <t>DEEPAK TRADERS</t>
  </si>
  <si>
    <t>SARDAR BUILDING MATERIAL STORE</t>
  </si>
  <si>
    <t>GOVIND BUILDING MATERIAL</t>
  </si>
  <si>
    <t>LAXMI TRADERS</t>
  </si>
  <si>
    <t>SANTOSH KUMAR SATISH CHAND</t>
  </si>
  <si>
    <t>JINDAL KHAD BEEJ BHANDAR</t>
  </si>
  <si>
    <t>DAUSA</t>
  </si>
  <si>
    <t>BADAYA TRADERS</t>
  </si>
  <si>
    <t>KHANDELWAL TRADERS</t>
  </si>
  <si>
    <t>SHRI BALAJI CEMENT AGENCY</t>
  </si>
  <si>
    <t>BALAJI TRADERS</t>
  </si>
  <si>
    <t>RAHUL BUILDING MATERIAL</t>
  </si>
  <si>
    <t>YOGESH TRADERS</t>
  </si>
  <si>
    <t>NIKHIL ASSOCIATE</t>
  </si>
  <si>
    <t>JAI SHREE GANESH BUILDING MATE</t>
  </si>
  <si>
    <t>GUPTA HARDWARE STORE</t>
  </si>
  <si>
    <t>RAVINDRA SINGH PARMAR</t>
  </si>
  <si>
    <t>ANKIT TRADERS</t>
  </si>
  <si>
    <t>HEMLATA CEMENT AGENCY</t>
  </si>
  <si>
    <t>KISAAN KHAD BEEJ BHANDAR</t>
  </si>
  <si>
    <t>GURUKRIPA BUILDING MATERIAL</t>
  </si>
  <si>
    <t>DEEPAK TRADING COMPANY</t>
  </si>
  <si>
    <t>SHRI KRISHNA TRADERS</t>
  </si>
  <si>
    <t>SURESH CHAND &amp; CO</t>
  </si>
  <si>
    <t>SHANKAR KHAD BHANDAR</t>
  </si>
  <si>
    <t>KUMAWAT CEMENT AGENCY</t>
  </si>
  <si>
    <t>SANJAY KUMAR SAINI</t>
  </si>
  <si>
    <t>GUPTA TRADERS</t>
  </si>
  <si>
    <t>YADHWANSHI BUILDING MATERIAL</t>
  </si>
  <si>
    <t>ANSHU CEMENT AGENCY</t>
  </si>
  <si>
    <t>ROHIT TRADERS</t>
  </si>
  <si>
    <t>SWASTIK CEMENT AGENCIES</t>
  </si>
  <si>
    <t>SHREE KRISHNA CEMENT STORE</t>
  </si>
  <si>
    <t>JAGDAMBEY BUILDING MATERIAL SU</t>
  </si>
  <si>
    <t>JAI JASOL MAA BUILDING MATERIA</t>
  </si>
  <si>
    <t>BANSAL IRON &amp; CEMENT TRADERS</t>
  </si>
  <si>
    <t>HITA JK SUPER CEMENT</t>
  </si>
  <si>
    <t>SHREE GOPAL TRADING CO</t>
  </si>
  <si>
    <t>NIRBHAY CEMENT AGENCY</t>
  </si>
  <si>
    <t>HARI OM TRADERS</t>
  </si>
  <si>
    <t>VINAYAK TRADERS</t>
  </si>
  <si>
    <t>MANGAL BUILDING MATERIAL STORE</t>
  </si>
  <si>
    <t>JAIN KHAD BEEJ BHANDAR</t>
  </si>
  <si>
    <t>DEEPAK TRADING CO</t>
  </si>
  <si>
    <t>BANSAL MARBLES</t>
  </si>
  <si>
    <t>VIJAY TRADING COMPANY</t>
  </si>
  <si>
    <t>AGARWAL KHAD BEEJ BHANDAR</t>
  </si>
  <si>
    <t>FAUJDAR BUILDING MATERIAL</t>
  </si>
  <si>
    <t>SHRI RADHEY KRISHAN TRADERS</t>
  </si>
  <si>
    <t>RAJORIYA TRADING COMPANY</t>
  </si>
  <si>
    <t>SHREE KRISHNA TRADERS</t>
  </si>
  <si>
    <t>MISHRA TRADERS</t>
  </si>
  <si>
    <t>SHIVANSH TRADERS</t>
  </si>
  <si>
    <t>SUKHDEV JI GUPTA</t>
  </si>
  <si>
    <t>AMERIA BUILDING MATERIAL</t>
  </si>
  <si>
    <t>KUSHAL TRADING COMPANY</t>
  </si>
  <si>
    <t>KRISHNA ENTERPRISES</t>
  </si>
  <si>
    <t>ARORA CEMENT AGENCY</t>
  </si>
  <si>
    <t>GAURAV BUILDING MATERIAL SUPPL</t>
  </si>
  <si>
    <t>SAINI CHIPS &amp; MARBLE</t>
  </si>
  <si>
    <t>BALAJI BUILDING MATERIAL STORE</t>
  </si>
  <si>
    <t>GOYAL TRADERS</t>
  </si>
  <si>
    <t>MAHAVEER BUILDING MATERIAL</t>
  </si>
  <si>
    <t>PRABHU DAYAL HARISH CHAND</t>
  </si>
  <si>
    <t>KUMAWAT TRADERS</t>
  </si>
  <si>
    <t>NAITIK TRADERS</t>
  </si>
  <si>
    <t>TIWARI AGENCIES</t>
  </si>
  <si>
    <t>AGARWAL TRADERS</t>
  </si>
  <si>
    <t>DEV CEMENT AGENCY</t>
  </si>
  <si>
    <t>GOMTI BUILDING MATERIAL STORE</t>
  </si>
  <si>
    <t>BANKE BIHARI KHAD BEEJ BHANDAR</t>
  </si>
  <si>
    <t>B M TRADING &amp; CONSTRUCTION COM</t>
  </si>
  <si>
    <t>CHOUDHARY TRADERS</t>
  </si>
  <si>
    <t>MANISH CEMENT AGENCY</t>
  </si>
  <si>
    <t>SHIV SHANKAR BUILDING MATERIAL</t>
  </si>
  <si>
    <t>NARENDRA SUPPLIERS</t>
  </si>
  <si>
    <t>SAINI KHAD BEEJ BHANDAR</t>
  </si>
  <si>
    <t>AGGARWAL CEMENT STORE</t>
  </si>
  <si>
    <t>NEW SAINI TRADING COMPANY</t>
  </si>
  <si>
    <t>BABA TRADING COMPANY</t>
  </si>
  <si>
    <t>DURGA TRADING COMPANY</t>
  </si>
  <si>
    <t>S S AGRAWAL AND COMPANY</t>
  </si>
  <si>
    <t>GAURAV MARBLE</t>
  </si>
  <si>
    <t>GD ASSOCIATES</t>
  </si>
  <si>
    <t>DURGESH ENTERPRISES</t>
  </si>
  <si>
    <t>GOYAL CONSTRUCTION &amp; CONSULTAN</t>
  </si>
  <si>
    <t>OM TRADERS</t>
  </si>
  <si>
    <t>RAM JI BUILDING MATERIAL SUPPL</t>
  </si>
  <si>
    <t>MAA TRADERS</t>
  </si>
  <si>
    <t>ADITYA ENTERPRISES</t>
  </si>
  <si>
    <t>SHARMA SALES CORPORATION</t>
  </si>
  <si>
    <t>SITARAM INFRA PROJECTS</t>
  </si>
  <si>
    <t>GHODELA BUILDING MATERIAL AND</t>
  </si>
  <si>
    <t>MANGLA STEELS AGENCY</t>
  </si>
  <si>
    <t>SARWAN KUMAR MAHESH KUMAR</t>
  </si>
  <si>
    <t>LAXMI BUILDING MATERIAL STORE</t>
  </si>
  <si>
    <t>GOVIND TRADERS</t>
  </si>
  <si>
    <t>KARTIK ENTERPRISES</t>
  </si>
  <si>
    <t>GANESH AGENCIES</t>
  </si>
  <si>
    <t>AGRAWAL TRADERS</t>
  </si>
  <si>
    <t>DIPESH STEEL AND BUILDING MATE</t>
  </si>
  <si>
    <t>SHRI BAJRANG STEEL &amp; CEMENT AG</t>
  </si>
  <si>
    <t>ASHISH SALES CORPORATION</t>
  </si>
  <si>
    <t>ANUPAM PAINTS AND HARDWARES</t>
  </si>
  <si>
    <t>KEDIA TRADING COMPANY</t>
  </si>
  <si>
    <t>SHREE SHYAM BUILDING MATERIAL</t>
  </si>
  <si>
    <t>JAI BAJRANG STEELS</t>
  </si>
  <si>
    <t>MAHA LAXMI SALES</t>
  </si>
  <si>
    <t>KUMAWAT CONSTRUTION AND SUPPLI</t>
  </si>
  <si>
    <t>VINAYAK TRADE HOME</t>
  </si>
  <si>
    <t>ABHAY CONSTRUCTION AND PROPERT</t>
  </si>
  <si>
    <t>SHRI LAXMI AGENCIES</t>
  </si>
  <si>
    <t>VIVEK ENTERPRISES</t>
  </si>
  <si>
    <t>M.N.ASSOCIATES</t>
  </si>
  <si>
    <t>R S TRADERS</t>
  </si>
  <si>
    <t>SAINI STONE SUPPLIERS</t>
  </si>
  <si>
    <t>SHARMA BUILDING MATERIAL SUPPL</t>
  </si>
  <si>
    <t>SATISH CHAND GUPTA</t>
  </si>
  <si>
    <t>BANWARI LAL KUMHAR</t>
  </si>
  <si>
    <t>ASHISH TRADERS</t>
  </si>
  <si>
    <t>SHRI MINESH CONSTRUCTION COMPA</t>
  </si>
  <si>
    <t>SHARMA BUILDING MATERIAL</t>
  </si>
  <si>
    <t>KHANDELWAL TRADING AND COMPANY</t>
  </si>
  <si>
    <t>AKHIL AGARWAL</t>
  </si>
  <si>
    <t>RAHUL SALES</t>
  </si>
  <si>
    <t>ROSHAN SAINI</t>
  </si>
  <si>
    <t>HIMANI ASSOCIATES</t>
  </si>
  <si>
    <t>ARPIT TRADERS</t>
  </si>
  <si>
    <t>PRAJAPAT CEMENT AGENCY</t>
  </si>
  <si>
    <t>RUPESH KHANDELWAL BUILDERS</t>
  </si>
  <si>
    <t>KALPANA CEMENT AGENCY</t>
  </si>
  <si>
    <t>KANHA BUILDERS</t>
  </si>
  <si>
    <t>SHRI SHYAM TENT HOUSE</t>
  </si>
  <si>
    <t>RUCHI ENTERPRISES</t>
  </si>
  <si>
    <t>M K STEEL &amp; DÉCOR</t>
  </si>
  <si>
    <t>HARI BUILDING MATERIAL</t>
  </si>
  <si>
    <t>NEESHA BUILDING MATERIALS</t>
  </si>
  <si>
    <t>ROHIT STEEL AND BUILDING MATER</t>
  </si>
  <si>
    <t>DRASHTIKA ENTERPRISES</t>
  </si>
  <si>
    <t>SHIV CEMENT AGENCY</t>
  </si>
  <si>
    <t>KARTIK SANITARY &amp; BUILDING MAT</t>
  </si>
  <si>
    <t>MITTAL AGENCY</t>
  </si>
  <si>
    <t>CHHITAR MAL KUMAWAT</t>
  </si>
  <si>
    <t>VAIBHAV ENTERPRISES</t>
  </si>
  <si>
    <t>PUNJABI BUILDING MATERIALS</t>
  </si>
  <si>
    <t>GAURAV CONSTRUCTION</t>
  </si>
  <si>
    <t>BHAIRAV BUILDING MATERIAL SUPP</t>
  </si>
  <si>
    <t>M A TRADING COMPANY</t>
  </si>
  <si>
    <t>RAVITA TRADERS</t>
  </si>
  <si>
    <t>SHARDA TRADERS</t>
  </si>
  <si>
    <t>SHARDA ENTERPRISES</t>
  </si>
  <si>
    <t>SHREE GIRIRAJ TRADERS</t>
  </si>
  <si>
    <t>JAI MATADI  BUILDING MATERIAL</t>
  </si>
  <si>
    <t>RUDRA TRADERS</t>
  </si>
  <si>
    <t>S R TRADERS</t>
  </si>
  <si>
    <t>ANIL SALES</t>
  </si>
  <si>
    <t>AGRWAL TRADERS</t>
  </si>
  <si>
    <t>TAMBI TRADING CO</t>
  </si>
  <si>
    <t>GUPTA BUILDING MATERIAL SUPPLI</t>
  </si>
  <si>
    <t>SUMAN ENTERPRISES</t>
  </si>
  <si>
    <t>SUIWAL BROTHERS</t>
  </si>
  <si>
    <t>OM SHIV CEMENT SUPPLIERS</t>
  </si>
  <si>
    <t>SHRI RAM BUILDING MATERIAL</t>
  </si>
  <si>
    <t>J.K. CEMENT AGENCY</t>
  </si>
  <si>
    <t>NATIONAL BUILDERS</t>
  </si>
  <si>
    <t>ARVIND CEMENT &amp; KALI UDYOG</t>
  </si>
  <si>
    <t>SHREE RIDDHI SIDDHI TRADERS</t>
  </si>
  <si>
    <t>AGRAWAL PLYWOOD AND TIMBER</t>
  </si>
  <si>
    <t>VASUDA ASSOCIATES</t>
  </si>
  <si>
    <t>ANKIT AGENCIES</t>
  </si>
  <si>
    <t>JAI KARAULI MAA TRADERS</t>
  </si>
  <si>
    <t>TAK BROTHERS</t>
  </si>
  <si>
    <t>SARASWATI TRADERS</t>
  </si>
  <si>
    <t>BHUVAN AGENCIES</t>
  </si>
  <si>
    <t>SHREE OM TRADING COMPANY</t>
  </si>
  <si>
    <t>JAI SHREE SHYAM TRADERS</t>
  </si>
  <si>
    <t>R R CONSTRUCTION COMPANY</t>
  </si>
  <si>
    <t>MISHRA CEMENT AGENCIES</t>
  </si>
  <si>
    <t>KHANDELWAL TIMBER MART</t>
  </si>
  <si>
    <t>NETA ELECTRICALS</t>
  </si>
  <si>
    <t>JAGDAMBA SUPPLIERS</t>
  </si>
  <si>
    <t>SAINI BUILDER</t>
  </si>
  <si>
    <t>SHREE GANESH TRADING COMPANY</t>
  </si>
  <si>
    <t>SAPNA TRADERS</t>
  </si>
  <si>
    <t>TEENA BUILDING MATERIAL SUPPLI</t>
  </si>
  <si>
    <t>TIWARI BUILDERS</t>
  </si>
  <si>
    <t>NEERAJ ENTERPRISES</t>
  </si>
  <si>
    <t>SHREE JI HARDWARE &amp; SANITARY</t>
  </si>
  <si>
    <t>AGARWAL SANITATION</t>
  </si>
  <si>
    <t>SHREE RAM TRADERS</t>
  </si>
  <si>
    <t>NANDINI TIMBER &amp; BUILDING MATE</t>
  </si>
  <si>
    <t>JAIN BUILDING MATERIAL STORE</t>
  </si>
  <si>
    <t>SHEETAL BUILDING MATERIAL SUPP</t>
  </si>
  <si>
    <t>MARUTI ENTERPRISES</t>
  </si>
  <si>
    <t>SATTGURU BUILDING MATERIAL SUP</t>
  </si>
  <si>
    <t>GOTHAWAL CEMENT AGENCY</t>
  </si>
  <si>
    <t>SIDDHI ENTERPRISES</t>
  </si>
  <si>
    <t>RAMSWAROOP PRAKASHCHAND</t>
  </si>
  <si>
    <t>LATA CEMENT AGENCY</t>
  </si>
  <si>
    <t>CCC ASSOCIATES</t>
  </si>
  <si>
    <t>RADHAKRISHNA ENTERPRISES</t>
  </si>
  <si>
    <t>GUPTA CEMENT AGENCY</t>
  </si>
  <si>
    <t>MADHAV TRADERS</t>
  </si>
  <si>
    <t>BANWARI LAL PRAKESH CHAND</t>
  </si>
  <si>
    <t>MEHTA SANITARY HARDWARE</t>
  </si>
  <si>
    <t>SHRI RADHA SHYAM BUILDERS</t>
  </si>
  <si>
    <t>MAVAR CEMENT AGENCY</t>
  </si>
  <si>
    <t>FAIR TRADING CO</t>
  </si>
  <si>
    <t>LAXMI BANS BALLI UDYOG</t>
  </si>
  <si>
    <t>KAKA BUILDERS</t>
  </si>
  <si>
    <t>SRIRAM CEMENT AGENCY</t>
  </si>
  <si>
    <t>GOYAL BUILDERS</t>
  </si>
  <si>
    <t>BABA MOHANRAM BUILDING MATERIA</t>
  </si>
  <si>
    <t>AGARWAL BUILDING MATERIAL SUPP</t>
  </si>
  <si>
    <t>ABHISHEK CHODHARY &amp; COMPANY</t>
  </si>
  <si>
    <t>AGARWAL PROPERTIES AND BUILDIN</t>
  </si>
  <si>
    <t>SHREE RADHIKA TRADERS</t>
  </si>
  <si>
    <t>LAXMI BUILDING MATERIAL SUPPLI</t>
  </si>
  <si>
    <t>LOKESH BUILDING MATERIAL</t>
  </si>
  <si>
    <t>GANESH TRADERS</t>
  </si>
  <si>
    <t>DEEPENDRA SINGH CHOUHAN</t>
  </si>
  <si>
    <t>MAHALAXMI B M TRADERS</t>
  </si>
  <si>
    <t>NAGPAL BUILDERS</t>
  </si>
  <si>
    <t>SHUBHAM BUILDIERS</t>
  </si>
  <si>
    <t>AGARWAL AGRICULTURE AGENCIES</t>
  </si>
  <si>
    <t>SHREE BALAJI BUILDING MATERIAL</t>
  </si>
  <si>
    <t>TRILOK NATH AGARWAL</t>
  </si>
  <si>
    <t>MEENA BUILDING MATERIAL SUPPLI</t>
  </si>
  <si>
    <t>DILIP SAINI</t>
  </si>
  <si>
    <t>JAI  AMBE TRADERS</t>
  </si>
  <si>
    <t>KRISHNA TRADING COMPANY</t>
  </si>
  <si>
    <t>SHREE SHYAM CONSTRUCTION COMPA</t>
  </si>
  <si>
    <t>VINOD KUMAR SAINI</t>
  </si>
  <si>
    <t>TANVI CEMENT AGENCY</t>
  </si>
  <si>
    <t>GURUKRIPA SUPPLIERS</t>
  </si>
  <si>
    <t>SHIV SANITARY &amp; HARDWARE STORE</t>
  </si>
  <si>
    <t>RAKESH BUILDERS</t>
  </si>
  <si>
    <t>RAJESH BUILDING MATERIAL AND S</t>
  </si>
  <si>
    <t>JAI KISHAN BUILDING MATERIAL S</t>
  </si>
  <si>
    <t>SHRINATH TRADERS</t>
  </si>
  <si>
    <t>RIYA TRADERS</t>
  </si>
  <si>
    <t>MADAN SANITATION</t>
  </si>
  <si>
    <t>SHREE TRADING COMPANY</t>
  </si>
  <si>
    <t>SHREE KALYAN BUILDING MATERIAL</t>
  </si>
  <si>
    <t>YOGESH AGENCY</t>
  </si>
  <si>
    <t>ANKIT TRADERS &amp; CONSTRUCTION</t>
  </si>
  <si>
    <t>PANKAJ KUMAR YADAV</t>
  </si>
  <si>
    <t>SHRI SHYAM STEEL</t>
  </si>
  <si>
    <t>DINESH KUMAR KUMAWAT</t>
  </si>
  <si>
    <t>TANU CEMENT AGENCY</t>
  </si>
  <si>
    <t>RAVI SHANKAR SAINI</t>
  </si>
  <si>
    <t>SAHIL BUILDERS TRADING COMPANY</t>
  </si>
  <si>
    <t>SHRI SHYAM TRADERS</t>
  </si>
  <si>
    <t>SHREE KRISHNA CEMENT AGENCY</t>
  </si>
  <si>
    <t>SAPNA BUILDING MATERIAL SUPPLI</t>
  </si>
  <si>
    <t>SHAKUN ENTERPRISES</t>
  </si>
  <si>
    <t>Concerned Dealer code</t>
  </si>
  <si>
    <t>Concerned Dealer Name</t>
  </si>
  <si>
    <t>Dist</t>
  </si>
  <si>
    <t>AO</t>
  </si>
  <si>
    <t>State</t>
  </si>
  <si>
    <t>DOA</t>
  </si>
  <si>
    <t>RJ-JAIPUR</t>
  </si>
  <si>
    <t>SHIV GANPATI MARBLE AND GRANIT</t>
  </si>
  <si>
    <t>ANKUR CEMENT AGENCY</t>
  </si>
  <si>
    <t>KANHA BUILDING MATERIAL</t>
  </si>
  <si>
    <t>Combined</t>
  </si>
  <si>
    <t>TOTAL</t>
  </si>
  <si>
    <t>DEVENDRA BUILDING MATERIAL</t>
  </si>
  <si>
    <t>SHEOJI RAM NIRBHAY RAM KUMAWAT</t>
  </si>
  <si>
    <t>PRIYA ENTERPRISES</t>
  </si>
  <si>
    <t>ISRAIL CEMENT AGENCY</t>
  </si>
  <si>
    <t>YADAV CONSTRUCTION COMPANY</t>
  </si>
  <si>
    <t>SEEMA BUILDING MATERIAL SUPPLI</t>
  </si>
  <si>
    <t>MANISH TRADERS</t>
  </si>
  <si>
    <t>VIKAS CEMENT AGENCY</t>
  </si>
  <si>
    <t>HARI SINGH GURJAR</t>
  </si>
  <si>
    <t>SHIVANI BUILDING MATERIAL STOR</t>
  </si>
  <si>
    <t>JAI BALAJI CEMENT AGENCY</t>
  </si>
  <si>
    <t>SAINI BUILDERS</t>
  </si>
  <si>
    <t>SONU BUILDING MATERIAL &amp; SUPPL</t>
  </si>
  <si>
    <t>PRADEEP CHOUDHARY J K SUPER CE</t>
  </si>
  <si>
    <t>TANWAR TRADING CO</t>
  </si>
  <si>
    <t>A1 CEMENT AGENCY</t>
  </si>
  <si>
    <t>SAINI TRADING COMPANY</t>
  </si>
  <si>
    <t>BHARADWAJ BUILDERS</t>
  </si>
  <si>
    <t>GOPAL CEMENT SUPPLIERS</t>
  </si>
  <si>
    <t>PRAJAPATI TRADING COMPANY</t>
  </si>
  <si>
    <t>GAGAN TRADERS</t>
  </si>
  <si>
    <t>CHANDER TIMBER DEPOT</t>
  </si>
  <si>
    <t>SAINI SINGODIYA STONE SUPPLIER</t>
  </si>
  <si>
    <t>MODI BUILDERS</t>
  </si>
  <si>
    <t>MADHU SHARMA</t>
  </si>
  <si>
    <t>KHAN BUILDING MATERIAL SUPPLIE</t>
  </si>
  <si>
    <t>SHASTRI BUILDING MATERIAL STOR</t>
  </si>
  <si>
    <t>KOMAL TRADERS</t>
  </si>
  <si>
    <t>BADIWAL TRADERS</t>
  </si>
  <si>
    <t>SWASTIK ENTERPRISES</t>
  </si>
  <si>
    <t>SHISHRAM BUILDING MATERIAL</t>
  </si>
  <si>
    <t>BENIWAL TRADERS</t>
  </si>
  <si>
    <t>KUMAWAT SUPPLIERS</t>
  </si>
  <si>
    <t>BALAJI CEMENT MATERIALS SUPPLI</t>
  </si>
  <si>
    <t>JAI AMBE TRADERS</t>
  </si>
  <si>
    <t>SAINI TENT HOUSE</t>
  </si>
  <si>
    <t>SAINI FLOUR MEELS AND GENERAL</t>
  </si>
  <si>
    <t>GURUKRIPA CONSTRUCTION COMPANY</t>
  </si>
  <si>
    <t>NARESH TRADERS</t>
  </si>
  <si>
    <t>MORDHWAJ CEMENT AGENCY</t>
  </si>
  <si>
    <t>HARSHA CEMENT AGENCY</t>
  </si>
  <si>
    <t>LILA RAM GURJAR</t>
  </si>
  <si>
    <t>KAMAL SINGH GURJAR</t>
  </si>
  <si>
    <t>RUPESH CEMENT AGENCY</t>
  </si>
  <si>
    <t>MADHAV ENTERPRISES</t>
  </si>
  <si>
    <t>SHRI SHYAM CEMENT AGENCY</t>
  </si>
  <si>
    <t>HATHWALA CEMENT AGENCY</t>
  </si>
  <si>
    <t>JAI AMBEY TRADERS</t>
  </si>
  <si>
    <t>SHRI GOGA TRADING COMPANY</t>
  </si>
  <si>
    <t>KHANDELWAL AGENCY</t>
  </si>
  <si>
    <t>SHASHI ENTERPRISES</t>
  </si>
  <si>
    <t>J KUMAR &amp; COMPANY</t>
  </si>
  <si>
    <t>DHAWAN BUILDERS</t>
  </si>
  <si>
    <t>SAINI CEMENT AGENCY</t>
  </si>
  <si>
    <t>PRIYANKA BUILDERS</t>
  </si>
  <si>
    <t>BHUPENDRA CEMENT AGENCY</t>
  </si>
  <si>
    <t>SWASTIK BUILDING</t>
  </si>
  <si>
    <t>BABA STEEL AND BUILDING MATERI</t>
  </si>
  <si>
    <t>AJMERA TRANSPORTER</t>
  </si>
  <si>
    <t>KIRAN TRADERS</t>
  </si>
  <si>
    <t>ASHUTOSH CONSTRUCTION CO</t>
  </si>
  <si>
    <t>SAINI CEMENT SUPPLIER</t>
  </si>
  <si>
    <t>KRISHNA CEMENT AGENCY</t>
  </si>
  <si>
    <t>CHOUHAN TRADERS</t>
  </si>
  <si>
    <t>JATIN CEMENT AGENCY</t>
  </si>
  <si>
    <t>SHRI BALAJI TRADERS</t>
  </si>
  <si>
    <t>MUSKAN TRADING COMPANY</t>
  </si>
  <si>
    <t>SHREE NEELKHANT STEEL &amp; CEMENT</t>
  </si>
  <si>
    <t>CHOUDHARY CEMENT AGENCY</t>
  </si>
  <si>
    <t>SWAMI CONSTRUCTION AND CEMENT</t>
  </si>
  <si>
    <t>PRIYANKA ENTERPRISES</t>
  </si>
  <si>
    <t>AHUJA CEMENT &amp; SANITARYWARE</t>
  </si>
  <si>
    <t>KRISHNA KUMAR RAGHUVEER SINGH</t>
  </si>
  <si>
    <t>DELIGHT MARKETING</t>
  </si>
  <si>
    <t>ANAND SALES (ARM AGRI TRADE LL</t>
  </si>
  <si>
    <t>ANIL TRADING COMPANY</t>
  </si>
  <si>
    <t>BALAJI STONE &amp; BUILDING MATERI</t>
  </si>
  <si>
    <t>SATNAM CEMENT AGENCY</t>
  </si>
  <si>
    <t>PAYAL TRADERS</t>
  </si>
  <si>
    <t>LAVKUSH KHAD BEEJ BHANDAR</t>
  </si>
  <si>
    <t>YOGESH CONSTRUCTION</t>
  </si>
  <si>
    <t>AKHLESH TRADING COMPANY</t>
  </si>
  <si>
    <t>BRIJENDRA SINGH CHAUHAN</t>
  </si>
  <si>
    <t>SHRI KANHAIYA BUILDING MATERIA</t>
  </si>
  <si>
    <t>SITARAM SHARMA</t>
  </si>
  <si>
    <t>KUMAWAT STONE MERCHANT</t>
  </si>
  <si>
    <t>TRIVENI CEMENT SUPPLIERS</t>
  </si>
  <si>
    <t>GOYAL TRADING COMPANY</t>
  </si>
  <si>
    <t>B L BUILDING MATERIAL</t>
  </si>
  <si>
    <t>CHHIRANJILAL OM PRAKASH</t>
  </si>
  <si>
    <t>MITTAL FERTILIZERS</t>
  </si>
  <si>
    <t>UPADHYAY BUILDING MATERIAL</t>
  </si>
  <si>
    <t>GUPTA BUILDING MATERIAL STORE</t>
  </si>
  <si>
    <t>HARSH STEELS</t>
  </si>
  <si>
    <t>RAJENDRA TRADERS</t>
  </si>
  <si>
    <t>JAI SHREE RAM AGENCY</t>
  </si>
  <si>
    <t>SHREE BALAJI STEELS TRADERS</t>
  </si>
  <si>
    <t>GAURAV KUMAWAT</t>
  </si>
  <si>
    <t>VAISHALI TRADING COMPANY</t>
  </si>
  <si>
    <t>JAIPUR RURAL</t>
  </si>
  <si>
    <t>JAIPUR URBAN</t>
  </si>
  <si>
    <t>SHREE MAHARANI BUILDING MATERI</t>
  </si>
  <si>
    <t>NEELKANTH SALES AGENCY</t>
  </si>
  <si>
    <t>RAMAVATAR BUILDING MATERIAL</t>
  </si>
  <si>
    <t>R R MATERIAL SUPPLIER</t>
  </si>
  <si>
    <t>BK CONSTRUCTION COMPANY</t>
  </si>
  <si>
    <t>NAMO ENTERPRISES</t>
  </si>
  <si>
    <t>ASHISH SUPPLIERS</t>
  </si>
  <si>
    <t>POOJA TRADERS</t>
  </si>
  <si>
    <t>MOHAN LAL SAINI</t>
  </si>
  <si>
    <t>N R CEMENT AGENCY</t>
  </si>
  <si>
    <t>SHREE VINAYAK AGENCIES</t>
  </si>
  <si>
    <t>MEENAKSHI BUILDING MATERIAL SU</t>
  </si>
  <si>
    <t>SATISH CHAND NARESH CHAND</t>
  </si>
  <si>
    <t>VINAYAK BUILDERS AND SUPPLIERS</t>
  </si>
  <si>
    <t>RAJ TRADERS</t>
  </si>
  <si>
    <t>ROHIT ENTERPRISES</t>
  </si>
  <si>
    <t>SHRI KRISHNA BUILDING MATERIAL</t>
  </si>
  <si>
    <t>MUNIRAJ MEENA</t>
  </si>
  <si>
    <t>KRISHNA CONSTRUCTION</t>
  </si>
  <si>
    <t>PARAS STEEL</t>
  </si>
  <si>
    <t>KHANDELWAL TRADING COMPANY</t>
  </si>
  <si>
    <t>BANDAWALA CEMENT AGENCY</t>
  </si>
  <si>
    <t>NISHA TRADERS</t>
  </si>
  <si>
    <t>JOSHI AGENCIES</t>
  </si>
  <si>
    <t>PRADEEP BUILDING MATERIAL SUPP</t>
  </si>
  <si>
    <t>HONEY CEMENT AGENCY</t>
  </si>
  <si>
    <t>KAMLESH CEMENT AGENCY</t>
  </si>
  <si>
    <t>LOKESH TRADERS</t>
  </si>
  <si>
    <t>POOJA STEEL</t>
  </si>
  <si>
    <t>SHIV SHAKTI WELDING WORKS</t>
  </si>
  <si>
    <t>SHRI KRISHNA ASSOCIATES</t>
  </si>
  <si>
    <t>SHRI KHANDAL CEMENT AGENCY</t>
  </si>
  <si>
    <t>R K ELECTRICALS AND HARDWARE</t>
  </si>
  <si>
    <t>DHANPAL LODHA</t>
  </si>
  <si>
    <t>LALITA CEMENT STORE</t>
  </si>
  <si>
    <t>SHREE SIDDH BABA SAIPURI CEMEN</t>
  </si>
  <si>
    <t>JAI BUILDING MATERIAL SUPPLIER</t>
  </si>
  <si>
    <t>RADHEY CEMENT AGENCY</t>
  </si>
  <si>
    <t>Retailer Desc-</t>
  </si>
  <si>
    <t>JASORIA DISTRIBUTORS</t>
  </si>
  <si>
    <t>MANGAL BUILDING MATERIAL</t>
  </si>
  <si>
    <t>MURARI LAL GOYAL</t>
  </si>
  <si>
    <t>YASH BUILDING MATERIAL SUPPLIE</t>
  </si>
  <si>
    <t>JAGDAMBA TRADING CO</t>
  </si>
  <si>
    <t>BALAJI BUILDING MATERIAL CONST</t>
  </si>
  <si>
    <t>DHARMENDRA &amp; COMPANY</t>
  </si>
  <si>
    <t>KULDEEP CEMENT AGENCY</t>
  </si>
  <si>
    <t>RAMESH CEMENT AGENCY</t>
  </si>
  <si>
    <t>KRATIKA ENTERPRISES</t>
  </si>
  <si>
    <t>HARDENIYA CEMENT AGENCIES</t>
  </si>
  <si>
    <t>DHAKED BUILDING MATERIAL</t>
  </si>
  <si>
    <t>INDU JAIN</t>
  </si>
  <si>
    <t>GAURI CEMENT AGENCY</t>
  </si>
  <si>
    <t>Slab</t>
  </si>
  <si>
    <t>Tour</t>
  </si>
  <si>
    <t>---</t>
  </si>
  <si>
    <t>Goa</t>
  </si>
  <si>
    <t>Kerala</t>
  </si>
  <si>
    <t>Thailand</t>
  </si>
  <si>
    <t>Singapore</t>
  </si>
  <si>
    <t>Slab-1</t>
  </si>
  <si>
    <t>Slab-2</t>
  </si>
  <si>
    <t>Slab-3</t>
  </si>
  <si>
    <t>Slab-4</t>
  </si>
  <si>
    <t>&lt;400</t>
  </si>
  <si>
    <t>400-599.99</t>
  </si>
  <si>
    <t>600-899.99</t>
  </si>
  <si>
    <t>900-1199.99</t>
  </si>
  <si>
    <t>&gt;=1200</t>
  </si>
  <si>
    <t xml:space="preserve">Annual Volume in MT </t>
  </si>
  <si>
    <t>Total</t>
  </si>
  <si>
    <t>No of ARS</t>
  </si>
  <si>
    <t>Qty.</t>
  </si>
  <si>
    <t>Actutal till Feb 2022</t>
  </si>
  <si>
    <t>Retailer Code</t>
  </si>
  <si>
    <t>MAA BHAGWATI BUILDING SOLUTION</t>
  </si>
  <si>
    <t>SHREE SAI CONSTRUCTION</t>
  </si>
  <si>
    <t>DURGA SHANKAR SHARMA</t>
  </si>
  <si>
    <t>VISHWAKARMA CEMENT AGENCY</t>
  </si>
  <si>
    <t>JANGID ENTERPRISES</t>
  </si>
  <si>
    <t>SHREE BAJRANG BUILDING MATERIA</t>
  </si>
  <si>
    <t>R V BUILDING MATERIAL SUPPLIER</t>
  </si>
  <si>
    <t>JAI BHOMIYA BUILDING MATERIAL</t>
  </si>
  <si>
    <t>MEENA KHAD BEEJ BHANDAR</t>
  </si>
  <si>
    <t>VIRENDRA SAINI</t>
  </si>
  <si>
    <t>NARAYAN CEMENT AGENCY</t>
  </si>
  <si>
    <t>PINANIYA CONSTRUCTION COMPANY</t>
  </si>
  <si>
    <t>VIRMANI BUILDERS</t>
  </si>
  <si>
    <t>SHREE GANESH ENTERPRISES</t>
  </si>
  <si>
    <t>SHREE JEE CEMENT AGENCY</t>
  </si>
  <si>
    <t>RAJPOOT CEMENT AGENCY</t>
  </si>
  <si>
    <t>SURYANSH CEMENT AGENCY</t>
  </si>
  <si>
    <t>AADINATH TRADERS</t>
  </si>
  <si>
    <t>RK BUILDERS</t>
  </si>
  <si>
    <t>VINOD SALES AGENCIES</t>
  </si>
  <si>
    <t>ANIL GOYAL</t>
  </si>
  <si>
    <t>RAJ BUILDING MATERIAL</t>
  </si>
  <si>
    <t>CHOUDHARY GENERAL STORE</t>
  </si>
  <si>
    <t>PUNJABI ENTERPRISES</t>
  </si>
  <si>
    <t>RAJESH KUMAR &amp; SONS</t>
  </si>
  <si>
    <t>CHOUHAN CEMENT AGENCY</t>
  </si>
  <si>
    <t>May'22</t>
  </si>
  <si>
    <t>HARE KRISHNA TRADERS</t>
  </si>
  <si>
    <t>MANASVI SALES CORPORATION</t>
  </si>
  <si>
    <t>MOHIT CEMENT AGENCY</t>
  </si>
  <si>
    <t>AYAAN CEMENT AGENCY</t>
  </si>
  <si>
    <t>GURU SANITARY &amp; HARDWARES</t>
  </si>
  <si>
    <t>VANSH CEMENT AGENCY</t>
  </si>
  <si>
    <t>KRISHNA BUILDCON</t>
  </si>
  <si>
    <t>BACHCHU SINGH SAINI</t>
  </si>
  <si>
    <t>BHARAT RAJ &amp; COMPANY</t>
  </si>
  <si>
    <t>May (22-30th 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</si>
</sst>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*\ #,##0_ ;_*\ \-#,##0_ ;_*\ &quot;-&quot;_ ;_ @_ "/>
    <numFmt numFmtId="165" formatCode="_ * #,##0_ ;_ * \-#,##0_ ;_ * &quot;-&quot;??_ ;_ @_ "/>
  </numFmts>
  <fonts count="12" x14ac:knownFonts="1"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3"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14" fontId="3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quotePrefix="1" applyFont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vertical="top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top"/>
    </xf>
    <xf numFmtId="0" fontId="11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6"/>
  <sheetViews>
    <sheetView tabSelected="1" workbookViewId="0">
      <selection activeCell="I3" sqref="I3"/>
    </sheetView>
  </sheetViews>
  <sheetFormatPr defaultRowHeight="12.75" x14ac:dyDescent="0.2"/>
  <cols>
    <col min="1" max="1" width="13.140625" style="1" bestFit="1" customWidth="1"/>
    <col min="2" max="2" width="11.5703125" style="23" bestFit="1" customWidth="1"/>
    <col min="3" max="3" width="32.42578125" style="23" bestFit="1" customWidth="1"/>
    <col min="4" max="4" width="19.42578125" style="23" bestFit="1" customWidth="1"/>
    <col min="5" max="5" width="34.5703125" style="1" bestFit="1" customWidth="1"/>
    <col min="6" max="6" width="13.28515625" style="3" customWidth="1"/>
    <col min="7" max="8" width="16" style="1" bestFit="1" customWidth="1"/>
    <col min="9" max="9" width="10.42578125" style="1" bestFit="1" customWidth="1"/>
    <col min="10" max="10" width="10.140625" style="2" bestFit="1" customWidth="1"/>
    <col min="11" max="11" width="5.140625" style="1" bestFit="1" customWidth="1"/>
    <col min="12" max="16384" width="9.140625" style="1"/>
  </cols>
  <sheetData>
    <row r="1" spans="1:11" x14ac:dyDescent="0.2">
      <c r="F1" s="30" t="s">
        <v>526</v>
      </c>
    </row>
    <row r="2" spans="1:11" ht="25.5" x14ac:dyDescent="0.2">
      <c r="A2" s="13" t="s">
        <v>322</v>
      </c>
      <c r="B2" s="13" t="s">
        <v>499</v>
      </c>
      <c r="C2" s="13" t="s">
        <v>463</v>
      </c>
      <c r="D2" s="13" t="s">
        <v>312</v>
      </c>
      <c r="E2" s="13" t="s">
        <v>313</v>
      </c>
      <c r="F2" s="14" t="s">
        <v>536</v>
      </c>
      <c r="G2" s="15" t="s">
        <v>314</v>
      </c>
      <c r="H2" s="15" t="s">
        <v>315</v>
      </c>
      <c r="I2" s="15" t="s">
        <v>316</v>
      </c>
      <c r="J2" s="15" t="s">
        <v>317</v>
      </c>
      <c r="K2" s="16"/>
    </row>
    <row r="3" spans="1:11" x14ac:dyDescent="0.2">
      <c r="A3" s="17" t="str">
        <f t="shared" ref="A3:A51" si="0">B3&amp;D3</f>
        <v>804178119046</v>
      </c>
      <c r="B3" s="17">
        <v>804178</v>
      </c>
      <c r="C3" s="17" t="s">
        <v>31</v>
      </c>
      <c r="D3" s="17">
        <v>119046</v>
      </c>
      <c r="E3" s="17" t="s">
        <v>13</v>
      </c>
      <c r="F3" s="18">
        <v>20</v>
      </c>
      <c r="G3" s="17" t="s">
        <v>11</v>
      </c>
      <c r="H3" s="17" t="s">
        <v>11</v>
      </c>
      <c r="I3" s="17" t="s">
        <v>318</v>
      </c>
      <c r="J3" s="19">
        <v>42227</v>
      </c>
      <c r="K3" s="16"/>
    </row>
    <row r="4" spans="1:11" x14ac:dyDescent="0.2">
      <c r="A4" s="17" t="str">
        <f t="shared" si="0"/>
        <v>804286119046</v>
      </c>
      <c r="B4" s="20">
        <v>804286</v>
      </c>
      <c r="C4" s="20" t="s">
        <v>14</v>
      </c>
      <c r="D4" s="21">
        <v>119046</v>
      </c>
      <c r="E4" s="17" t="s">
        <v>13</v>
      </c>
      <c r="F4" s="18">
        <v>0</v>
      </c>
      <c r="G4" s="17" t="s">
        <v>11</v>
      </c>
      <c r="H4" s="17" t="s">
        <v>11</v>
      </c>
      <c r="I4" s="17" t="s">
        <v>318</v>
      </c>
      <c r="J4" s="19">
        <v>42262</v>
      </c>
      <c r="K4" s="16"/>
    </row>
    <row r="5" spans="1:11" x14ac:dyDescent="0.2">
      <c r="A5" s="17" t="str">
        <f t="shared" si="0"/>
        <v>804980171880</v>
      </c>
      <c r="B5" s="20">
        <v>804980</v>
      </c>
      <c r="C5" s="20" t="s">
        <v>230</v>
      </c>
      <c r="D5" s="21">
        <v>171880</v>
      </c>
      <c r="E5" s="17" t="s">
        <v>229</v>
      </c>
      <c r="F5" s="18">
        <v>0</v>
      </c>
      <c r="G5" s="17" t="s">
        <v>11</v>
      </c>
      <c r="H5" s="17" t="s">
        <v>11</v>
      </c>
      <c r="I5" s="17" t="s">
        <v>318</v>
      </c>
      <c r="J5" s="19">
        <v>42485</v>
      </c>
      <c r="K5" s="16"/>
    </row>
    <row r="6" spans="1:11" x14ac:dyDescent="0.2">
      <c r="A6" s="17" t="str">
        <f t="shared" si="0"/>
        <v>806430175288</v>
      </c>
      <c r="B6" s="20">
        <v>806430</v>
      </c>
      <c r="C6" s="20" t="s">
        <v>279</v>
      </c>
      <c r="D6" s="17">
        <v>175288</v>
      </c>
      <c r="E6" s="17" t="s">
        <v>59</v>
      </c>
      <c r="F6" s="18">
        <v>0</v>
      </c>
      <c r="G6" s="17" t="s">
        <v>11</v>
      </c>
      <c r="H6" s="17" t="s">
        <v>11</v>
      </c>
      <c r="I6" s="17" t="s">
        <v>318</v>
      </c>
      <c r="J6" s="19">
        <v>42892</v>
      </c>
      <c r="K6" s="16"/>
    </row>
    <row r="7" spans="1:11" x14ac:dyDescent="0.2">
      <c r="A7" s="17" t="str">
        <f t="shared" si="0"/>
        <v>806430210619</v>
      </c>
      <c r="B7" s="22">
        <v>806430</v>
      </c>
      <c r="C7" s="22" t="s">
        <v>279</v>
      </c>
      <c r="D7" s="29">
        <v>210619</v>
      </c>
      <c r="E7" s="16" t="s">
        <v>468</v>
      </c>
      <c r="F7" s="18">
        <v>20</v>
      </c>
      <c r="G7" s="16" t="s">
        <v>11</v>
      </c>
      <c r="H7" s="16" t="s">
        <v>11</v>
      </c>
      <c r="I7" s="16" t="s">
        <v>318</v>
      </c>
      <c r="J7" s="19">
        <v>42892</v>
      </c>
      <c r="K7" s="16"/>
    </row>
    <row r="8" spans="1:11" x14ac:dyDescent="0.2">
      <c r="A8" s="17" t="str">
        <f t="shared" si="0"/>
        <v>806431149765</v>
      </c>
      <c r="B8" s="20">
        <v>806431</v>
      </c>
      <c r="C8" s="20" t="s">
        <v>43</v>
      </c>
      <c r="D8" s="21">
        <v>149765</v>
      </c>
      <c r="E8" s="17" t="s">
        <v>113</v>
      </c>
      <c r="F8" s="18">
        <v>0</v>
      </c>
      <c r="G8" s="17" t="s">
        <v>11</v>
      </c>
      <c r="H8" s="17" t="s">
        <v>11</v>
      </c>
      <c r="I8" s="17" t="s">
        <v>318</v>
      </c>
      <c r="J8" s="19">
        <v>42892</v>
      </c>
      <c r="K8" s="16"/>
    </row>
    <row r="9" spans="1:11" x14ac:dyDescent="0.2">
      <c r="A9" s="17" t="str">
        <f t="shared" si="0"/>
        <v>806484148557</v>
      </c>
      <c r="B9" s="20">
        <v>806484</v>
      </c>
      <c r="C9" s="20" t="s">
        <v>257</v>
      </c>
      <c r="D9" s="21">
        <v>148557</v>
      </c>
      <c r="E9" s="17" t="s">
        <v>10</v>
      </c>
      <c r="F9" s="18">
        <v>31.5</v>
      </c>
      <c r="G9" s="17" t="s">
        <v>11</v>
      </c>
      <c r="H9" s="17" t="s">
        <v>11</v>
      </c>
      <c r="I9" s="17" t="s">
        <v>318</v>
      </c>
      <c r="J9" s="19">
        <v>42906</v>
      </c>
      <c r="K9" s="16"/>
    </row>
    <row r="10" spans="1:11" x14ac:dyDescent="0.2">
      <c r="A10" s="17" t="str">
        <f t="shared" si="0"/>
        <v>806487149765</v>
      </c>
      <c r="B10" s="20">
        <v>806487</v>
      </c>
      <c r="C10" s="20" t="s">
        <v>259</v>
      </c>
      <c r="D10" s="17">
        <v>149765</v>
      </c>
      <c r="E10" s="17" t="s">
        <v>113</v>
      </c>
      <c r="F10" s="18">
        <v>25</v>
      </c>
      <c r="G10" s="17" t="s">
        <v>11</v>
      </c>
      <c r="H10" s="17" t="s">
        <v>11</v>
      </c>
      <c r="I10" s="17" t="s">
        <v>318</v>
      </c>
      <c r="J10" s="19">
        <v>42906</v>
      </c>
      <c r="K10" s="16"/>
    </row>
    <row r="11" spans="1:11" x14ac:dyDescent="0.2">
      <c r="A11" s="17" t="str">
        <f t="shared" si="0"/>
        <v>806615149765</v>
      </c>
      <c r="B11" s="20">
        <v>806615</v>
      </c>
      <c r="C11" s="20" t="s">
        <v>262</v>
      </c>
      <c r="D11" s="21">
        <v>149765</v>
      </c>
      <c r="E11" s="17" t="s">
        <v>113</v>
      </c>
      <c r="F11" s="18">
        <v>0</v>
      </c>
      <c r="G11" s="17" t="s">
        <v>11</v>
      </c>
      <c r="H11" s="17" t="s">
        <v>11</v>
      </c>
      <c r="I11" s="17" t="s">
        <v>318</v>
      </c>
      <c r="J11" s="19">
        <v>42935</v>
      </c>
      <c r="K11" s="16"/>
    </row>
    <row r="12" spans="1:11" x14ac:dyDescent="0.2">
      <c r="A12" s="17" t="str">
        <f t="shared" si="0"/>
        <v>806689149765</v>
      </c>
      <c r="B12" s="20">
        <v>806689</v>
      </c>
      <c r="C12" s="20" t="s">
        <v>265</v>
      </c>
      <c r="D12" s="21">
        <v>149765</v>
      </c>
      <c r="E12" s="17" t="s">
        <v>113</v>
      </c>
      <c r="F12" s="18">
        <v>0</v>
      </c>
      <c r="G12" s="17" t="s">
        <v>11</v>
      </c>
      <c r="H12" s="17" t="s">
        <v>11</v>
      </c>
      <c r="I12" s="17" t="s">
        <v>318</v>
      </c>
      <c r="J12" s="19">
        <v>42958</v>
      </c>
      <c r="K12" s="16"/>
    </row>
    <row r="13" spans="1:11" x14ac:dyDescent="0.2">
      <c r="A13" s="17" t="str">
        <f t="shared" si="0"/>
        <v>806720172252</v>
      </c>
      <c r="B13" s="20">
        <v>806720</v>
      </c>
      <c r="C13" s="20" t="s">
        <v>84</v>
      </c>
      <c r="D13" s="21">
        <v>172252</v>
      </c>
      <c r="E13" s="17" t="s">
        <v>83</v>
      </c>
      <c r="F13" s="18">
        <v>0</v>
      </c>
      <c r="G13" s="17" t="s">
        <v>11</v>
      </c>
      <c r="H13" s="17" t="s">
        <v>11</v>
      </c>
      <c r="I13" s="17" t="s">
        <v>318</v>
      </c>
      <c r="J13" s="19">
        <v>42964</v>
      </c>
      <c r="K13" s="16"/>
    </row>
    <row r="14" spans="1:11" x14ac:dyDescent="0.2">
      <c r="A14" s="17" t="str">
        <f t="shared" si="0"/>
        <v>806721140927</v>
      </c>
      <c r="B14" s="20">
        <v>806721</v>
      </c>
      <c r="C14" s="20" t="s">
        <v>289</v>
      </c>
      <c r="D14" s="21">
        <v>140927</v>
      </c>
      <c r="E14" s="17" t="s">
        <v>35</v>
      </c>
      <c r="F14" s="18">
        <v>20</v>
      </c>
      <c r="G14" s="17" t="s">
        <v>11</v>
      </c>
      <c r="H14" s="17" t="s">
        <v>11</v>
      </c>
      <c r="I14" s="17" t="s">
        <v>318</v>
      </c>
      <c r="J14" s="19">
        <v>42964</v>
      </c>
      <c r="K14" s="16"/>
    </row>
    <row r="15" spans="1:11" x14ac:dyDescent="0.2">
      <c r="A15" s="17" t="str">
        <f t="shared" si="0"/>
        <v>806871119046</v>
      </c>
      <c r="B15" s="20">
        <v>806871</v>
      </c>
      <c r="C15" s="20" t="s">
        <v>75</v>
      </c>
      <c r="D15" s="21">
        <v>119046</v>
      </c>
      <c r="E15" s="17" t="s">
        <v>13</v>
      </c>
      <c r="F15" s="18">
        <v>20</v>
      </c>
      <c r="G15" s="17" t="s">
        <v>11</v>
      </c>
      <c r="H15" s="17" t="s">
        <v>11</v>
      </c>
      <c r="I15" s="17" t="s">
        <v>318</v>
      </c>
      <c r="J15" s="19">
        <v>42989</v>
      </c>
      <c r="K15" s="16"/>
    </row>
    <row r="16" spans="1:11" x14ac:dyDescent="0.2">
      <c r="A16" s="17" t="str">
        <f t="shared" si="0"/>
        <v>807201149765</v>
      </c>
      <c r="B16" s="20">
        <v>807201</v>
      </c>
      <c r="C16" s="20" t="s">
        <v>261</v>
      </c>
      <c r="D16" s="21">
        <v>149765</v>
      </c>
      <c r="E16" s="17" t="s">
        <v>113</v>
      </c>
      <c r="F16" s="18">
        <v>0</v>
      </c>
      <c r="G16" s="17" t="s">
        <v>11</v>
      </c>
      <c r="H16" s="17" t="s">
        <v>11</v>
      </c>
      <c r="I16" s="17" t="s">
        <v>318</v>
      </c>
      <c r="J16" s="19">
        <v>43427</v>
      </c>
      <c r="K16" s="16"/>
    </row>
    <row r="17" spans="1:11" x14ac:dyDescent="0.2">
      <c r="A17" s="17" t="str">
        <f t="shared" si="0"/>
        <v>807929175288</v>
      </c>
      <c r="B17" s="20">
        <v>807929</v>
      </c>
      <c r="C17" s="20" t="s">
        <v>280</v>
      </c>
      <c r="D17" s="17">
        <v>175288</v>
      </c>
      <c r="E17" s="17" t="s">
        <v>59</v>
      </c>
      <c r="F17" s="18">
        <v>0</v>
      </c>
      <c r="G17" s="17" t="s">
        <v>11</v>
      </c>
      <c r="H17" s="17" t="s">
        <v>11</v>
      </c>
      <c r="I17" s="17" t="s">
        <v>318</v>
      </c>
      <c r="J17" s="19">
        <v>43122</v>
      </c>
      <c r="K17" s="16"/>
    </row>
    <row r="18" spans="1:11" x14ac:dyDescent="0.2">
      <c r="A18" s="17" t="str">
        <f t="shared" si="0"/>
        <v>808275143509</v>
      </c>
      <c r="B18" s="20">
        <v>808275</v>
      </c>
      <c r="C18" s="20" t="s">
        <v>237</v>
      </c>
      <c r="D18" s="21">
        <v>143509</v>
      </c>
      <c r="E18" s="17" t="s">
        <v>38</v>
      </c>
      <c r="F18" s="18">
        <v>10</v>
      </c>
      <c r="G18" s="17" t="s">
        <v>11</v>
      </c>
      <c r="H18" s="17" t="s">
        <v>11</v>
      </c>
      <c r="I18" s="17" t="s">
        <v>318</v>
      </c>
      <c r="J18" s="19">
        <v>43217</v>
      </c>
      <c r="K18" s="16"/>
    </row>
    <row r="19" spans="1:11" x14ac:dyDescent="0.2">
      <c r="A19" s="17" t="str">
        <f t="shared" si="0"/>
        <v>808547143509</v>
      </c>
      <c r="B19" s="20">
        <v>808547</v>
      </c>
      <c r="C19" s="20" t="s">
        <v>291</v>
      </c>
      <c r="D19" s="21">
        <v>143509</v>
      </c>
      <c r="E19" s="17" t="s">
        <v>38</v>
      </c>
      <c r="F19" s="18">
        <v>10</v>
      </c>
      <c r="G19" s="17" t="s">
        <v>11</v>
      </c>
      <c r="H19" s="17" t="s">
        <v>11</v>
      </c>
      <c r="I19" s="17" t="s">
        <v>318</v>
      </c>
      <c r="J19" s="19">
        <v>43260</v>
      </c>
      <c r="K19" s="16"/>
    </row>
    <row r="20" spans="1:11" x14ac:dyDescent="0.2">
      <c r="A20" s="17" t="str">
        <f t="shared" si="0"/>
        <v>809466119046</v>
      </c>
      <c r="B20" s="20">
        <v>809466</v>
      </c>
      <c r="C20" s="20" t="s">
        <v>50</v>
      </c>
      <c r="D20" s="21">
        <v>119046</v>
      </c>
      <c r="E20" s="17" t="s">
        <v>13</v>
      </c>
      <c r="F20" s="18">
        <v>20</v>
      </c>
      <c r="G20" s="17" t="s">
        <v>11</v>
      </c>
      <c r="H20" s="17" t="s">
        <v>11</v>
      </c>
      <c r="I20" s="17" t="s">
        <v>318</v>
      </c>
      <c r="J20" s="19">
        <v>43587</v>
      </c>
      <c r="K20" s="16"/>
    </row>
    <row r="21" spans="1:11" x14ac:dyDescent="0.2">
      <c r="A21" s="17" t="str">
        <f t="shared" si="0"/>
        <v>809467175288</v>
      </c>
      <c r="B21" s="20">
        <v>809467</v>
      </c>
      <c r="C21" s="20" t="s">
        <v>220</v>
      </c>
      <c r="D21" s="21">
        <v>175288</v>
      </c>
      <c r="E21" s="17" t="s">
        <v>59</v>
      </c>
      <c r="F21" s="18">
        <v>0</v>
      </c>
      <c r="G21" s="17" t="s">
        <v>11</v>
      </c>
      <c r="H21" s="17" t="s">
        <v>11</v>
      </c>
      <c r="I21" s="17" t="s">
        <v>318</v>
      </c>
      <c r="J21" s="19">
        <v>43587</v>
      </c>
      <c r="K21" s="16"/>
    </row>
    <row r="22" spans="1:11" x14ac:dyDescent="0.2">
      <c r="A22" s="17" t="str">
        <f t="shared" si="0"/>
        <v>809467210619</v>
      </c>
      <c r="B22" s="22">
        <v>809467</v>
      </c>
      <c r="C22" s="22" t="s">
        <v>220</v>
      </c>
      <c r="D22" s="29">
        <v>210619</v>
      </c>
      <c r="E22" s="16" t="s">
        <v>468</v>
      </c>
      <c r="F22" s="18">
        <v>10</v>
      </c>
      <c r="G22" s="16" t="s">
        <v>11</v>
      </c>
      <c r="H22" s="16" t="s">
        <v>11</v>
      </c>
      <c r="I22" s="16" t="s">
        <v>318</v>
      </c>
      <c r="J22" s="19">
        <v>43587</v>
      </c>
      <c r="K22" s="16"/>
    </row>
    <row r="23" spans="1:11" x14ac:dyDescent="0.2">
      <c r="A23" s="17" t="str">
        <f t="shared" si="0"/>
        <v>809507172712</v>
      </c>
      <c r="B23" s="20">
        <v>809507</v>
      </c>
      <c r="C23" s="20" t="s">
        <v>248</v>
      </c>
      <c r="D23" s="21">
        <v>172712</v>
      </c>
      <c r="E23" s="17" t="s">
        <v>247</v>
      </c>
      <c r="F23" s="18">
        <v>5</v>
      </c>
      <c r="G23" s="17" t="s">
        <v>11</v>
      </c>
      <c r="H23" s="17" t="s">
        <v>11</v>
      </c>
      <c r="I23" s="17" t="s">
        <v>318</v>
      </c>
      <c r="J23" s="19">
        <v>43593</v>
      </c>
      <c r="K23" s="16"/>
    </row>
    <row r="24" spans="1:11" x14ac:dyDescent="0.2">
      <c r="A24" s="17" t="str">
        <f t="shared" si="0"/>
        <v>809569171880</v>
      </c>
      <c r="B24" s="17">
        <v>809569</v>
      </c>
      <c r="C24" s="17" t="s">
        <v>324</v>
      </c>
      <c r="D24" s="17">
        <v>171880</v>
      </c>
      <c r="E24" s="17" t="s">
        <v>229</v>
      </c>
      <c r="F24" s="18">
        <v>0</v>
      </c>
      <c r="G24" s="17" t="s">
        <v>11</v>
      </c>
      <c r="H24" s="17" t="s">
        <v>11</v>
      </c>
      <c r="I24" s="17" t="s">
        <v>318</v>
      </c>
      <c r="J24" s="19">
        <v>43602</v>
      </c>
      <c r="K24" s="16"/>
    </row>
    <row r="25" spans="1:11" x14ac:dyDescent="0.2">
      <c r="A25" s="17" t="str">
        <f t="shared" si="0"/>
        <v>809785149765</v>
      </c>
      <c r="B25" s="20">
        <v>809785</v>
      </c>
      <c r="C25" s="20" t="s">
        <v>114</v>
      </c>
      <c r="D25" s="21">
        <v>149765</v>
      </c>
      <c r="E25" s="17" t="s">
        <v>113</v>
      </c>
      <c r="F25" s="18">
        <v>50</v>
      </c>
      <c r="G25" s="17" t="s">
        <v>11</v>
      </c>
      <c r="H25" s="17" t="s">
        <v>11</v>
      </c>
      <c r="I25" s="17" t="s">
        <v>318</v>
      </c>
      <c r="J25" s="19">
        <v>43640</v>
      </c>
      <c r="K25" s="16"/>
    </row>
    <row r="26" spans="1:11" x14ac:dyDescent="0.2">
      <c r="A26" s="17" t="str">
        <f t="shared" si="0"/>
        <v>810055175288</v>
      </c>
      <c r="B26" s="20">
        <v>810055</v>
      </c>
      <c r="C26" s="20" t="s">
        <v>185</v>
      </c>
      <c r="D26" s="21">
        <v>175288</v>
      </c>
      <c r="E26" s="17" t="s">
        <v>59</v>
      </c>
      <c r="F26" s="18">
        <v>0</v>
      </c>
      <c r="G26" s="17" t="s">
        <v>11</v>
      </c>
      <c r="H26" s="17" t="s">
        <v>11</v>
      </c>
      <c r="I26" s="17" t="s">
        <v>318</v>
      </c>
      <c r="J26" s="19">
        <v>43673</v>
      </c>
      <c r="K26" s="16"/>
    </row>
    <row r="27" spans="1:11" x14ac:dyDescent="0.2">
      <c r="A27" s="17" t="str">
        <f t="shared" si="0"/>
        <v>810120148557</v>
      </c>
      <c r="B27" s="20">
        <v>810120</v>
      </c>
      <c r="C27" s="20" t="s">
        <v>211</v>
      </c>
      <c r="D27" s="21">
        <v>148557</v>
      </c>
      <c r="E27" s="17" t="s">
        <v>10</v>
      </c>
      <c r="F27" s="18">
        <v>0</v>
      </c>
      <c r="G27" s="17" t="s">
        <v>11</v>
      </c>
      <c r="H27" s="17" t="s">
        <v>11</v>
      </c>
      <c r="I27" s="17" t="s">
        <v>318</v>
      </c>
      <c r="J27" s="19">
        <v>43678</v>
      </c>
      <c r="K27" s="16"/>
    </row>
    <row r="28" spans="1:11" x14ac:dyDescent="0.2">
      <c r="A28" s="17" t="str">
        <f t="shared" si="0"/>
        <v>810324175288</v>
      </c>
      <c r="B28" s="20">
        <v>810324</v>
      </c>
      <c r="C28" s="20" t="s">
        <v>267</v>
      </c>
      <c r="D28" s="17">
        <v>175288</v>
      </c>
      <c r="E28" s="17" t="s">
        <v>59</v>
      </c>
      <c r="F28" s="18">
        <v>0</v>
      </c>
      <c r="G28" s="17" t="s">
        <v>11</v>
      </c>
      <c r="H28" s="17" t="s">
        <v>11</v>
      </c>
      <c r="I28" s="17" t="s">
        <v>318</v>
      </c>
      <c r="J28" s="19">
        <v>43700</v>
      </c>
      <c r="K28" s="16"/>
    </row>
    <row r="29" spans="1:11" x14ac:dyDescent="0.2">
      <c r="A29" s="17" t="str">
        <f t="shared" si="0"/>
        <v>810435178661</v>
      </c>
      <c r="B29" s="20">
        <v>810435</v>
      </c>
      <c r="C29" s="20" t="s">
        <v>131</v>
      </c>
      <c r="D29" s="21">
        <v>178661</v>
      </c>
      <c r="E29" s="17" t="s">
        <v>28</v>
      </c>
      <c r="F29" s="18">
        <v>0</v>
      </c>
      <c r="G29" s="17" t="s">
        <v>11</v>
      </c>
      <c r="H29" s="17" t="s">
        <v>11</v>
      </c>
      <c r="I29" s="17" t="s">
        <v>318</v>
      </c>
      <c r="J29" s="19">
        <v>43711</v>
      </c>
      <c r="K29" s="16"/>
    </row>
    <row r="30" spans="1:11" x14ac:dyDescent="0.2">
      <c r="A30" s="17" t="str">
        <f t="shared" si="0"/>
        <v>810595176641</v>
      </c>
      <c r="B30" s="20">
        <v>810595</v>
      </c>
      <c r="C30" s="20" t="s">
        <v>278</v>
      </c>
      <c r="D30" s="21">
        <v>176641</v>
      </c>
      <c r="E30" s="17" t="s">
        <v>41</v>
      </c>
      <c r="F30" s="18">
        <v>3.75</v>
      </c>
      <c r="G30" s="17" t="s">
        <v>11</v>
      </c>
      <c r="H30" s="17" t="s">
        <v>11</v>
      </c>
      <c r="I30" s="17" t="s">
        <v>318</v>
      </c>
      <c r="J30" s="19">
        <v>43743</v>
      </c>
      <c r="K30" s="16"/>
    </row>
    <row r="31" spans="1:11" x14ac:dyDescent="0.2">
      <c r="A31" s="17" t="str">
        <f t="shared" si="0"/>
        <v>810648140481</v>
      </c>
      <c r="B31" s="20">
        <v>810648</v>
      </c>
      <c r="C31" s="20" t="s">
        <v>294</v>
      </c>
      <c r="D31" s="21">
        <v>140481</v>
      </c>
      <c r="E31" s="17" t="s">
        <v>36</v>
      </c>
      <c r="F31" s="18">
        <v>0</v>
      </c>
      <c r="G31" s="17" t="s">
        <v>11</v>
      </c>
      <c r="H31" s="17" t="s">
        <v>11</v>
      </c>
      <c r="I31" s="17" t="s">
        <v>318</v>
      </c>
      <c r="J31" s="19">
        <v>43754</v>
      </c>
      <c r="K31" s="16"/>
    </row>
    <row r="32" spans="1:11" x14ac:dyDescent="0.2">
      <c r="A32" s="17" t="str">
        <f t="shared" si="0"/>
        <v>810683178661</v>
      </c>
      <c r="B32" s="20">
        <v>810683</v>
      </c>
      <c r="C32" s="20" t="s">
        <v>133</v>
      </c>
      <c r="D32" s="21">
        <v>178661</v>
      </c>
      <c r="E32" s="17" t="s">
        <v>28</v>
      </c>
      <c r="F32" s="18">
        <v>10</v>
      </c>
      <c r="G32" s="17" t="s">
        <v>11</v>
      </c>
      <c r="H32" s="17" t="s">
        <v>11</v>
      </c>
      <c r="I32" s="17" t="s">
        <v>318</v>
      </c>
      <c r="J32" s="19">
        <v>43761</v>
      </c>
      <c r="K32" s="16"/>
    </row>
    <row r="33" spans="1:11" x14ac:dyDescent="0.2">
      <c r="A33" s="17" t="str">
        <f t="shared" si="0"/>
        <v>810686178661</v>
      </c>
      <c r="B33" s="20">
        <v>810686</v>
      </c>
      <c r="C33" s="20" t="s">
        <v>132</v>
      </c>
      <c r="D33" s="21">
        <v>178661</v>
      </c>
      <c r="E33" s="17" t="s">
        <v>28</v>
      </c>
      <c r="F33" s="18">
        <v>10</v>
      </c>
      <c r="G33" s="17" t="s">
        <v>11</v>
      </c>
      <c r="H33" s="17" t="s">
        <v>11</v>
      </c>
      <c r="I33" s="17" t="s">
        <v>318</v>
      </c>
      <c r="J33" s="19">
        <v>43761</v>
      </c>
      <c r="K33" s="16"/>
    </row>
    <row r="34" spans="1:11" x14ac:dyDescent="0.2">
      <c r="A34" s="17" t="str">
        <f t="shared" si="0"/>
        <v>810922175288</v>
      </c>
      <c r="B34" s="20">
        <v>810922</v>
      </c>
      <c r="C34" s="20" t="s">
        <v>186</v>
      </c>
      <c r="D34" s="21">
        <v>175288</v>
      </c>
      <c r="E34" s="17" t="s">
        <v>59</v>
      </c>
      <c r="F34" s="18">
        <v>0</v>
      </c>
      <c r="G34" s="17" t="s">
        <v>11</v>
      </c>
      <c r="H34" s="17" t="s">
        <v>11</v>
      </c>
      <c r="I34" s="17" t="s">
        <v>318</v>
      </c>
      <c r="J34" s="19">
        <v>43805</v>
      </c>
      <c r="K34" s="16"/>
    </row>
    <row r="35" spans="1:11" x14ac:dyDescent="0.2">
      <c r="A35" s="17" t="str">
        <f t="shared" si="0"/>
        <v>811091140481</v>
      </c>
      <c r="B35" s="20">
        <v>811091</v>
      </c>
      <c r="C35" s="20" t="s">
        <v>303</v>
      </c>
      <c r="D35" s="21">
        <v>140481</v>
      </c>
      <c r="E35" s="17" t="s">
        <v>36</v>
      </c>
      <c r="F35" s="18">
        <v>0</v>
      </c>
      <c r="G35" s="17" t="s">
        <v>11</v>
      </c>
      <c r="H35" s="17" t="s">
        <v>11</v>
      </c>
      <c r="I35" s="17" t="s">
        <v>318</v>
      </c>
      <c r="J35" s="19">
        <v>43826</v>
      </c>
      <c r="K35" s="16"/>
    </row>
    <row r="36" spans="1:11" x14ac:dyDescent="0.2">
      <c r="A36" s="17" t="str">
        <f t="shared" si="0"/>
        <v>811092176641</v>
      </c>
      <c r="B36" s="20">
        <v>811092</v>
      </c>
      <c r="C36" s="20" t="s">
        <v>42</v>
      </c>
      <c r="D36" s="21">
        <v>176641</v>
      </c>
      <c r="E36" s="17" t="s">
        <v>41</v>
      </c>
      <c r="F36" s="18">
        <v>21</v>
      </c>
      <c r="G36" s="17" t="s">
        <v>11</v>
      </c>
      <c r="H36" s="17" t="s">
        <v>11</v>
      </c>
      <c r="I36" s="17" t="s">
        <v>318</v>
      </c>
      <c r="J36" s="19">
        <v>43826</v>
      </c>
      <c r="K36" s="16"/>
    </row>
    <row r="37" spans="1:11" x14ac:dyDescent="0.2">
      <c r="A37" s="17" t="str">
        <f t="shared" si="0"/>
        <v>811135175288</v>
      </c>
      <c r="B37" s="20">
        <v>811135</v>
      </c>
      <c r="C37" s="20" t="s">
        <v>187</v>
      </c>
      <c r="D37" s="21">
        <v>175288</v>
      </c>
      <c r="E37" s="17" t="s">
        <v>59</v>
      </c>
      <c r="F37" s="18">
        <v>0</v>
      </c>
      <c r="G37" s="17" t="s">
        <v>11</v>
      </c>
      <c r="H37" s="17" t="s">
        <v>11</v>
      </c>
      <c r="I37" s="17" t="s">
        <v>318</v>
      </c>
      <c r="J37" s="19">
        <v>43829</v>
      </c>
      <c r="K37" s="16"/>
    </row>
    <row r="38" spans="1:11" x14ac:dyDescent="0.2">
      <c r="A38" s="17" t="str">
        <f t="shared" si="0"/>
        <v>811422175288</v>
      </c>
      <c r="B38" s="20">
        <v>811422</v>
      </c>
      <c r="C38" s="20" t="s">
        <v>30</v>
      </c>
      <c r="D38" s="21">
        <v>175288</v>
      </c>
      <c r="E38" s="17" t="s">
        <v>59</v>
      </c>
      <c r="F38" s="18">
        <v>0</v>
      </c>
      <c r="G38" s="17" t="s">
        <v>11</v>
      </c>
      <c r="H38" s="17" t="s">
        <v>11</v>
      </c>
      <c r="I38" s="17" t="s">
        <v>318</v>
      </c>
      <c r="J38" s="19">
        <v>43866</v>
      </c>
      <c r="K38" s="16"/>
    </row>
    <row r="39" spans="1:11" x14ac:dyDescent="0.2">
      <c r="A39" s="17" t="str">
        <f t="shared" si="0"/>
        <v>811522175288</v>
      </c>
      <c r="B39" s="20">
        <v>811522</v>
      </c>
      <c r="C39" s="20" t="s">
        <v>464</v>
      </c>
      <c r="D39" s="17">
        <v>175288</v>
      </c>
      <c r="E39" s="17" t="s">
        <v>59</v>
      </c>
      <c r="F39" s="18">
        <v>0</v>
      </c>
      <c r="G39" s="17" t="s">
        <v>11</v>
      </c>
      <c r="H39" s="17" t="s">
        <v>11</v>
      </c>
      <c r="I39" s="17" t="s">
        <v>318</v>
      </c>
      <c r="J39" s="19">
        <v>43878</v>
      </c>
      <c r="K39" s="16"/>
    </row>
    <row r="40" spans="1:11" x14ac:dyDescent="0.2">
      <c r="A40" s="17" t="str">
        <f t="shared" si="0"/>
        <v>811630140481</v>
      </c>
      <c r="B40" s="20">
        <v>811630</v>
      </c>
      <c r="C40" s="20" t="s">
        <v>302</v>
      </c>
      <c r="D40" s="21">
        <v>140481</v>
      </c>
      <c r="E40" s="17" t="s">
        <v>36</v>
      </c>
      <c r="F40" s="18">
        <v>10</v>
      </c>
      <c r="G40" s="17" t="s">
        <v>11</v>
      </c>
      <c r="H40" s="17" t="s">
        <v>11</v>
      </c>
      <c r="I40" s="17" t="s">
        <v>318</v>
      </c>
      <c r="J40" s="19">
        <v>43888</v>
      </c>
      <c r="K40" s="16"/>
    </row>
    <row r="41" spans="1:11" x14ac:dyDescent="0.2">
      <c r="A41" s="17" t="str">
        <f t="shared" si="0"/>
        <v>812056175288</v>
      </c>
      <c r="B41" s="20">
        <v>812056</v>
      </c>
      <c r="C41" s="20" t="s">
        <v>292</v>
      </c>
      <c r="D41" s="21">
        <v>175288</v>
      </c>
      <c r="E41" s="17" t="s">
        <v>59</v>
      </c>
      <c r="F41" s="18">
        <v>0</v>
      </c>
      <c r="G41" s="17" t="s">
        <v>11</v>
      </c>
      <c r="H41" s="17" t="s">
        <v>11</v>
      </c>
      <c r="I41" s="17" t="s">
        <v>318</v>
      </c>
      <c r="J41" s="19">
        <v>44011</v>
      </c>
      <c r="K41" s="16"/>
    </row>
    <row r="42" spans="1:11" x14ac:dyDescent="0.2">
      <c r="A42" s="17" t="str">
        <f t="shared" si="0"/>
        <v>812291149765</v>
      </c>
      <c r="B42" s="20">
        <v>812291</v>
      </c>
      <c r="C42" s="20" t="s">
        <v>263</v>
      </c>
      <c r="D42" s="21">
        <v>149765</v>
      </c>
      <c r="E42" s="17" t="s">
        <v>113</v>
      </c>
      <c r="F42" s="18">
        <v>0</v>
      </c>
      <c r="G42" s="17" t="s">
        <v>11</v>
      </c>
      <c r="H42" s="17" t="s">
        <v>11</v>
      </c>
      <c r="I42" s="17" t="s">
        <v>318</v>
      </c>
      <c r="J42" s="19">
        <v>44032</v>
      </c>
      <c r="K42" s="16"/>
    </row>
    <row r="43" spans="1:11" x14ac:dyDescent="0.2">
      <c r="A43" s="17" t="str">
        <f t="shared" si="0"/>
        <v>812300149765</v>
      </c>
      <c r="B43" s="20">
        <v>812300</v>
      </c>
      <c r="C43" s="20" t="s">
        <v>264</v>
      </c>
      <c r="D43" s="21">
        <v>149765</v>
      </c>
      <c r="E43" s="17" t="s">
        <v>113</v>
      </c>
      <c r="F43" s="18">
        <v>0</v>
      </c>
      <c r="G43" s="17" t="s">
        <v>11</v>
      </c>
      <c r="H43" s="17" t="s">
        <v>11</v>
      </c>
      <c r="I43" s="17" t="s">
        <v>318</v>
      </c>
      <c r="J43" s="19">
        <v>44033</v>
      </c>
      <c r="K43" s="16"/>
    </row>
    <row r="44" spans="1:11" x14ac:dyDescent="0.2">
      <c r="A44" s="17" t="str">
        <f t="shared" si="0"/>
        <v>812382179893</v>
      </c>
      <c r="B44" s="20">
        <v>812382</v>
      </c>
      <c r="C44" s="20" t="s">
        <v>242</v>
      </c>
      <c r="D44" s="21">
        <v>179893</v>
      </c>
      <c r="E44" s="17" t="s">
        <v>155</v>
      </c>
      <c r="F44" s="18">
        <v>31.5</v>
      </c>
      <c r="G44" s="17" t="s">
        <v>11</v>
      </c>
      <c r="H44" s="17" t="s">
        <v>11</v>
      </c>
      <c r="I44" s="17" t="s">
        <v>318</v>
      </c>
      <c r="J44" s="19">
        <v>44040</v>
      </c>
      <c r="K44" s="16"/>
    </row>
    <row r="45" spans="1:11" x14ac:dyDescent="0.2">
      <c r="A45" s="17" t="str">
        <f t="shared" si="0"/>
        <v>812391143509</v>
      </c>
      <c r="B45" s="22">
        <v>812391</v>
      </c>
      <c r="C45" s="22" t="s">
        <v>115</v>
      </c>
      <c r="D45" s="22">
        <v>143509</v>
      </c>
      <c r="E45" s="16" t="s">
        <v>38</v>
      </c>
      <c r="F45" s="18">
        <v>0</v>
      </c>
      <c r="G45" s="16" t="s">
        <v>11</v>
      </c>
      <c r="H45" s="16" t="s">
        <v>11</v>
      </c>
      <c r="I45" s="16" t="s">
        <v>318</v>
      </c>
      <c r="J45" s="19">
        <v>44041</v>
      </c>
      <c r="K45" s="16"/>
    </row>
    <row r="46" spans="1:11" x14ac:dyDescent="0.2">
      <c r="A46" s="17" t="str">
        <f t="shared" si="0"/>
        <v>812391149765</v>
      </c>
      <c r="B46" s="20">
        <v>812391</v>
      </c>
      <c r="C46" s="20" t="s">
        <v>115</v>
      </c>
      <c r="D46" s="21">
        <v>149765</v>
      </c>
      <c r="E46" s="17" t="s">
        <v>113</v>
      </c>
      <c r="F46" s="18">
        <v>0</v>
      </c>
      <c r="G46" s="17" t="s">
        <v>11</v>
      </c>
      <c r="H46" s="17" t="s">
        <v>11</v>
      </c>
      <c r="I46" s="17" t="s">
        <v>318</v>
      </c>
      <c r="J46" s="19">
        <v>44041</v>
      </c>
      <c r="K46" s="16"/>
    </row>
    <row r="47" spans="1:11" x14ac:dyDescent="0.2">
      <c r="A47" s="17" t="str">
        <f t="shared" si="0"/>
        <v>812461179893</v>
      </c>
      <c r="B47" s="20">
        <v>812461</v>
      </c>
      <c r="C47" s="20" t="s">
        <v>305</v>
      </c>
      <c r="D47" s="21">
        <v>179893</v>
      </c>
      <c r="E47" s="17" t="s">
        <v>155</v>
      </c>
      <c r="F47" s="18">
        <v>10</v>
      </c>
      <c r="G47" s="17" t="s">
        <v>11</v>
      </c>
      <c r="H47" s="17" t="s">
        <v>11</v>
      </c>
      <c r="I47" s="17" t="s">
        <v>318</v>
      </c>
      <c r="J47" s="19">
        <v>44050</v>
      </c>
      <c r="K47" s="16"/>
    </row>
    <row r="48" spans="1:11" x14ac:dyDescent="0.2">
      <c r="A48" s="17" t="str">
        <f t="shared" si="0"/>
        <v>812469201065</v>
      </c>
      <c r="B48" s="20">
        <v>812469</v>
      </c>
      <c r="C48" s="20" t="s">
        <v>106</v>
      </c>
      <c r="D48" s="21">
        <v>201065</v>
      </c>
      <c r="E48" s="17" t="s">
        <v>104</v>
      </c>
      <c r="F48" s="18">
        <v>0</v>
      </c>
      <c r="G48" s="17" t="s">
        <v>11</v>
      </c>
      <c r="H48" s="17" t="s">
        <v>11</v>
      </c>
      <c r="I48" s="17" t="s">
        <v>318</v>
      </c>
      <c r="J48" s="19">
        <v>44051</v>
      </c>
      <c r="K48" s="16"/>
    </row>
    <row r="49" spans="1:11" x14ac:dyDescent="0.2">
      <c r="A49" s="17" t="str">
        <f t="shared" si="0"/>
        <v>812969140481</v>
      </c>
      <c r="B49" s="20">
        <v>812969</v>
      </c>
      <c r="C49" s="20" t="s">
        <v>65</v>
      </c>
      <c r="D49" s="21">
        <v>140481</v>
      </c>
      <c r="E49" s="17" t="s">
        <v>36</v>
      </c>
      <c r="F49" s="18">
        <v>22</v>
      </c>
      <c r="G49" s="17" t="s">
        <v>11</v>
      </c>
      <c r="H49" s="17" t="s">
        <v>11</v>
      </c>
      <c r="I49" s="17" t="s">
        <v>318</v>
      </c>
      <c r="J49" s="19">
        <v>44092</v>
      </c>
      <c r="K49" s="16"/>
    </row>
    <row r="50" spans="1:11" x14ac:dyDescent="0.2">
      <c r="A50" s="17" t="str">
        <f t="shared" si="0"/>
        <v>813172178661</v>
      </c>
      <c r="B50" s="20">
        <v>813172</v>
      </c>
      <c r="C50" s="20" t="s">
        <v>119</v>
      </c>
      <c r="D50" s="21">
        <v>178661</v>
      </c>
      <c r="E50" s="17" t="s">
        <v>28</v>
      </c>
      <c r="F50" s="18">
        <v>30</v>
      </c>
      <c r="G50" s="17" t="s">
        <v>11</v>
      </c>
      <c r="H50" s="17" t="s">
        <v>11</v>
      </c>
      <c r="I50" s="17" t="s">
        <v>318</v>
      </c>
      <c r="J50" s="19">
        <v>44109</v>
      </c>
      <c r="K50" s="16"/>
    </row>
    <row r="51" spans="1:11" x14ac:dyDescent="0.2">
      <c r="A51" s="17" t="str">
        <f t="shared" si="0"/>
        <v>813521140927</v>
      </c>
      <c r="B51" s="20">
        <v>813521</v>
      </c>
      <c r="C51" s="20" t="s">
        <v>64</v>
      </c>
      <c r="D51" s="21">
        <v>140927</v>
      </c>
      <c r="E51" s="17" t="s">
        <v>35</v>
      </c>
      <c r="F51" s="18">
        <v>20</v>
      </c>
      <c r="G51" s="17" t="s">
        <v>11</v>
      </c>
      <c r="H51" s="17" t="s">
        <v>11</v>
      </c>
      <c r="I51" s="17" t="s">
        <v>318</v>
      </c>
      <c r="J51" s="19">
        <v>44142</v>
      </c>
      <c r="K51" s="16"/>
    </row>
    <row r="52" spans="1:11" x14ac:dyDescent="0.2">
      <c r="A52" s="17" t="str">
        <f t="shared" ref="A52:A115" si="1">B52&amp;D52</f>
        <v>813636178661</v>
      </c>
      <c r="B52" s="20">
        <v>813636</v>
      </c>
      <c r="C52" s="20" t="s">
        <v>87</v>
      </c>
      <c r="D52" s="21">
        <v>178661</v>
      </c>
      <c r="E52" s="17" t="s">
        <v>28</v>
      </c>
      <c r="F52" s="18">
        <v>10</v>
      </c>
      <c r="G52" s="17" t="s">
        <v>11</v>
      </c>
      <c r="H52" s="17" t="s">
        <v>11</v>
      </c>
      <c r="I52" s="17" t="s">
        <v>318</v>
      </c>
      <c r="J52" s="19">
        <v>44160</v>
      </c>
      <c r="K52" s="16"/>
    </row>
    <row r="53" spans="1:11" x14ac:dyDescent="0.2">
      <c r="A53" s="17" t="str">
        <f t="shared" si="1"/>
        <v>813672176641</v>
      </c>
      <c r="B53" s="20">
        <v>813672</v>
      </c>
      <c r="C53" s="20" t="s">
        <v>254</v>
      </c>
      <c r="D53" s="21">
        <v>176641</v>
      </c>
      <c r="E53" s="17" t="s">
        <v>41</v>
      </c>
      <c r="F53" s="18">
        <v>0</v>
      </c>
      <c r="G53" s="17" t="s">
        <v>11</v>
      </c>
      <c r="H53" s="17" t="s">
        <v>11</v>
      </c>
      <c r="I53" s="17" t="s">
        <v>318</v>
      </c>
      <c r="J53" s="19">
        <v>44162</v>
      </c>
      <c r="K53" s="16"/>
    </row>
    <row r="54" spans="1:11" x14ac:dyDescent="0.2">
      <c r="A54" s="17" t="str">
        <f t="shared" si="1"/>
        <v>813692142984</v>
      </c>
      <c r="B54" s="20">
        <v>813692</v>
      </c>
      <c r="C54" s="20" t="s">
        <v>241</v>
      </c>
      <c r="D54" s="21">
        <v>142984</v>
      </c>
      <c r="E54" s="17" t="s">
        <v>89</v>
      </c>
      <c r="F54" s="18">
        <v>0</v>
      </c>
      <c r="G54" s="17" t="s">
        <v>11</v>
      </c>
      <c r="H54" s="17" t="s">
        <v>11</v>
      </c>
      <c r="I54" s="17" t="s">
        <v>318</v>
      </c>
      <c r="J54" s="19">
        <v>44163</v>
      </c>
      <c r="K54" s="16"/>
    </row>
    <row r="55" spans="1:11" x14ac:dyDescent="0.2">
      <c r="A55" s="17" t="str">
        <f t="shared" si="1"/>
        <v>813728201065</v>
      </c>
      <c r="B55" s="20">
        <v>813728</v>
      </c>
      <c r="C55" s="20" t="s">
        <v>307</v>
      </c>
      <c r="D55" s="21">
        <v>201065</v>
      </c>
      <c r="E55" s="17" t="s">
        <v>104</v>
      </c>
      <c r="F55" s="18">
        <v>0</v>
      </c>
      <c r="G55" s="17" t="s">
        <v>11</v>
      </c>
      <c r="H55" s="17" t="s">
        <v>11</v>
      </c>
      <c r="I55" s="17" t="s">
        <v>318</v>
      </c>
      <c r="J55" s="19">
        <v>44165</v>
      </c>
      <c r="K55" s="16"/>
    </row>
    <row r="56" spans="1:11" x14ac:dyDescent="0.2">
      <c r="A56" s="17" t="str">
        <f t="shared" si="1"/>
        <v>813729140481</v>
      </c>
      <c r="B56" s="20">
        <v>813729</v>
      </c>
      <c r="C56" s="20" t="s">
        <v>268</v>
      </c>
      <c r="D56" s="21">
        <v>140481</v>
      </c>
      <c r="E56" s="17" t="s">
        <v>36</v>
      </c>
      <c r="F56" s="18">
        <v>10</v>
      </c>
      <c r="G56" s="17" t="s">
        <v>11</v>
      </c>
      <c r="H56" s="17" t="s">
        <v>11</v>
      </c>
      <c r="I56" s="17" t="s">
        <v>318</v>
      </c>
      <c r="J56" s="19">
        <v>44165</v>
      </c>
      <c r="K56" s="16"/>
    </row>
    <row r="57" spans="1:11" x14ac:dyDescent="0.2">
      <c r="A57" s="17" t="str">
        <f t="shared" si="1"/>
        <v>813896149765</v>
      </c>
      <c r="B57" s="20">
        <v>813896</v>
      </c>
      <c r="C57" s="20" t="s">
        <v>267</v>
      </c>
      <c r="D57" s="21">
        <v>149765</v>
      </c>
      <c r="E57" s="17" t="s">
        <v>113</v>
      </c>
      <c r="F57" s="18">
        <v>10</v>
      </c>
      <c r="G57" s="17" t="s">
        <v>11</v>
      </c>
      <c r="H57" s="17" t="s">
        <v>11</v>
      </c>
      <c r="I57" s="17" t="s">
        <v>318</v>
      </c>
      <c r="J57" s="19">
        <v>44184</v>
      </c>
      <c r="K57" s="16"/>
    </row>
    <row r="58" spans="1:11" x14ac:dyDescent="0.2">
      <c r="A58" s="17" t="str">
        <f t="shared" si="1"/>
        <v>813909148557</v>
      </c>
      <c r="B58" s="20">
        <v>813909</v>
      </c>
      <c r="C58" s="20" t="s">
        <v>255</v>
      </c>
      <c r="D58" s="21">
        <v>148557</v>
      </c>
      <c r="E58" s="17" t="s">
        <v>10</v>
      </c>
      <c r="F58" s="18">
        <v>10</v>
      </c>
      <c r="G58" s="17" t="s">
        <v>11</v>
      </c>
      <c r="H58" s="17" t="s">
        <v>11</v>
      </c>
      <c r="I58" s="17" t="s">
        <v>318</v>
      </c>
      <c r="J58" s="19">
        <v>44187</v>
      </c>
      <c r="K58" s="16"/>
    </row>
    <row r="59" spans="1:11" x14ac:dyDescent="0.2">
      <c r="A59" s="17" t="str">
        <f t="shared" si="1"/>
        <v>814183147891</v>
      </c>
      <c r="B59" s="20">
        <v>814183</v>
      </c>
      <c r="C59" s="20" t="s">
        <v>135</v>
      </c>
      <c r="D59" s="21">
        <v>147891</v>
      </c>
      <c r="E59" s="17" t="s">
        <v>134</v>
      </c>
      <c r="F59" s="18">
        <v>25</v>
      </c>
      <c r="G59" s="17" t="s">
        <v>11</v>
      </c>
      <c r="H59" s="17" t="s">
        <v>11</v>
      </c>
      <c r="I59" s="17" t="s">
        <v>318</v>
      </c>
      <c r="J59" s="19">
        <v>44215</v>
      </c>
      <c r="K59" s="16"/>
    </row>
    <row r="60" spans="1:11" x14ac:dyDescent="0.2">
      <c r="A60" s="17" t="str">
        <f t="shared" si="1"/>
        <v>814184201065</v>
      </c>
      <c r="B60" s="20">
        <v>814184</v>
      </c>
      <c r="C60" s="20" t="s">
        <v>105</v>
      </c>
      <c r="D60" s="21">
        <v>201065</v>
      </c>
      <c r="E60" s="17" t="s">
        <v>104</v>
      </c>
      <c r="F60" s="18">
        <v>0</v>
      </c>
      <c r="G60" s="17" t="s">
        <v>11</v>
      </c>
      <c r="H60" s="17" t="s">
        <v>11</v>
      </c>
      <c r="I60" s="17" t="s">
        <v>318</v>
      </c>
      <c r="J60" s="19">
        <v>44215</v>
      </c>
      <c r="K60" s="16"/>
    </row>
    <row r="61" spans="1:11" x14ac:dyDescent="0.2">
      <c r="A61" s="17" t="str">
        <f t="shared" si="1"/>
        <v>814227178661</v>
      </c>
      <c r="B61" s="20">
        <v>814227</v>
      </c>
      <c r="C61" s="20" t="s">
        <v>88</v>
      </c>
      <c r="D61" s="21">
        <v>178661</v>
      </c>
      <c r="E61" s="17" t="s">
        <v>28</v>
      </c>
      <c r="F61" s="18">
        <v>10</v>
      </c>
      <c r="G61" s="17" t="s">
        <v>11</v>
      </c>
      <c r="H61" s="17" t="s">
        <v>11</v>
      </c>
      <c r="I61" s="17" t="s">
        <v>318</v>
      </c>
      <c r="J61" s="19">
        <v>44218</v>
      </c>
      <c r="K61" s="16"/>
    </row>
    <row r="62" spans="1:11" x14ac:dyDescent="0.2">
      <c r="A62" s="17" t="str">
        <f t="shared" si="1"/>
        <v>814253175288</v>
      </c>
      <c r="B62" s="20">
        <v>814253</v>
      </c>
      <c r="C62" s="20" t="s">
        <v>187</v>
      </c>
      <c r="D62" s="17">
        <v>175288</v>
      </c>
      <c r="E62" s="17" t="s">
        <v>59</v>
      </c>
      <c r="F62" s="18">
        <v>0</v>
      </c>
      <c r="G62" s="17" t="s">
        <v>11</v>
      </c>
      <c r="H62" s="17" t="s">
        <v>11</v>
      </c>
      <c r="I62" s="17" t="s">
        <v>318</v>
      </c>
      <c r="J62" s="19">
        <v>44219</v>
      </c>
      <c r="K62" s="16"/>
    </row>
    <row r="63" spans="1:11" x14ac:dyDescent="0.2">
      <c r="A63" s="17" t="str">
        <f t="shared" si="1"/>
        <v>814447140927</v>
      </c>
      <c r="B63" s="20">
        <v>814447</v>
      </c>
      <c r="C63" s="20" t="s">
        <v>48</v>
      </c>
      <c r="D63" s="21">
        <v>140927</v>
      </c>
      <c r="E63" s="17" t="s">
        <v>35</v>
      </c>
      <c r="F63" s="18">
        <v>20</v>
      </c>
      <c r="G63" s="17" t="s">
        <v>11</v>
      </c>
      <c r="H63" s="17" t="s">
        <v>11</v>
      </c>
      <c r="I63" s="17" t="s">
        <v>318</v>
      </c>
      <c r="J63" s="19">
        <v>44238</v>
      </c>
      <c r="K63" s="16"/>
    </row>
    <row r="64" spans="1:11" x14ac:dyDescent="0.2">
      <c r="A64" s="17" t="str">
        <f t="shared" si="1"/>
        <v>814540202479</v>
      </c>
      <c r="B64" s="20">
        <v>814540</v>
      </c>
      <c r="C64" s="20" t="s">
        <v>39</v>
      </c>
      <c r="D64" s="21">
        <v>202479</v>
      </c>
      <c r="E64" s="17" t="s">
        <v>33</v>
      </c>
      <c r="F64" s="18">
        <v>0</v>
      </c>
      <c r="G64" s="17" t="s">
        <v>11</v>
      </c>
      <c r="H64" s="17" t="s">
        <v>11</v>
      </c>
      <c r="I64" s="17" t="s">
        <v>318</v>
      </c>
      <c r="J64" s="19">
        <v>44246</v>
      </c>
      <c r="K64" s="16"/>
    </row>
    <row r="65" spans="1:11" x14ac:dyDescent="0.2">
      <c r="A65" s="17" t="str">
        <f t="shared" si="1"/>
        <v>814545149765</v>
      </c>
      <c r="B65" s="20">
        <v>814545</v>
      </c>
      <c r="C65" s="20" t="s">
        <v>266</v>
      </c>
      <c r="D65" s="21">
        <v>149765</v>
      </c>
      <c r="E65" s="17" t="s">
        <v>113</v>
      </c>
      <c r="F65" s="18">
        <v>10</v>
      </c>
      <c r="G65" s="17" t="s">
        <v>11</v>
      </c>
      <c r="H65" s="17" t="s">
        <v>11</v>
      </c>
      <c r="I65" s="17" t="s">
        <v>318</v>
      </c>
      <c r="J65" s="19">
        <v>44246</v>
      </c>
      <c r="K65" s="16"/>
    </row>
    <row r="66" spans="1:11" x14ac:dyDescent="0.2">
      <c r="A66" s="17" t="str">
        <f t="shared" si="1"/>
        <v>814777178661</v>
      </c>
      <c r="B66" s="20">
        <v>814777</v>
      </c>
      <c r="C66" s="20" t="s">
        <v>29</v>
      </c>
      <c r="D66" s="21">
        <v>178661</v>
      </c>
      <c r="E66" s="17" t="s">
        <v>28</v>
      </c>
      <c r="F66" s="18">
        <v>10</v>
      </c>
      <c r="G66" s="17" t="s">
        <v>11</v>
      </c>
      <c r="H66" s="17" t="s">
        <v>11</v>
      </c>
      <c r="I66" s="17" t="s">
        <v>318</v>
      </c>
      <c r="J66" s="19">
        <v>44272</v>
      </c>
      <c r="K66" s="16"/>
    </row>
    <row r="67" spans="1:11" x14ac:dyDescent="0.2">
      <c r="A67" s="17" t="str">
        <f t="shared" si="1"/>
        <v>814907179893</v>
      </c>
      <c r="B67" s="20">
        <v>814907</v>
      </c>
      <c r="C67" s="20" t="s">
        <v>184</v>
      </c>
      <c r="D67" s="21">
        <v>179893</v>
      </c>
      <c r="E67" s="17" t="s">
        <v>155</v>
      </c>
      <c r="F67" s="18">
        <v>0</v>
      </c>
      <c r="G67" s="17" t="s">
        <v>11</v>
      </c>
      <c r="H67" s="17" t="s">
        <v>11</v>
      </c>
      <c r="I67" s="17" t="s">
        <v>318</v>
      </c>
      <c r="J67" s="19">
        <v>44292</v>
      </c>
      <c r="K67" s="16"/>
    </row>
    <row r="68" spans="1:11" x14ac:dyDescent="0.2">
      <c r="A68" s="17" t="str">
        <f t="shared" si="1"/>
        <v>814934202479</v>
      </c>
      <c r="B68" s="20">
        <v>814934</v>
      </c>
      <c r="C68" s="20" t="s">
        <v>129</v>
      </c>
      <c r="D68" s="21">
        <v>202479</v>
      </c>
      <c r="E68" s="17" t="s">
        <v>33</v>
      </c>
      <c r="F68" s="18">
        <v>12</v>
      </c>
      <c r="G68" s="17" t="s">
        <v>11</v>
      </c>
      <c r="H68" s="17" t="s">
        <v>11</v>
      </c>
      <c r="I68" s="17" t="s">
        <v>318</v>
      </c>
      <c r="J68" s="19">
        <v>44298</v>
      </c>
      <c r="K68" s="16"/>
    </row>
    <row r="69" spans="1:11" x14ac:dyDescent="0.2">
      <c r="A69" s="17" t="str">
        <f t="shared" si="1"/>
        <v>814939202479</v>
      </c>
      <c r="B69" s="20">
        <v>814939</v>
      </c>
      <c r="C69" s="20" t="s">
        <v>74</v>
      </c>
      <c r="D69" s="21">
        <v>202479</v>
      </c>
      <c r="E69" s="17" t="s">
        <v>33</v>
      </c>
      <c r="F69" s="18">
        <v>10</v>
      </c>
      <c r="G69" s="17" t="s">
        <v>11</v>
      </c>
      <c r="H69" s="17" t="s">
        <v>11</v>
      </c>
      <c r="I69" s="17" t="s">
        <v>318</v>
      </c>
      <c r="J69" s="19">
        <v>44299</v>
      </c>
      <c r="K69" s="16"/>
    </row>
    <row r="70" spans="1:11" x14ac:dyDescent="0.2">
      <c r="A70" s="17" t="str">
        <f t="shared" si="1"/>
        <v>815104149765</v>
      </c>
      <c r="B70" s="20">
        <v>815104</v>
      </c>
      <c r="C70" s="20" t="s">
        <v>327</v>
      </c>
      <c r="D70" s="21">
        <v>149765</v>
      </c>
      <c r="E70" s="17" t="s">
        <v>113</v>
      </c>
      <c r="F70" s="18">
        <v>20</v>
      </c>
      <c r="G70" s="17" t="s">
        <v>11</v>
      </c>
      <c r="H70" s="17" t="s">
        <v>11</v>
      </c>
      <c r="I70" s="17" t="s">
        <v>318</v>
      </c>
      <c r="J70" s="19">
        <v>44347</v>
      </c>
      <c r="K70" s="16"/>
    </row>
    <row r="71" spans="1:11" x14ac:dyDescent="0.2">
      <c r="A71" s="17" t="str">
        <f t="shared" si="1"/>
        <v>815105205650</v>
      </c>
      <c r="B71" s="20">
        <v>815105</v>
      </c>
      <c r="C71" s="20" t="s">
        <v>339</v>
      </c>
      <c r="D71" s="17">
        <v>205650</v>
      </c>
      <c r="E71" s="17" t="s">
        <v>340</v>
      </c>
      <c r="F71" s="18">
        <v>0</v>
      </c>
      <c r="G71" s="17" t="s">
        <v>11</v>
      </c>
      <c r="H71" s="17" t="s">
        <v>11</v>
      </c>
      <c r="I71" s="17" t="s">
        <v>318</v>
      </c>
      <c r="J71" s="19">
        <v>44347</v>
      </c>
      <c r="K71" s="16"/>
    </row>
    <row r="72" spans="1:11" x14ac:dyDescent="0.2">
      <c r="A72" s="17" t="str">
        <f t="shared" si="1"/>
        <v>815175149765</v>
      </c>
      <c r="B72" s="20">
        <v>815175</v>
      </c>
      <c r="C72" s="20" t="s">
        <v>335</v>
      </c>
      <c r="D72" s="21">
        <v>149765</v>
      </c>
      <c r="E72" s="17" t="s">
        <v>113</v>
      </c>
      <c r="F72" s="18">
        <v>10</v>
      </c>
      <c r="G72" s="17" t="s">
        <v>11</v>
      </c>
      <c r="H72" s="17" t="s">
        <v>11</v>
      </c>
      <c r="I72" s="17" t="s">
        <v>318</v>
      </c>
      <c r="J72" s="19">
        <v>44364</v>
      </c>
      <c r="K72" s="16"/>
    </row>
    <row r="73" spans="1:11" x14ac:dyDescent="0.2">
      <c r="A73" s="17" t="str">
        <f t="shared" si="1"/>
        <v>815176175288</v>
      </c>
      <c r="B73" s="20">
        <v>815176</v>
      </c>
      <c r="C73" s="20" t="s">
        <v>341</v>
      </c>
      <c r="D73" s="17">
        <v>175288</v>
      </c>
      <c r="E73" s="17" t="s">
        <v>59</v>
      </c>
      <c r="F73" s="18">
        <v>0</v>
      </c>
      <c r="G73" s="17" t="s">
        <v>11</v>
      </c>
      <c r="H73" s="17" t="s">
        <v>11</v>
      </c>
      <c r="I73" s="17" t="s">
        <v>318</v>
      </c>
      <c r="J73" s="19">
        <v>44364</v>
      </c>
      <c r="K73" s="16"/>
    </row>
    <row r="74" spans="1:11" x14ac:dyDescent="0.2">
      <c r="A74" s="17" t="str">
        <f t="shared" si="1"/>
        <v>815237174176</v>
      </c>
      <c r="B74" s="20">
        <v>815237</v>
      </c>
      <c r="C74" s="20" t="s">
        <v>336</v>
      </c>
      <c r="D74" s="21">
        <v>174176</v>
      </c>
      <c r="E74" s="17" t="s">
        <v>337</v>
      </c>
      <c r="F74" s="18">
        <v>0</v>
      </c>
      <c r="G74" s="17" t="s">
        <v>11</v>
      </c>
      <c r="H74" s="17" t="s">
        <v>11</v>
      </c>
      <c r="I74" s="17" t="s">
        <v>318</v>
      </c>
      <c r="J74" s="19">
        <v>44371</v>
      </c>
      <c r="K74" s="16"/>
    </row>
    <row r="75" spans="1:11" x14ac:dyDescent="0.2">
      <c r="A75" s="17" t="str">
        <f t="shared" si="1"/>
        <v>815421149765</v>
      </c>
      <c r="B75" s="20">
        <v>815421</v>
      </c>
      <c r="C75" s="20" t="s">
        <v>347</v>
      </c>
      <c r="D75" s="17">
        <v>149765</v>
      </c>
      <c r="E75" s="17" t="s">
        <v>113</v>
      </c>
      <c r="F75" s="18">
        <v>30</v>
      </c>
      <c r="G75" s="17" t="s">
        <v>11</v>
      </c>
      <c r="H75" s="17" t="s">
        <v>11</v>
      </c>
      <c r="I75" s="17" t="s">
        <v>318</v>
      </c>
      <c r="J75" s="19">
        <v>44384</v>
      </c>
      <c r="K75" s="16"/>
    </row>
    <row r="76" spans="1:11" x14ac:dyDescent="0.2">
      <c r="A76" s="17" t="str">
        <f t="shared" si="1"/>
        <v>815481205650</v>
      </c>
      <c r="B76" s="20">
        <v>815481</v>
      </c>
      <c r="C76" s="20" t="s">
        <v>3</v>
      </c>
      <c r="D76" s="17">
        <v>205650</v>
      </c>
      <c r="E76" s="17" t="s">
        <v>340</v>
      </c>
      <c r="F76" s="18">
        <v>0</v>
      </c>
      <c r="G76" s="17" t="s">
        <v>11</v>
      </c>
      <c r="H76" s="17" t="s">
        <v>11</v>
      </c>
      <c r="I76" s="17" t="s">
        <v>318</v>
      </c>
      <c r="J76" s="19">
        <v>44389</v>
      </c>
      <c r="K76" s="16"/>
    </row>
    <row r="77" spans="1:11" x14ac:dyDescent="0.2">
      <c r="A77" s="17" t="str">
        <f t="shared" si="1"/>
        <v>815643119046</v>
      </c>
      <c r="B77" s="20">
        <v>815643</v>
      </c>
      <c r="C77" s="20" t="s">
        <v>362</v>
      </c>
      <c r="D77" s="17">
        <v>119046</v>
      </c>
      <c r="E77" s="17" t="s">
        <v>13</v>
      </c>
      <c r="F77" s="18">
        <v>21.5</v>
      </c>
      <c r="G77" s="17" t="s">
        <v>11</v>
      </c>
      <c r="H77" s="17" t="s">
        <v>11</v>
      </c>
      <c r="I77" s="17" t="s">
        <v>318</v>
      </c>
      <c r="J77" s="19">
        <v>44403</v>
      </c>
      <c r="K77" s="16"/>
    </row>
    <row r="78" spans="1:11" x14ac:dyDescent="0.2">
      <c r="A78" s="17" t="str">
        <f t="shared" si="1"/>
        <v>815644119046</v>
      </c>
      <c r="B78" s="20">
        <v>815644</v>
      </c>
      <c r="C78" s="20" t="s">
        <v>363</v>
      </c>
      <c r="D78" s="17">
        <v>119046</v>
      </c>
      <c r="E78" s="17" t="s">
        <v>13</v>
      </c>
      <c r="F78" s="18">
        <v>0</v>
      </c>
      <c r="G78" s="17" t="s">
        <v>11</v>
      </c>
      <c r="H78" s="17" t="s">
        <v>11</v>
      </c>
      <c r="I78" s="17" t="s">
        <v>318</v>
      </c>
      <c r="J78" s="19">
        <v>44403</v>
      </c>
      <c r="K78" s="16"/>
    </row>
    <row r="79" spans="1:11" x14ac:dyDescent="0.2">
      <c r="A79" s="17" t="str">
        <f t="shared" si="1"/>
        <v>815645208736</v>
      </c>
      <c r="B79" s="20">
        <v>815645</v>
      </c>
      <c r="C79" s="20" t="s">
        <v>364</v>
      </c>
      <c r="D79" s="17">
        <v>208736</v>
      </c>
      <c r="E79" s="17" t="s">
        <v>105</v>
      </c>
      <c r="F79" s="18">
        <v>0</v>
      </c>
      <c r="G79" s="17" t="s">
        <v>11</v>
      </c>
      <c r="H79" s="17" t="s">
        <v>11</v>
      </c>
      <c r="I79" s="17" t="s">
        <v>318</v>
      </c>
      <c r="J79" s="19">
        <v>44403</v>
      </c>
      <c r="K79" s="16"/>
    </row>
    <row r="80" spans="1:11" x14ac:dyDescent="0.2">
      <c r="A80" s="17" t="str">
        <f t="shared" si="1"/>
        <v>815774149765</v>
      </c>
      <c r="B80" s="20">
        <v>815774</v>
      </c>
      <c r="C80" s="20" t="s">
        <v>376</v>
      </c>
      <c r="D80" s="17">
        <v>149765</v>
      </c>
      <c r="E80" s="17" t="s">
        <v>113</v>
      </c>
      <c r="F80" s="18">
        <v>0</v>
      </c>
      <c r="G80" s="17" t="s">
        <v>11</v>
      </c>
      <c r="H80" s="17" t="s">
        <v>11</v>
      </c>
      <c r="I80" s="17" t="s">
        <v>318</v>
      </c>
      <c r="J80" s="19">
        <v>44407</v>
      </c>
      <c r="K80" s="16"/>
    </row>
    <row r="81" spans="1:11" x14ac:dyDescent="0.2">
      <c r="A81" s="17" t="str">
        <f t="shared" si="1"/>
        <v>815864205650</v>
      </c>
      <c r="B81" s="20">
        <v>815864</v>
      </c>
      <c r="C81" s="20" t="s">
        <v>385</v>
      </c>
      <c r="D81" s="17">
        <v>205650</v>
      </c>
      <c r="E81" s="17" t="s">
        <v>340</v>
      </c>
      <c r="F81" s="18">
        <v>11</v>
      </c>
      <c r="G81" s="17" t="s">
        <v>11</v>
      </c>
      <c r="H81" s="17" t="s">
        <v>11</v>
      </c>
      <c r="I81" s="17" t="s">
        <v>318</v>
      </c>
      <c r="J81" s="19">
        <v>44414</v>
      </c>
      <c r="K81" s="16"/>
    </row>
    <row r="82" spans="1:11" x14ac:dyDescent="0.2">
      <c r="A82" s="17" t="str">
        <f t="shared" si="1"/>
        <v>816128174176</v>
      </c>
      <c r="B82" s="20">
        <v>816128</v>
      </c>
      <c r="C82" s="20" t="s">
        <v>388</v>
      </c>
      <c r="D82" s="17">
        <v>174176</v>
      </c>
      <c r="E82" s="17" t="s">
        <v>337</v>
      </c>
      <c r="F82" s="18">
        <v>21</v>
      </c>
      <c r="G82" s="17" t="s">
        <v>11</v>
      </c>
      <c r="H82" s="17" t="s">
        <v>11</v>
      </c>
      <c r="I82" s="17" t="s">
        <v>318</v>
      </c>
      <c r="J82" s="19">
        <v>44434</v>
      </c>
      <c r="K82" s="16"/>
    </row>
    <row r="83" spans="1:11" x14ac:dyDescent="0.2">
      <c r="A83" s="17" t="str">
        <f t="shared" si="1"/>
        <v>816249178661</v>
      </c>
      <c r="B83" s="20">
        <v>816249</v>
      </c>
      <c r="C83" s="20" t="s">
        <v>390</v>
      </c>
      <c r="D83" s="17">
        <v>178661</v>
      </c>
      <c r="E83" s="17" t="s">
        <v>28</v>
      </c>
      <c r="F83" s="18">
        <v>22</v>
      </c>
      <c r="G83" s="17" t="s">
        <v>11</v>
      </c>
      <c r="H83" s="17" t="s">
        <v>11</v>
      </c>
      <c r="I83" s="17" t="s">
        <v>318</v>
      </c>
      <c r="J83" s="19">
        <v>44441</v>
      </c>
      <c r="K83" s="16"/>
    </row>
    <row r="84" spans="1:11" x14ac:dyDescent="0.2">
      <c r="A84" s="17" t="str">
        <f t="shared" si="1"/>
        <v>816270178661</v>
      </c>
      <c r="B84" s="20">
        <v>816270</v>
      </c>
      <c r="C84" s="20" t="s">
        <v>392</v>
      </c>
      <c r="D84" s="17">
        <v>178661</v>
      </c>
      <c r="E84" s="17" t="s">
        <v>28</v>
      </c>
      <c r="F84" s="18">
        <v>0</v>
      </c>
      <c r="G84" s="17" t="s">
        <v>11</v>
      </c>
      <c r="H84" s="17" t="s">
        <v>11</v>
      </c>
      <c r="I84" s="17" t="s">
        <v>318</v>
      </c>
      <c r="J84" s="19">
        <v>44443</v>
      </c>
      <c r="K84" s="16"/>
    </row>
    <row r="85" spans="1:11" x14ac:dyDescent="0.2">
      <c r="A85" s="17" t="str">
        <f t="shared" si="1"/>
        <v>816409140481</v>
      </c>
      <c r="B85" s="20">
        <v>816409</v>
      </c>
      <c r="C85" s="20" t="s">
        <v>396</v>
      </c>
      <c r="D85" s="17">
        <v>140481</v>
      </c>
      <c r="E85" s="17" t="s">
        <v>36</v>
      </c>
      <c r="F85" s="18">
        <v>0</v>
      </c>
      <c r="G85" s="17" t="s">
        <v>11</v>
      </c>
      <c r="H85" s="17" t="s">
        <v>11</v>
      </c>
      <c r="I85" s="17" t="s">
        <v>318</v>
      </c>
      <c r="J85" s="19">
        <v>44459</v>
      </c>
      <c r="K85" s="16"/>
    </row>
    <row r="86" spans="1:11" x14ac:dyDescent="0.2">
      <c r="A86" s="17" t="str">
        <f t="shared" si="1"/>
        <v>816554172252</v>
      </c>
      <c r="B86" s="20">
        <v>816554</v>
      </c>
      <c r="C86" s="20" t="s">
        <v>416</v>
      </c>
      <c r="D86" s="17">
        <v>172252</v>
      </c>
      <c r="E86" s="17" t="s">
        <v>83</v>
      </c>
      <c r="F86" s="18">
        <v>0</v>
      </c>
      <c r="G86" s="17" t="s">
        <v>11</v>
      </c>
      <c r="H86" s="17" t="s">
        <v>11</v>
      </c>
      <c r="I86" s="17" t="s">
        <v>318</v>
      </c>
      <c r="J86" s="19">
        <v>44467</v>
      </c>
      <c r="K86" s="16"/>
    </row>
    <row r="87" spans="1:11" x14ac:dyDescent="0.2">
      <c r="A87" s="17" t="str">
        <f t="shared" si="1"/>
        <v>817054148557</v>
      </c>
      <c r="B87" s="20">
        <v>817054</v>
      </c>
      <c r="C87" s="20" t="s">
        <v>429</v>
      </c>
      <c r="D87" s="17">
        <v>148557</v>
      </c>
      <c r="E87" s="17" t="s">
        <v>10</v>
      </c>
      <c r="F87" s="18">
        <v>0</v>
      </c>
      <c r="G87" s="17" t="s">
        <v>11</v>
      </c>
      <c r="H87" s="17" t="s">
        <v>11</v>
      </c>
      <c r="I87" s="17" t="s">
        <v>318</v>
      </c>
      <c r="J87" s="19">
        <v>44518</v>
      </c>
      <c r="K87" s="16"/>
    </row>
    <row r="88" spans="1:11" x14ac:dyDescent="0.2">
      <c r="A88" s="17" t="str">
        <f t="shared" si="1"/>
        <v>817308209586</v>
      </c>
      <c r="B88" s="20">
        <v>817308</v>
      </c>
      <c r="C88" s="20" t="s">
        <v>453</v>
      </c>
      <c r="D88" s="17">
        <v>209586</v>
      </c>
      <c r="E88" s="17" t="s">
        <v>454</v>
      </c>
      <c r="F88" s="18">
        <v>0</v>
      </c>
      <c r="G88" s="17" t="s">
        <v>11</v>
      </c>
      <c r="H88" s="17" t="s">
        <v>11</v>
      </c>
      <c r="I88" s="17" t="s">
        <v>318</v>
      </c>
      <c r="J88" s="19">
        <v>44544</v>
      </c>
      <c r="K88" s="16"/>
    </row>
    <row r="89" spans="1:11" x14ac:dyDescent="0.2">
      <c r="A89" s="17" t="str">
        <f t="shared" si="1"/>
        <v>817610148557</v>
      </c>
      <c r="B89" s="20">
        <v>817610</v>
      </c>
      <c r="C89" s="20" t="s">
        <v>449</v>
      </c>
      <c r="D89" s="17">
        <v>148557</v>
      </c>
      <c r="E89" s="17" t="s">
        <v>10</v>
      </c>
      <c r="F89" s="18">
        <v>0</v>
      </c>
      <c r="G89" s="17" t="s">
        <v>11</v>
      </c>
      <c r="H89" s="17" t="s">
        <v>11</v>
      </c>
      <c r="I89" s="17" t="s">
        <v>318</v>
      </c>
      <c r="J89" s="19">
        <v>44567</v>
      </c>
      <c r="K89" s="16"/>
    </row>
    <row r="90" spans="1:11" x14ac:dyDescent="0.2">
      <c r="A90" s="17" t="str">
        <f t="shared" si="1"/>
        <v>817792178661</v>
      </c>
      <c r="B90" s="20">
        <v>817792</v>
      </c>
      <c r="C90" s="20" t="s">
        <v>459</v>
      </c>
      <c r="D90" s="17">
        <v>178661</v>
      </c>
      <c r="E90" s="17" t="s">
        <v>28</v>
      </c>
      <c r="F90" s="18">
        <v>24</v>
      </c>
      <c r="G90" s="17" t="s">
        <v>11</v>
      </c>
      <c r="H90" s="17" t="s">
        <v>11</v>
      </c>
      <c r="I90" s="17" t="s">
        <v>318</v>
      </c>
      <c r="J90" s="19">
        <v>44585</v>
      </c>
      <c r="K90" s="16"/>
    </row>
    <row r="91" spans="1:11" x14ac:dyDescent="0.2">
      <c r="A91" s="17" t="str">
        <f t="shared" si="1"/>
        <v>817943210619</v>
      </c>
      <c r="B91" s="20">
        <v>817943</v>
      </c>
      <c r="C91" s="20" t="s">
        <v>101</v>
      </c>
      <c r="D91" s="17">
        <v>210619</v>
      </c>
      <c r="E91" s="17" t="s">
        <v>468</v>
      </c>
      <c r="F91" s="18">
        <v>10</v>
      </c>
      <c r="G91" s="17" t="s">
        <v>11</v>
      </c>
      <c r="H91" s="17" t="s">
        <v>11</v>
      </c>
      <c r="I91" s="17" t="s">
        <v>318</v>
      </c>
      <c r="J91" s="19">
        <v>44593</v>
      </c>
      <c r="K91" s="16"/>
    </row>
    <row r="92" spans="1:11" x14ac:dyDescent="0.2">
      <c r="A92" s="17" t="str">
        <f t="shared" si="1"/>
        <v>818256142984</v>
      </c>
      <c r="B92" s="20">
        <v>818256</v>
      </c>
      <c r="C92" s="20" t="s">
        <v>510</v>
      </c>
      <c r="D92" s="17">
        <v>142984</v>
      </c>
      <c r="E92" s="17" t="s">
        <v>89</v>
      </c>
      <c r="F92" s="18">
        <v>20</v>
      </c>
      <c r="G92" s="17" t="s">
        <v>11</v>
      </c>
      <c r="H92" s="17" t="s">
        <v>11</v>
      </c>
      <c r="I92" s="17" t="s">
        <v>318</v>
      </c>
      <c r="J92" s="19">
        <v>44623</v>
      </c>
      <c r="K92" s="16"/>
    </row>
    <row r="93" spans="1:11" x14ac:dyDescent="0.2">
      <c r="A93" s="17" t="str">
        <f t="shared" si="1"/>
        <v>818325148557</v>
      </c>
      <c r="B93" s="20">
        <v>818325</v>
      </c>
      <c r="C93" s="20" t="s">
        <v>506</v>
      </c>
      <c r="D93" s="17">
        <v>148557</v>
      </c>
      <c r="E93" s="17" t="s">
        <v>10</v>
      </c>
      <c r="F93" s="18">
        <v>0</v>
      </c>
      <c r="G93" s="17" t="s">
        <v>11</v>
      </c>
      <c r="H93" s="17" t="s">
        <v>11</v>
      </c>
      <c r="I93" s="17" t="s">
        <v>318</v>
      </c>
      <c r="J93" s="19">
        <v>44629</v>
      </c>
      <c r="K93" s="16"/>
    </row>
    <row r="94" spans="1:11" x14ac:dyDescent="0.2">
      <c r="A94" s="17" t="str">
        <f t="shared" si="1"/>
        <v>818340210619</v>
      </c>
      <c r="B94" s="20">
        <v>818340</v>
      </c>
      <c r="C94" s="20" t="s">
        <v>507</v>
      </c>
      <c r="D94" s="17">
        <v>210619</v>
      </c>
      <c r="E94" s="17" t="s">
        <v>468</v>
      </c>
      <c r="F94" s="18">
        <v>40</v>
      </c>
      <c r="G94" s="17" t="s">
        <v>11</v>
      </c>
      <c r="H94" s="17" t="s">
        <v>11</v>
      </c>
      <c r="I94" s="17" t="s">
        <v>318</v>
      </c>
      <c r="J94" s="19">
        <v>44632</v>
      </c>
      <c r="K94" s="16"/>
    </row>
    <row r="95" spans="1:11" x14ac:dyDescent="0.2">
      <c r="A95" s="17" t="str">
        <f t="shared" si="1"/>
        <v>818341210619</v>
      </c>
      <c r="B95" s="20">
        <v>818341</v>
      </c>
      <c r="C95" s="20" t="s">
        <v>508</v>
      </c>
      <c r="D95" s="17">
        <v>210619</v>
      </c>
      <c r="E95" s="17" t="s">
        <v>468</v>
      </c>
      <c r="F95" s="18">
        <v>40</v>
      </c>
      <c r="G95" s="17" t="s">
        <v>11</v>
      </c>
      <c r="H95" s="17" t="s">
        <v>11</v>
      </c>
      <c r="I95" s="17" t="s">
        <v>318</v>
      </c>
      <c r="J95" s="19">
        <v>44632</v>
      </c>
      <c r="K95" s="16"/>
    </row>
    <row r="96" spans="1:11" x14ac:dyDescent="0.2">
      <c r="A96" s="17" t="str">
        <f t="shared" si="1"/>
        <v>818347140927</v>
      </c>
      <c r="B96" s="20">
        <v>818347</v>
      </c>
      <c r="C96" s="20" t="s">
        <v>309</v>
      </c>
      <c r="D96" s="17">
        <v>140927</v>
      </c>
      <c r="E96" s="17" t="s">
        <v>35</v>
      </c>
      <c r="F96" s="18">
        <v>10</v>
      </c>
      <c r="G96" s="17" t="s">
        <v>11</v>
      </c>
      <c r="H96" s="17" t="s">
        <v>11</v>
      </c>
      <c r="I96" s="17" t="s">
        <v>318</v>
      </c>
      <c r="J96" s="19">
        <v>44632</v>
      </c>
      <c r="K96" s="16"/>
    </row>
    <row r="97" spans="1:11" x14ac:dyDescent="0.2">
      <c r="A97" s="17" t="str">
        <f t="shared" si="1"/>
        <v>818354202479</v>
      </c>
      <c r="B97" s="20">
        <v>818354</v>
      </c>
      <c r="C97" s="20" t="s">
        <v>3</v>
      </c>
      <c r="D97" s="21">
        <v>202479</v>
      </c>
      <c r="E97" s="17" t="s">
        <v>33</v>
      </c>
      <c r="F97" s="18">
        <v>0</v>
      </c>
      <c r="G97" s="17" t="s">
        <v>11</v>
      </c>
      <c r="H97" s="17" t="s">
        <v>11</v>
      </c>
      <c r="I97" s="17" t="s">
        <v>318</v>
      </c>
      <c r="J97" s="19">
        <v>44632</v>
      </c>
      <c r="K97" s="16"/>
    </row>
    <row r="98" spans="1:11" x14ac:dyDescent="0.2">
      <c r="A98" s="17" t="str">
        <f t="shared" si="1"/>
        <v>818440119046</v>
      </c>
      <c r="B98" s="20">
        <v>818440</v>
      </c>
      <c r="C98" s="20" t="s">
        <v>51</v>
      </c>
      <c r="D98" s="17">
        <v>119046</v>
      </c>
      <c r="E98" s="17" t="s">
        <v>13</v>
      </c>
      <c r="F98" s="18">
        <v>0</v>
      </c>
      <c r="G98" s="17" t="s">
        <v>11</v>
      </c>
      <c r="H98" s="17" t="s">
        <v>11</v>
      </c>
      <c r="I98" s="17" t="s">
        <v>318</v>
      </c>
      <c r="J98" s="19">
        <v>44643</v>
      </c>
      <c r="K98" s="16"/>
    </row>
    <row r="99" spans="1:11" x14ac:dyDescent="0.2">
      <c r="A99" s="17" t="str">
        <f t="shared" si="1"/>
        <v>818441210619</v>
      </c>
      <c r="B99" s="20">
        <v>818441</v>
      </c>
      <c r="C99" s="20" t="s">
        <v>511</v>
      </c>
      <c r="D99" s="17">
        <v>210619</v>
      </c>
      <c r="E99" s="17" t="s">
        <v>468</v>
      </c>
      <c r="F99" s="18">
        <v>20</v>
      </c>
      <c r="G99" s="17" t="s">
        <v>11</v>
      </c>
      <c r="H99" s="17" t="s">
        <v>11</v>
      </c>
      <c r="I99" s="17" t="s">
        <v>318</v>
      </c>
      <c r="J99" s="19">
        <v>44643</v>
      </c>
      <c r="K99" s="16"/>
    </row>
    <row r="100" spans="1:11" x14ac:dyDescent="0.2">
      <c r="A100" s="17" t="str">
        <f t="shared" si="1"/>
        <v>818483210619</v>
      </c>
      <c r="B100" s="20">
        <v>818483</v>
      </c>
      <c r="C100" s="20" t="s">
        <v>512</v>
      </c>
      <c r="D100" s="21">
        <v>210619</v>
      </c>
      <c r="E100" s="17" t="s">
        <v>468</v>
      </c>
      <c r="F100" s="18">
        <v>60</v>
      </c>
      <c r="G100" s="17" t="s">
        <v>11</v>
      </c>
      <c r="H100" s="17" t="s">
        <v>11</v>
      </c>
      <c r="I100" s="17" t="s">
        <v>318</v>
      </c>
      <c r="J100" s="19">
        <v>44646</v>
      </c>
      <c r="K100" s="16"/>
    </row>
    <row r="101" spans="1:11" x14ac:dyDescent="0.2">
      <c r="A101" s="17" t="str">
        <f t="shared" si="1"/>
        <v>818523175288</v>
      </c>
      <c r="B101" s="22">
        <v>818523</v>
      </c>
      <c r="C101" s="22" t="s">
        <v>518</v>
      </c>
      <c r="D101" s="22">
        <v>175288</v>
      </c>
      <c r="E101" s="16" t="s">
        <v>59</v>
      </c>
      <c r="F101" s="18">
        <v>0</v>
      </c>
      <c r="G101" s="16" t="s">
        <v>11</v>
      </c>
      <c r="H101" s="16" t="s">
        <v>11</v>
      </c>
      <c r="I101" s="16" t="s">
        <v>318</v>
      </c>
      <c r="J101" s="19">
        <v>44649</v>
      </c>
      <c r="K101" s="16"/>
    </row>
    <row r="102" spans="1:11" x14ac:dyDescent="0.2">
      <c r="A102" s="17" t="str">
        <f t="shared" si="1"/>
        <v>818702140481</v>
      </c>
      <c r="B102" s="22">
        <v>818702</v>
      </c>
      <c r="C102" s="22" t="s">
        <v>524</v>
      </c>
      <c r="D102" s="22">
        <v>140481</v>
      </c>
      <c r="E102" s="16" t="s">
        <v>36</v>
      </c>
      <c r="F102" s="18">
        <v>20</v>
      </c>
      <c r="G102" s="16" t="s">
        <v>11</v>
      </c>
      <c r="H102" s="16" t="s">
        <v>11</v>
      </c>
      <c r="I102" s="16" t="s">
        <v>318</v>
      </c>
      <c r="J102" s="19">
        <v>44671</v>
      </c>
      <c r="K102" s="16"/>
    </row>
    <row r="103" spans="1:11" x14ac:dyDescent="0.2">
      <c r="A103" s="17" t="str">
        <f t="shared" si="1"/>
        <v>818765140927</v>
      </c>
      <c r="B103" s="22">
        <v>818765</v>
      </c>
      <c r="C103" s="22" t="s">
        <v>525</v>
      </c>
      <c r="D103" s="29">
        <v>140927</v>
      </c>
      <c r="E103" s="16" t="s">
        <v>35</v>
      </c>
      <c r="F103" s="18">
        <v>0</v>
      </c>
      <c r="G103" s="16" t="s">
        <v>11</v>
      </c>
      <c r="H103" s="16" t="s">
        <v>11</v>
      </c>
      <c r="I103" s="16" t="s">
        <v>318</v>
      </c>
      <c r="J103" s="19">
        <v>44678</v>
      </c>
      <c r="K103" s="16"/>
    </row>
    <row r="104" spans="1:11" x14ac:dyDescent="0.2">
      <c r="A104" s="17" t="str">
        <f t="shared" si="1"/>
        <v>818884210696</v>
      </c>
      <c r="B104" s="22">
        <v>818884</v>
      </c>
      <c r="C104" s="22" t="s">
        <v>530</v>
      </c>
      <c r="D104" s="29">
        <v>210696</v>
      </c>
      <c r="E104" s="16" t="s">
        <v>531</v>
      </c>
      <c r="F104" s="18">
        <v>0</v>
      </c>
      <c r="G104" s="16" t="s">
        <v>11</v>
      </c>
      <c r="H104" s="16" t="s">
        <v>11</v>
      </c>
      <c r="I104" s="16" t="s">
        <v>318</v>
      </c>
      <c r="J104" s="19">
        <v>44690</v>
      </c>
      <c r="K104" s="16"/>
    </row>
    <row r="105" spans="1:11" x14ac:dyDescent="0.2">
      <c r="A105" s="17" t="str">
        <f t="shared" si="1"/>
        <v>801588119047</v>
      </c>
      <c r="B105" s="20">
        <v>801588</v>
      </c>
      <c r="C105" s="20" t="s">
        <v>24</v>
      </c>
      <c r="D105" s="21">
        <v>119047</v>
      </c>
      <c r="E105" s="17" t="s">
        <v>23</v>
      </c>
      <c r="F105" s="18">
        <v>101</v>
      </c>
      <c r="G105" s="17" t="s">
        <v>0</v>
      </c>
      <c r="H105" s="17" t="s">
        <v>11</v>
      </c>
      <c r="I105" s="17" t="s">
        <v>318</v>
      </c>
      <c r="J105" s="19">
        <v>41271</v>
      </c>
      <c r="K105" s="16"/>
    </row>
    <row r="106" spans="1:11" x14ac:dyDescent="0.2">
      <c r="A106" s="17" t="str">
        <f t="shared" si="1"/>
        <v>801589119047</v>
      </c>
      <c r="B106" s="20">
        <v>801589</v>
      </c>
      <c r="C106" s="20" t="s">
        <v>25</v>
      </c>
      <c r="D106" s="21">
        <v>119047</v>
      </c>
      <c r="E106" s="17" t="s">
        <v>23</v>
      </c>
      <c r="F106" s="18">
        <v>0</v>
      </c>
      <c r="G106" s="17" t="s">
        <v>0</v>
      </c>
      <c r="H106" s="17" t="s">
        <v>11</v>
      </c>
      <c r="I106" s="17" t="s">
        <v>318</v>
      </c>
      <c r="J106" s="19">
        <v>41271</v>
      </c>
      <c r="K106" s="16"/>
    </row>
    <row r="107" spans="1:11" x14ac:dyDescent="0.2">
      <c r="A107" s="17" t="str">
        <f t="shared" si="1"/>
        <v>801590119047</v>
      </c>
      <c r="B107" s="20">
        <v>801590</v>
      </c>
      <c r="C107" s="20" t="s">
        <v>97</v>
      </c>
      <c r="D107" s="21">
        <v>119047</v>
      </c>
      <c r="E107" s="17" t="s">
        <v>23</v>
      </c>
      <c r="F107" s="18">
        <v>10</v>
      </c>
      <c r="G107" s="17" t="s">
        <v>0</v>
      </c>
      <c r="H107" s="17" t="s">
        <v>11</v>
      </c>
      <c r="I107" s="17" t="s">
        <v>318</v>
      </c>
      <c r="J107" s="19">
        <v>41271</v>
      </c>
      <c r="K107" s="16"/>
    </row>
    <row r="108" spans="1:11" x14ac:dyDescent="0.2">
      <c r="A108" s="17" t="str">
        <f t="shared" si="1"/>
        <v>801627202865</v>
      </c>
      <c r="B108" s="20">
        <v>801627</v>
      </c>
      <c r="C108" s="20" t="s">
        <v>93</v>
      </c>
      <c r="D108" s="21">
        <v>202865</v>
      </c>
      <c r="E108" s="17" t="s">
        <v>56</v>
      </c>
      <c r="F108" s="18">
        <v>20</v>
      </c>
      <c r="G108" s="17" t="s">
        <v>0</v>
      </c>
      <c r="H108" s="17" t="s">
        <v>11</v>
      </c>
      <c r="I108" s="17" t="s">
        <v>318</v>
      </c>
      <c r="J108" s="19">
        <v>41283</v>
      </c>
      <c r="K108" s="16"/>
    </row>
    <row r="109" spans="1:11" x14ac:dyDescent="0.2">
      <c r="A109" s="17" t="str">
        <f t="shared" si="1"/>
        <v>802165143531</v>
      </c>
      <c r="B109" s="20">
        <v>802165</v>
      </c>
      <c r="C109" s="20" t="s">
        <v>99</v>
      </c>
      <c r="D109" s="21">
        <v>143531</v>
      </c>
      <c r="E109" s="17" t="s">
        <v>98</v>
      </c>
      <c r="F109" s="18">
        <v>25</v>
      </c>
      <c r="G109" s="17" t="s">
        <v>0</v>
      </c>
      <c r="H109" s="17" t="s">
        <v>11</v>
      </c>
      <c r="I109" s="17" t="s">
        <v>318</v>
      </c>
      <c r="J109" s="19">
        <v>41461</v>
      </c>
      <c r="K109" s="16"/>
    </row>
    <row r="110" spans="1:11" x14ac:dyDescent="0.2">
      <c r="A110" s="17" t="str">
        <f t="shared" si="1"/>
        <v>802918143531</v>
      </c>
      <c r="B110" s="20">
        <v>802918</v>
      </c>
      <c r="C110" s="20" t="s">
        <v>126</v>
      </c>
      <c r="D110" s="21">
        <v>143531</v>
      </c>
      <c r="E110" s="17" t="s">
        <v>98</v>
      </c>
      <c r="F110" s="18">
        <v>0</v>
      </c>
      <c r="G110" s="17" t="s">
        <v>0</v>
      </c>
      <c r="H110" s="17" t="s">
        <v>11</v>
      </c>
      <c r="I110" s="17" t="s">
        <v>318</v>
      </c>
      <c r="J110" s="19">
        <v>41535</v>
      </c>
      <c r="K110" s="16"/>
    </row>
    <row r="111" spans="1:11" x14ac:dyDescent="0.2">
      <c r="A111" s="17" t="str">
        <f t="shared" si="1"/>
        <v>803820129599</v>
      </c>
      <c r="B111" s="20">
        <v>803820</v>
      </c>
      <c r="C111" s="20" t="s">
        <v>7</v>
      </c>
      <c r="D111" s="21">
        <v>129599</v>
      </c>
      <c r="E111" s="17" t="s">
        <v>6</v>
      </c>
      <c r="F111" s="18">
        <v>10</v>
      </c>
      <c r="G111" s="17" t="s">
        <v>0</v>
      </c>
      <c r="H111" s="17" t="s">
        <v>11</v>
      </c>
      <c r="I111" s="17" t="s">
        <v>318</v>
      </c>
      <c r="J111" s="19">
        <v>42032</v>
      </c>
      <c r="K111" s="16"/>
    </row>
    <row r="112" spans="1:11" x14ac:dyDescent="0.2">
      <c r="A112" s="17" t="str">
        <f t="shared" si="1"/>
        <v>805151202865</v>
      </c>
      <c r="B112" s="20">
        <v>805151</v>
      </c>
      <c r="C112" s="20" t="s">
        <v>67</v>
      </c>
      <c r="D112" s="21">
        <v>202865</v>
      </c>
      <c r="E112" s="17" t="s">
        <v>56</v>
      </c>
      <c r="F112" s="18">
        <v>40.5</v>
      </c>
      <c r="G112" s="17" t="s">
        <v>0</v>
      </c>
      <c r="H112" s="17" t="s">
        <v>11</v>
      </c>
      <c r="I112" s="17" t="s">
        <v>318</v>
      </c>
      <c r="J112" s="19">
        <v>42528</v>
      </c>
      <c r="K112" s="16"/>
    </row>
    <row r="113" spans="1:11" x14ac:dyDescent="0.2">
      <c r="A113" s="17" t="str">
        <f t="shared" si="1"/>
        <v>805158202865</v>
      </c>
      <c r="B113" s="20">
        <v>805158</v>
      </c>
      <c r="C113" s="20" t="s">
        <v>103</v>
      </c>
      <c r="D113" s="21">
        <v>202865</v>
      </c>
      <c r="E113" s="17" t="s">
        <v>56</v>
      </c>
      <c r="F113" s="18">
        <v>24</v>
      </c>
      <c r="G113" s="17" t="s">
        <v>0</v>
      </c>
      <c r="H113" s="17" t="s">
        <v>11</v>
      </c>
      <c r="I113" s="17" t="s">
        <v>318</v>
      </c>
      <c r="J113" s="19">
        <v>42530</v>
      </c>
      <c r="K113" s="16"/>
    </row>
    <row r="114" spans="1:11" x14ac:dyDescent="0.2">
      <c r="A114" s="17" t="str">
        <f t="shared" si="1"/>
        <v>805811202865</v>
      </c>
      <c r="B114" s="20">
        <v>805811</v>
      </c>
      <c r="C114" s="20" t="s">
        <v>68</v>
      </c>
      <c r="D114" s="21">
        <v>202865</v>
      </c>
      <c r="E114" s="17" t="s">
        <v>56</v>
      </c>
      <c r="F114" s="18">
        <v>12.5</v>
      </c>
      <c r="G114" s="17" t="s">
        <v>0</v>
      </c>
      <c r="H114" s="17" t="s">
        <v>11</v>
      </c>
      <c r="I114" s="17" t="s">
        <v>318</v>
      </c>
      <c r="J114" s="19">
        <v>42704</v>
      </c>
      <c r="K114" s="16"/>
    </row>
    <row r="115" spans="1:11" x14ac:dyDescent="0.2">
      <c r="A115" s="17" t="str">
        <f t="shared" si="1"/>
        <v>806234202865</v>
      </c>
      <c r="B115" s="20">
        <v>806234</v>
      </c>
      <c r="C115" s="20" t="s">
        <v>70</v>
      </c>
      <c r="D115" s="21">
        <v>202865</v>
      </c>
      <c r="E115" s="17" t="s">
        <v>56</v>
      </c>
      <c r="F115" s="18">
        <v>0</v>
      </c>
      <c r="G115" s="17" t="s">
        <v>0</v>
      </c>
      <c r="H115" s="17" t="s">
        <v>11</v>
      </c>
      <c r="I115" s="17" t="s">
        <v>318</v>
      </c>
      <c r="J115" s="19">
        <v>42832</v>
      </c>
      <c r="K115" s="16"/>
    </row>
    <row r="116" spans="1:11" x14ac:dyDescent="0.2">
      <c r="A116" s="17" t="str">
        <f t="shared" ref="A116:A179" si="2">B116&amp;D116</f>
        <v>806436119023</v>
      </c>
      <c r="B116" s="20">
        <v>806436</v>
      </c>
      <c r="C116" s="20" t="s">
        <v>109</v>
      </c>
      <c r="D116" s="21">
        <v>119023</v>
      </c>
      <c r="E116" s="17" t="s">
        <v>17</v>
      </c>
      <c r="F116" s="18">
        <v>77</v>
      </c>
      <c r="G116" s="17" t="s">
        <v>0</v>
      </c>
      <c r="H116" s="17" t="s">
        <v>11</v>
      </c>
      <c r="I116" s="17" t="s">
        <v>318</v>
      </c>
      <c r="J116" s="19">
        <v>42893</v>
      </c>
      <c r="K116" s="16"/>
    </row>
    <row r="117" spans="1:11" x14ac:dyDescent="0.2">
      <c r="A117" s="17" t="str">
        <f t="shared" si="2"/>
        <v>806439119023</v>
      </c>
      <c r="B117" s="20">
        <v>806439</v>
      </c>
      <c r="C117" s="20" t="s">
        <v>116</v>
      </c>
      <c r="D117" s="21">
        <v>119023</v>
      </c>
      <c r="E117" s="17" t="s">
        <v>17</v>
      </c>
      <c r="F117" s="18">
        <v>54</v>
      </c>
      <c r="G117" s="17" t="s">
        <v>0</v>
      </c>
      <c r="H117" s="17" t="s">
        <v>11</v>
      </c>
      <c r="I117" s="17" t="s">
        <v>318</v>
      </c>
      <c r="J117" s="19">
        <v>42893</v>
      </c>
      <c r="K117" s="16"/>
    </row>
    <row r="118" spans="1:11" x14ac:dyDescent="0.2">
      <c r="A118" s="17" t="str">
        <f t="shared" si="2"/>
        <v>806440119023</v>
      </c>
      <c r="B118" s="20">
        <v>806440</v>
      </c>
      <c r="C118" s="20" t="s">
        <v>331</v>
      </c>
      <c r="D118" s="21">
        <v>119023</v>
      </c>
      <c r="E118" s="17" t="s">
        <v>17</v>
      </c>
      <c r="F118" s="18">
        <v>0</v>
      </c>
      <c r="G118" s="17" t="s">
        <v>0</v>
      </c>
      <c r="H118" s="17" t="s">
        <v>11</v>
      </c>
      <c r="I118" s="17" t="s">
        <v>318</v>
      </c>
      <c r="J118" s="19">
        <v>42893</v>
      </c>
      <c r="K118" s="16"/>
    </row>
    <row r="119" spans="1:11" x14ac:dyDescent="0.2">
      <c r="A119" s="17" t="str">
        <f t="shared" si="2"/>
        <v>806754177450</v>
      </c>
      <c r="B119" s="20">
        <v>806754</v>
      </c>
      <c r="C119" s="20" t="s">
        <v>234</v>
      </c>
      <c r="D119" s="21">
        <v>177450</v>
      </c>
      <c r="E119" s="17" t="s">
        <v>219</v>
      </c>
      <c r="F119" s="18">
        <v>0</v>
      </c>
      <c r="G119" s="17" t="s">
        <v>0</v>
      </c>
      <c r="H119" s="17" t="s">
        <v>11</v>
      </c>
      <c r="I119" s="17" t="s">
        <v>318</v>
      </c>
      <c r="J119" s="19">
        <v>42895</v>
      </c>
      <c r="K119" s="16"/>
    </row>
    <row r="120" spans="1:11" x14ac:dyDescent="0.2">
      <c r="A120" s="17" t="str">
        <f t="shared" si="2"/>
        <v>806882119023</v>
      </c>
      <c r="B120" s="20">
        <v>806882</v>
      </c>
      <c r="C120" s="20" t="s">
        <v>125</v>
      </c>
      <c r="D120" s="21">
        <v>119023</v>
      </c>
      <c r="E120" s="17" t="s">
        <v>17</v>
      </c>
      <c r="F120" s="18">
        <v>79</v>
      </c>
      <c r="G120" s="17" t="s">
        <v>0</v>
      </c>
      <c r="H120" s="17" t="s">
        <v>11</v>
      </c>
      <c r="I120" s="17" t="s">
        <v>318</v>
      </c>
      <c r="J120" s="19">
        <v>42993</v>
      </c>
      <c r="K120" s="16"/>
    </row>
    <row r="121" spans="1:11" x14ac:dyDescent="0.2">
      <c r="A121" s="17" t="str">
        <f t="shared" si="2"/>
        <v>806926119047</v>
      </c>
      <c r="B121" s="20">
        <v>806926</v>
      </c>
      <c r="C121" s="20" t="s">
        <v>102</v>
      </c>
      <c r="D121" s="21">
        <v>119047</v>
      </c>
      <c r="E121" s="17" t="s">
        <v>23</v>
      </c>
      <c r="F121" s="18">
        <v>42</v>
      </c>
      <c r="G121" s="17" t="s">
        <v>0</v>
      </c>
      <c r="H121" s="17" t="s">
        <v>11</v>
      </c>
      <c r="I121" s="17" t="s">
        <v>318</v>
      </c>
      <c r="J121" s="19">
        <v>43004</v>
      </c>
      <c r="K121" s="16"/>
    </row>
    <row r="122" spans="1:11" x14ac:dyDescent="0.2">
      <c r="A122" s="17" t="str">
        <f t="shared" si="2"/>
        <v>807002171479</v>
      </c>
      <c r="B122" s="20">
        <v>807002</v>
      </c>
      <c r="C122" s="20" t="s">
        <v>49</v>
      </c>
      <c r="D122" s="21">
        <v>171479</v>
      </c>
      <c r="E122" s="17" t="s">
        <v>47</v>
      </c>
      <c r="F122" s="18">
        <v>67</v>
      </c>
      <c r="G122" s="17" t="s">
        <v>0</v>
      </c>
      <c r="H122" s="17" t="s">
        <v>11</v>
      </c>
      <c r="I122" s="17" t="s">
        <v>318</v>
      </c>
      <c r="J122" s="19">
        <v>43033</v>
      </c>
      <c r="K122" s="16"/>
    </row>
    <row r="123" spans="1:11" x14ac:dyDescent="0.2">
      <c r="A123" s="17" t="str">
        <f t="shared" si="2"/>
        <v>807143119023</v>
      </c>
      <c r="B123" s="20">
        <v>807143</v>
      </c>
      <c r="C123" s="20" t="s">
        <v>403</v>
      </c>
      <c r="D123" s="17">
        <v>119023</v>
      </c>
      <c r="E123" s="17" t="s">
        <v>17</v>
      </c>
      <c r="F123" s="18">
        <v>0</v>
      </c>
      <c r="G123" s="17" t="s">
        <v>0</v>
      </c>
      <c r="H123" s="17" t="s">
        <v>11</v>
      </c>
      <c r="I123" s="17" t="s">
        <v>318</v>
      </c>
      <c r="J123" s="19">
        <v>43406</v>
      </c>
      <c r="K123" s="16"/>
    </row>
    <row r="124" spans="1:11" x14ac:dyDescent="0.2">
      <c r="A124" s="17" t="str">
        <f t="shared" si="2"/>
        <v>807779202865</v>
      </c>
      <c r="B124" s="20">
        <v>807779</v>
      </c>
      <c r="C124" s="20" t="s">
        <v>118</v>
      </c>
      <c r="D124" s="21">
        <v>202865</v>
      </c>
      <c r="E124" s="17" t="s">
        <v>56</v>
      </c>
      <c r="F124" s="18">
        <v>0</v>
      </c>
      <c r="G124" s="17" t="s">
        <v>0</v>
      </c>
      <c r="H124" s="17" t="s">
        <v>11</v>
      </c>
      <c r="I124" s="17" t="s">
        <v>318</v>
      </c>
      <c r="J124" s="19">
        <v>43487</v>
      </c>
      <c r="K124" s="16"/>
    </row>
    <row r="125" spans="1:11" x14ac:dyDescent="0.2">
      <c r="A125" s="17" t="str">
        <f t="shared" si="2"/>
        <v>808644119023</v>
      </c>
      <c r="B125" s="20">
        <v>808644</v>
      </c>
      <c r="C125" s="20" t="s">
        <v>121</v>
      </c>
      <c r="D125" s="21">
        <v>119023</v>
      </c>
      <c r="E125" s="17" t="s">
        <v>17</v>
      </c>
      <c r="F125" s="18">
        <v>0</v>
      </c>
      <c r="G125" s="17" t="s">
        <v>0</v>
      </c>
      <c r="H125" s="17" t="s">
        <v>11</v>
      </c>
      <c r="I125" s="17" t="s">
        <v>318</v>
      </c>
      <c r="J125" s="19">
        <v>43277</v>
      </c>
      <c r="K125" s="16"/>
    </row>
    <row r="126" spans="1:11" x14ac:dyDescent="0.2">
      <c r="A126" s="17" t="str">
        <f t="shared" si="2"/>
        <v>808925119023</v>
      </c>
      <c r="B126" s="20">
        <v>808925</v>
      </c>
      <c r="C126" s="20" t="s">
        <v>411</v>
      </c>
      <c r="D126" s="17">
        <v>119023</v>
      </c>
      <c r="E126" s="17" t="s">
        <v>17</v>
      </c>
      <c r="F126" s="18">
        <v>0</v>
      </c>
      <c r="G126" s="17" t="s">
        <v>0</v>
      </c>
      <c r="H126" s="17" t="s">
        <v>11</v>
      </c>
      <c r="I126" s="17" t="s">
        <v>318</v>
      </c>
      <c r="J126" s="19">
        <v>43293</v>
      </c>
      <c r="K126" s="16"/>
    </row>
    <row r="127" spans="1:11" x14ac:dyDescent="0.2">
      <c r="A127" s="17" t="str">
        <f t="shared" si="2"/>
        <v>808926119023</v>
      </c>
      <c r="B127" s="20">
        <v>808926</v>
      </c>
      <c r="C127" s="20" t="s">
        <v>412</v>
      </c>
      <c r="D127" s="17">
        <v>119023</v>
      </c>
      <c r="E127" s="17" t="s">
        <v>17</v>
      </c>
      <c r="F127" s="18">
        <v>0</v>
      </c>
      <c r="G127" s="17" t="s">
        <v>0</v>
      </c>
      <c r="H127" s="17" t="s">
        <v>11</v>
      </c>
      <c r="I127" s="17" t="s">
        <v>318</v>
      </c>
      <c r="J127" s="19">
        <v>43293</v>
      </c>
      <c r="K127" s="16"/>
    </row>
    <row r="128" spans="1:11" x14ac:dyDescent="0.2">
      <c r="A128" s="17" t="str">
        <f t="shared" si="2"/>
        <v>811475178844</v>
      </c>
      <c r="B128" s="20">
        <v>811475</v>
      </c>
      <c r="C128" s="20" t="s">
        <v>5</v>
      </c>
      <c r="D128" s="21">
        <v>178844</v>
      </c>
      <c r="E128" s="17" t="s">
        <v>4</v>
      </c>
      <c r="F128" s="18">
        <v>0</v>
      </c>
      <c r="G128" s="17" t="s">
        <v>0</v>
      </c>
      <c r="H128" s="17" t="s">
        <v>11</v>
      </c>
      <c r="I128" s="17" t="s">
        <v>318</v>
      </c>
      <c r="J128" s="19">
        <v>43871</v>
      </c>
      <c r="K128" s="16"/>
    </row>
    <row r="129" spans="1:11" x14ac:dyDescent="0.2">
      <c r="A129" s="17" t="str">
        <f t="shared" si="2"/>
        <v>812299143531</v>
      </c>
      <c r="B129" s="20">
        <v>812299</v>
      </c>
      <c r="C129" s="20" t="s">
        <v>101</v>
      </c>
      <c r="D129" s="21">
        <v>143531</v>
      </c>
      <c r="E129" s="17" t="s">
        <v>98</v>
      </c>
      <c r="F129" s="18">
        <v>0</v>
      </c>
      <c r="G129" s="17" t="s">
        <v>0</v>
      </c>
      <c r="H129" s="17" t="s">
        <v>11</v>
      </c>
      <c r="I129" s="17" t="s">
        <v>318</v>
      </c>
      <c r="J129" s="19">
        <v>44033</v>
      </c>
      <c r="K129" s="16"/>
    </row>
    <row r="130" spans="1:11" x14ac:dyDescent="0.2">
      <c r="A130" s="17" t="str">
        <f t="shared" si="2"/>
        <v>812741129599</v>
      </c>
      <c r="B130" s="20">
        <v>812741</v>
      </c>
      <c r="C130" s="20" t="s">
        <v>9</v>
      </c>
      <c r="D130" s="21">
        <v>129599</v>
      </c>
      <c r="E130" s="17" t="s">
        <v>6</v>
      </c>
      <c r="F130" s="18">
        <v>0</v>
      </c>
      <c r="G130" s="17" t="s">
        <v>0</v>
      </c>
      <c r="H130" s="17" t="s">
        <v>11</v>
      </c>
      <c r="I130" s="17" t="s">
        <v>318</v>
      </c>
      <c r="J130" s="19">
        <v>44075</v>
      </c>
      <c r="K130" s="16"/>
    </row>
    <row r="131" spans="1:11" x14ac:dyDescent="0.2">
      <c r="A131" s="17" t="str">
        <f t="shared" si="2"/>
        <v>812944177829</v>
      </c>
      <c r="B131" s="20">
        <v>812944</v>
      </c>
      <c r="C131" s="20" t="s">
        <v>92</v>
      </c>
      <c r="D131" s="21">
        <v>177829</v>
      </c>
      <c r="E131" s="17" t="s">
        <v>44</v>
      </c>
      <c r="F131" s="18">
        <v>21</v>
      </c>
      <c r="G131" s="17" t="s">
        <v>0</v>
      </c>
      <c r="H131" s="17" t="s">
        <v>11</v>
      </c>
      <c r="I131" s="17" t="s">
        <v>318</v>
      </c>
      <c r="J131" s="19">
        <v>44091</v>
      </c>
      <c r="K131" s="16"/>
    </row>
    <row r="132" spans="1:11" x14ac:dyDescent="0.2">
      <c r="A132" s="17" t="str">
        <f t="shared" si="2"/>
        <v>812967177829</v>
      </c>
      <c r="B132" s="20">
        <v>812967</v>
      </c>
      <c r="C132" s="20" t="s">
        <v>91</v>
      </c>
      <c r="D132" s="21">
        <v>177829</v>
      </c>
      <c r="E132" s="17" t="s">
        <v>44</v>
      </c>
      <c r="F132" s="18">
        <v>0</v>
      </c>
      <c r="G132" s="17" t="s">
        <v>0</v>
      </c>
      <c r="H132" s="17" t="s">
        <v>11</v>
      </c>
      <c r="I132" s="17" t="s">
        <v>318</v>
      </c>
      <c r="J132" s="19">
        <v>44092</v>
      </c>
      <c r="K132" s="16"/>
    </row>
    <row r="133" spans="1:11" x14ac:dyDescent="0.2">
      <c r="A133" s="17" t="str">
        <f t="shared" si="2"/>
        <v>813154170708</v>
      </c>
      <c r="B133" s="20">
        <v>813154</v>
      </c>
      <c r="C133" s="20" t="s">
        <v>122</v>
      </c>
      <c r="D133" s="21">
        <v>170708</v>
      </c>
      <c r="E133" s="17" t="s">
        <v>100</v>
      </c>
      <c r="F133" s="18">
        <v>0</v>
      </c>
      <c r="G133" s="17" t="s">
        <v>0</v>
      </c>
      <c r="H133" s="17" t="s">
        <v>11</v>
      </c>
      <c r="I133" s="17" t="s">
        <v>318</v>
      </c>
      <c r="J133" s="19">
        <v>44105</v>
      </c>
      <c r="K133" s="16"/>
    </row>
    <row r="134" spans="1:11" x14ac:dyDescent="0.2">
      <c r="A134" s="17" t="str">
        <f t="shared" si="2"/>
        <v>813385175392</v>
      </c>
      <c r="B134" s="20">
        <v>813385</v>
      </c>
      <c r="C134" s="20" t="s">
        <v>61</v>
      </c>
      <c r="D134" s="21">
        <v>175392</v>
      </c>
      <c r="E134" s="17" t="s">
        <v>60</v>
      </c>
      <c r="F134" s="18">
        <v>0</v>
      </c>
      <c r="G134" s="17" t="s">
        <v>0</v>
      </c>
      <c r="H134" s="17" t="s">
        <v>11</v>
      </c>
      <c r="I134" s="17" t="s">
        <v>318</v>
      </c>
      <c r="J134" s="19">
        <v>44128</v>
      </c>
      <c r="K134" s="16"/>
    </row>
    <row r="135" spans="1:11" x14ac:dyDescent="0.2">
      <c r="A135" s="17" t="str">
        <f t="shared" si="2"/>
        <v>813746204013</v>
      </c>
      <c r="B135" s="20">
        <v>813746</v>
      </c>
      <c r="C135" s="20" t="s">
        <v>54</v>
      </c>
      <c r="D135" s="21">
        <v>204013</v>
      </c>
      <c r="E135" s="17" t="s">
        <v>52</v>
      </c>
      <c r="F135" s="18">
        <v>0</v>
      </c>
      <c r="G135" s="17" t="s">
        <v>0</v>
      </c>
      <c r="H135" s="17" t="s">
        <v>11</v>
      </c>
      <c r="I135" s="17" t="s">
        <v>318</v>
      </c>
      <c r="J135" s="19">
        <v>44168</v>
      </c>
      <c r="K135" s="16"/>
    </row>
    <row r="136" spans="1:11" x14ac:dyDescent="0.2">
      <c r="A136" s="17" t="str">
        <f t="shared" si="2"/>
        <v>813876204013</v>
      </c>
      <c r="B136" s="20">
        <v>813876</v>
      </c>
      <c r="C136" s="20" t="s">
        <v>55</v>
      </c>
      <c r="D136" s="21">
        <v>204013</v>
      </c>
      <c r="E136" s="17" t="s">
        <v>52</v>
      </c>
      <c r="F136" s="18">
        <v>0</v>
      </c>
      <c r="G136" s="17" t="s">
        <v>0</v>
      </c>
      <c r="H136" s="17" t="s">
        <v>11</v>
      </c>
      <c r="I136" s="17" t="s">
        <v>318</v>
      </c>
      <c r="J136" s="19">
        <v>44183</v>
      </c>
      <c r="K136" s="16"/>
    </row>
    <row r="137" spans="1:11" x14ac:dyDescent="0.2">
      <c r="A137" s="17" t="str">
        <f t="shared" si="2"/>
        <v>813877119023</v>
      </c>
      <c r="B137" s="20">
        <v>813877</v>
      </c>
      <c r="C137" s="20" t="s">
        <v>333</v>
      </c>
      <c r="D137" s="21">
        <v>119023</v>
      </c>
      <c r="E137" s="17" t="s">
        <v>17</v>
      </c>
      <c r="F137" s="18">
        <v>0</v>
      </c>
      <c r="G137" s="17" t="s">
        <v>0</v>
      </c>
      <c r="H137" s="17" t="s">
        <v>11</v>
      </c>
      <c r="I137" s="17" t="s">
        <v>318</v>
      </c>
      <c r="J137" s="19">
        <v>44183</v>
      </c>
      <c r="K137" s="16"/>
    </row>
    <row r="138" spans="1:11" x14ac:dyDescent="0.2">
      <c r="A138" s="17" t="str">
        <f t="shared" si="2"/>
        <v>813894202865</v>
      </c>
      <c r="B138" s="20">
        <v>813894</v>
      </c>
      <c r="C138" s="20" t="s">
        <v>57</v>
      </c>
      <c r="D138" s="21">
        <v>202865</v>
      </c>
      <c r="E138" s="17" t="s">
        <v>56</v>
      </c>
      <c r="F138" s="18">
        <v>42</v>
      </c>
      <c r="G138" s="17" t="s">
        <v>0</v>
      </c>
      <c r="H138" s="17" t="s">
        <v>11</v>
      </c>
      <c r="I138" s="17" t="s">
        <v>318</v>
      </c>
      <c r="J138" s="19">
        <v>44184</v>
      </c>
      <c r="K138" s="16"/>
    </row>
    <row r="139" spans="1:11" x14ac:dyDescent="0.2">
      <c r="A139" s="17" t="str">
        <f t="shared" si="2"/>
        <v>813895204013</v>
      </c>
      <c r="B139" s="20">
        <v>813895</v>
      </c>
      <c r="C139" s="20" t="s">
        <v>53</v>
      </c>
      <c r="D139" s="21">
        <v>204013</v>
      </c>
      <c r="E139" s="17" t="s">
        <v>52</v>
      </c>
      <c r="F139" s="18">
        <v>0</v>
      </c>
      <c r="G139" s="17" t="s">
        <v>0</v>
      </c>
      <c r="H139" s="17" t="s">
        <v>11</v>
      </c>
      <c r="I139" s="17" t="s">
        <v>318</v>
      </c>
      <c r="J139" s="19">
        <v>44184</v>
      </c>
      <c r="K139" s="16"/>
    </row>
    <row r="140" spans="1:11" x14ac:dyDescent="0.2">
      <c r="A140" s="17" t="str">
        <f t="shared" si="2"/>
        <v>814096179473</v>
      </c>
      <c r="B140" s="20">
        <v>814096</v>
      </c>
      <c r="C140" s="20" t="s">
        <v>86</v>
      </c>
      <c r="D140" s="21">
        <v>179473</v>
      </c>
      <c r="E140" s="17" t="s">
        <v>85</v>
      </c>
      <c r="F140" s="18">
        <v>0</v>
      </c>
      <c r="G140" s="17" t="s">
        <v>0</v>
      </c>
      <c r="H140" s="17" t="s">
        <v>11</v>
      </c>
      <c r="I140" s="17" t="s">
        <v>318</v>
      </c>
      <c r="J140" s="19">
        <v>44203</v>
      </c>
      <c r="K140" s="16"/>
    </row>
    <row r="141" spans="1:11" x14ac:dyDescent="0.2">
      <c r="A141" s="17" t="str">
        <f t="shared" si="2"/>
        <v>814416177829</v>
      </c>
      <c r="B141" s="20">
        <v>814416</v>
      </c>
      <c r="C141" s="20" t="s">
        <v>8</v>
      </c>
      <c r="D141" s="21">
        <v>177829</v>
      </c>
      <c r="E141" s="17" t="s">
        <v>44</v>
      </c>
      <c r="F141" s="18">
        <v>0</v>
      </c>
      <c r="G141" s="17" t="s">
        <v>0</v>
      </c>
      <c r="H141" s="17" t="s">
        <v>11</v>
      </c>
      <c r="I141" s="17" t="s">
        <v>318</v>
      </c>
      <c r="J141" s="19">
        <v>44235</v>
      </c>
      <c r="K141" s="16"/>
    </row>
    <row r="142" spans="1:11" x14ac:dyDescent="0.2">
      <c r="A142" s="17" t="str">
        <f t="shared" si="2"/>
        <v>814499171479</v>
      </c>
      <c r="B142" s="20">
        <v>814499</v>
      </c>
      <c r="C142" s="20" t="s">
        <v>48</v>
      </c>
      <c r="D142" s="21">
        <v>171479</v>
      </c>
      <c r="E142" s="17" t="s">
        <v>47</v>
      </c>
      <c r="F142" s="18">
        <v>12.5</v>
      </c>
      <c r="G142" s="17" t="s">
        <v>0</v>
      </c>
      <c r="H142" s="17" t="s">
        <v>11</v>
      </c>
      <c r="I142" s="17" t="s">
        <v>318</v>
      </c>
      <c r="J142" s="19">
        <v>44243</v>
      </c>
      <c r="K142" s="16"/>
    </row>
    <row r="143" spans="1:11" x14ac:dyDescent="0.2">
      <c r="A143" s="17" t="str">
        <f t="shared" si="2"/>
        <v>814671119023</v>
      </c>
      <c r="B143" s="20">
        <v>814671</v>
      </c>
      <c r="C143" s="20" t="s">
        <v>18</v>
      </c>
      <c r="D143" s="21">
        <v>119023</v>
      </c>
      <c r="E143" s="17" t="s">
        <v>17</v>
      </c>
      <c r="F143" s="18">
        <v>0</v>
      </c>
      <c r="G143" s="17" t="s">
        <v>0</v>
      </c>
      <c r="H143" s="17" t="s">
        <v>11</v>
      </c>
      <c r="I143" s="17" t="s">
        <v>318</v>
      </c>
      <c r="J143" s="19">
        <v>44257</v>
      </c>
      <c r="K143" s="16"/>
    </row>
    <row r="144" spans="1:11" x14ac:dyDescent="0.2">
      <c r="A144" s="17" t="str">
        <f t="shared" si="2"/>
        <v>814733119023</v>
      </c>
      <c r="B144" s="20">
        <v>814733</v>
      </c>
      <c r="C144" s="20" t="s">
        <v>94</v>
      </c>
      <c r="D144" s="21">
        <v>119023</v>
      </c>
      <c r="E144" s="17" t="s">
        <v>17</v>
      </c>
      <c r="F144" s="18">
        <v>56</v>
      </c>
      <c r="G144" s="17" t="s">
        <v>0</v>
      </c>
      <c r="H144" s="17" t="s">
        <v>11</v>
      </c>
      <c r="I144" s="17" t="s">
        <v>318</v>
      </c>
      <c r="J144" s="19">
        <v>44266</v>
      </c>
      <c r="K144" s="16"/>
    </row>
    <row r="145" spans="1:11" x14ac:dyDescent="0.2">
      <c r="A145" s="17" t="str">
        <f t="shared" si="2"/>
        <v>814749171469</v>
      </c>
      <c r="B145" s="20">
        <v>814749</v>
      </c>
      <c r="C145" s="20" t="s">
        <v>46</v>
      </c>
      <c r="D145" s="21">
        <v>171469</v>
      </c>
      <c r="E145" s="17" t="s">
        <v>45</v>
      </c>
      <c r="F145" s="18">
        <v>0</v>
      </c>
      <c r="G145" s="17" t="s">
        <v>0</v>
      </c>
      <c r="H145" s="17" t="s">
        <v>11</v>
      </c>
      <c r="I145" s="17" t="s">
        <v>318</v>
      </c>
      <c r="J145" s="19">
        <v>44268</v>
      </c>
      <c r="K145" s="16"/>
    </row>
    <row r="146" spans="1:11" x14ac:dyDescent="0.2">
      <c r="A146" s="17" t="str">
        <f t="shared" si="2"/>
        <v>814776202865</v>
      </c>
      <c r="B146" s="20">
        <v>814776</v>
      </c>
      <c r="C146" s="20" t="s">
        <v>58</v>
      </c>
      <c r="D146" s="21">
        <v>202865</v>
      </c>
      <c r="E146" s="17" t="s">
        <v>56</v>
      </c>
      <c r="F146" s="18">
        <v>42</v>
      </c>
      <c r="G146" s="17" t="s">
        <v>0</v>
      </c>
      <c r="H146" s="17" t="s">
        <v>11</v>
      </c>
      <c r="I146" s="17" t="s">
        <v>318</v>
      </c>
      <c r="J146" s="19">
        <v>44272</v>
      </c>
      <c r="K146" s="16"/>
    </row>
    <row r="147" spans="1:11" x14ac:dyDescent="0.2">
      <c r="A147" s="17" t="str">
        <f t="shared" si="2"/>
        <v>815440144996</v>
      </c>
      <c r="B147" s="20">
        <v>815440</v>
      </c>
      <c r="C147" s="20" t="s">
        <v>349</v>
      </c>
      <c r="D147" s="17">
        <v>144996</v>
      </c>
      <c r="E147" s="17" t="s">
        <v>350</v>
      </c>
      <c r="F147" s="18">
        <v>30</v>
      </c>
      <c r="G147" s="17" t="s">
        <v>0</v>
      </c>
      <c r="H147" s="17" t="s">
        <v>11</v>
      </c>
      <c r="I147" s="17" t="s">
        <v>318</v>
      </c>
      <c r="J147" s="19">
        <v>44386</v>
      </c>
      <c r="K147" s="16"/>
    </row>
    <row r="148" spans="1:11" x14ac:dyDescent="0.2">
      <c r="A148" s="17" t="str">
        <f t="shared" si="2"/>
        <v>815576119047</v>
      </c>
      <c r="B148" s="20">
        <v>815576</v>
      </c>
      <c r="C148" s="20" t="s">
        <v>354</v>
      </c>
      <c r="D148" s="17">
        <v>119047</v>
      </c>
      <c r="E148" s="17" t="s">
        <v>23</v>
      </c>
      <c r="F148" s="18">
        <v>27</v>
      </c>
      <c r="G148" s="17" t="s">
        <v>0</v>
      </c>
      <c r="H148" s="17" t="s">
        <v>11</v>
      </c>
      <c r="I148" s="17" t="s">
        <v>318</v>
      </c>
      <c r="J148" s="19">
        <v>44398</v>
      </c>
      <c r="K148" s="16"/>
    </row>
    <row r="149" spans="1:11" x14ac:dyDescent="0.2">
      <c r="A149" s="17" t="str">
        <f t="shared" si="2"/>
        <v>815713119023</v>
      </c>
      <c r="B149" s="20">
        <v>815713</v>
      </c>
      <c r="C149" s="20" t="s">
        <v>460</v>
      </c>
      <c r="D149" s="17">
        <v>119023</v>
      </c>
      <c r="E149" s="17" t="s">
        <v>17</v>
      </c>
      <c r="F149" s="18">
        <v>0</v>
      </c>
      <c r="G149" s="17" t="s">
        <v>0</v>
      </c>
      <c r="H149" s="17" t="s">
        <v>11</v>
      </c>
      <c r="I149" s="17" t="s">
        <v>318</v>
      </c>
      <c r="J149" s="19">
        <v>44405</v>
      </c>
      <c r="K149" s="16"/>
    </row>
    <row r="150" spans="1:11" x14ac:dyDescent="0.2">
      <c r="A150" s="17" t="str">
        <f t="shared" si="2"/>
        <v>816352119047</v>
      </c>
      <c r="B150" s="20">
        <v>816352</v>
      </c>
      <c r="C150" s="20" t="s">
        <v>103</v>
      </c>
      <c r="D150" s="17">
        <v>119047</v>
      </c>
      <c r="E150" s="17" t="s">
        <v>23</v>
      </c>
      <c r="F150" s="18">
        <v>0</v>
      </c>
      <c r="G150" s="17" t="s">
        <v>0</v>
      </c>
      <c r="H150" s="17" t="s">
        <v>11</v>
      </c>
      <c r="I150" s="17" t="s">
        <v>318</v>
      </c>
      <c r="J150" s="19">
        <v>44455</v>
      </c>
      <c r="K150" s="16"/>
    </row>
    <row r="151" spans="1:11" x14ac:dyDescent="0.2">
      <c r="A151" s="17" t="str">
        <f t="shared" si="2"/>
        <v>816437177245</v>
      </c>
      <c r="B151" s="20">
        <v>816437</v>
      </c>
      <c r="C151" s="20" t="s">
        <v>414</v>
      </c>
      <c r="D151" s="17">
        <v>177245</v>
      </c>
      <c r="E151" s="17" t="s">
        <v>377</v>
      </c>
      <c r="F151" s="18">
        <v>0</v>
      </c>
      <c r="G151" s="17" t="s">
        <v>0</v>
      </c>
      <c r="H151" s="17" t="s">
        <v>11</v>
      </c>
      <c r="I151" s="17" t="s">
        <v>318</v>
      </c>
      <c r="J151" s="19">
        <v>44461</v>
      </c>
      <c r="K151" s="16"/>
    </row>
    <row r="152" spans="1:11" x14ac:dyDescent="0.2">
      <c r="A152" s="17" t="str">
        <f t="shared" si="2"/>
        <v>816534119047</v>
      </c>
      <c r="B152" s="20">
        <v>816534</v>
      </c>
      <c r="C152" s="20" t="s">
        <v>407</v>
      </c>
      <c r="D152" s="17">
        <v>119047</v>
      </c>
      <c r="E152" s="17" t="s">
        <v>23</v>
      </c>
      <c r="F152" s="18">
        <v>15</v>
      </c>
      <c r="G152" s="17" t="s">
        <v>0</v>
      </c>
      <c r="H152" s="17" t="s">
        <v>11</v>
      </c>
      <c r="I152" s="17" t="s">
        <v>318</v>
      </c>
      <c r="J152" s="19">
        <v>44466</v>
      </c>
      <c r="K152" s="16"/>
    </row>
    <row r="153" spans="1:11" x14ac:dyDescent="0.2">
      <c r="A153" s="17" t="str">
        <f t="shared" si="2"/>
        <v>816555170708</v>
      </c>
      <c r="B153" s="20">
        <v>816555</v>
      </c>
      <c r="C153" s="20" t="s">
        <v>401</v>
      </c>
      <c r="D153" s="17">
        <v>170708</v>
      </c>
      <c r="E153" s="17" t="s">
        <v>100</v>
      </c>
      <c r="F153" s="18">
        <v>0</v>
      </c>
      <c r="G153" s="17" t="s">
        <v>0</v>
      </c>
      <c r="H153" s="17" t="s">
        <v>11</v>
      </c>
      <c r="I153" s="17" t="s">
        <v>318</v>
      </c>
      <c r="J153" s="19">
        <v>44467</v>
      </c>
      <c r="K153" s="16"/>
    </row>
    <row r="154" spans="1:11" x14ac:dyDescent="0.2">
      <c r="A154" s="17" t="str">
        <f t="shared" si="2"/>
        <v>816742170708</v>
      </c>
      <c r="B154" s="20">
        <v>816742</v>
      </c>
      <c r="C154" s="20" t="s">
        <v>415</v>
      </c>
      <c r="D154" s="17">
        <v>170708</v>
      </c>
      <c r="E154" s="17" t="s">
        <v>100</v>
      </c>
      <c r="F154" s="18">
        <v>0</v>
      </c>
      <c r="G154" s="17" t="s">
        <v>0</v>
      </c>
      <c r="H154" s="17" t="s">
        <v>11</v>
      </c>
      <c r="I154" s="17" t="s">
        <v>318</v>
      </c>
      <c r="J154" s="19">
        <v>44484</v>
      </c>
      <c r="K154" s="16"/>
    </row>
    <row r="155" spans="1:11" x14ac:dyDescent="0.2">
      <c r="A155" s="17" t="str">
        <f t="shared" si="2"/>
        <v>817167210440</v>
      </c>
      <c r="B155" s="20">
        <v>817167</v>
      </c>
      <c r="C155" s="20" t="s">
        <v>77</v>
      </c>
      <c r="D155" s="17">
        <v>210440</v>
      </c>
      <c r="E155" s="17" t="s">
        <v>437</v>
      </c>
      <c r="F155" s="18">
        <v>0</v>
      </c>
      <c r="G155" s="17" t="s">
        <v>0</v>
      </c>
      <c r="H155" s="17" t="s">
        <v>11</v>
      </c>
      <c r="I155" s="17" t="s">
        <v>318</v>
      </c>
      <c r="J155" s="19">
        <v>44529</v>
      </c>
      <c r="K155" s="16"/>
    </row>
    <row r="156" spans="1:11" x14ac:dyDescent="0.2">
      <c r="A156" s="17" t="str">
        <f t="shared" si="2"/>
        <v>817352171479</v>
      </c>
      <c r="B156" s="20">
        <v>817352</v>
      </c>
      <c r="C156" s="20" t="s">
        <v>441</v>
      </c>
      <c r="D156" s="17">
        <v>171479</v>
      </c>
      <c r="E156" s="17" t="s">
        <v>47</v>
      </c>
      <c r="F156" s="18">
        <v>62</v>
      </c>
      <c r="G156" s="17" t="s">
        <v>0</v>
      </c>
      <c r="H156" s="17" t="s">
        <v>11</v>
      </c>
      <c r="I156" s="17" t="s">
        <v>318</v>
      </c>
      <c r="J156" s="19">
        <v>44547</v>
      </c>
      <c r="K156" s="16"/>
    </row>
    <row r="157" spans="1:11" x14ac:dyDescent="0.2">
      <c r="A157" s="17" t="str">
        <f t="shared" si="2"/>
        <v>817835119023</v>
      </c>
      <c r="B157" s="20">
        <v>817835</v>
      </c>
      <c r="C157" s="20" t="s">
        <v>475</v>
      </c>
      <c r="D157" s="17">
        <v>119023</v>
      </c>
      <c r="E157" s="17" t="s">
        <v>17</v>
      </c>
      <c r="F157" s="18">
        <v>0</v>
      </c>
      <c r="G157" s="17" t="s">
        <v>0</v>
      </c>
      <c r="H157" s="17" t="s">
        <v>11</v>
      </c>
      <c r="I157" s="17" t="s">
        <v>318</v>
      </c>
      <c r="J157" s="19">
        <v>44586</v>
      </c>
      <c r="K157" s="16"/>
    </row>
    <row r="158" spans="1:11" x14ac:dyDescent="0.2">
      <c r="A158" s="17" t="str">
        <f t="shared" si="2"/>
        <v>818218206986</v>
      </c>
      <c r="B158" s="20">
        <v>818218</v>
      </c>
      <c r="C158" s="20" t="s">
        <v>500</v>
      </c>
      <c r="D158" s="17">
        <v>206986</v>
      </c>
      <c r="E158" s="17" t="s">
        <v>501</v>
      </c>
      <c r="F158" s="18">
        <v>0</v>
      </c>
      <c r="G158" s="17" t="s">
        <v>0</v>
      </c>
      <c r="H158" s="17" t="s">
        <v>11</v>
      </c>
      <c r="I158" s="17" t="s">
        <v>318</v>
      </c>
      <c r="J158" s="19">
        <v>44620</v>
      </c>
      <c r="K158" s="16"/>
    </row>
    <row r="159" spans="1:11" x14ac:dyDescent="0.2">
      <c r="A159" s="17" t="str">
        <f t="shared" si="2"/>
        <v>818406177829</v>
      </c>
      <c r="B159" s="22">
        <v>818406</v>
      </c>
      <c r="C159" s="22" t="s">
        <v>386</v>
      </c>
      <c r="D159" s="22">
        <v>177829</v>
      </c>
      <c r="E159" s="16" t="s">
        <v>44</v>
      </c>
      <c r="F159" s="18">
        <v>0</v>
      </c>
      <c r="G159" s="16" t="s">
        <v>0</v>
      </c>
      <c r="H159" s="16" t="s">
        <v>11</v>
      </c>
      <c r="I159" s="16" t="s">
        <v>318</v>
      </c>
      <c r="J159" s="19">
        <v>44639</v>
      </c>
      <c r="K159" s="16"/>
    </row>
    <row r="160" spans="1:11" x14ac:dyDescent="0.2">
      <c r="A160" s="17" t="str">
        <f t="shared" si="2"/>
        <v>818587177829</v>
      </c>
      <c r="B160" s="22">
        <v>818587</v>
      </c>
      <c r="C160" s="22" t="s">
        <v>521</v>
      </c>
      <c r="D160" s="22">
        <v>177829</v>
      </c>
      <c r="E160" s="16" t="s">
        <v>44</v>
      </c>
      <c r="F160" s="18">
        <v>0</v>
      </c>
      <c r="G160" s="16" t="s">
        <v>0</v>
      </c>
      <c r="H160" s="16" t="s">
        <v>11</v>
      </c>
      <c r="I160" s="16" t="s">
        <v>318</v>
      </c>
      <c r="J160" s="19">
        <v>44657</v>
      </c>
      <c r="K160" s="16"/>
    </row>
    <row r="161" spans="1:11" x14ac:dyDescent="0.2">
      <c r="A161" s="17" t="str">
        <f t="shared" si="2"/>
        <v>807200174713</v>
      </c>
      <c r="B161" s="17">
        <v>807200</v>
      </c>
      <c r="C161" s="17" t="s">
        <v>319</v>
      </c>
      <c r="D161" s="17">
        <v>174713</v>
      </c>
      <c r="E161" s="17" t="s">
        <v>321</v>
      </c>
      <c r="F161" s="18">
        <v>0</v>
      </c>
      <c r="G161" s="17" t="s">
        <v>19</v>
      </c>
      <c r="H161" s="17" t="s">
        <v>11</v>
      </c>
      <c r="I161" s="17" t="s">
        <v>318</v>
      </c>
      <c r="J161" s="19">
        <v>43427</v>
      </c>
      <c r="K161" s="16"/>
    </row>
    <row r="162" spans="1:11" x14ac:dyDescent="0.2">
      <c r="A162" s="17" t="str">
        <f t="shared" si="2"/>
        <v>811848202758</v>
      </c>
      <c r="B162" s="20">
        <v>811848</v>
      </c>
      <c r="C162" s="20" t="s">
        <v>232</v>
      </c>
      <c r="D162" s="21">
        <v>202758</v>
      </c>
      <c r="E162" s="17" t="s">
        <v>127</v>
      </c>
      <c r="F162" s="18">
        <v>0</v>
      </c>
      <c r="G162" s="17" t="s">
        <v>19</v>
      </c>
      <c r="H162" s="17" t="s">
        <v>11</v>
      </c>
      <c r="I162" s="17" t="s">
        <v>318</v>
      </c>
      <c r="J162" s="19">
        <v>43982</v>
      </c>
      <c r="K162" s="16"/>
    </row>
    <row r="163" spans="1:11" x14ac:dyDescent="0.2">
      <c r="A163" s="17" t="str">
        <f t="shared" si="2"/>
        <v>811944179894</v>
      </c>
      <c r="B163" s="20">
        <v>811944</v>
      </c>
      <c r="C163" s="20" t="s">
        <v>72</v>
      </c>
      <c r="D163" s="21">
        <v>179894</v>
      </c>
      <c r="E163" s="17" t="s">
        <v>20</v>
      </c>
      <c r="F163" s="18">
        <v>0</v>
      </c>
      <c r="G163" s="17" t="s">
        <v>19</v>
      </c>
      <c r="H163" s="17" t="s">
        <v>11</v>
      </c>
      <c r="I163" s="17" t="s">
        <v>318</v>
      </c>
      <c r="J163" s="19">
        <v>44001</v>
      </c>
      <c r="K163" s="16"/>
    </row>
    <row r="164" spans="1:11" x14ac:dyDescent="0.2">
      <c r="A164" s="17" t="str">
        <f t="shared" si="2"/>
        <v>812372202849</v>
      </c>
      <c r="B164" s="20">
        <v>812372</v>
      </c>
      <c r="C164" s="20" t="s">
        <v>404</v>
      </c>
      <c r="D164" s="17">
        <v>202849</v>
      </c>
      <c r="E164" s="17" t="s">
        <v>405</v>
      </c>
      <c r="F164" s="18">
        <v>0</v>
      </c>
      <c r="G164" s="17" t="s">
        <v>19</v>
      </c>
      <c r="H164" s="17" t="s">
        <v>11</v>
      </c>
      <c r="I164" s="17" t="s">
        <v>318</v>
      </c>
      <c r="J164" s="19">
        <v>44039</v>
      </c>
      <c r="K164" s="16"/>
    </row>
    <row r="165" spans="1:11" x14ac:dyDescent="0.2">
      <c r="A165" s="17" t="str">
        <f t="shared" si="2"/>
        <v>812404179894</v>
      </c>
      <c r="B165" s="20">
        <v>812404</v>
      </c>
      <c r="C165" s="20" t="s">
        <v>71</v>
      </c>
      <c r="D165" s="21">
        <v>179894</v>
      </c>
      <c r="E165" s="17" t="s">
        <v>20</v>
      </c>
      <c r="F165" s="18">
        <v>0</v>
      </c>
      <c r="G165" s="17" t="s">
        <v>19</v>
      </c>
      <c r="H165" s="17" t="s">
        <v>11</v>
      </c>
      <c r="I165" s="17" t="s">
        <v>318</v>
      </c>
      <c r="J165" s="19">
        <v>44042</v>
      </c>
      <c r="K165" s="16"/>
    </row>
    <row r="166" spans="1:11" x14ac:dyDescent="0.2">
      <c r="A166" s="17" t="str">
        <f t="shared" si="2"/>
        <v>813151179892</v>
      </c>
      <c r="B166" s="20">
        <v>813151</v>
      </c>
      <c r="C166" s="20" t="s">
        <v>367</v>
      </c>
      <c r="D166" s="17">
        <v>179892</v>
      </c>
      <c r="E166" s="17" t="s">
        <v>368</v>
      </c>
      <c r="F166" s="18">
        <v>0</v>
      </c>
      <c r="G166" s="17" t="s">
        <v>19</v>
      </c>
      <c r="H166" s="17" t="s">
        <v>11</v>
      </c>
      <c r="I166" s="17" t="s">
        <v>318</v>
      </c>
      <c r="J166" s="19">
        <v>44104</v>
      </c>
      <c r="K166" s="16"/>
    </row>
    <row r="167" spans="1:11" x14ac:dyDescent="0.2">
      <c r="A167" s="17" t="str">
        <f t="shared" si="2"/>
        <v>813299179894</v>
      </c>
      <c r="B167" s="20">
        <v>813299</v>
      </c>
      <c r="C167" s="20" t="s">
        <v>112</v>
      </c>
      <c r="D167" s="17">
        <v>179894</v>
      </c>
      <c r="E167" s="17" t="s">
        <v>20</v>
      </c>
      <c r="F167" s="18">
        <v>18</v>
      </c>
      <c r="G167" s="17" t="s">
        <v>19</v>
      </c>
      <c r="H167" s="17" t="s">
        <v>11</v>
      </c>
      <c r="I167" s="17" t="s">
        <v>318</v>
      </c>
      <c r="J167" s="19">
        <v>44120</v>
      </c>
      <c r="K167" s="16"/>
    </row>
    <row r="168" spans="1:11" x14ac:dyDescent="0.2">
      <c r="A168" s="17" t="str">
        <f t="shared" si="2"/>
        <v>815101208026</v>
      </c>
      <c r="B168" s="20">
        <v>815101</v>
      </c>
      <c r="C168" s="20" t="s">
        <v>124</v>
      </c>
      <c r="D168" s="21">
        <v>208026</v>
      </c>
      <c r="E168" s="17" t="s">
        <v>326</v>
      </c>
      <c r="F168" s="18">
        <v>0</v>
      </c>
      <c r="G168" s="17" t="s">
        <v>19</v>
      </c>
      <c r="H168" s="17" t="s">
        <v>11</v>
      </c>
      <c r="I168" s="17" t="s">
        <v>318</v>
      </c>
      <c r="J168" s="19">
        <v>44347</v>
      </c>
      <c r="K168" s="16"/>
    </row>
    <row r="169" spans="1:11" x14ac:dyDescent="0.2">
      <c r="A169" s="17" t="str">
        <f t="shared" si="2"/>
        <v>816037179894</v>
      </c>
      <c r="B169" s="20">
        <v>816037</v>
      </c>
      <c r="C169" s="20" t="s">
        <v>379</v>
      </c>
      <c r="D169" s="17">
        <v>179894</v>
      </c>
      <c r="E169" s="17" t="s">
        <v>20</v>
      </c>
      <c r="F169" s="18">
        <v>32.5</v>
      </c>
      <c r="G169" s="17" t="s">
        <v>19</v>
      </c>
      <c r="H169" s="17" t="s">
        <v>11</v>
      </c>
      <c r="I169" s="17" t="s">
        <v>318</v>
      </c>
      <c r="J169" s="19">
        <v>44428</v>
      </c>
      <c r="K169" s="16"/>
    </row>
    <row r="170" spans="1:11" x14ac:dyDescent="0.2">
      <c r="A170" s="17" t="str">
        <f t="shared" si="2"/>
        <v>817789179894</v>
      </c>
      <c r="B170" s="20">
        <v>817789</v>
      </c>
      <c r="C170" s="20" t="s">
        <v>471</v>
      </c>
      <c r="D170" s="17">
        <v>179894</v>
      </c>
      <c r="E170" s="17" t="s">
        <v>20</v>
      </c>
      <c r="F170" s="18">
        <v>0</v>
      </c>
      <c r="G170" s="17" t="s">
        <v>19</v>
      </c>
      <c r="H170" s="17" t="s">
        <v>11</v>
      </c>
      <c r="I170" s="17" t="s">
        <v>318</v>
      </c>
      <c r="J170" s="19">
        <v>44583</v>
      </c>
      <c r="K170" s="16"/>
    </row>
    <row r="171" spans="1:11" x14ac:dyDescent="0.2">
      <c r="A171" s="17" t="str">
        <f t="shared" si="2"/>
        <v>817871174713</v>
      </c>
      <c r="B171" s="20">
        <v>817871</v>
      </c>
      <c r="C171" s="20" t="s">
        <v>465</v>
      </c>
      <c r="D171" s="17">
        <v>174713</v>
      </c>
      <c r="E171" s="17" t="s">
        <v>321</v>
      </c>
      <c r="F171" s="18">
        <v>0</v>
      </c>
      <c r="G171" s="17" t="s">
        <v>19</v>
      </c>
      <c r="H171" s="17" t="s">
        <v>11</v>
      </c>
      <c r="I171" s="17" t="s">
        <v>318</v>
      </c>
      <c r="J171" s="19">
        <v>44589</v>
      </c>
      <c r="K171" s="16"/>
    </row>
    <row r="172" spans="1:11" x14ac:dyDescent="0.2">
      <c r="A172" s="17" t="str">
        <f t="shared" si="2"/>
        <v>818073208516</v>
      </c>
      <c r="B172" s="20">
        <v>818073</v>
      </c>
      <c r="C172" s="20" t="s">
        <v>177</v>
      </c>
      <c r="D172" s="17">
        <v>208516</v>
      </c>
      <c r="E172" s="17" t="s">
        <v>474</v>
      </c>
      <c r="F172" s="18">
        <v>0</v>
      </c>
      <c r="G172" s="17" t="s">
        <v>19</v>
      </c>
      <c r="H172" s="17" t="s">
        <v>11</v>
      </c>
      <c r="I172" s="17" t="s">
        <v>318</v>
      </c>
      <c r="J172" s="19">
        <v>44610</v>
      </c>
      <c r="K172" s="16"/>
    </row>
    <row r="173" spans="1:11" x14ac:dyDescent="0.2">
      <c r="A173" s="17" t="str">
        <f t="shared" si="2"/>
        <v>818100179894</v>
      </c>
      <c r="B173" s="22">
        <v>818100</v>
      </c>
      <c r="C173" s="22" t="s">
        <v>515</v>
      </c>
      <c r="D173" s="22">
        <v>179894</v>
      </c>
      <c r="E173" s="16" t="s">
        <v>20</v>
      </c>
      <c r="F173" s="18">
        <v>0</v>
      </c>
      <c r="G173" s="16" t="s">
        <v>19</v>
      </c>
      <c r="H173" s="16" t="s">
        <v>11</v>
      </c>
      <c r="I173" s="16" t="s">
        <v>318</v>
      </c>
      <c r="J173" s="19">
        <v>44614</v>
      </c>
      <c r="K173" s="16"/>
    </row>
    <row r="174" spans="1:11" x14ac:dyDescent="0.2">
      <c r="A174" s="17" t="str">
        <f t="shared" si="2"/>
        <v>818484179894</v>
      </c>
      <c r="B174" s="22">
        <v>818484</v>
      </c>
      <c r="C174" s="22" t="s">
        <v>516</v>
      </c>
      <c r="D174" s="22">
        <v>179894</v>
      </c>
      <c r="E174" s="16" t="s">
        <v>20</v>
      </c>
      <c r="F174" s="18">
        <v>0</v>
      </c>
      <c r="G174" s="16" t="s">
        <v>19</v>
      </c>
      <c r="H174" s="16" t="s">
        <v>11</v>
      </c>
      <c r="I174" s="16" t="s">
        <v>318</v>
      </c>
      <c r="J174" s="19">
        <v>44646</v>
      </c>
      <c r="K174" s="16"/>
    </row>
    <row r="175" spans="1:11" x14ac:dyDescent="0.2">
      <c r="A175" s="17" t="str">
        <f t="shared" si="2"/>
        <v>804079174756</v>
      </c>
      <c r="B175" s="20">
        <v>804079</v>
      </c>
      <c r="C175" s="20" t="s">
        <v>95</v>
      </c>
      <c r="D175" s="21">
        <v>174756</v>
      </c>
      <c r="E175" s="17" t="s">
        <v>34</v>
      </c>
      <c r="F175" s="18">
        <v>0</v>
      </c>
      <c r="G175" s="17" t="s">
        <v>62</v>
      </c>
      <c r="H175" s="17" t="s">
        <v>423</v>
      </c>
      <c r="I175" s="17" t="s">
        <v>318</v>
      </c>
      <c r="J175" s="19">
        <v>42174</v>
      </c>
      <c r="K175" s="16"/>
    </row>
    <row r="176" spans="1:11" x14ac:dyDescent="0.2">
      <c r="A176" s="17" t="str">
        <f t="shared" si="2"/>
        <v>808980175717</v>
      </c>
      <c r="B176" s="20">
        <v>808980</v>
      </c>
      <c r="C176" s="20" t="s">
        <v>282</v>
      </c>
      <c r="D176" s="21">
        <v>175717</v>
      </c>
      <c r="E176" s="17" t="s">
        <v>137</v>
      </c>
      <c r="F176" s="18">
        <v>0</v>
      </c>
      <c r="G176" s="17" t="s">
        <v>62</v>
      </c>
      <c r="H176" s="17" t="s">
        <v>423</v>
      </c>
      <c r="I176" s="17" t="s">
        <v>318</v>
      </c>
      <c r="J176" s="19">
        <v>43355</v>
      </c>
      <c r="K176" s="16"/>
    </row>
    <row r="177" spans="1:11" x14ac:dyDescent="0.2">
      <c r="A177" s="17" t="str">
        <f t="shared" si="2"/>
        <v>811106178237</v>
      </c>
      <c r="B177" s="20">
        <v>811106</v>
      </c>
      <c r="C177" s="20" t="s">
        <v>173</v>
      </c>
      <c r="D177" s="21">
        <v>178237</v>
      </c>
      <c r="E177" s="17" t="s">
        <v>63</v>
      </c>
      <c r="F177" s="18">
        <v>88</v>
      </c>
      <c r="G177" s="17" t="s">
        <v>62</v>
      </c>
      <c r="H177" s="17" t="s">
        <v>423</v>
      </c>
      <c r="I177" s="17" t="s">
        <v>318</v>
      </c>
      <c r="J177" s="19">
        <v>43826</v>
      </c>
      <c r="K177" s="16"/>
    </row>
    <row r="178" spans="1:11" x14ac:dyDescent="0.2">
      <c r="A178" s="17" t="str">
        <f t="shared" si="2"/>
        <v>812076178234</v>
      </c>
      <c r="B178" s="20">
        <v>812076</v>
      </c>
      <c r="C178" s="20" t="s">
        <v>295</v>
      </c>
      <c r="D178" s="21">
        <v>178234</v>
      </c>
      <c r="E178" s="17" t="s">
        <v>207</v>
      </c>
      <c r="F178" s="18">
        <v>25</v>
      </c>
      <c r="G178" s="17" t="s">
        <v>62</v>
      </c>
      <c r="H178" s="17" t="s">
        <v>423</v>
      </c>
      <c r="I178" s="17" t="s">
        <v>318</v>
      </c>
      <c r="J178" s="19">
        <v>44012</v>
      </c>
      <c r="K178" s="16"/>
    </row>
    <row r="179" spans="1:11" x14ac:dyDescent="0.2">
      <c r="A179" s="17" t="str">
        <f t="shared" si="2"/>
        <v>812100203236</v>
      </c>
      <c r="B179" s="20">
        <v>812100</v>
      </c>
      <c r="C179" s="17" t="s">
        <v>277</v>
      </c>
      <c r="D179" s="21">
        <v>203236</v>
      </c>
      <c r="E179" s="17" t="s">
        <v>171</v>
      </c>
      <c r="F179" s="18">
        <v>0</v>
      </c>
      <c r="G179" s="17" t="s">
        <v>62</v>
      </c>
      <c r="H179" s="17" t="s">
        <v>423</v>
      </c>
      <c r="I179" s="17" t="s">
        <v>318</v>
      </c>
      <c r="J179" s="19">
        <v>44015</v>
      </c>
      <c r="K179" s="16"/>
    </row>
    <row r="180" spans="1:11" x14ac:dyDescent="0.2">
      <c r="A180" s="17" t="str">
        <f t="shared" ref="A180:A243" si="3">B180&amp;D180</f>
        <v>812384178234</v>
      </c>
      <c r="B180" s="22">
        <v>812384</v>
      </c>
      <c r="C180" s="22" t="s">
        <v>76</v>
      </c>
      <c r="D180" s="22">
        <v>178234</v>
      </c>
      <c r="E180" s="16" t="s">
        <v>207</v>
      </c>
      <c r="F180" s="18">
        <v>0</v>
      </c>
      <c r="G180" s="16" t="s">
        <v>62</v>
      </c>
      <c r="H180" s="16" t="s">
        <v>423</v>
      </c>
      <c r="I180" s="16" t="s">
        <v>318</v>
      </c>
      <c r="J180" s="19">
        <v>44040</v>
      </c>
      <c r="K180" s="16"/>
    </row>
    <row r="181" spans="1:11" x14ac:dyDescent="0.2">
      <c r="A181" s="17" t="str">
        <f t="shared" si="3"/>
        <v>812384178298</v>
      </c>
      <c r="B181" s="20">
        <v>812384</v>
      </c>
      <c r="C181" s="20" t="s">
        <v>76</v>
      </c>
      <c r="D181" s="21">
        <v>178298</v>
      </c>
      <c r="E181" s="17" t="s">
        <v>15</v>
      </c>
      <c r="F181" s="18">
        <v>42</v>
      </c>
      <c r="G181" s="17" t="s">
        <v>62</v>
      </c>
      <c r="H181" s="17" t="s">
        <v>423</v>
      </c>
      <c r="I181" s="17" t="s">
        <v>318</v>
      </c>
      <c r="J181" s="19">
        <v>44040</v>
      </c>
      <c r="K181" s="16"/>
    </row>
    <row r="182" spans="1:11" x14ac:dyDescent="0.2">
      <c r="A182" s="17" t="str">
        <f t="shared" si="3"/>
        <v>812392178237</v>
      </c>
      <c r="B182" s="20">
        <v>812392</v>
      </c>
      <c r="C182" s="20" t="s">
        <v>208</v>
      </c>
      <c r="D182" s="21">
        <v>178237</v>
      </c>
      <c r="E182" s="17" t="s">
        <v>63</v>
      </c>
      <c r="F182" s="18">
        <v>0</v>
      </c>
      <c r="G182" s="17" t="s">
        <v>62</v>
      </c>
      <c r="H182" s="17" t="s">
        <v>423</v>
      </c>
      <c r="I182" s="17" t="s">
        <v>318</v>
      </c>
      <c r="J182" s="19">
        <v>44041</v>
      </c>
      <c r="K182" s="16"/>
    </row>
    <row r="183" spans="1:11" x14ac:dyDescent="0.2">
      <c r="A183" s="17" t="str">
        <f t="shared" si="3"/>
        <v>812407178237</v>
      </c>
      <c r="B183" s="20">
        <v>812407</v>
      </c>
      <c r="C183" s="20" t="s">
        <v>332</v>
      </c>
      <c r="D183" s="21">
        <v>178237</v>
      </c>
      <c r="E183" s="17" t="s">
        <v>63</v>
      </c>
      <c r="F183" s="18">
        <v>0</v>
      </c>
      <c r="G183" s="17" t="s">
        <v>62</v>
      </c>
      <c r="H183" s="17" t="s">
        <v>423</v>
      </c>
      <c r="I183" s="17" t="s">
        <v>318</v>
      </c>
      <c r="J183" s="19">
        <v>44042</v>
      </c>
      <c r="K183" s="16"/>
    </row>
    <row r="184" spans="1:11" x14ac:dyDescent="0.2">
      <c r="A184" s="17" t="str">
        <f t="shared" si="3"/>
        <v>812474178234</v>
      </c>
      <c r="B184" s="20">
        <v>812474</v>
      </c>
      <c r="C184" s="20" t="s">
        <v>276</v>
      </c>
      <c r="D184" s="21">
        <v>178234</v>
      </c>
      <c r="E184" s="17" t="s">
        <v>207</v>
      </c>
      <c r="F184" s="18">
        <v>0</v>
      </c>
      <c r="G184" s="17" t="s">
        <v>62</v>
      </c>
      <c r="H184" s="17" t="s">
        <v>423</v>
      </c>
      <c r="I184" s="17" t="s">
        <v>318</v>
      </c>
      <c r="J184" s="19">
        <v>44053</v>
      </c>
      <c r="K184" s="16"/>
    </row>
    <row r="185" spans="1:11" x14ac:dyDescent="0.2">
      <c r="A185" s="17" t="str">
        <f t="shared" si="3"/>
        <v>812562178237</v>
      </c>
      <c r="B185" s="20">
        <v>812562</v>
      </c>
      <c r="C185" s="20" t="s">
        <v>433</v>
      </c>
      <c r="D185" s="17">
        <v>178237</v>
      </c>
      <c r="E185" s="17" t="s">
        <v>63</v>
      </c>
      <c r="F185" s="18">
        <v>0</v>
      </c>
      <c r="G185" s="17" t="s">
        <v>62</v>
      </c>
      <c r="H185" s="17" t="s">
        <v>423</v>
      </c>
      <c r="I185" s="17" t="s">
        <v>318</v>
      </c>
      <c r="J185" s="19">
        <v>44061</v>
      </c>
      <c r="K185" s="16"/>
    </row>
    <row r="186" spans="1:11" x14ac:dyDescent="0.2">
      <c r="A186" s="17" t="str">
        <f t="shared" si="3"/>
        <v>812751178237</v>
      </c>
      <c r="B186" s="20">
        <v>812751</v>
      </c>
      <c r="C186" s="20" t="s">
        <v>196</v>
      </c>
      <c r="D186" s="21">
        <v>178237</v>
      </c>
      <c r="E186" s="17" t="s">
        <v>63</v>
      </c>
      <c r="F186" s="18">
        <v>0</v>
      </c>
      <c r="G186" s="17" t="s">
        <v>62</v>
      </c>
      <c r="H186" s="17" t="s">
        <v>423</v>
      </c>
      <c r="I186" s="17" t="s">
        <v>318</v>
      </c>
      <c r="J186" s="19">
        <v>44076</v>
      </c>
      <c r="K186" s="16"/>
    </row>
    <row r="187" spans="1:11" x14ac:dyDescent="0.2">
      <c r="A187" s="17" t="str">
        <f t="shared" si="3"/>
        <v>812810203236</v>
      </c>
      <c r="B187" s="20">
        <v>812810</v>
      </c>
      <c r="C187" s="20" t="s">
        <v>509</v>
      </c>
      <c r="D187" s="17">
        <v>203236</v>
      </c>
      <c r="E187" s="17" t="s">
        <v>171</v>
      </c>
      <c r="F187" s="18">
        <v>0</v>
      </c>
      <c r="G187" s="17" t="s">
        <v>62</v>
      </c>
      <c r="H187" s="17" t="s">
        <v>423</v>
      </c>
      <c r="I187" s="17" t="s">
        <v>318</v>
      </c>
      <c r="J187" s="19">
        <v>44081</v>
      </c>
      <c r="K187" s="16"/>
    </row>
    <row r="188" spans="1:11" x14ac:dyDescent="0.2">
      <c r="A188" s="17" t="str">
        <f t="shared" si="3"/>
        <v>812811178237</v>
      </c>
      <c r="B188" s="20">
        <v>812811</v>
      </c>
      <c r="C188" s="20" t="s">
        <v>348</v>
      </c>
      <c r="D188" s="17">
        <v>178237</v>
      </c>
      <c r="E188" s="17" t="s">
        <v>63</v>
      </c>
      <c r="F188" s="18">
        <v>0</v>
      </c>
      <c r="G188" s="17" t="s">
        <v>62</v>
      </c>
      <c r="H188" s="17" t="s">
        <v>423</v>
      </c>
      <c r="I188" s="17" t="s">
        <v>318</v>
      </c>
      <c r="J188" s="19">
        <v>44081</v>
      </c>
      <c r="K188" s="16"/>
    </row>
    <row r="189" spans="1:11" x14ac:dyDescent="0.2">
      <c r="A189" s="17" t="str">
        <f t="shared" si="3"/>
        <v>813378178298</v>
      </c>
      <c r="B189" s="20">
        <v>813378</v>
      </c>
      <c r="C189" s="20" t="s">
        <v>406</v>
      </c>
      <c r="D189" s="17">
        <v>178298</v>
      </c>
      <c r="E189" s="17" t="s">
        <v>15</v>
      </c>
      <c r="F189" s="18">
        <v>0</v>
      </c>
      <c r="G189" s="17" t="s">
        <v>62</v>
      </c>
      <c r="H189" s="17" t="s">
        <v>423</v>
      </c>
      <c r="I189" s="17" t="s">
        <v>318</v>
      </c>
      <c r="J189" s="19">
        <v>44128</v>
      </c>
      <c r="K189" s="16"/>
    </row>
    <row r="190" spans="1:11" x14ac:dyDescent="0.2">
      <c r="A190" s="17" t="str">
        <f t="shared" si="3"/>
        <v>813378178234</v>
      </c>
      <c r="B190" s="22">
        <v>813378</v>
      </c>
      <c r="C190" s="22" t="s">
        <v>406</v>
      </c>
      <c r="D190" s="29">
        <v>178234</v>
      </c>
      <c r="E190" s="16" t="s">
        <v>207</v>
      </c>
      <c r="F190" s="18">
        <v>10</v>
      </c>
      <c r="G190" s="16" t="s">
        <v>62</v>
      </c>
      <c r="H190" s="16" t="s">
        <v>423</v>
      </c>
      <c r="I190" s="16" t="s">
        <v>318</v>
      </c>
      <c r="J190" s="19">
        <v>44128</v>
      </c>
      <c r="K190" s="16"/>
    </row>
    <row r="191" spans="1:11" x14ac:dyDescent="0.2">
      <c r="A191" s="17" t="str">
        <f t="shared" si="3"/>
        <v>813821178237</v>
      </c>
      <c r="B191" s="20">
        <v>813821</v>
      </c>
      <c r="C191" s="20" t="s">
        <v>172</v>
      </c>
      <c r="D191" s="21">
        <v>178237</v>
      </c>
      <c r="E191" s="17" t="s">
        <v>63</v>
      </c>
      <c r="F191" s="18">
        <v>0</v>
      </c>
      <c r="G191" s="17" t="s">
        <v>62</v>
      </c>
      <c r="H191" s="17" t="s">
        <v>423</v>
      </c>
      <c r="I191" s="17" t="s">
        <v>318</v>
      </c>
      <c r="J191" s="19">
        <v>44177</v>
      </c>
      <c r="K191" s="16"/>
    </row>
    <row r="192" spans="1:11" x14ac:dyDescent="0.2">
      <c r="A192" s="17" t="str">
        <f t="shared" si="3"/>
        <v>813842202478</v>
      </c>
      <c r="B192" s="20">
        <v>813842</v>
      </c>
      <c r="C192" s="20" t="s">
        <v>288</v>
      </c>
      <c r="D192" s="21">
        <v>202478</v>
      </c>
      <c r="E192" s="17" t="s">
        <v>253</v>
      </c>
      <c r="F192" s="18">
        <v>10</v>
      </c>
      <c r="G192" s="17" t="s">
        <v>62</v>
      </c>
      <c r="H192" s="17" t="s">
        <v>423</v>
      </c>
      <c r="I192" s="17" t="s">
        <v>318</v>
      </c>
      <c r="J192" s="19">
        <v>44180</v>
      </c>
      <c r="K192" s="16"/>
    </row>
    <row r="193" spans="1:11" x14ac:dyDescent="0.2">
      <c r="A193" s="17" t="str">
        <f t="shared" si="3"/>
        <v>814109119052</v>
      </c>
      <c r="B193" s="20">
        <v>814109</v>
      </c>
      <c r="C193" s="20" t="s">
        <v>80</v>
      </c>
      <c r="D193" s="21">
        <v>119052</v>
      </c>
      <c r="E193" s="17" t="s">
        <v>79</v>
      </c>
      <c r="F193" s="18">
        <v>42</v>
      </c>
      <c r="G193" s="17" t="s">
        <v>62</v>
      </c>
      <c r="H193" s="17" t="s">
        <v>423</v>
      </c>
      <c r="I193" s="17" t="s">
        <v>318</v>
      </c>
      <c r="J193" s="19">
        <v>44204</v>
      </c>
      <c r="K193" s="16"/>
    </row>
    <row r="194" spans="1:11" x14ac:dyDescent="0.2">
      <c r="A194" s="17" t="str">
        <f t="shared" si="3"/>
        <v>814116178298</v>
      </c>
      <c r="B194" s="20">
        <v>814116</v>
      </c>
      <c r="C194" s="20" t="s">
        <v>82</v>
      </c>
      <c r="D194" s="21">
        <v>178298</v>
      </c>
      <c r="E194" s="17" t="s">
        <v>15</v>
      </c>
      <c r="F194" s="18">
        <v>19</v>
      </c>
      <c r="G194" s="17" t="s">
        <v>62</v>
      </c>
      <c r="H194" s="17" t="s">
        <v>423</v>
      </c>
      <c r="I194" s="17" t="s">
        <v>318</v>
      </c>
      <c r="J194" s="19">
        <v>44205</v>
      </c>
      <c r="K194" s="16"/>
    </row>
    <row r="195" spans="1:11" x14ac:dyDescent="0.2">
      <c r="A195" s="17" t="str">
        <f t="shared" si="3"/>
        <v>814116202478</v>
      </c>
      <c r="B195" s="22">
        <v>814116</v>
      </c>
      <c r="C195" s="22" t="s">
        <v>82</v>
      </c>
      <c r="D195" s="22">
        <v>202478</v>
      </c>
      <c r="E195" s="16" t="s">
        <v>253</v>
      </c>
      <c r="F195" s="18">
        <v>0</v>
      </c>
      <c r="G195" s="16" t="s">
        <v>62</v>
      </c>
      <c r="H195" s="16" t="s">
        <v>423</v>
      </c>
      <c r="I195" s="16" t="s">
        <v>318</v>
      </c>
      <c r="J195" s="19">
        <v>44205</v>
      </c>
      <c r="K195" s="16"/>
    </row>
    <row r="196" spans="1:11" x14ac:dyDescent="0.2">
      <c r="A196" s="17" t="str">
        <f t="shared" si="3"/>
        <v>814350175717</v>
      </c>
      <c r="B196" s="20">
        <v>814350</v>
      </c>
      <c r="C196" s="20" t="s">
        <v>138</v>
      </c>
      <c r="D196" s="21">
        <v>175717</v>
      </c>
      <c r="E196" s="17" t="s">
        <v>137</v>
      </c>
      <c r="F196" s="18">
        <v>0</v>
      </c>
      <c r="G196" s="17" t="s">
        <v>62</v>
      </c>
      <c r="H196" s="17" t="s">
        <v>423</v>
      </c>
      <c r="I196" s="17" t="s">
        <v>318</v>
      </c>
      <c r="J196" s="19">
        <v>44226</v>
      </c>
      <c r="K196" s="16"/>
    </row>
    <row r="197" spans="1:11" x14ac:dyDescent="0.2">
      <c r="A197" s="17" t="str">
        <f t="shared" si="3"/>
        <v>815467203236</v>
      </c>
      <c r="B197" s="20">
        <v>815467</v>
      </c>
      <c r="C197" s="20" t="s">
        <v>359</v>
      </c>
      <c r="D197" s="17">
        <v>203236</v>
      </c>
      <c r="E197" s="17" t="s">
        <v>171</v>
      </c>
      <c r="F197" s="18">
        <v>54</v>
      </c>
      <c r="G197" s="17" t="s">
        <v>62</v>
      </c>
      <c r="H197" s="17" t="s">
        <v>423</v>
      </c>
      <c r="I197" s="17" t="s">
        <v>318</v>
      </c>
      <c r="J197" s="19">
        <v>44389</v>
      </c>
      <c r="K197" s="16"/>
    </row>
    <row r="198" spans="1:11" x14ac:dyDescent="0.2">
      <c r="A198" s="17" t="str">
        <f t="shared" si="3"/>
        <v>815468178234</v>
      </c>
      <c r="B198" s="20">
        <v>815468</v>
      </c>
      <c r="C198" s="20" t="s">
        <v>360</v>
      </c>
      <c r="D198" s="17">
        <v>178234</v>
      </c>
      <c r="E198" s="17" t="s">
        <v>207</v>
      </c>
      <c r="F198" s="18">
        <v>10</v>
      </c>
      <c r="G198" s="17" t="s">
        <v>62</v>
      </c>
      <c r="H198" s="17" t="s">
        <v>423</v>
      </c>
      <c r="I198" s="17" t="s">
        <v>318</v>
      </c>
      <c r="J198" s="19">
        <v>44389</v>
      </c>
      <c r="K198" s="16"/>
    </row>
    <row r="199" spans="1:11" x14ac:dyDescent="0.2">
      <c r="A199" s="17" t="str">
        <f t="shared" si="3"/>
        <v>815479203236</v>
      </c>
      <c r="B199" s="20">
        <v>815479</v>
      </c>
      <c r="C199" s="20" t="s">
        <v>361</v>
      </c>
      <c r="D199" s="17">
        <v>203236</v>
      </c>
      <c r="E199" s="17" t="s">
        <v>171</v>
      </c>
      <c r="F199" s="18">
        <v>0</v>
      </c>
      <c r="G199" s="17" t="s">
        <v>62</v>
      </c>
      <c r="H199" s="17" t="s">
        <v>423</v>
      </c>
      <c r="I199" s="17" t="s">
        <v>318</v>
      </c>
      <c r="J199" s="19">
        <v>44389</v>
      </c>
      <c r="K199" s="16"/>
    </row>
    <row r="200" spans="1:11" x14ac:dyDescent="0.2">
      <c r="A200" s="17" t="str">
        <f t="shared" si="3"/>
        <v>815924178237</v>
      </c>
      <c r="B200" s="20">
        <v>815924</v>
      </c>
      <c r="C200" s="20" t="s">
        <v>413</v>
      </c>
      <c r="D200" s="17">
        <v>178237</v>
      </c>
      <c r="E200" s="17" t="s">
        <v>63</v>
      </c>
      <c r="F200" s="18">
        <v>0</v>
      </c>
      <c r="G200" s="17" t="s">
        <v>62</v>
      </c>
      <c r="H200" s="17" t="s">
        <v>423</v>
      </c>
      <c r="I200" s="17" t="s">
        <v>318</v>
      </c>
      <c r="J200" s="19">
        <v>44421</v>
      </c>
      <c r="K200" s="16"/>
    </row>
    <row r="201" spans="1:11" x14ac:dyDescent="0.2">
      <c r="A201" s="17" t="str">
        <f t="shared" si="3"/>
        <v>817366210355</v>
      </c>
      <c r="B201" s="20">
        <v>817366</v>
      </c>
      <c r="C201" s="20" t="s">
        <v>442</v>
      </c>
      <c r="D201" s="17">
        <v>210355</v>
      </c>
      <c r="E201" s="17" t="s">
        <v>389</v>
      </c>
      <c r="F201" s="18">
        <v>0</v>
      </c>
      <c r="G201" s="17" t="s">
        <v>62</v>
      </c>
      <c r="H201" s="17" t="s">
        <v>423</v>
      </c>
      <c r="I201" s="17" t="s">
        <v>318</v>
      </c>
      <c r="J201" s="19">
        <v>44548</v>
      </c>
      <c r="K201" s="16"/>
    </row>
    <row r="202" spans="1:11" x14ac:dyDescent="0.2">
      <c r="A202" s="17" t="str">
        <f t="shared" si="3"/>
        <v>817404178234</v>
      </c>
      <c r="B202" s="20">
        <v>817404</v>
      </c>
      <c r="C202" s="20" t="s">
        <v>358</v>
      </c>
      <c r="D202" s="17">
        <v>178234</v>
      </c>
      <c r="E202" s="17" t="s">
        <v>207</v>
      </c>
      <c r="F202" s="18">
        <v>70</v>
      </c>
      <c r="G202" s="17" t="s">
        <v>62</v>
      </c>
      <c r="H202" s="17" t="s">
        <v>423</v>
      </c>
      <c r="I202" s="17" t="s">
        <v>318</v>
      </c>
      <c r="J202" s="19">
        <v>44551</v>
      </c>
      <c r="K202" s="16"/>
    </row>
    <row r="203" spans="1:11" x14ac:dyDescent="0.2">
      <c r="A203" s="17" t="str">
        <f t="shared" si="3"/>
        <v>817913178298</v>
      </c>
      <c r="B203" s="20">
        <v>817913</v>
      </c>
      <c r="C203" s="20" t="s">
        <v>472</v>
      </c>
      <c r="D203" s="17">
        <v>178298</v>
      </c>
      <c r="E203" s="17" t="s">
        <v>15</v>
      </c>
      <c r="F203" s="18">
        <v>0</v>
      </c>
      <c r="G203" s="17" t="s">
        <v>62</v>
      </c>
      <c r="H203" s="17" t="s">
        <v>423</v>
      </c>
      <c r="I203" s="17" t="s">
        <v>318</v>
      </c>
      <c r="J203" s="19">
        <v>44592</v>
      </c>
      <c r="K203" s="16"/>
    </row>
    <row r="204" spans="1:11" x14ac:dyDescent="0.2">
      <c r="A204" s="17" t="str">
        <f t="shared" si="3"/>
        <v>817914210355</v>
      </c>
      <c r="B204" s="20">
        <v>817914</v>
      </c>
      <c r="C204" s="20" t="s">
        <v>462</v>
      </c>
      <c r="D204" s="17">
        <v>210355</v>
      </c>
      <c r="E204" s="17" t="s">
        <v>389</v>
      </c>
      <c r="F204" s="18">
        <v>25</v>
      </c>
      <c r="G204" s="17" t="s">
        <v>62</v>
      </c>
      <c r="H204" s="17" t="s">
        <v>423</v>
      </c>
      <c r="I204" s="17" t="s">
        <v>318</v>
      </c>
      <c r="J204" s="19">
        <v>44592</v>
      </c>
      <c r="K204" s="16"/>
    </row>
    <row r="205" spans="1:11" x14ac:dyDescent="0.2">
      <c r="A205" s="17" t="str">
        <f t="shared" si="3"/>
        <v>817916178298</v>
      </c>
      <c r="B205" s="20">
        <v>817916</v>
      </c>
      <c r="C205" s="20" t="s">
        <v>473</v>
      </c>
      <c r="D205" s="17">
        <v>178298</v>
      </c>
      <c r="E205" s="17" t="s">
        <v>15</v>
      </c>
      <c r="F205" s="18">
        <v>15</v>
      </c>
      <c r="G205" s="17" t="s">
        <v>62</v>
      </c>
      <c r="H205" s="17" t="s">
        <v>423</v>
      </c>
      <c r="I205" s="17" t="s">
        <v>318</v>
      </c>
      <c r="J205" s="19">
        <v>44592</v>
      </c>
      <c r="K205" s="16"/>
    </row>
    <row r="206" spans="1:11" x14ac:dyDescent="0.2">
      <c r="A206" s="17" t="str">
        <f t="shared" si="3"/>
        <v>817934210355</v>
      </c>
      <c r="B206" s="20">
        <v>817934</v>
      </c>
      <c r="C206" s="20" t="s">
        <v>286</v>
      </c>
      <c r="D206" s="17">
        <v>210355</v>
      </c>
      <c r="E206" s="17" t="s">
        <v>389</v>
      </c>
      <c r="F206" s="18">
        <v>0</v>
      </c>
      <c r="G206" s="17" t="s">
        <v>62</v>
      </c>
      <c r="H206" s="17" t="s">
        <v>423</v>
      </c>
      <c r="I206" s="17" t="s">
        <v>318</v>
      </c>
      <c r="J206" s="19">
        <v>44593</v>
      </c>
      <c r="K206" s="16"/>
    </row>
    <row r="207" spans="1:11" x14ac:dyDescent="0.2">
      <c r="A207" s="17" t="str">
        <f t="shared" si="3"/>
        <v>818071202478</v>
      </c>
      <c r="B207" s="20">
        <v>818071</v>
      </c>
      <c r="C207" s="20" t="s">
        <v>477</v>
      </c>
      <c r="D207" s="17">
        <v>202478</v>
      </c>
      <c r="E207" s="17" t="s">
        <v>253</v>
      </c>
      <c r="F207" s="18">
        <v>0</v>
      </c>
      <c r="G207" s="17" t="s">
        <v>62</v>
      </c>
      <c r="H207" s="17" t="s">
        <v>423</v>
      </c>
      <c r="I207" s="17" t="s">
        <v>318</v>
      </c>
      <c r="J207" s="19">
        <v>44610</v>
      </c>
      <c r="K207" s="16"/>
    </row>
    <row r="208" spans="1:11" x14ac:dyDescent="0.2">
      <c r="A208" s="17" t="str">
        <f t="shared" si="3"/>
        <v>818867178298</v>
      </c>
      <c r="B208" s="22">
        <v>818867</v>
      </c>
      <c r="C208" s="22" t="s">
        <v>534</v>
      </c>
      <c r="D208" s="29">
        <v>178298</v>
      </c>
      <c r="E208" s="16" t="s">
        <v>15</v>
      </c>
      <c r="F208" s="18">
        <v>20</v>
      </c>
      <c r="G208" s="16" t="s">
        <v>62</v>
      </c>
      <c r="H208" s="16" t="s">
        <v>423</v>
      </c>
      <c r="I208" s="16" t="s">
        <v>318</v>
      </c>
      <c r="J208" s="19">
        <v>44690</v>
      </c>
      <c r="K208" s="16"/>
    </row>
    <row r="209" spans="1:11" x14ac:dyDescent="0.2">
      <c r="A209" s="17" t="str">
        <f t="shared" si="3"/>
        <v>817053212409</v>
      </c>
      <c r="B209" s="22">
        <v>817053</v>
      </c>
      <c r="C209" s="22" t="s">
        <v>434</v>
      </c>
      <c r="D209" s="29">
        <v>212409</v>
      </c>
      <c r="E209" s="16" t="s">
        <v>527</v>
      </c>
      <c r="F209" s="18">
        <v>15</v>
      </c>
      <c r="G209" s="16" t="s">
        <v>423</v>
      </c>
      <c r="H209" s="16" t="s">
        <v>423</v>
      </c>
      <c r="I209" s="16" t="s">
        <v>318</v>
      </c>
      <c r="J209" s="19">
        <v>44518</v>
      </c>
      <c r="K209" s="16"/>
    </row>
    <row r="210" spans="1:11" x14ac:dyDescent="0.2">
      <c r="A210" s="17" t="str">
        <f t="shared" si="3"/>
        <v>818357203154</v>
      </c>
      <c r="B210" s="22">
        <v>818357</v>
      </c>
      <c r="C210" s="22" t="s">
        <v>4</v>
      </c>
      <c r="D210" s="29">
        <v>203154</v>
      </c>
      <c r="E210" s="16" t="s">
        <v>217</v>
      </c>
      <c r="F210" s="18">
        <v>0</v>
      </c>
      <c r="G210" s="16" t="s">
        <v>423</v>
      </c>
      <c r="H210" s="16" t="s">
        <v>423</v>
      </c>
      <c r="I210" s="16" t="s">
        <v>318</v>
      </c>
      <c r="J210" s="19">
        <v>44632</v>
      </c>
      <c r="K210" s="16"/>
    </row>
    <row r="211" spans="1:11" x14ac:dyDescent="0.2">
      <c r="A211" s="17" t="str">
        <f t="shared" si="3"/>
        <v>818908176276</v>
      </c>
      <c r="B211" s="22">
        <v>818908</v>
      </c>
      <c r="C211" s="22" t="s">
        <v>136</v>
      </c>
      <c r="D211" s="29">
        <v>176276</v>
      </c>
      <c r="E211" s="16" t="s">
        <v>151</v>
      </c>
      <c r="F211" s="18">
        <v>7</v>
      </c>
      <c r="G211" s="16" t="s">
        <v>423</v>
      </c>
      <c r="H211" s="16" t="s">
        <v>423</v>
      </c>
      <c r="I211" s="16" t="s">
        <v>318</v>
      </c>
      <c r="J211" s="19">
        <v>44692</v>
      </c>
      <c r="K211" s="16"/>
    </row>
    <row r="212" spans="1:11" x14ac:dyDescent="0.2">
      <c r="A212" s="17" t="str">
        <f t="shared" si="3"/>
        <v>818983212409</v>
      </c>
      <c r="B212" s="22">
        <v>818983</v>
      </c>
      <c r="C212" s="22" t="s">
        <v>432</v>
      </c>
      <c r="D212" s="29">
        <v>212409</v>
      </c>
      <c r="E212" s="16" t="s">
        <v>527</v>
      </c>
      <c r="F212" s="18">
        <v>51</v>
      </c>
      <c r="G212" s="16" t="s">
        <v>423</v>
      </c>
      <c r="H212" s="16" t="s">
        <v>423</v>
      </c>
      <c r="I212" s="16" t="s">
        <v>318</v>
      </c>
      <c r="J212" s="19">
        <v>44700</v>
      </c>
      <c r="K212" s="16"/>
    </row>
    <row r="213" spans="1:11" x14ac:dyDescent="0.2">
      <c r="A213" s="17" t="str">
        <f t="shared" si="3"/>
        <v>819023204307</v>
      </c>
      <c r="B213" s="22">
        <v>819023</v>
      </c>
      <c r="C213" s="22" t="s">
        <v>535</v>
      </c>
      <c r="D213" s="29">
        <v>204307</v>
      </c>
      <c r="E213" s="16" t="s">
        <v>162</v>
      </c>
      <c r="F213" s="18">
        <v>41.5</v>
      </c>
      <c r="G213" s="16" t="s">
        <v>423</v>
      </c>
      <c r="H213" s="16" t="s">
        <v>423</v>
      </c>
      <c r="I213" s="16" t="s">
        <v>318</v>
      </c>
      <c r="J213" s="19">
        <v>44702</v>
      </c>
      <c r="K213" s="16"/>
    </row>
    <row r="214" spans="1:11" x14ac:dyDescent="0.2">
      <c r="A214" s="17" t="str">
        <f t="shared" si="3"/>
        <v>803018176276</v>
      </c>
      <c r="B214" s="20">
        <v>803018</v>
      </c>
      <c r="C214" s="20" t="s">
        <v>172</v>
      </c>
      <c r="D214" s="21">
        <v>176276</v>
      </c>
      <c r="E214" s="17" t="s">
        <v>151</v>
      </c>
      <c r="F214" s="18">
        <v>7.5</v>
      </c>
      <c r="G214" s="17" t="s">
        <v>423</v>
      </c>
      <c r="H214" s="17" t="s">
        <v>423</v>
      </c>
      <c r="I214" s="17" t="s">
        <v>318</v>
      </c>
      <c r="J214" s="19">
        <v>41607</v>
      </c>
      <c r="K214" s="16"/>
    </row>
    <row r="215" spans="1:11" x14ac:dyDescent="0.2">
      <c r="A215" s="17" t="str">
        <f t="shared" si="3"/>
        <v>803698172976</v>
      </c>
      <c r="B215" s="20">
        <v>803698</v>
      </c>
      <c r="C215" s="20" t="s">
        <v>306</v>
      </c>
      <c r="D215" s="21">
        <v>172976</v>
      </c>
      <c r="E215" s="17" t="s">
        <v>218</v>
      </c>
      <c r="F215" s="18">
        <v>7.5</v>
      </c>
      <c r="G215" s="17" t="s">
        <v>423</v>
      </c>
      <c r="H215" s="17" t="s">
        <v>423</v>
      </c>
      <c r="I215" s="17" t="s">
        <v>318</v>
      </c>
      <c r="J215" s="19">
        <v>41962</v>
      </c>
      <c r="K215" s="16"/>
    </row>
    <row r="216" spans="1:11" x14ac:dyDescent="0.2">
      <c r="A216" s="17" t="str">
        <f t="shared" si="3"/>
        <v>804818119261</v>
      </c>
      <c r="B216" s="20">
        <v>804818</v>
      </c>
      <c r="C216" s="20" t="s">
        <v>236</v>
      </c>
      <c r="D216" s="21">
        <v>119261</v>
      </c>
      <c r="E216" s="17" t="s">
        <v>140</v>
      </c>
      <c r="F216" s="18">
        <v>35</v>
      </c>
      <c r="G216" s="17" t="s">
        <v>423</v>
      </c>
      <c r="H216" s="17" t="s">
        <v>423</v>
      </c>
      <c r="I216" s="17" t="s">
        <v>318</v>
      </c>
      <c r="J216" s="19">
        <v>42408</v>
      </c>
      <c r="K216" s="16"/>
    </row>
    <row r="217" spans="1:11" x14ac:dyDescent="0.2">
      <c r="A217" s="17" t="str">
        <f t="shared" si="3"/>
        <v>804978176276</v>
      </c>
      <c r="B217" s="20">
        <v>804978</v>
      </c>
      <c r="C217" s="20" t="s">
        <v>425</v>
      </c>
      <c r="D217" s="17">
        <v>176276</v>
      </c>
      <c r="E217" s="17" t="s">
        <v>151</v>
      </c>
      <c r="F217" s="18">
        <v>0</v>
      </c>
      <c r="G217" s="17" t="s">
        <v>423</v>
      </c>
      <c r="H217" s="17" t="s">
        <v>423</v>
      </c>
      <c r="I217" s="17" t="s">
        <v>318</v>
      </c>
      <c r="J217" s="19">
        <v>42485</v>
      </c>
      <c r="K217" s="16"/>
    </row>
    <row r="218" spans="1:11" x14ac:dyDescent="0.2">
      <c r="A218" s="17" t="str">
        <f t="shared" si="3"/>
        <v>805005146845</v>
      </c>
      <c r="B218" s="20">
        <v>805005</v>
      </c>
      <c r="C218" s="20" t="s">
        <v>235</v>
      </c>
      <c r="D218" s="21">
        <v>146845</v>
      </c>
      <c r="E218" s="17" t="s">
        <v>205</v>
      </c>
      <c r="F218" s="18">
        <v>0</v>
      </c>
      <c r="G218" s="17" t="s">
        <v>423</v>
      </c>
      <c r="H218" s="17" t="s">
        <v>423</v>
      </c>
      <c r="I218" s="17" t="s">
        <v>318</v>
      </c>
      <c r="J218" s="19">
        <v>42490</v>
      </c>
      <c r="K218" s="16"/>
    </row>
    <row r="219" spans="1:11" x14ac:dyDescent="0.2">
      <c r="A219" s="17" t="str">
        <f t="shared" si="3"/>
        <v>805378176276</v>
      </c>
      <c r="B219" s="20">
        <v>805378</v>
      </c>
      <c r="C219" s="20" t="s">
        <v>174</v>
      </c>
      <c r="D219" s="21">
        <v>176276</v>
      </c>
      <c r="E219" s="17" t="s">
        <v>151</v>
      </c>
      <c r="F219" s="18">
        <v>60</v>
      </c>
      <c r="G219" s="17" t="s">
        <v>423</v>
      </c>
      <c r="H219" s="17" t="s">
        <v>423</v>
      </c>
      <c r="I219" s="17" t="s">
        <v>318</v>
      </c>
      <c r="J219" s="19">
        <v>42580</v>
      </c>
      <c r="K219" s="16"/>
    </row>
    <row r="220" spans="1:11" x14ac:dyDescent="0.2">
      <c r="A220" s="17" t="str">
        <f t="shared" si="3"/>
        <v>805869176821</v>
      </c>
      <c r="B220" s="20">
        <v>805869</v>
      </c>
      <c r="C220" s="20" t="s">
        <v>469</v>
      </c>
      <c r="D220" s="17">
        <v>176821</v>
      </c>
      <c r="E220" s="17" t="s">
        <v>470</v>
      </c>
      <c r="F220" s="18">
        <v>0</v>
      </c>
      <c r="G220" s="17" t="s">
        <v>423</v>
      </c>
      <c r="H220" s="17" t="s">
        <v>423</v>
      </c>
      <c r="I220" s="17" t="s">
        <v>318</v>
      </c>
      <c r="J220" s="19">
        <v>42724</v>
      </c>
      <c r="K220" s="16"/>
    </row>
    <row r="221" spans="1:11" x14ac:dyDescent="0.2">
      <c r="A221" s="17" t="str">
        <f t="shared" si="3"/>
        <v>806283119038</v>
      </c>
      <c r="B221" s="20">
        <v>806283</v>
      </c>
      <c r="C221" s="20" t="s">
        <v>90</v>
      </c>
      <c r="D221" s="21">
        <v>119038</v>
      </c>
      <c r="E221" s="17" t="s">
        <v>2</v>
      </c>
      <c r="F221" s="18">
        <v>0</v>
      </c>
      <c r="G221" s="17" t="s">
        <v>423</v>
      </c>
      <c r="H221" s="17" t="s">
        <v>423</v>
      </c>
      <c r="I221" s="17" t="s">
        <v>318</v>
      </c>
      <c r="J221" s="19">
        <v>42851</v>
      </c>
      <c r="K221" s="16"/>
    </row>
    <row r="222" spans="1:11" x14ac:dyDescent="0.2">
      <c r="A222" s="17" t="str">
        <f t="shared" si="3"/>
        <v>806296179796</v>
      </c>
      <c r="B222" s="20">
        <v>806296</v>
      </c>
      <c r="C222" s="20" t="s">
        <v>260</v>
      </c>
      <c r="D222" s="21">
        <v>179796</v>
      </c>
      <c r="E222" s="17" t="s">
        <v>165</v>
      </c>
      <c r="F222" s="18">
        <v>5</v>
      </c>
      <c r="G222" s="17" t="s">
        <v>423</v>
      </c>
      <c r="H222" s="17" t="s">
        <v>423</v>
      </c>
      <c r="I222" s="17" t="s">
        <v>318</v>
      </c>
      <c r="J222" s="19">
        <v>42853</v>
      </c>
      <c r="K222" s="16"/>
    </row>
    <row r="223" spans="1:11" x14ac:dyDescent="0.2">
      <c r="A223" s="17" t="str">
        <f t="shared" si="3"/>
        <v>806307119160</v>
      </c>
      <c r="B223" s="20">
        <v>806307</v>
      </c>
      <c r="C223" s="20" t="s">
        <v>191</v>
      </c>
      <c r="D223" s="21">
        <v>119160</v>
      </c>
      <c r="E223" s="17" t="s">
        <v>69</v>
      </c>
      <c r="F223" s="18">
        <v>15.25</v>
      </c>
      <c r="G223" s="17" t="s">
        <v>423</v>
      </c>
      <c r="H223" s="17" t="s">
        <v>423</v>
      </c>
      <c r="I223" s="17" t="s">
        <v>318</v>
      </c>
      <c r="J223" s="19">
        <v>42857</v>
      </c>
      <c r="K223" s="16"/>
    </row>
    <row r="224" spans="1:11" x14ac:dyDescent="0.2">
      <c r="A224" s="17" t="str">
        <f t="shared" si="3"/>
        <v>806511208268</v>
      </c>
      <c r="B224" s="20">
        <v>806511</v>
      </c>
      <c r="C224" s="20" t="s">
        <v>201</v>
      </c>
      <c r="D224" s="17">
        <v>208268</v>
      </c>
      <c r="E224" s="17" t="s">
        <v>352</v>
      </c>
      <c r="F224" s="18">
        <v>0</v>
      </c>
      <c r="G224" s="17" t="s">
        <v>423</v>
      </c>
      <c r="H224" s="17" t="s">
        <v>423</v>
      </c>
      <c r="I224" s="17" t="s">
        <v>318</v>
      </c>
      <c r="J224" s="19">
        <v>42909</v>
      </c>
      <c r="K224" s="16"/>
    </row>
    <row r="225" spans="1:11" x14ac:dyDescent="0.2">
      <c r="A225" s="17" t="str">
        <f t="shared" si="3"/>
        <v>806616141512</v>
      </c>
      <c r="B225" s="20">
        <v>806616</v>
      </c>
      <c r="C225" s="20" t="s">
        <v>188</v>
      </c>
      <c r="D225" s="21">
        <v>141512</v>
      </c>
      <c r="E225" s="17" t="s">
        <v>107</v>
      </c>
      <c r="F225" s="18">
        <v>7.5</v>
      </c>
      <c r="G225" s="17" t="s">
        <v>423</v>
      </c>
      <c r="H225" s="17" t="s">
        <v>423</v>
      </c>
      <c r="I225" s="17" t="s">
        <v>318</v>
      </c>
      <c r="J225" s="19">
        <v>42935</v>
      </c>
      <c r="K225" s="16"/>
    </row>
    <row r="226" spans="1:11" x14ac:dyDescent="0.2">
      <c r="A226" s="17" t="str">
        <f t="shared" si="3"/>
        <v>806887119071</v>
      </c>
      <c r="B226" s="20">
        <v>806887</v>
      </c>
      <c r="C226" s="20" t="s">
        <v>256</v>
      </c>
      <c r="D226" s="21">
        <v>119071</v>
      </c>
      <c r="E226" s="17" t="s">
        <v>154</v>
      </c>
      <c r="F226" s="18">
        <v>20</v>
      </c>
      <c r="G226" s="17" t="s">
        <v>423</v>
      </c>
      <c r="H226" s="17" t="s">
        <v>423</v>
      </c>
      <c r="I226" s="17" t="s">
        <v>318</v>
      </c>
      <c r="J226" s="19">
        <v>42993</v>
      </c>
      <c r="K226" s="16"/>
    </row>
    <row r="227" spans="1:11" x14ac:dyDescent="0.2">
      <c r="A227" s="17" t="str">
        <f t="shared" si="3"/>
        <v>806898141512</v>
      </c>
      <c r="B227" s="20">
        <v>806898</v>
      </c>
      <c r="C227" s="20" t="s">
        <v>130</v>
      </c>
      <c r="D227" s="21">
        <v>141512</v>
      </c>
      <c r="E227" s="17" t="s">
        <v>107</v>
      </c>
      <c r="F227" s="18">
        <v>15</v>
      </c>
      <c r="G227" s="17" t="s">
        <v>423</v>
      </c>
      <c r="H227" s="17" t="s">
        <v>423</v>
      </c>
      <c r="I227" s="17" t="s">
        <v>318</v>
      </c>
      <c r="J227" s="19">
        <v>42907</v>
      </c>
      <c r="K227" s="16"/>
    </row>
    <row r="228" spans="1:11" x14ac:dyDescent="0.2">
      <c r="A228" s="17" t="str">
        <f t="shared" si="3"/>
        <v>807065143301</v>
      </c>
      <c r="B228" s="20">
        <v>807065</v>
      </c>
      <c r="C228" s="20" t="s">
        <v>81</v>
      </c>
      <c r="D228" s="21">
        <v>143301</v>
      </c>
      <c r="E228" s="17" t="s">
        <v>59</v>
      </c>
      <c r="F228" s="18">
        <v>0</v>
      </c>
      <c r="G228" s="17" t="s">
        <v>423</v>
      </c>
      <c r="H228" s="17" t="s">
        <v>423</v>
      </c>
      <c r="I228" s="17" t="s">
        <v>318</v>
      </c>
      <c r="J228" s="19">
        <v>43384</v>
      </c>
      <c r="K228" s="16"/>
    </row>
    <row r="229" spans="1:11" x14ac:dyDescent="0.2">
      <c r="A229" s="17" t="str">
        <f t="shared" si="3"/>
        <v>807121146845</v>
      </c>
      <c r="B229" s="20">
        <v>807121</v>
      </c>
      <c r="C229" s="20" t="s">
        <v>206</v>
      </c>
      <c r="D229" s="21">
        <v>146845</v>
      </c>
      <c r="E229" s="17" t="s">
        <v>205</v>
      </c>
      <c r="F229" s="18">
        <v>0</v>
      </c>
      <c r="G229" s="17" t="s">
        <v>423</v>
      </c>
      <c r="H229" s="17" t="s">
        <v>423</v>
      </c>
      <c r="I229" s="17" t="s">
        <v>318</v>
      </c>
      <c r="J229" s="19">
        <v>43400</v>
      </c>
      <c r="K229" s="16"/>
    </row>
    <row r="230" spans="1:11" x14ac:dyDescent="0.2">
      <c r="A230" s="17" t="str">
        <f t="shared" si="3"/>
        <v>807122176303</v>
      </c>
      <c r="B230" s="20">
        <v>807122</v>
      </c>
      <c r="C230" s="20" t="s">
        <v>246</v>
      </c>
      <c r="D230" s="21">
        <v>176303</v>
      </c>
      <c r="E230" s="17" t="s">
        <v>175</v>
      </c>
      <c r="F230" s="18">
        <v>7.5</v>
      </c>
      <c r="G230" s="17" t="s">
        <v>423</v>
      </c>
      <c r="H230" s="17" t="s">
        <v>423</v>
      </c>
      <c r="I230" s="17" t="s">
        <v>318</v>
      </c>
      <c r="J230" s="19">
        <v>43400</v>
      </c>
      <c r="K230" s="16"/>
    </row>
    <row r="231" spans="1:11" x14ac:dyDescent="0.2">
      <c r="A231" s="17" t="str">
        <f t="shared" si="3"/>
        <v>807141202994</v>
      </c>
      <c r="B231" s="20">
        <v>807141</v>
      </c>
      <c r="C231" s="20" t="s">
        <v>284</v>
      </c>
      <c r="D231" s="21">
        <v>202994</v>
      </c>
      <c r="E231" s="17" t="s">
        <v>221</v>
      </c>
      <c r="F231" s="18">
        <v>5</v>
      </c>
      <c r="G231" s="17" t="s">
        <v>423</v>
      </c>
      <c r="H231" s="17" t="s">
        <v>423</v>
      </c>
      <c r="I231" s="17" t="s">
        <v>318</v>
      </c>
      <c r="J231" s="19">
        <v>43406</v>
      </c>
      <c r="K231" s="16"/>
    </row>
    <row r="232" spans="1:11" x14ac:dyDescent="0.2">
      <c r="A232" s="17" t="str">
        <f t="shared" si="3"/>
        <v>807353119261</v>
      </c>
      <c r="B232" s="20">
        <v>807353</v>
      </c>
      <c r="C232" s="20" t="s">
        <v>212</v>
      </c>
      <c r="D232" s="21">
        <v>119261</v>
      </c>
      <c r="E232" s="17" t="s">
        <v>140</v>
      </c>
      <c r="F232" s="18">
        <v>0</v>
      </c>
      <c r="G232" s="17" t="s">
        <v>423</v>
      </c>
      <c r="H232" s="17" t="s">
        <v>423</v>
      </c>
      <c r="I232" s="17" t="s">
        <v>318</v>
      </c>
      <c r="J232" s="19">
        <v>43451</v>
      </c>
      <c r="K232" s="16"/>
    </row>
    <row r="233" spans="1:11" x14ac:dyDescent="0.2">
      <c r="A233" s="17" t="str">
        <f t="shared" si="3"/>
        <v>807368176303</v>
      </c>
      <c r="B233" s="20">
        <v>807368</v>
      </c>
      <c r="C233" s="20" t="s">
        <v>308</v>
      </c>
      <c r="D233" s="21">
        <v>176303</v>
      </c>
      <c r="E233" s="17" t="s">
        <v>175</v>
      </c>
      <c r="F233" s="18">
        <v>0</v>
      </c>
      <c r="G233" s="17" t="s">
        <v>423</v>
      </c>
      <c r="H233" s="17" t="s">
        <v>423</v>
      </c>
      <c r="I233" s="17" t="s">
        <v>318</v>
      </c>
      <c r="J233" s="19">
        <v>43453</v>
      </c>
      <c r="K233" s="16"/>
    </row>
    <row r="234" spans="1:11" x14ac:dyDescent="0.2">
      <c r="A234" s="17" t="str">
        <f t="shared" si="3"/>
        <v>807690141512</v>
      </c>
      <c r="B234" s="20">
        <v>807690</v>
      </c>
      <c r="C234" s="20" t="s">
        <v>310</v>
      </c>
      <c r="D234" s="21">
        <v>141512</v>
      </c>
      <c r="E234" s="17" t="s">
        <v>107</v>
      </c>
      <c r="F234" s="18">
        <v>0</v>
      </c>
      <c r="G234" s="17" t="s">
        <v>423</v>
      </c>
      <c r="H234" s="17" t="s">
        <v>423</v>
      </c>
      <c r="I234" s="17" t="s">
        <v>318</v>
      </c>
      <c r="J234" s="19">
        <v>43388</v>
      </c>
      <c r="K234" s="16"/>
    </row>
    <row r="235" spans="1:11" x14ac:dyDescent="0.2">
      <c r="A235" s="17" t="str">
        <f t="shared" si="3"/>
        <v>808419206011</v>
      </c>
      <c r="B235" s="20">
        <v>808419</v>
      </c>
      <c r="C235" s="20" t="s">
        <v>22</v>
      </c>
      <c r="D235" s="21">
        <v>206011</v>
      </c>
      <c r="E235" s="17" t="s">
        <v>21</v>
      </c>
      <c r="F235" s="18">
        <v>89.75</v>
      </c>
      <c r="G235" s="17" t="s">
        <v>423</v>
      </c>
      <c r="H235" s="17" t="s">
        <v>423</v>
      </c>
      <c r="I235" s="17" t="s">
        <v>318</v>
      </c>
      <c r="J235" s="19">
        <v>43245</v>
      </c>
      <c r="K235" s="16"/>
    </row>
    <row r="236" spans="1:11" x14ac:dyDescent="0.2">
      <c r="A236" s="17" t="str">
        <f t="shared" si="3"/>
        <v>808731141512</v>
      </c>
      <c r="B236" s="20">
        <v>808731</v>
      </c>
      <c r="C236" s="20" t="s">
        <v>275</v>
      </c>
      <c r="D236" s="21">
        <v>141512</v>
      </c>
      <c r="E236" s="17" t="s">
        <v>107</v>
      </c>
      <c r="F236" s="18">
        <v>15</v>
      </c>
      <c r="G236" s="17" t="s">
        <v>423</v>
      </c>
      <c r="H236" s="17" t="s">
        <v>423</v>
      </c>
      <c r="I236" s="17" t="s">
        <v>318</v>
      </c>
      <c r="J236" s="19">
        <v>43315</v>
      </c>
      <c r="K236" s="16"/>
    </row>
    <row r="237" spans="1:11" x14ac:dyDescent="0.2">
      <c r="A237" s="17" t="str">
        <f t="shared" si="3"/>
        <v>809479176303</v>
      </c>
      <c r="B237" s="20">
        <v>809479</v>
      </c>
      <c r="C237" s="20" t="s">
        <v>176</v>
      </c>
      <c r="D237" s="21">
        <v>176303</v>
      </c>
      <c r="E237" s="17" t="s">
        <v>175</v>
      </c>
      <c r="F237" s="18">
        <v>7.5</v>
      </c>
      <c r="G237" s="17" t="s">
        <v>423</v>
      </c>
      <c r="H237" s="17" t="s">
        <v>423</v>
      </c>
      <c r="I237" s="17" t="s">
        <v>318</v>
      </c>
      <c r="J237" s="19">
        <v>43588</v>
      </c>
      <c r="K237" s="16"/>
    </row>
    <row r="238" spans="1:11" x14ac:dyDescent="0.2">
      <c r="A238" s="17" t="str">
        <f t="shared" si="3"/>
        <v>810821141512</v>
      </c>
      <c r="B238" s="20">
        <v>810821</v>
      </c>
      <c r="C238" s="20" t="s">
        <v>210</v>
      </c>
      <c r="D238" s="21">
        <v>141512</v>
      </c>
      <c r="E238" s="17" t="s">
        <v>107</v>
      </c>
      <c r="F238" s="18">
        <v>0</v>
      </c>
      <c r="G238" s="17" t="s">
        <v>423</v>
      </c>
      <c r="H238" s="17" t="s">
        <v>423</v>
      </c>
      <c r="I238" s="17" t="s">
        <v>318</v>
      </c>
      <c r="J238" s="19">
        <v>43791</v>
      </c>
      <c r="K238" s="16"/>
    </row>
    <row r="239" spans="1:11" x14ac:dyDescent="0.2">
      <c r="A239" s="17" t="str">
        <f t="shared" si="3"/>
        <v>811242147770</v>
      </c>
      <c r="B239" s="20">
        <v>811242</v>
      </c>
      <c r="C239" s="20" t="s">
        <v>431</v>
      </c>
      <c r="D239" s="17">
        <v>147770</v>
      </c>
      <c r="E239" s="17" t="s">
        <v>432</v>
      </c>
      <c r="F239" s="18">
        <v>0</v>
      </c>
      <c r="G239" s="17" t="s">
        <v>423</v>
      </c>
      <c r="H239" s="17" t="s">
        <v>423</v>
      </c>
      <c r="I239" s="17" t="s">
        <v>318</v>
      </c>
      <c r="J239" s="19">
        <v>43844</v>
      </c>
      <c r="K239" s="16"/>
    </row>
    <row r="240" spans="1:11" x14ac:dyDescent="0.2">
      <c r="A240" s="17" t="str">
        <f t="shared" si="3"/>
        <v>811243176303</v>
      </c>
      <c r="B240" s="20">
        <v>811243</v>
      </c>
      <c r="C240" s="20" t="s">
        <v>301</v>
      </c>
      <c r="D240" s="21">
        <v>176303</v>
      </c>
      <c r="E240" s="17" t="s">
        <v>175</v>
      </c>
      <c r="F240" s="18">
        <v>0</v>
      </c>
      <c r="G240" s="17" t="s">
        <v>423</v>
      </c>
      <c r="H240" s="17" t="s">
        <v>423</v>
      </c>
      <c r="I240" s="17" t="s">
        <v>318</v>
      </c>
      <c r="J240" s="19">
        <v>43844</v>
      </c>
      <c r="K240" s="16"/>
    </row>
    <row r="241" spans="1:11" x14ac:dyDescent="0.2">
      <c r="A241" s="17" t="str">
        <f t="shared" si="3"/>
        <v>812077202452</v>
      </c>
      <c r="B241" s="20">
        <v>812077</v>
      </c>
      <c r="C241" s="20" t="s">
        <v>150</v>
      </c>
      <c r="D241" s="21">
        <v>202452</v>
      </c>
      <c r="E241" s="17" t="s">
        <v>149</v>
      </c>
      <c r="F241" s="18">
        <v>0</v>
      </c>
      <c r="G241" s="17" t="s">
        <v>423</v>
      </c>
      <c r="H241" s="17" t="s">
        <v>423</v>
      </c>
      <c r="I241" s="17" t="s">
        <v>318</v>
      </c>
      <c r="J241" s="19">
        <v>44012</v>
      </c>
      <c r="K241" s="16"/>
    </row>
    <row r="242" spans="1:11" x14ac:dyDescent="0.2">
      <c r="A242" s="17" t="str">
        <f t="shared" si="3"/>
        <v>812102145639</v>
      </c>
      <c r="B242" s="20">
        <v>812102</v>
      </c>
      <c r="C242" s="20" t="s">
        <v>296</v>
      </c>
      <c r="D242" s="21">
        <v>145639</v>
      </c>
      <c r="E242" s="17" t="s">
        <v>152</v>
      </c>
      <c r="F242" s="18">
        <v>0</v>
      </c>
      <c r="G242" s="17" t="s">
        <v>423</v>
      </c>
      <c r="H242" s="17" t="s">
        <v>423</v>
      </c>
      <c r="I242" s="17" t="s">
        <v>318</v>
      </c>
      <c r="J242" s="19">
        <v>44015</v>
      </c>
      <c r="K242" s="16"/>
    </row>
    <row r="243" spans="1:11" x14ac:dyDescent="0.2">
      <c r="A243" s="17" t="str">
        <f t="shared" si="3"/>
        <v>812160203154</v>
      </c>
      <c r="B243" s="20">
        <v>812160</v>
      </c>
      <c r="C243" s="20" t="s">
        <v>31</v>
      </c>
      <c r="D243" s="21">
        <v>203154</v>
      </c>
      <c r="E243" s="17" t="s">
        <v>217</v>
      </c>
      <c r="F243" s="18">
        <v>67.5</v>
      </c>
      <c r="G243" s="17" t="s">
        <v>423</v>
      </c>
      <c r="H243" s="17" t="s">
        <v>423</v>
      </c>
      <c r="I243" s="17" t="s">
        <v>318</v>
      </c>
      <c r="J243" s="19">
        <v>44021</v>
      </c>
      <c r="K243" s="16"/>
    </row>
    <row r="244" spans="1:11" x14ac:dyDescent="0.2">
      <c r="A244" s="17" t="str">
        <f t="shared" ref="A244:A307" si="4">B244&amp;D244</f>
        <v>812237174445</v>
      </c>
      <c r="B244" s="20">
        <v>812237</v>
      </c>
      <c r="C244" s="20" t="s">
        <v>283</v>
      </c>
      <c r="D244" s="21">
        <v>174445</v>
      </c>
      <c r="E244" s="17" t="s">
        <v>143</v>
      </c>
      <c r="F244" s="18">
        <v>22</v>
      </c>
      <c r="G244" s="17" t="s">
        <v>423</v>
      </c>
      <c r="H244" s="17" t="s">
        <v>423</v>
      </c>
      <c r="I244" s="17" t="s">
        <v>318</v>
      </c>
      <c r="J244" s="19">
        <v>44027</v>
      </c>
      <c r="K244" s="16"/>
    </row>
    <row r="245" spans="1:11" x14ac:dyDescent="0.2">
      <c r="A245" s="17" t="str">
        <f t="shared" si="4"/>
        <v>812546176388</v>
      </c>
      <c r="B245" s="20">
        <v>812546</v>
      </c>
      <c r="C245" s="20" t="s">
        <v>258</v>
      </c>
      <c r="D245" s="21">
        <v>176388</v>
      </c>
      <c r="E245" s="17" t="s">
        <v>120</v>
      </c>
      <c r="F245" s="18">
        <v>0</v>
      </c>
      <c r="G245" s="17" t="s">
        <v>423</v>
      </c>
      <c r="H245" s="17" t="s">
        <v>423</v>
      </c>
      <c r="I245" s="17" t="s">
        <v>318</v>
      </c>
      <c r="J245" s="19">
        <v>44060</v>
      </c>
      <c r="K245" s="16"/>
    </row>
    <row r="246" spans="1:11" x14ac:dyDescent="0.2">
      <c r="A246" s="17" t="str">
        <f t="shared" si="4"/>
        <v>812793202452</v>
      </c>
      <c r="B246" s="20">
        <v>812793</v>
      </c>
      <c r="C246" s="20" t="s">
        <v>251</v>
      </c>
      <c r="D246" s="21">
        <v>202452</v>
      </c>
      <c r="E246" s="17" t="s">
        <v>149</v>
      </c>
      <c r="F246" s="18">
        <v>0</v>
      </c>
      <c r="G246" s="17" t="s">
        <v>423</v>
      </c>
      <c r="H246" s="17" t="s">
        <v>423</v>
      </c>
      <c r="I246" s="17" t="s">
        <v>318</v>
      </c>
      <c r="J246" s="19">
        <v>44079</v>
      </c>
      <c r="K246" s="16"/>
    </row>
    <row r="247" spans="1:11" x14ac:dyDescent="0.2">
      <c r="A247" s="17" t="str">
        <f t="shared" si="4"/>
        <v>812794202994</v>
      </c>
      <c r="B247" s="20">
        <v>812794</v>
      </c>
      <c r="C247" s="20" t="s">
        <v>304</v>
      </c>
      <c r="D247" s="21">
        <v>202994</v>
      </c>
      <c r="E247" s="17" t="s">
        <v>221</v>
      </c>
      <c r="F247" s="18">
        <v>0</v>
      </c>
      <c r="G247" s="17" t="s">
        <v>423</v>
      </c>
      <c r="H247" s="17" t="s">
        <v>423</v>
      </c>
      <c r="I247" s="17" t="s">
        <v>318</v>
      </c>
      <c r="J247" s="19">
        <v>44079</v>
      </c>
      <c r="K247" s="16"/>
    </row>
    <row r="248" spans="1:11" x14ac:dyDescent="0.2">
      <c r="A248" s="17" t="str">
        <f t="shared" si="4"/>
        <v>812883149825</v>
      </c>
      <c r="B248" s="20">
        <v>812883</v>
      </c>
      <c r="C248" s="20" t="s">
        <v>249</v>
      </c>
      <c r="D248" s="21">
        <v>149825</v>
      </c>
      <c r="E248" s="17" t="s">
        <v>233</v>
      </c>
      <c r="F248" s="18">
        <v>10</v>
      </c>
      <c r="G248" s="17" t="s">
        <v>423</v>
      </c>
      <c r="H248" s="17" t="s">
        <v>423</v>
      </c>
      <c r="I248" s="17" t="s">
        <v>318</v>
      </c>
      <c r="J248" s="19">
        <v>44085</v>
      </c>
      <c r="K248" s="16"/>
    </row>
    <row r="249" spans="1:11" x14ac:dyDescent="0.2">
      <c r="A249" s="17" t="str">
        <f t="shared" si="4"/>
        <v>813149149583</v>
      </c>
      <c r="B249" s="20">
        <v>813149</v>
      </c>
      <c r="C249" s="20" t="s">
        <v>204</v>
      </c>
      <c r="D249" s="21">
        <v>149583</v>
      </c>
      <c r="E249" s="17" t="s">
        <v>203</v>
      </c>
      <c r="F249" s="18">
        <v>17.5</v>
      </c>
      <c r="G249" s="17" t="s">
        <v>423</v>
      </c>
      <c r="H249" s="17" t="s">
        <v>423</v>
      </c>
      <c r="I249" s="17" t="s">
        <v>318</v>
      </c>
      <c r="J249" s="19">
        <v>44104</v>
      </c>
      <c r="K249" s="16"/>
    </row>
    <row r="250" spans="1:11" x14ac:dyDescent="0.2">
      <c r="A250" s="17" t="str">
        <f t="shared" si="4"/>
        <v>813195176303</v>
      </c>
      <c r="B250" s="20">
        <v>813195</v>
      </c>
      <c r="C250" s="20" t="s">
        <v>300</v>
      </c>
      <c r="D250" s="21">
        <v>176303</v>
      </c>
      <c r="E250" s="17" t="s">
        <v>175</v>
      </c>
      <c r="F250" s="18">
        <v>0</v>
      </c>
      <c r="G250" s="17" t="s">
        <v>423</v>
      </c>
      <c r="H250" s="17" t="s">
        <v>423</v>
      </c>
      <c r="I250" s="17" t="s">
        <v>318</v>
      </c>
      <c r="J250" s="19">
        <v>44111</v>
      </c>
      <c r="K250" s="16"/>
    </row>
    <row r="251" spans="1:11" x14ac:dyDescent="0.2">
      <c r="A251" s="17" t="str">
        <f t="shared" si="4"/>
        <v>813271176276</v>
      </c>
      <c r="B251" s="20">
        <v>813271</v>
      </c>
      <c r="C251" s="20" t="s">
        <v>184</v>
      </c>
      <c r="D251" s="21">
        <v>176276</v>
      </c>
      <c r="E251" s="17" t="s">
        <v>151</v>
      </c>
      <c r="F251" s="18">
        <v>15</v>
      </c>
      <c r="G251" s="17" t="s">
        <v>423</v>
      </c>
      <c r="H251" s="17" t="s">
        <v>423</v>
      </c>
      <c r="I251" s="17" t="s">
        <v>318</v>
      </c>
      <c r="J251" s="19">
        <v>44118</v>
      </c>
      <c r="K251" s="16"/>
    </row>
    <row r="252" spans="1:11" x14ac:dyDescent="0.2">
      <c r="A252" s="17" t="str">
        <f t="shared" si="4"/>
        <v>813946205270</v>
      </c>
      <c r="B252" s="20">
        <v>813946</v>
      </c>
      <c r="C252" s="20" t="s">
        <v>164</v>
      </c>
      <c r="D252" s="21">
        <v>205270</v>
      </c>
      <c r="E252" s="17" t="s">
        <v>153</v>
      </c>
      <c r="F252" s="18">
        <v>15</v>
      </c>
      <c r="G252" s="17" t="s">
        <v>423</v>
      </c>
      <c r="H252" s="17" t="s">
        <v>423</v>
      </c>
      <c r="I252" s="17" t="s">
        <v>318</v>
      </c>
      <c r="J252" s="19">
        <v>44189</v>
      </c>
      <c r="K252" s="16"/>
    </row>
    <row r="253" spans="1:11" x14ac:dyDescent="0.2">
      <c r="A253" s="17" t="str">
        <f t="shared" si="4"/>
        <v>814097141512</v>
      </c>
      <c r="B253" s="20">
        <v>814097</v>
      </c>
      <c r="C253" s="20" t="s">
        <v>95</v>
      </c>
      <c r="D253" s="21">
        <v>141512</v>
      </c>
      <c r="E253" s="17" t="s">
        <v>107</v>
      </c>
      <c r="F253" s="18">
        <v>8</v>
      </c>
      <c r="G253" s="17" t="s">
        <v>423</v>
      </c>
      <c r="H253" s="17" t="s">
        <v>423</v>
      </c>
      <c r="I253" s="17" t="s">
        <v>318</v>
      </c>
      <c r="J253" s="19">
        <v>44203</v>
      </c>
      <c r="K253" s="16"/>
    </row>
    <row r="254" spans="1:11" x14ac:dyDescent="0.2">
      <c r="A254" s="17" t="str">
        <f t="shared" si="4"/>
        <v>814248174693</v>
      </c>
      <c r="B254" s="20">
        <v>814248</v>
      </c>
      <c r="C254" s="20" t="s">
        <v>147</v>
      </c>
      <c r="D254" s="21">
        <v>174693</v>
      </c>
      <c r="E254" s="17" t="s">
        <v>146</v>
      </c>
      <c r="F254" s="18">
        <v>0</v>
      </c>
      <c r="G254" s="17" t="s">
        <v>423</v>
      </c>
      <c r="H254" s="17" t="s">
        <v>423</v>
      </c>
      <c r="I254" s="17" t="s">
        <v>318</v>
      </c>
      <c r="J254" s="19">
        <v>44219</v>
      </c>
      <c r="K254" s="16"/>
    </row>
    <row r="255" spans="1:11" x14ac:dyDescent="0.2">
      <c r="A255" s="17" t="str">
        <f t="shared" si="4"/>
        <v>814284176303</v>
      </c>
      <c r="B255" s="20">
        <v>814284</v>
      </c>
      <c r="C255" s="20" t="s">
        <v>298</v>
      </c>
      <c r="D255" s="21">
        <v>176303</v>
      </c>
      <c r="E255" s="17" t="s">
        <v>175</v>
      </c>
      <c r="F255" s="18">
        <v>0</v>
      </c>
      <c r="G255" s="17" t="s">
        <v>423</v>
      </c>
      <c r="H255" s="17" t="s">
        <v>423</v>
      </c>
      <c r="I255" s="17" t="s">
        <v>318</v>
      </c>
      <c r="J255" s="19">
        <v>44223</v>
      </c>
      <c r="K255" s="16"/>
    </row>
    <row r="256" spans="1:11" x14ac:dyDescent="0.2">
      <c r="A256" s="17" t="str">
        <f t="shared" si="4"/>
        <v>814528141512</v>
      </c>
      <c r="B256" s="20">
        <v>814528</v>
      </c>
      <c r="C256" s="20" t="s">
        <v>108</v>
      </c>
      <c r="D256" s="21">
        <v>141512</v>
      </c>
      <c r="E256" s="17" t="s">
        <v>107</v>
      </c>
      <c r="F256" s="18">
        <v>28</v>
      </c>
      <c r="G256" s="17" t="s">
        <v>423</v>
      </c>
      <c r="H256" s="17" t="s">
        <v>423</v>
      </c>
      <c r="I256" s="17" t="s">
        <v>318</v>
      </c>
      <c r="J256" s="19">
        <v>44245</v>
      </c>
      <c r="K256" s="16"/>
    </row>
    <row r="257" spans="1:11" x14ac:dyDescent="0.2">
      <c r="A257" s="17" t="str">
        <f t="shared" si="4"/>
        <v>814541141512</v>
      </c>
      <c r="B257" s="20">
        <v>814541</v>
      </c>
      <c r="C257" s="20" t="s">
        <v>209</v>
      </c>
      <c r="D257" s="21">
        <v>141512</v>
      </c>
      <c r="E257" s="17" t="s">
        <v>107</v>
      </c>
      <c r="F257" s="18">
        <v>0</v>
      </c>
      <c r="G257" s="17" t="s">
        <v>423</v>
      </c>
      <c r="H257" s="17" t="s">
        <v>423</v>
      </c>
      <c r="I257" s="17" t="s">
        <v>318</v>
      </c>
      <c r="J257" s="19">
        <v>44246</v>
      </c>
      <c r="K257" s="16"/>
    </row>
    <row r="258" spans="1:11" x14ac:dyDescent="0.2">
      <c r="A258" s="17" t="str">
        <f t="shared" si="4"/>
        <v>814711205266</v>
      </c>
      <c r="B258" s="20">
        <v>814711</v>
      </c>
      <c r="C258" s="20" t="s">
        <v>285</v>
      </c>
      <c r="D258" s="21">
        <v>205266</v>
      </c>
      <c r="E258" s="17" t="s">
        <v>227</v>
      </c>
      <c r="F258" s="18">
        <v>0</v>
      </c>
      <c r="G258" s="17" t="s">
        <v>423</v>
      </c>
      <c r="H258" s="17" t="s">
        <v>423</v>
      </c>
      <c r="I258" s="17" t="s">
        <v>318</v>
      </c>
      <c r="J258" s="19">
        <v>44261</v>
      </c>
      <c r="K258" s="16"/>
    </row>
    <row r="259" spans="1:11" x14ac:dyDescent="0.2">
      <c r="A259" s="17" t="str">
        <f t="shared" si="4"/>
        <v>815057207857</v>
      </c>
      <c r="B259" s="17">
        <v>815057</v>
      </c>
      <c r="C259" s="17" t="s">
        <v>320</v>
      </c>
      <c r="D259" s="17">
        <v>207857</v>
      </c>
      <c r="E259" s="17" t="s">
        <v>1</v>
      </c>
      <c r="F259" s="18">
        <v>50</v>
      </c>
      <c r="G259" s="17" t="s">
        <v>423</v>
      </c>
      <c r="H259" s="17" t="s">
        <v>423</v>
      </c>
      <c r="I259" s="17" t="s">
        <v>318</v>
      </c>
      <c r="J259" s="19">
        <v>44335</v>
      </c>
      <c r="K259" s="16"/>
    </row>
    <row r="260" spans="1:11" x14ac:dyDescent="0.2">
      <c r="A260" s="17" t="str">
        <f t="shared" si="4"/>
        <v>815231206681</v>
      </c>
      <c r="B260" s="20">
        <v>815231</v>
      </c>
      <c r="C260" s="20" t="s">
        <v>334</v>
      </c>
      <c r="D260" s="21">
        <v>206681</v>
      </c>
      <c r="E260" s="17" t="s">
        <v>128</v>
      </c>
      <c r="F260" s="18">
        <v>0</v>
      </c>
      <c r="G260" s="17" t="s">
        <v>423</v>
      </c>
      <c r="H260" s="17" t="s">
        <v>423</v>
      </c>
      <c r="I260" s="17" t="s">
        <v>318</v>
      </c>
      <c r="J260" s="19">
        <v>44370</v>
      </c>
      <c r="K260" s="16"/>
    </row>
    <row r="261" spans="1:11" x14ac:dyDescent="0.2">
      <c r="A261" s="17" t="str">
        <f t="shared" si="4"/>
        <v>815408201172</v>
      </c>
      <c r="B261" s="20">
        <v>815408</v>
      </c>
      <c r="C261" s="20" t="s">
        <v>346</v>
      </c>
      <c r="D261" s="17">
        <v>201172</v>
      </c>
      <c r="E261" s="17" t="s">
        <v>144</v>
      </c>
      <c r="F261" s="18">
        <v>0</v>
      </c>
      <c r="G261" s="17" t="s">
        <v>423</v>
      </c>
      <c r="H261" s="17" t="s">
        <v>423</v>
      </c>
      <c r="I261" s="17" t="s">
        <v>318</v>
      </c>
      <c r="J261" s="19">
        <v>44383</v>
      </c>
      <c r="K261" s="16"/>
    </row>
    <row r="262" spans="1:11" x14ac:dyDescent="0.2">
      <c r="A262" s="17" t="str">
        <f t="shared" si="4"/>
        <v>815417207787</v>
      </c>
      <c r="B262" s="20">
        <v>815417</v>
      </c>
      <c r="C262" s="20" t="s">
        <v>9</v>
      </c>
      <c r="D262" s="17">
        <v>207787</v>
      </c>
      <c r="E262" s="17" t="s">
        <v>357</v>
      </c>
      <c r="F262" s="18">
        <v>0</v>
      </c>
      <c r="G262" s="17" t="s">
        <v>423</v>
      </c>
      <c r="H262" s="17" t="s">
        <v>423</v>
      </c>
      <c r="I262" s="17" t="s">
        <v>318</v>
      </c>
      <c r="J262" s="19">
        <v>44384</v>
      </c>
      <c r="K262" s="16"/>
    </row>
    <row r="263" spans="1:11" x14ac:dyDescent="0.2">
      <c r="A263" s="17" t="str">
        <f t="shared" si="4"/>
        <v>815426202994</v>
      </c>
      <c r="B263" s="20">
        <v>815426</v>
      </c>
      <c r="C263" s="20" t="s">
        <v>358</v>
      </c>
      <c r="D263" s="17">
        <v>202994</v>
      </c>
      <c r="E263" s="17" t="s">
        <v>221</v>
      </c>
      <c r="F263" s="18">
        <v>0</v>
      </c>
      <c r="G263" s="17" t="s">
        <v>423</v>
      </c>
      <c r="H263" s="17" t="s">
        <v>423</v>
      </c>
      <c r="I263" s="17" t="s">
        <v>318</v>
      </c>
      <c r="J263" s="19">
        <v>44384</v>
      </c>
      <c r="K263" s="16"/>
    </row>
    <row r="264" spans="1:11" x14ac:dyDescent="0.2">
      <c r="A264" s="17" t="str">
        <f t="shared" si="4"/>
        <v>815514207857</v>
      </c>
      <c r="B264" s="20">
        <v>815514</v>
      </c>
      <c r="C264" s="20" t="s">
        <v>112</v>
      </c>
      <c r="D264" s="17">
        <v>207857</v>
      </c>
      <c r="E264" s="17" t="s">
        <v>1</v>
      </c>
      <c r="F264" s="18">
        <v>0</v>
      </c>
      <c r="G264" s="17" t="s">
        <v>423</v>
      </c>
      <c r="H264" s="17" t="s">
        <v>423</v>
      </c>
      <c r="I264" s="17" t="s">
        <v>318</v>
      </c>
      <c r="J264" s="19">
        <v>44391</v>
      </c>
      <c r="K264" s="16"/>
    </row>
    <row r="265" spans="1:11" x14ac:dyDescent="0.2">
      <c r="A265" s="17" t="str">
        <f t="shared" si="4"/>
        <v>815593203154</v>
      </c>
      <c r="B265" s="20">
        <v>815593</v>
      </c>
      <c r="C265" s="20" t="s">
        <v>4</v>
      </c>
      <c r="D265" s="17">
        <v>203154</v>
      </c>
      <c r="E265" s="17" t="s">
        <v>217</v>
      </c>
      <c r="F265" s="18">
        <v>0</v>
      </c>
      <c r="G265" s="17" t="s">
        <v>423</v>
      </c>
      <c r="H265" s="17" t="s">
        <v>423</v>
      </c>
      <c r="I265" s="17" t="s">
        <v>318</v>
      </c>
      <c r="J265" s="19">
        <v>44399</v>
      </c>
      <c r="K265" s="16"/>
    </row>
    <row r="266" spans="1:11" x14ac:dyDescent="0.2">
      <c r="A266" s="17" t="str">
        <f t="shared" si="4"/>
        <v>815657207857</v>
      </c>
      <c r="B266" s="20">
        <v>815657</v>
      </c>
      <c r="C266" s="20" t="s">
        <v>365</v>
      </c>
      <c r="D266" s="17">
        <v>207857</v>
      </c>
      <c r="E266" s="17" t="s">
        <v>1</v>
      </c>
      <c r="F266" s="18">
        <v>15</v>
      </c>
      <c r="G266" s="17" t="s">
        <v>423</v>
      </c>
      <c r="H266" s="17" t="s">
        <v>423</v>
      </c>
      <c r="I266" s="17" t="s">
        <v>318</v>
      </c>
      <c r="J266" s="19">
        <v>44403</v>
      </c>
      <c r="K266" s="16"/>
    </row>
    <row r="267" spans="1:11" x14ac:dyDescent="0.2">
      <c r="A267" s="17" t="str">
        <f t="shared" si="4"/>
        <v>815663207857</v>
      </c>
      <c r="B267" s="20">
        <v>815663</v>
      </c>
      <c r="C267" s="20" t="s">
        <v>369</v>
      </c>
      <c r="D267" s="17">
        <v>207857</v>
      </c>
      <c r="E267" s="17" t="s">
        <v>1</v>
      </c>
      <c r="F267" s="18">
        <v>0</v>
      </c>
      <c r="G267" s="17" t="s">
        <v>423</v>
      </c>
      <c r="H267" s="17" t="s">
        <v>423</v>
      </c>
      <c r="I267" s="17" t="s">
        <v>318</v>
      </c>
      <c r="J267" s="19">
        <v>44403</v>
      </c>
      <c r="K267" s="16"/>
    </row>
    <row r="268" spans="1:11" x14ac:dyDescent="0.2">
      <c r="A268" s="17" t="str">
        <f t="shared" si="4"/>
        <v>815664207857</v>
      </c>
      <c r="B268" s="20">
        <v>815664</v>
      </c>
      <c r="C268" s="20" t="s">
        <v>370</v>
      </c>
      <c r="D268" s="17">
        <v>207857</v>
      </c>
      <c r="E268" s="17" t="s">
        <v>1</v>
      </c>
      <c r="F268" s="18">
        <v>7.5</v>
      </c>
      <c r="G268" s="17" t="s">
        <v>423</v>
      </c>
      <c r="H268" s="17" t="s">
        <v>423</v>
      </c>
      <c r="I268" s="17" t="s">
        <v>318</v>
      </c>
      <c r="J268" s="19">
        <v>44403</v>
      </c>
      <c r="K268" s="16"/>
    </row>
    <row r="269" spans="1:11" x14ac:dyDescent="0.2">
      <c r="A269" s="17" t="str">
        <f t="shared" si="4"/>
        <v>815719207857</v>
      </c>
      <c r="B269" s="20">
        <v>815719</v>
      </c>
      <c r="C269" s="20" t="s">
        <v>371</v>
      </c>
      <c r="D269" s="17">
        <v>207857</v>
      </c>
      <c r="E269" s="17" t="s">
        <v>1</v>
      </c>
      <c r="F269" s="18">
        <v>0</v>
      </c>
      <c r="G269" s="17" t="s">
        <v>423</v>
      </c>
      <c r="H269" s="17" t="s">
        <v>423</v>
      </c>
      <c r="I269" s="17" t="s">
        <v>318</v>
      </c>
      <c r="J269" s="19">
        <v>44405</v>
      </c>
      <c r="K269" s="16"/>
    </row>
    <row r="270" spans="1:11" x14ac:dyDescent="0.2">
      <c r="A270" s="17" t="str">
        <f t="shared" si="4"/>
        <v>815720207857</v>
      </c>
      <c r="B270" s="20">
        <v>815720</v>
      </c>
      <c r="C270" s="20" t="s">
        <v>372</v>
      </c>
      <c r="D270" s="17">
        <v>207857</v>
      </c>
      <c r="E270" s="17" t="s">
        <v>1</v>
      </c>
      <c r="F270" s="18">
        <v>0</v>
      </c>
      <c r="G270" s="17" t="s">
        <v>423</v>
      </c>
      <c r="H270" s="17" t="s">
        <v>423</v>
      </c>
      <c r="I270" s="17" t="s">
        <v>318</v>
      </c>
      <c r="J270" s="19">
        <v>44405</v>
      </c>
      <c r="K270" s="16"/>
    </row>
    <row r="271" spans="1:11" x14ac:dyDescent="0.2">
      <c r="A271" s="17" t="str">
        <f t="shared" si="4"/>
        <v>815929202870</v>
      </c>
      <c r="B271" s="20">
        <v>815929</v>
      </c>
      <c r="C271" s="20" t="s">
        <v>383</v>
      </c>
      <c r="D271" s="17">
        <v>202870</v>
      </c>
      <c r="E271" s="17" t="s">
        <v>384</v>
      </c>
      <c r="F271" s="18">
        <v>0</v>
      </c>
      <c r="G271" s="17" t="s">
        <v>423</v>
      </c>
      <c r="H271" s="17" t="s">
        <v>423</v>
      </c>
      <c r="I271" s="17" t="s">
        <v>318</v>
      </c>
      <c r="J271" s="19">
        <v>44422</v>
      </c>
      <c r="K271" s="16"/>
    </row>
    <row r="272" spans="1:11" x14ac:dyDescent="0.2">
      <c r="A272" s="17" t="str">
        <f t="shared" si="4"/>
        <v>816261149825</v>
      </c>
      <c r="B272" s="20">
        <v>816261</v>
      </c>
      <c r="C272" s="20" t="s">
        <v>399</v>
      </c>
      <c r="D272" s="17">
        <v>149825</v>
      </c>
      <c r="E272" s="17" t="s">
        <v>233</v>
      </c>
      <c r="F272" s="18">
        <v>0</v>
      </c>
      <c r="G272" s="17" t="s">
        <v>423</v>
      </c>
      <c r="H272" s="17" t="s">
        <v>423</v>
      </c>
      <c r="I272" s="17" t="s">
        <v>318</v>
      </c>
      <c r="J272" s="19">
        <v>44443</v>
      </c>
      <c r="K272" s="16"/>
    </row>
    <row r="273" spans="1:11" x14ac:dyDescent="0.2">
      <c r="A273" s="17" t="str">
        <f t="shared" si="4"/>
        <v>816262176276</v>
      </c>
      <c r="B273" s="20">
        <v>816262</v>
      </c>
      <c r="C273" s="20" t="s">
        <v>400</v>
      </c>
      <c r="D273" s="17">
        <v>176276</v>
      </c>
      <c r="E273" s="17" t="s">
        <v>151</v>
      </c>
      <c r="F273" s="18">
        <v>7.5</v>
      </c>
      <c r="G273" s="17" t="s">
        <v>423</v>
      </c>
      <c r="H273" s="17" t="s">
        <v>423</v>
      </c>
      <c r="I273" s="17" t="s">
        <v>318</v>
      </c>
      <c r="J273" s="19">
        <v>44443</v>
      </c>
      <c r="K273" s="16"/>
    </row>
    <row r="274" spans="1:11" x14ac:dyDescent="0.2">
      <c r="A274" s="17" t="str">
        <f t="shared" si="4"/>
        <v>816272119071</v>
      </c>
      <c r="B274" s="20">
        <v>816272</v>
      </c>
      <c r="C274" s="20" t="s">
        <v>66</v>
      </c>
      <c r="D274" s="17">
        <v>119071</v>
      </c>
      <c r="E274" s="17" t="s">
        <v>154</v>
      </c>
      <c r="F274" s="18">
        <v>0</v>
      </c>
      <c r="G274" s="17" t="s">
        <v>423</v>
      </c>
      <c r="H274" s="17" t="s">
        <v>423</v>
      </c>
      <c r="I274" s="17" t="s">
        <v>318</v>
      </c>
      <c r="J274" s="19">
        <v>44443</v>
      </c>
      <c r="K274" s="16"/>
    </row>
    <row r="275" spans="1:11" x14ac:dyDescent="0.2">
      <c r="A275" s="17" t="str">
        <f t="shared" si="4"/>
        <v>816348207857</v>
      </c>
      <c r="B275" s="20">
        <v>816348</v>
      </c>
      <c r="C275" s="20" t="s">
        <v>393</v>
      </c>
      <c r="D275" s="17">
        <v>207857</v>
      </c>
      <c r="E275" s="17" t="s">
        <v>1</v>
      </c>
      <c r="F275" s="18">
        <v>15</v>
      </c>
      <c r="G275" s="17" t="s">
        <v>423</v>
      </c>
      <c r="H275" s="17" t="s">
        <v>423</v>
      </c>
      <c r="I275" s="17" t="s">
        <v>318</v>
      </c>
      <c r="J275" s="19">
        <v>44454</v>
      </c>
      <c r="K275" s="16"/>
    </row>
    <row r="276" spans="1:11" x14ac:dyDescent="0.2">
      <c r="A276" s="17" t="str">
        <f t="shared" si="4"/>
        <v>816639203971</v>
      </c>
      <c r="B276" s="20">
        <v>816639</v>
      </c>
      <c r="C276" s="20" t="s">
        <v>408</v>
      </c>
      <c r="D276" s="17">
        <v>203971</v>
      </c>
      <c r="E276" s="17" t="s">
        <v>409</v>
      </c>
      <c r="F276" s="18">
        <v>5</v>
      </c>
      <c r="G276" s="17" t="s">
        <v>423</v>
      </c>
      <c r="H276" s="17" t="s">
        <v>423</v>
      </c>
      <c r="I276" s="17" t="s">
        <v>318</v>
      </c>
      <c r="J276" s="19">
        <v>44474</v>
      </c>
      <c r="K276" s="16"/>
    </row>
    <row r="277" spans="1:11" x14ac:dyDescent="0.2">
      <c r="A277" s="17" t="str">
        <f t="shared" si="4"/>
        <v>816906207857</v>
      </c>
      <c r="B277" s="20">
        <v>816906</v>
      </c>
      <c r="C277" s="20" t="s">
        <v>96</v>
      </c>
      <c r="D277" s="17">
        <v>207857</v>
      </c>
      <c r="E277" s="17" t="s">
        <v>1</v>
      </c>
      <c r="F277" s="18">
        <v>7.5</v>
      </c>
      <c r="G277" s="17" t="s">
        <v>423</v>
      </c>
      <c r="H277" s="17" t="s">
        <v>423</v>
      </c>
      <c r="I277" s="17" t="s">
        <v>318</v>
      </c>
      <c r="J277" s="19">
        <v>44499</v>
      </c>
      <c r="K277" s="16"/>
    </row>
    <row r="278" spans="1:11" x14ac:dyDescent="0.2">
      <c r="A278" s="17" t="str">
        <f t="shared" si="4"/>
        <v>816933202870</v>
      </c>
      <c r="B278" s="20">
        <v>816933</v>
      </c>
      <c r="C278" s="20" t="s">
        <v>418</v>
      </c>
      <c r="D278" s="17">
        <v>202870</v>
      </c>
      <c r="E278" s="17" t="s">
        <v>384</v>
      </c>
      <c r="F278" s="18">
        <v>0</v>
      </c>
      <c r="G278" s="17" t="s">
        <v>423</v>
      </c>
      <c r="H278" s="17" t="s">
        <v>423</v>
      </c>
      <c r="I278" s="17" t="s">
        <v>318</v>
      </c>
      <c r="J278" s="19">
        <v>44499</v>
      </c>
      <c r="K278" s="16"/>
    </row>
    <row r="279" spans="1:11" x14ac:dyDescent="0.2">
      <c r="A279" s="17" t="str">
        <f t="shared" si="4"/>
        <v>817030209816</v>
      </c>
      <c r="B279" s="20">
        <v>817030</v>
      </c>
      <c r="C279" s="20" t="s">
        <v>421</v>
      </c>
      <c r="D279" s="17">
        <v>209816</v>
      </c>
      <c r="E279" s="17" t="s">
        <v>142</v>
      </c>
      <c r="F279" s="18">
        <v>10</v>
      </c>
      <c r="G279" s="17" t="s">
        <v>423</v>
      </c>
      <c r="H279" s="17" t="s">
        <v>423</v>
      </c>
      <c r="I279" s="17" t="s">
        <v>318</v>
      </c>
      <c r="J279" s="19">
        <v>44516</v>
      </c>
      <c r="K279" s="16"/>
    </row>
    <row r="280" spans="1:11" x14ac:dyDescent="0.2">
      <c r="A280" s="17" t="str">
        <f t="shared" si="4"/>
        <v>817102207857</v>
      </c>
      <c r="B280" s="20">
        <v>817102</v>
      </c>
      <c r="C280" s="20" t="s">
        <v>195</v>
      </c>
      <c r="D280" s="17">
        <v>207857</v>
      </c>
      <c r="E280" s="17" t="s">
        <v>1</v>
      </c>
      <c r="F280" s="18">
        <v>0</v>
      </c>
      <c r="G280" s="17" t="s">
        <v>423</v>
      </c>
      <c r="H280" s="17" t="s">
        <v>423</v>
      </c>
      <c r="I280" s="17" t="s">
        <v>318</v>
      </c>
      <c r="J280" s="19">
        <v>44524</v>
      </c>
      <c r="K280" s="16"/>
    </row>
    <row r="281" spans="1:11" x14ac:dyDescent="0.2">
      <c r="A281" s="17" t="str">
        <f t="shared" si="4"/>
        <v>817272202870</v>
      </c>
      <c r="B281" s="20">
        <v>817272</v>
      </c>
      <c r="C281" s="20" t="s">
        <v>439</v>
      </c>
      <c r="D281" s="17">
        <v>202870</v>
      </c>
      <c r="E281" s="17" t="s">
        <v>384</v>
      </c>
      <c r="F281" s="18">
        <v>10</v>
      </c>
      <c r="G281" s="17" t="s">
        <v>423</v>
      </c>
      <c r="H281" s="17" t="s">
        <v>423</v>
      </c>
      <c r="I281" s="17" t="s">
        <v>318</v>
      </c>
      <c r="J281" s="19">
        <v>44541</v>
      </c>
      <c r="K281" s="16"/>
    </row>
    <row r="282" spans="1:11" x14ac:dyDescent="0.2">
      <c r="A282" s="17" t="str">
        <f t="shared" si="4"/>
        <v>817342179396</v>
      </c>
      <c r="B282" s="20">
        <v>817342</v>
      </c>
      <c r="C282" s="20" t="s">
        <v>455</v>
      </c>
      <c r="D282" s="17">
        <v>179396</v>
      </c>
      <c r="E282" s="17" t="s">
        <v>456</v>
      </c>
      <c r="F282" s="18">
        <v>0</v>
      </c>
      <c r="G282" s="17" t="s">
        <v>423</v>
      </c>
      <c r="H282" s="17" t="s">
        <v>423</v>
      </c>
      <c r="I282" s="17" t="s">
        <v>318</v>
      </c>
      <c r="J282" s="19">
        <v>44546</v>
      </c>
      <c r="K282" s="16"/>
    </row>
    <row r="283" spans="1:11" x14ac:dyDescent="0.2">
      <c r="A283" s="17" t="str">
        <f t="shared" si="4"/>
        <v>817343149825</v>
      </c>
      <c r="B283" s="20">
        <v>817343</v>
      </c>
      <c r="C283" s="20" t="s">
        <v>457</v>
      </c>
      <c r="D283" s="17">
        <v>149825</v>
      </c>
      <c r="E283" s="17" t="s">
        <v>233</v>
      </c>
      <c r="F283" s="18">
        <v>0</v>
      </c>
      <c r="G283" s="17" t="s">
        <v>423</v>
      </c>
      <c r="H283" s="17" t="s">
        <v>423</v>
      </c>
      <c r="I283" s="17" t="s">
        <v>318</v>
      </c>
      <c r="J283" s="19">
        <v>44546</v>
      </c>
      <c r="K283" s="16"/>
    </row>
    <row r="284" spans="1:11" x14ac:dyDescent="0.2">
      <c r="A284" s="17" t="str">
        <f t="shared" si="4"/>
        <v>817546141512</v>
      </c>
      <c r="B284" s="20">
        <v>817546</v>
      </c>
      <c r="C284" s="20" t="s">
        <v>447</v>
      </c>
      <c r="D284" s="17">
        <v>141512</v>
      </c>
      <c r="E284" s="17" t="s">
        <v>107</v>
      </c>
      <c r="F284" s="18">
        <v>15</v>
      </c>
      <c r="G284" s="17" t="s">
        <v>423</v>
      </c>
      <c r="H284" s="17" t="s">
        <v>423</v>
      </c>
      <c r="I284" s="17" t="s">
        <v>318</v>
      </c>
      <c r="J284" s="19">
        <v>44560</v>
      </c>
      <c r="K284" s="16"/>
    </row>
    <row r="285" spans="1:11" x14ac:dyDescent="0.2">
      <c r="A285" s="17" t="str">
        <f t="shared" si="4"/>
        <v>817611119071</v>
      </c>
      <c r="B285" s="20">
        <v>817611</v>
      </c>
      <c r="C285" s="20" t="s">
        <v>458</v>
      </c>
      <c r="D285" s="17">
        <v>119071</v>
      </c>
      <c r="E285" s="17" t="s">
        <v>154</v>
      </c>
      <c r="F285" s="18">
        <v>20</v>
      </c>
      <c r="G285" s="17" t="s">
        <v>423</v>
      </c>
      <c r="H285" s="17" t="s">
        <v>423</v>
      </c>
      <c r="I285" s="17" t="s">
        <v>318</v>
      </c>
      <c r="J285" s="19">
        <v>44567</v>
      </c>
      <c r="K285" s="16"/>
    </row>
    <row r="286" spans="1:11" x14ac:dyDescent="0.2">
      <c r="A286" s="17" t="str">
        <f t="shared" si="4"/>
        <v>817628207857</v>
      </c>
      <c r="B286" s="20">
        <v>817628</v>
      </c>
      <c r="C286" s="20" t="s">
        <v>450</v>
      </c>
      <c r="D286" s="17">
        <v>207857</v>
      </c>
      <c r="E286" s="17" t="s">
        <v>1</v>
      </c>
      <c r="F286" s="18">
        <v>10</v>
      </c>
      <c r="G286" s="17" t="s">
        <v>423</v>
      </c>
      <c r="H286" s="17" t="s">
        <v>423</v>
      </c>
      <c r="I286" s="17" t="s">
        <v>318</v>
      </c>
      <c r="J286" s="19">
        <v>44568</v>
      </c>
      <c r="K286" s="16"/>
    </row>
    <row r="287" spans="1:11" x14ac:dyDescent="0.2">
      <c r="A287" s="17" t="str">
        <f t="shared" si="4"/>
        <v>817917207857</v>
      </c>
      <c r="B287" s="20">
        <v>817917</v>
      </c>
      <c r="C287" s="20" t="s">
        <v>467</v>
      </c>
      <c r="D287" s="17">
        <v>207857</v>
      </c>
      <c r="E287" s="17" t="s">
        <v>1</v>
      </c>
      <c r="F287" s="18">
        <v>30</v>
      </c>
      <c r="G287" s="17" t="s">
        <v>423</v>
      </c>
      <c r="H287" s="17" t="s">
        <v>423</v>
      </c>
      <c r="I287" s="17" t="s">
        <v>318</v>
      </c>
      <c r="J287" s="19">
        <v>44592</v>
      </c>
      <c r="K287" s="16"/>
    </row>
    <row r="288" spans="1:11" x14ac:dyDescent="0.2">
      <c r="A288" s="17" t="str">
        <f t="shared" si="4"/>
        <v>817933202870</v>
      </c>
      <c r="B288" s="20">
        <v>817933</v>
      </c>
      <c r="C288" s="20" t="s">
        <v>283</v>
      </c>
      <c r="D288" s="17">
        <v>202870</v>
      </c>
      <c r="E288" s="17" t="s">
        <v>384</v>
      </c>
      <c r="F288" s="18">
        <v>27</v>
      </c>
      <c r="G288" s="17" t="s">
        <v>423</v>
      </c>
      <c r="H288" s="17" t="s">
        <v>423</v>
      </c>
      <c r="I288" s="17" t="s">
        <v>318</v>
      </c>
      <c r="J288" s="19">
        <v>44593</v>
      </c>
      <c r="K288" s="16"/>
    </row>
    <row r="289" spans="1:11" x14ac:dyDescent="0.2">
      <c r="A289" s="17" t="str">
        <f t="shared" si="4"/>
        <v>818163119071</v>
      </c>
      <c r="B289" s="20">
        <v>818163</v>
      </c>
      <c r="C289" s="20" t="s">
        <v>330</v>
      </c>
      <c r="D289" s="17">
        <v>119071</v>
      </c>
      <c r="E289" s="17" t="s">
        <v>154</v>
      </c>
      <c r="F289" s="18">
        <v>33</v>
      </c>
      <c r="G289" s="17" t="s">
        <v>423</v>
      </c>
      <c r="H289" s="17" t="s">
        <v>423</v>
      </c>
      <c r="I289" s="17" t="s">
        <v>318</v>
      </c>
      <c r="J289" s="19">
        <v>44618</v>
      </c>
      <c r="K289" s="16"/>
    </row>
    <row r="290" spans="1:11" x14ac:dyDescent="0.2">
      <c r="A290" s="17" t="str">
        <f t="shared" si="4"/>
        <v>818194141512</v>
      </c>
      <c r="B290" s="20">
        <v>818194</v>
      </c>
      <c r="C290" s="20" t="s">
        <v>16</v>
      </c>
      <c r="D290" s="17">
        <v>141512</v>
      </c>
      <c r="E290" s="17" t="s">
        <v>107</v>
      </c>
      <c r="F290" s="18">
        <v>0</v>
      </c>
      <c r="G290" s="17" t="s">
        <v>423</v>
      </c>
      <c r="H290" s="17" t="s">
        <v>423</v>
      </c>
      <c r="I290" s="17" t="s">
        <v>318</v>
      </c>
      <c r="J290" s="19">
        <v>44618</v>
      </c>
      <c r="K290" s="16"/>
    </row>
    <row r="291" spans="1:11" x14ac:dyDescent="0.2">
      <c r="A291" s="17" t="str">
        <f t="shared" si="4"/>
        <v>818232209816</v>
      </c>
      <c r="B291" s="20">
        <v>818232</v>
      </c>
      <c r="C291" s="20" t="s">
        <v>502</v>
      </c>
      <c r="D291" s="17">
        <v>209816</v>
      </c>
      <c r="E291" s="17" t="s">
        <v>142</v>
      </c>
      <c r="F291" s="18">
        <v>7.5</v>
      </c>
      <c r="G291" s="17" t="s">
        <v>423</v>
      </c>
      <c r="H291" s="17" t="s">
        <v>423</v>
      </c>
      <c r="I291" s="17" t="s">
        <v>318</v>
      </c>
      <c r="J291" s="19">
        <v>44622</v>
      </c>
      <c r="K291" s="16"/>
    </row>
    <row r="292" spans="1:11" x14ac:dyDescent="0.2">
      <c r="A292" s="17" t="str">
        <f t="shared" si="4"/>
        <v>818235211342</v>
      </c>
      <c r="B292" s="20">
        <v>818235</v>
      </c>
      <c r="C292" s="20" t="s">
        <v>503</v>
      </c>
      <c r="D292" s="17">
        <v>211342</v>
      </c>
      <c r="E292" s="17" t="s">
        <v>504</v>
      </c>
      <c r="F292" s="18">
        <v>15</v>
      </c>
      <c r="G292" s="17" t="s">
        <v>423</v>
      </c>
      <c r="H292" s="17" t="s">
        <v>423</v>
      </c>
      <c r="I292" s="17" t="s">
        <v>318</v>
      </c>
      <c r="J292" s="19">
        <v>44622</v>
      </c>
      <c r="K292" s="16"/>
    </row>
    <row r="293" spans="1:11" x14ac:dyDescent="0.2">
      <c r="A293" s="17" t="str">
        <f t="shared" si="4"/>
        <v>818237209816</v>
      </c>
      <c r="B293" s="20">
        <v>818237</v>
      </c>
      <c r="C293" s="20" t="s">
        <v>505</v>
      </c>
      <c r="D293" s="17">
        <v>209816</v>
      </c>
      <c r="E293" s="17" t="s">
        <v>142</v>
      </c>
      <c r="F293" s="18">
        <v>0</v>
      </c>
      <c r="G293" s="17" t="s">
        <v>423</v>
      </c>
      <c r="H293" s="17" t="s">
        <v>423</v>
      </c>
      <c r="I293" s="17" t="s">
        <v>318</v>
      </c>
      <c r="J293" s="19">
        <v>44622</v>
      </c>
      <c r="K293" s="16"/>
    </row>
    <row r="294" spans="1:11" x14ac:dyDescent="0.2">
      <c r="A294" s="17" t="str">
        <f t="shared" si="4"/>
        <v>818514210433</v>
      </c>
      <c r="B294" s="20">
        <v>818514</v>
      </c>
      <c r="C294" s="20" t="s">
        <v>513</v>
      </c>
      <c r="D294" s="21">
        <v>210433</v>
      </c>
      <c r="E294" s="17" t="s">
        <v>514</v>
      </c>
      <c r="F294" s="18">
        <v>7.5</v>
      </c>
      <c r="G294" s="17" t="s">
        <v>423</v>
      </c>
      <c r="H294" s="17" t="s">
        <v>423</v>
      </c>
      <c r="I294" s="17" t="s">
        <v>318</v>
      </c>
      <c r="J294" s="19">
        <v>44649</v>
      </c>
      <c r="K294" s="16"/>
    </row>
    <row r="295" spans="1:11" x14ac:dyDescent="0.2">
      <c r="A295" s="17" t="str">
        <f t="shared" si="4"/>
        <v>818661171947</v>
      </c>
      <c r="B295" s="22">
        <v>818661</v>
      </c>
      <c r="C295" s="22" t="s">
        <v>523</v>
      </c>
      <c r="D295" s="22">
        <v>171947</v>
      </c>
      <c r="E295" s="16" t="s">
        <v>169</v>
      </c>
      <c r="F295" s="18">
        <v>30</v>
      </c>
      <c r="G295" s="17" t="s">
        <v>423</v>
      </c>
      <c r="H295" s="16" t="s">
        <v>423</v>
      </c>
      <c r="I295" s="16" t="s">
        <v>318</v>
      </c>
      <c r="J295" s="19">
        <v>44669</v>
      </c>
      <c r="K295" s="16"/>
    </row>
    <row r="296" spans="1:11" x14ac:dyDescent="0.2">
      <c r="A296" s="17" t="str">
        <f t="shared" si="4"/>
        <v>818744210855</v>
      </c>
      <c r="B296" s="22">
        <v>818744</v>
      </c>
      <c r="C296" s="22" t="s">
        <v>120</v>
      </c>
      <c r="D296" s="29">
        <v>210855</v>
      </c>
      <c r="E296" s="16" t="s">
        <v>142</v>
      </c>
      <c r="F296" s="18">
        <v>30</v>
      </c>
      <c r="G296" s="17" t="s">
        <v>423</v>
      </c>
      <c r="H296" s="16" t="s">
        <v>423</v>
      </c>
      <c r="I296" s="16" t="s">
        <v>318</v>
      </c>
      <c r="J296" s="19">
        <v>44676</v>
      </c>
      <c r="K296" s="16"/>
    </row>
    <row r="297" spans="1:11" x14ac:dyDescent="0.2">
      <c r="A297" s="17" t="str">
        <f t="shared" si="4"/>
        <v>818805207857</v>
      </c>
      <c r="B297" s="22">
        <v>818805</v>
      </c>
      <c r="C297" s="22" t="s">
        <v>529</v>
      </c>
      <c r="D297" s="29">
        <v>207857</v>
      </c>
      <c r="E297" s="16" t="s">
        <v>1</v>
      </c>
      <c r="F297" s="18">
        <v>0</v>
      </c>
      <c r="G297" s="16" t="s">
        <v>423</v>
      </c>
      <c r="H297" s="16" t="s">
        <v>423</v>
      </c>
      <c r="I297" s="16" t="s">
        <v>318</v>
      </c>
      <c r="J297" s="19">
        <v>44680</v>
      </c>
      <c r="K297" s="16"/>
    </row>
    <row r="298" spans="1:11" x14ac:dyDescent="0.2">
      <c r="A298" s="17" t="str">
        <f t="shared" si="4"/>
        <v>818912207857</v>
      </c>
      <c r="B298" s="22">
        <v>818912</v>
      </c>
      <c r="C298" s="22" t="s">
        <v>532</v>
      </c>
      <c r="D298" s="29">
        <v>207857</v>
      </c>
      <c r="E298" s="16" t="s">
        <v>1</v>
      </c>
      <c r="F298" s="18">
        <v>0</v>
      </c>
      <c r="G298" s="16" t="s">
        <v>423</v>
      </c>
      <c r="H298" s="16" t="s">
        <v>423</v>
      </c>
      <c r="I298" s="16" t="s">
        <v>318</v>
      </c>
      <c r="J298" s="19">
        <v>44692</v>
      </c>
      <c r="K298" s="16"/>
    </row>
    <row r="299" spans="1:11" x14ac:dyDescent="0.2">
      <c r="A299" s="17" t="str">
        <f t="shared" si="4"/>
        <v>818966204445</v>
      </c>
      <c r="B299" s="22">
        <v>818966</v>
      </c>
      <c r="C299" s="22" t="s">
        <v>402</v>
      </c>
      <c r="D299" s="29">
        <v>204445</v>
      </c>
      <c r="E299" s="16" t="s">
        <v>533</v>
      </c>
      <c r="F299" s="18">
        <v>10</v>
      </c>
      <c r="G299" s="16" t="s">
        <v>423</v>
      </c>
      <c r="H299" s="16" t="s">
        <v>423</v>
      </c>
      <c r="I299" s="16" t="s">
        <v>318</v>
      </c>
      <c r="J299" s="19">
        <v>44698</v>
      </c>
      <c r="K299" s="16"/>
    </row>
    <row r="300" spans="1:11" x14ac:dyDescent="0.2">
      <c r="A300" s="17" t="str">
        <f t="shared" si="4"/>
        <v>818515206011</v>
      </c>
      <c r="B300" s="22">
        <v>818515</v>
      </c>
      <c r="C300" s="22" t="s">
        <v>517</v>
      </c>
      <c r="D300" s="22">
        <v>206011</v>
      </c>
      <c r="E300" s="16" t="s">
        <v>21</v>
      </c>
      <c r="F300" s="18">
        <v>0</v>
      </c>
      <c r="G300" s="16" t="s">
        <v>424</v>
      </c>
      <c r="H300" s="16" t="s">
        <v>424</v>
      </c>
      <c r="I300" s="16" t="s">
        <v>318</v>
      </c>
      <c r="J300" s="19">
        <v>44649</v>
      </c>
      <c r="K300" s="16"/>
    </row>
    <row r="301" spans="1:11" x14ac:dyDescent="0.2">
      <c r="A301" s="17" t="str">
        <f t="shared" si="4"/>
        <v>818530210306</v>
      </c>
      <c r="B301" s="22">
        <v>818530</v>
      </c>
      <c r="C301" s="22" t="s">
        <v>3</v>
      </c>
      <c r="D301" s="22">
        <v>210306</v>
      </c>
      <c r="E301" s="16" t="s">
        <v>519</v>
      </c>
      <c r="F301" s="18">
        <v>0</v>
      </c>
      <c r="G301" s="16" t="s">
        <v>424</v>
      </c>
      <c r="H301" s="16" t="s">
        <v>424</v>
      </c>
      <c r="I301" s="16" t="s">
        <v>318</v>
      </c>
      <c r="J301" s="19">
        <v>44650</v>
      </c>
      <c r="K301" s="16"/>
    </row>
    <row r="302" spans="1:11" x14ac:dyDescent="0.2">
      <c r="A302" s="17" t="str">
        <f t="shared" si="4"/>
        <v>818537119261</v>
      </c>
      <c r="B302" s="22">
        <v>818537</v>
      </c>
      <c r="C302" s="22" t="s">
        <v>520</v>
      </c>
      <c r="D302" s="22">
        <v>119261</v>
      </c>
      <c r="E302" s="16" t="s">
        <v>140</v>
      </c>
      <c r="F302" s="18">
        <v>0</v>
      </c>
      <c r="G302" s="16" t="s">
        <v>424</v>
      </c>
      <c r="H302" s="16" t="s">
        <v>424</v>
      </c>
      <c r="I302" s="16" t="s">
        <v>318</v>
      </c>
      <c r="J302" s="19">
        <v>44650</v>
      </c>
      <c r="K302" s="16"/>
    </row>
    <row r="303" spans="1:11" x14ac:dyDescent="0.2">
      <c r="A303" s="17" t="str">
        <f t="shared" si="4"/>
        <v>818540207857</v>
      </c>
      <c r="B303" s="22">
        <v>818540</v>
      </c>
      <c r="C303" s="22" t="s">
        <v>3</v>
      </c>
      <c r="D303" s="22">
        <v>207857</v>
      </c>
      <c r="E303" s="16" t="s">
        <v>1</v>
      </c>
      <c r="F303" s="18">
        <v>0</v>
      </c>
      <c r="G303" s="16" t="s">
        <v>424</v>
      </c>
      <c r="H303" s="16" t="s">
        <v>424</v>
      </c>
      <c r="I303" s="16" t="s">
        <v>318</v>
      </c>
      <c r="J303" s="19">
        <v>44650</v>
      </c>
      <c r="K303" s="16"/>
    </row>
    <row r="304" spans="1:11" x14ac:dyDescent="0.2">
      <c r="A304" s="17" t="str">
        <f t="shared" si="4"/>
        <v>818611209816</v>
      </c>
      <c r="B304" s="22">
        <v>818611</v>
      </c>
      <c r="C304" s="22" t="s">
        <v>522</v>
      </c>
      <c r="D304" s="22">
        <v>209816</v>
      </c>
      <c r="E304" s="16" t="s">
        <v>142</v>
      </c>
      <c r="F304" s="18">
        <v>7.5</v>
      </c>
      <c r="G304" s="16" t="s">
        <v>424</v>
      </c>
      <c r="H304" s="16" t="s">
        <v>424</v>
      </c>
      <c r="I304" s="16" t="s">
        <v>318</v>
      </c>
      <c r="J304" s="19">
        <v>44660</v>
      </c>
      <c r="K304" s="16"/>
    </row>
    <row r="305" spans="1:11" x14ac:dyDescent="0.2">
      <c r="A305" s="17" t="str">
        <f t="shared" si="4"/>
        <v>801716119261</v>
      </c>
      <c r="B305" s="20">
        <v>801716</v>
      </c>
      <c r="C305" s="20" t="s">
        <v>32</v>
      </c>
      <c r="D305" s="21">
        <v>119261</v>
      </c>
      <c r="E305" s="17" t="s">
        <v>140</v>
      </c>
      <c r="F305" s="18">
        <v>0</v>
      </c>
      <c r="G305" s="17" t="s">
        <v>424</v>
      </c>
      <c r="H305" s="17" t="s">
        <v>424</v>
      </c>
      <c r="I305" s="17" t="s">
        <v>318</v>
      </c>
      <c r="J305" s="19">
        <v>41318</v>
      </c>
      <c r="K305" s="16"/>
    </row>
    <row r="306" spans="1:11" x14ac:dyDescent="0.2">
      <c r="A306" s="17" t="str">
        <f t="shared" si="4"/>
        <v>801729119261</v>
      </c>
      <c r="B306" s="20">
        <v>801729</v>
      </c>
      <c r="C306" s="20" t="s">
        <v>269</v>
      </c>
      <c r="D306" s="21">
        <v>119261</v>
      </c>
      <c r="E306" s="17" t="s">
        <v>140</v>
      </c>
      <c r="F306" s="18">
        <v>25</v>
      </c>
      <c r="G306" s="17" t="s">
        <v>424</v>
      </c>
      <c r="H306" s="17" t="s">
        <v>424</v>
      </c>
      <c r="I306" s="17" t="s">
        <v>318</v>
      </c>
      <c r="J306" s="19">
        <v>41323</v>
      </c>
      <c r="K306" s="16"/>
    </row>
    <row r="307" spans="1:11" x14ac:dyDescent="0.2">
      <c r="A307" s="17" t="str">
        <f t="shared" si="4"/>
        <v>801876119261</v>
      </c>
      <c r="B307" s="20">
        <v>801876</v>
      </c>
      <c r="C307" s="20" t="s">
        <v>202</v>
      </c>
      <c r="D307" s="21">
        <v>119261</v>
      </c>
      <c r="E307" s="17" t="s">
        <v>140</v>
      </c>
      <c r="F307" s="18">
        <v>0</v>
      </c>
      <c r="G307" s="17" t="s">
        <v>424</v>
      </c>
      <c r="H307" s="17" t="s">
        <v>424</v>
      </c>
      <c r="I307" s="17" t="s">
        <v>318</v>
      </c>
      <c r="J307" s="19">
        <v>41355</v>
      </c>
      <c r="K307" s="16"/>
    </row>
    <row r="308" spans="1:11" x14ac:dyDescent="0.2">
      <c r="A308" s="17" t="str">
        <f t="shared" ref="A308:A371" si="5">B308&amp;D308</f>
        <v>801965119261</v>
      </c>
      <c r="B308" s="20">
        <v>801965</v>
      </c>
      <c r="C308" s="20" t="s">
        <v>12</v>
      </c>
      <c r="D308" s="17">
        <v>119261</v>
      </c>
      <c r="E308" s="17" t="s">
        <v>140</v>
      </c>
      <c r="F308" s="18">
        <v>0</v>
      </c>
      <c r="G308" s="17" t="s">
        <v>424</v>
      </c>
      <c r="H308" s="17" t="s">
        <v>424</v>
      </c>
      <c r="I308" s="17" t="s">
        <v>318</v>
      </c>
      <c r="J308" s="19">
        <v>41380</v>
      </c>
      <c r="K308" s="16"/>
    </row>
    <row r="309" spans="1:11" x14ac:dyDescent="0.2">
      <c r="A309" s="17" t="str">
        <f t="shared" si="5"/>
        <v>801966119261</v>
      </c>
      <c r="B309" s="20">
        <v>801966</v>
      </c>
      <c r="C309" s="20" t="s">
        <v>338</v>
      </c>
      <c r="D309" s="17">
        <v>119261</v>
      </c>
      <c r="E309" s="17" t="s">
        <v>140</v>
      </c>
      <c r="F309" s="18">
        <v>0</v>
      </c>
      <c r="G309" s="17" t="s">
        <v>424</v>
      </c>
      <c r="H309" s="17" t="s">
        <v>424</v>
      </c>
      <c r="I309" s="17" t="s">
        <v>318</v>
      </c>
      <c r="J309" s="19">
        <v>41380</v>
      </c>
      <c r="K309" s="16"/>
    </row>
    <row r="310" spans="1:11" x14ac:dyDescent="0.2">
      <c r="A310" s="17" t="str">
        <f t="shared" si="5"/>
        <v>801967119261</v>
      </c>
      <c r="B310" s="20">
        <v>801967</v>
      </c>
      <c r="C310" s="20" t="s">
        <v>31</v>
      </c>
      <c r="D310" s="17">
        <v>119261</v>
      </c>
      <c r="E310" s="17" t="s">
        <v>140</v>
      </c>
      <c r="F310" s="18">
        <v>0</v>
      </c>
      <c r="G310" s="17" t="s">
        <v>424</v>
      </c>
      <c r="H310" s="17" t="s">
        <v>424</v>
      </c>
      <c r="I310" s="17" t="s">
        <v>318</v>
      </c>
      <c r="J310" s="19">
        <v>41380</v>
      </c>
      <c r="K310" s="16"/>
    </row>
    <row r="311" spans="1:11" x14ac:dyDescent="0.2">
      <c r="A311" s="17" t="str">
        <f t="shared" si="5"/>
        <v>802073119261</v>
      </c>
      <c r="B311" s="20">
        <v>802073</v>
      </c>
      <c r="C311" s="20" t="s">
        <v>270</v>
      </c>
      <c r="D311" s="21">
        <v>119261</v>
      </c>
      <c r="E311" s="17" t="s">
        <v>140</v>
      </c>
      <c r="F311" s="18">
        <v>0</v>
      </c>
      <c r="G311" s="17" t="s">
        <v>424</v>
      </c>
      <c r="H311" s="17" t="s">
        <v>424</v>
      </c>
      <c r="I311" s="17" t="s">
        <v>318</v>
      </c>
      <c r="J311" s="19">
        <v>41432</v>
      </c>
      <c r="K311" s="16"/>
    </row>
    <row r="312" spans="1:11" x14ac:dyDescent="0.2">
      <c r="A312" s="17" t="str">
        <f t="shared" si="5"/>
        <v>802948119261</v>
      </c>
      <c r="B312" s="20">
        <v>802948</v>
      </c>
      <c r="C312" s="20" t="s">
        <v>12</v>
      </c>
      <c r="D312" s="21">
        <v>119261</v>
      </c>
      <c r="E312" s="17" t="s">
        <v>140</v>
      </c>
      <c r="F312" s="18">
        <v>20</v>
      </c>
      <c r="G312" s="17" t="s">
        <v>424</v>
      </c>
      <c r="H312" s="17" t="s">
        <v>424</v>
      </c>
      <c r="I312" s="17" t="s">
        <v>318</v>
      </c>
      <c r="J312" s="19">
        <v>41556</v>
      </c>
      <c r="K312" s="16"/>
    </row>
    <row r="313" spans="1:11" x14ac:dyDescent="0.2">
      <c r="A313" s="17" t="str">
        <f t="shared" si="5"/>
        <v>803877143416</v>
      </c>
      <c r="B313" s="20">
        <v>803877</v>
      </c>
      <c r="C313" s="20" t="s">
        <v>274</v>
      </c>
      <c r="D313" s="21">
        <v>143416</v>
      </c>
      <c r="E313" s="17" t="s">
        <v>225</v>
      </c>
      <c r="F313" s="18">
        <v>0</v>
      </c>
      <c r="G313" s="17" t="s">
        <v>424</v>
      </c>
      <c r="H313" s="17" t="s">
        <v>424</v>
      </c>
      <c r="I313" s="17" t="s">
        <v>318</v>
      </c>
      <c r="J313" s="19">
        <v>42059</v>
      </c>
      <c r="K313" s="16"/>
    </row>
    <row r="314" spans="1:11" x14ac:dyDescent="0.2">
      <c r="A314" s="17" t="str">
        <f t="shared" si="5"/>
        <v>804935122537</v>
      </c>
      <c r="B314" s="20">
        <v>804935</v>
      </c>
      <c r="C314" s="20" t="s">
        <v>27</v>
      </c>
      <c r="D314" s="21">
        <v>122537</v>
      </c>
      <c r="E314" s="17" t="s">
        <v>228</v>
      </c>
      <c r="F314" s="18">
        <v>26.25</v>
      </c>
      <c r="G314" s="17" t="s">
        <v>424</v>
      </c>
      <c r="H314" s="17" t="s">
        <v>424</v>
      </c>
      <c r="I314" s="17" t="s">
        <v>318</v>
      </c>
      <c r="J314" s="19">
        <v>42460</v>
      </c>
      <c r="K314" s="16"/>
    </row>
    <row r="315" spans="1:11" x14ac:dyDescent="0.2">
      <c r="A315" s="17" t="str">
        <f t="shared" si="5"/>
        <v>805095119261</v>
      </c>
      <c r="B315" s="20">
        <v>805095</v>
      </c>
      <c r="C315" s="20" t="s">
        <v>78</v>
      </c>
      <c r="D315" s="21">
        <v>119261</v>
      </c>
      <c r="E315" s="17" t="s">
        <v>140</v>
      </c>
      <c r="F315" s="18">
        <v>0</v>
      </c>
      <c r="G315" s="17" t="s">
        <v>424</v>
      </c>
      <c r="H315" s="17" t="s">
        <v>424</v>
      </c>
      <c r="I315" s="17" t="s">
        <v>318</v>
      </c>
      <c r="J315" s="19">
        <v>42516</v>
      </c>
      <c r="K315" s="16"/>
    </row>
    <row r="316" spans="1:11" x14ac:dyDescent="0.2">
      <c r="A316" s="17" t="str">
        <f t="shared" si="5"/>
        <v>805255119261</v>
      </c>
      <c r="B316" s="20">
        <v>805255</v>
      </c>
      <c r="C316" s="20" t="s">
        <v>380</v>
      </c>
      <c r="D316" s="17">
        <v>119261</v>
      </c>
      <c r="E316" s="17" t="s">
        <v>140</v>
      </c>
      <c r="F316" s="18">
        <v>0</v>
      </c>
      <c r="G316" s="17" t="s">
        <v>424</v>
      </c>
      <c r="H316" s="17" t="s">
        <v>424</v>
      </c>
      <c r="I316" s="17" t="s">
        <v>318</v>
      </c>
      <c r="J316" s="19">
        <v>42549</v>
      </c>
      <c r="K316" s="16"/>
    </row>
    <row r="317" spans="1:11" x14ac:dyDescent="0.2">
      <c r="A317" s="17" t="str">
        <f t="shared" si="5"/>
        <v>805375119261</v>
      </c>
      <c r="B317" s="20">
        <v>805375</v>
      </c>
      <c r="C317" s="20" t="s">
        <v>245</v>
      </c>
      <c r="D317" s="21">
        <v>119261</v>
      </c>
      <c r="E317" s="17" t="s">
        <v>140</v>
      </c>
      <c r="F317" s="18">
        <v>0</v>
      </c>
      <c r="G317" s="17" t="s">
        <v>424</v>
      </c>
      <c r="H317" s="17" t="s">
        <v>424</v>
      </c>
      <c r="I317" s="17" t="s">
        <v>318</v>
      </c>
      <c r="J317" s="19">
        <v>42580</v>
      </c>
      <c r="K317" s="16"/>
    </row>
    <row r="318" spans="1:11" x14ac:dyDescent="0.2">
      <c r="A318" s="17" t="str">
        <f t="shared" si="5"/>
        <v>805377119261</v>
      </c>
      <c r="B318" s="20">
        <v>805377</v>
      </c>
      <c r="C318" s="20" t="s">
        <v>330</v>
      </c>
      <c r="D318" s="21">
        <v>119261</v>
      </c>
      <c r="E318" s="17" t="s">
        <v>140</v>
      </c>
      <c r="F318" s="18">
        <v>25</v>
      </c>
      <c r="G318" s="17" t="s">
        <v>424</v>
      </c>
      <c r="H318" s="17" t="s">
        <v>424</v>
      </c>
      <c r="I318" s="17" t="s">
        <v>318</v>
      </c>
      <c r="J318" s="19">
        <v>42580</v>
      </c>
      <c r="K318" s="16"/>
    </row>
    <row r="319" spans="1:11" x14ac:dyDescent="0.2">
      <c r="A319" s="17" t="str">
        <f t="shared" si="5"/>
        <v>805406119261</v>
      </c>
      <c r="B319" s="20">
        <v>805406</v>
      </c>
      <c r="C319" s="20" t="s">
        <v>378</v>
      </c>
      <c r="D319" s="17">
        <v>119261</v>
      </c>
      <c r="E319" s="17" t="s">
        <v>140</v>
      </c>
      <c r="F319" s="18">
        <v>0</v>
      </c>
      <c r="G319" s="17" t="s">
        <v>424</v>
      </c>
      <c r="H319" s="17" t="s">
        <v>424</v>
      </c>
      <c r="I319" s="17" t="s">
        <v>318</v>
      </c>
      <c r="J319" s="19">
        <v>42591</v>
      </c>
      <c r="K319" s="16"/>
    </row>
    <row r="320" spans="1:11" x14ac:dyDescent="0.2">
      <c r="A320" s="17" t="str">
        <f t="shared" si="5"/>
        <v>805419119261</v>
      </c>
      <c r="B320" s="20">
        <v>805419</v>
      </c>
      <c r="C320" s="20" t="s">
        <v>325</v>
      </c>
      <c r="D320" s="21">
        <v>119261</v>
      </c>
      <c r="E320" s="17" t="s">
        <v>140</v>
      </c>
      <c r="F320" s="18">
        <v>35</v>
      </c>
      <c r="G320" s="17" t="s">
        <v>424</v>
      </c>
      <c r="H320" s="17" t="s">
        <v>424</v>
      </c>
      <c r="I320" s="17" t="s">
        <v>318</v>
      </c>
      <c r="J320" s="19">
        <v>42594</v>
      </c>
      <c r="K320" s="16"/>
    </row>
    <row r="321" spans="1:11" x14ac:dyDescent="0.2">
      <c r="A321" s="17" t="str">
        <f t="shared" si="5"/>
        <v>805453119261</v>
      </c>
      <c r="B321" s="20">
        <v>805453</v>
      </c>
      <c r="C321" s="20" t="s">
        <v>238</v>
      </c>
      <c r="D321" s="21">
        <v>119261</v>
      </c>
      <c r="E321" s="17" t="s">
        <v>140</v>
      </c>
      <c r="F321" s="18">
        <v>35</v>
      </c>
      <c r="G321" s="17" t="s">
        <v>424</v>
      </c>
      <c r="H321" s="17" t="s">
        <v>424</v>
      </c>
      <c r="I321" s="17" t="s">
        <v>318</v>
      </c>
      <c r="J321" s="19">
        <v>42611</v>
      </c>
      <c r="K321" s="16"/>
    </row>
    <row r="322" spans="1:11" x14ac:dyDescent="0.2">
      <c r="A322" s="17" t="str">
        <f t="shared" si="5"/>
        <v>805796208268</v>
      </c>
      <c r="B322" s="20">
        <v>805796</v>
      </c>
      <c r="C322" s="20" t="s">
        <v>402</v>
      </c>
      <c r="D322" s="17">
        <v>208268</v>
      </c>
      <c r="E322" s="17" t="s">
        <v>352</v>
      </c>
      <c r="F322" s="18">
        <v>0</v>
      </c>
      <c r="G322" s="17" t="s">
        <v>424</v>
      </c>
      <c r="H322" s="17" t="s">
        <v>424</v>
      </c>
      <c r="I322" s="17" t="s">
        <v>318</v>
      </c>
      <c r="J322" s="19">
        <v>42697</v>
      </c>
      <c r="K322" s="16"/>
    </row>
    <row r="323" spans="1:11" x14ac:dyDescent="0.2">
      <c r="A323" s="17" t="str">
        <f t="shared" si="5"/>
        <v>805796212409</v>
      </c>
      <c r="B323" s="22">
        <v>805796</v>
      </c>
      <c r="C323" s="22" t="s">
        <v>402</v>
      </c>
      <c r="D323" s="29">
        <v>212409</v>
      </c>
      <c r="E323" s="16" t="s">
        <v>527</v>
      </c>
      <c r="F323" s="18">
        <v>0</v>
      </c>
      <c r="G323" s="16" t="s">
        <v>424</v>
      </c>
      <c r="H323" s="16" t="s">
        <v>424</v>
      </c>
      <c r="I323" s="16" t="s">
        <v>318</v>
      </c>
      <c r="J323" s="19">
        <v>42697</v>
      </c>
      <c r="K323" s="16"/>
    </row>
    <row r="324" spans="1:11" x14ac:dyDescent="0.2">
      <c r="A324" s="17" t="str">
        <f t="shared" si="5"/>
        <v>806289179796</v>
      </c>
      <c r="B324" s="20">
        <v>806289</v>
      </c>
      <c r="C324" s="20" t="s">
        <v>166</v>
      </c>
      <c r="D324" s="21">
        <v>179796</v>
      </c>
      <c r="E324" s="17" t="s">
        <v>165</v>
      </c>
      <c r="F324" s="18">
        <v>4</v>
      </c>
      <c r="G324" s="17" t="s">
        <v>424</v>
      </c>
      <c r="H324" s="17" t="s">
        <v>424</v>
      </c>
      <c r="I324" s="17" t="s">
        <v>318</v>
      </c>
      <c r="J324" s="19">
        <v>42852</v>
      </c>
      <c r="K324" s="16"/>
    </row>
    <row r="325" spans="1:11" x14ac:dyDescent="0.2">
      <c r="A325" s="17" t="str">
        <f t="shared" si="5"/>
        <v>806433119261</v>
      </c>
      <c r="B325" s="20">
        <v>806433</v>
      </c>
      <c r="C325" s="20" t="s">
        <v>141</v>
      </c>
      <c r="D325" s="21">
        <v>119261</v>
      </c>
      <c r="E325" s="17" t="s">
        <v>140</v>
      </c>
      <c r="F325" s="18">
        <v>195.25</v>
      </c>
      <c r="G325" s="17" t="s">
        <v>424</v>
      </c>
      <c r="H325" s="17" t="s">
        <v>424</v>
      </c>
      <c r="I325" s="17" t="s">
        <v>318</v>
      </c>
      <c r="J325" s="19">
        <v>42892</v>
      </c>
      <c r="K325" s="16"/>
    </row>
    <row r="326" spans="1:11" x14ac:dyDescent="0.2">
      <c r="A326" s="17" t="str">
        <f t="shared" si="5"/>
        <v>806510119261</v>
      </c>
      <c r="B326" s="20">
        <v>806510</v>
      </c>
      <c r="C326" s="20" t="s">
        <v>152</v>
      </c>
      <c r="D326" s="21">
        <v>119261</v>
      </c>
      <c r="E326" s="17" t="s">
        <v>140</v>
      </c>
      <c r="F326" s="18">
        <v>0</v>
      </c>
      <c r="G326" s="17" t="s">
        <v>424</v>
      </c>
      <c r="H326" s="17" t="s">
        <v>424</v>
      </c>
      <c r="I326" s="17" t="s">
        <v>318</v>
      </c>
      <c r="J326" s="19">
        <v>42909</v>
      </c>
      <c r="K326" s="16"/>
    </row>
    <row r="327" spans="1:11" x14ac:dyDescent="0.2">
      <c r="A327" s="17" t="str">
        <f t="shared" si="5"/>
        <v>806717141146</v>
      </c>
      <c r="B327" s="20">
        <v>806717</v>
      </c>
      <c r="C327" s="20" t="s">
        <v>451</v>
      </c>
      <c r="D327" s="17">
        <v>141146</v>
      </c>
      <c r="E327" s="17" t="s">
        <v>160</v>
      </c>
      <c r="F327" s="18">
        <v>0</v>
      </c>
      <c r="G327" s="17" t="s">
        <v>424</v>
      </c>
      <c r="H327" s="17" t="s">
        <v>424</v>
      </c>
      <c r="I327" s="17" t="s">
        <v>318</v>
      </c>
      <c r="J327" s="19">
        <v>42964</v>
      </c>
      <c r="K327" s="16"/>
    </row>
    <row r="328" spans="1:11" x14ac:dyDescent="0.2">
      <c r="A328" s="17" t="str">
        <f t="shared" si="5"/>
        <v>806722119261</v>
      </c>
      <c r="B328" s="20">
        <v>806722</v>
      </c>
      <c r="C328" s="20" t="s">
        <v>271</v>
      </c>
      <c r="D328" s="21">
        <v>119261</v>
      </c>
      <c r="E328" s="17" t="s">
        <v>140</v>
      </c>
      <c r="F328" s="18">
        <v>25</v>
      </c>
      <c r="G328" s="17" t="s">
        <v>424</v>
      </c>
      <c r="H328" s="17" t="s">
        <v>424</v>
      </c>
      <c r="I328" s="17" t="s">
        <v>318</v>
      </c>
      <c r="J328" s="19">
        <v>42964</v>
      </c>
      <c r="K328" s="16"/>
    </row>
    <row r="329" spans="1:11" x14ac:dyDescent="0.2">
      <c r="A329" s="17" t="str">
        <f t="shared" si="5"/>
        <v>806723119261</v>
      </c>
      <c r="B329" s="20">
        <v>806723</v>
      </c>
      <c r="C329" s="20" t="s">
        <v>273</v>
      </c>
      <c r="D329" s="21">
        <v>119261</v>
      </c>
      <c r="E329" s="17" t="s">
        <v>140</v>
      </c>
      <c r="F329" s="18">
        <v>0</v>
      </c>
      <c r="G329" s="17" t="s">
        <v>424</v>
      </c>
      <c r="H329" s="17" t="s">
        <v>424</v>
      </c>
      <c r="I329" s="17" t="s">
        <v>318</v>
      </c>
      <c r="J329" s="19">
        <v>42964</v>
      </c>
      <c r="K329" s="16"/>
    </row>
    <row r="330" spans="1:11" x14ac:dyDescent="0.2">
      <c r="A330" s="17" t="str">
        <f t="shared" si="5"/>
        <v>807120119261</v>
      </c>
      <c r="B330" s="20">
        <v>807120</v>
      </c>
      <c r="C330" s="20" t="s">
        <v>244</v>
      </c>
      <c r="D330" s="21">
        <v>119261</v>
      </c>
      <c r="E330" s="17" t="s">
        <v>140</v>
      </c>
      <c r="F330" s="18">
        <v>233.5</v>
      </c>
      <c r="G330" s="17" t="s">
        <v>424</v>
      </c>
      <c r="H330" s="17" t="s">
        <v>424</v>
      </c>
      <c r="I330" s="17" t="s">
        <v>318</v>
      </c>
      <c r="J330" s="19">
        <v>43400</v>
      </c>
      <c r="K330" s="16"/>
    </row>
    <row r="331" spans="1:11" x14ac:dyDescent="0.2">
      <c r="A331" s="17" t="str">
        <f t="shared" si="5"/>
        <v>807142171947</v>
      </c>
      <c r="B331" s="20">
        <v>807142</v>
      </c>
      <c r="C331" s="20" t="s">
        <v>170</v>
      </c>
      <c r="D331" s="21">
        <v>171947</v>
      </c>
      <c r="E331" s="17" t="s">
        <v>169</v>
      </c>
      <c r="F331" s="18">
        <v>38.65</v>
      </c>
      <c r="G331" s="17" t="s">
        <v>424</v>
      </c>
      <c r="H331" s="17" t="s">
        <v>424</v>
      </c>
      <c r="I331" s="17" t="s">
        <v>318</v>
      </c>
      <c r="J331" s="19">
        <v>43406</v>
      </c>
      <c r="K331" s="16"/>
    </row>
    <row r="332" spans="1:11" x14ac:dyDescent="0.2">
      <c r="A332" s="17" t="str">
        <f t="shared" si="5"/>
        <v>807202171947</v>
      </c>
      <c r="B332" s="20">
        <v>807202</v>
      </c>
      <c r="C332" s="20" t="s">
        <v>272</v>
      </c>
      <c r="D332" s="21">
        <v>171947</v>
      </c>
      <c r="E332" s="17" t="s">
        <v>169</v>
      </c>
      <c r="F332" s="18">
        <v>0</v>
      </c>
      <c r="G332" s="17" t="s">
        <v>424</v>
      </c>
      <c r="H332" s="17" t="s">
        <v>424</v>
      </c>
      <c r="I332" s="17" t="s">
        <v>318</v>
      </c>
      <c r="J332" s="19">
        <v>43427</v>
      </c>
      <c r="K332" s="16"/>
    </row>
    <row r="333" spans="1:11" x14ac:dyDescent="0.2">
      <c r="A333" s="17" t="str">
        <f t="shared" si="5"/>
        <v>807203119261</v>
      </c>
      <c r="B333" s="20">
        <v>807203</v>
      </c>
      <c r="C333" s="20" t="s">
        <v>344</v>
      </c>
      <c r="D333" s="17">
        <v>119261</v>
      </c>
      <c r="E333" s="17" t="s">
        <v>140</v>
      </c>
      <c r="F333" s="18">
        <v>0</v>
      </c>
      <c r="G333" s="17" t="s">
        <v>424</v>
      </c>
      <c r="H333" s="17" t="s">
        <v>424</v>
      </c>
      <c r="I333" s="17" t="s">
        <v>318</v>
      </c>
      <c r="J333" s="19">
        <v>43427</v>
      </c>
      <c r="K333" s="16"/>
    </row>
    <row r="334" spans="1:11" x14ac:dyDescent="0.2">
      <c r="A334" s="17" t="str">
        <f t="shared" si="5"/>
        <v>807244201172</v>
      </c>
      <c r="B334" s="20">
        <v>807244</v>
      </c>
      <c r="C334" s="20" t="s">
        <v>145</v>
      </c>
      <c r="D334" s="21">
        <v>201172</v>
      </c>
      <c r="E334" s="17" t="s">
        <v>144</v>
      </c>
      <c r="F334" s="18">
        <v>30</v>
      </c>
      <c r="G334" s="17" t="s">
        <v>424</v>
      </c>
      <c r="H334" s="17" t="s">
        <v>424</v>
      </c>
      <c r="I334" s="17" t="s">
        <v>318</v>
      </c>
      <c r="J334" s="19">
        <v>43054</v>
      </c>
      <c r="K334" s="16"/>
    </row>
    <row r="335" spans="1:11" x14ac:dyDescent="0.2">
      <c r="A335" s="17" t="str">
        <f t="shared" si="5"/>
        <v>807416176279</v>
      </c>
      <c r="B335" s="20">
        <v>807416</v>
      </c>
      <c r="C335" s="20" t="s">
        <v>231</v>
      </c>
      <c r="D335" s="21">
        <v>176279</v>
      </c>
      <c r="E335" s="17" t="s">
        <v>145</v>
      </c>
      <c r="F335" s="18">
        <v>27</v>
      </c>
      <c r="G335" s="17" t="s">
        <v>424</v>
      </c>
      <c r="H335" s="17" t="s">
        <v>424</v>
      </c>
      <c r="I335" s="17" t="s">
        <v>318</v>
      </c>
      <c r="J335" s="19">
        <v>43458</v>
      </c>
      <c r="K335" s="16"/>
    </row>
    <row r="336" spans="1:11" x14ac:dyDescent="0.2">
      <c r="A336" s="17" t="str">
        <f t="shared" si="5"/>
        <v>807576201172</v>
      </c>
      <c r="B336" s="20">
        <v>807576</v>
      </c>
      <c r="C336" s="20" t="s">
        <v>172</v>
      </c>
      <c r="D336" s="21">
        <v>201172</v>
      </c>
      <c r="E336" s="17" t="s">
        <v>144</v>
      </c>
      <c r="F336" s="18">
        <v>10</v>
      </c>
      <c r="G336" s="17" t="s">
        <v>424</v>
      </c>
      <c r="H336" s="17" t="s">
        <v>424</v>
      </c>
      <c r="I336" s="17" t="s">
        <v>318</v>
      </c>
      <c r="J336" s="19">
        <v>43064</v>
      </c>
      <c r="K336" s="16"/>
    </row>
    <row r="337" spans="1:11" x14ac:dyDescent="0.2">
      <c r="A337" s="17" t="str">
        <f t="shared" si="5"/>
        <v>807780149893</v>
      </c>
      <c r="B337" s="20">
        <v>807780</v>
      </c>
      <c r="C337" s="20" t="s">
        <v>66</v>
      </c>
      <c r="D337" s="21">
        <v>149893</v>
      </c>
      <c r="E337" s="17" t="s">
        <v>194</v>
      </c>
      <c r="F337" s="18">
        <v>0</v>
      </c>
      <c r="G337" s="17" t="s">
        <v>424</v>
      </c>
      <c r="H337" s="17" t="s">
        <v>424</v>
      </c>
      <c r="I337" s="17" t="s">
        <v>318</v>
      </c>
      <c r="J337" s="19">
        <v>43487</v>
      </c>
      <c r="K337" s="16"/>
    </row>
    <row r="338" spans="1:11" x14ac:dyDescent="0.2">
      <c r="A338" s="17" t="str">
        <f t="shared" si="5"/>
        <v>807781176647</v>
      </c>
      <c r="B338" s="20">
        <v>807781</v>
      </c>
      <c r="C338" s="20" t="s">
        <v>66</v>
      </c>
      <c r="D338" s="21">
        <v>176647</v>
      </c>
      <c r="E338" s="17" t="s">
        <v>222</v>
      </c>
      <c r="F338" s="18">
        <v>30</v>
      </c>
      <c r="G338" s="17" t="s">
        <v>424</v>
      </c>
      <c r="H338" s="17" t="s">
        <v>424</v>
      </c>
      <c r="I338" s="17" t="s">
        <v>318</v>
      </c>
      <c r="J338" s="19">
        <v>43487</v>
      </c>
      <c r="K338" s="16"/>
    </row>
    <row r="339" spans="1:11" x14ac:dyDescent="0.2">
      <c r="A339" s="17" t="str">
        <f t="shared" si="5"/>
        <v>807889119261</v>
      </c>
      <c r="B339" s="20">
        <v>807889</v>
      </c>
      <c r="C339" s="20" t="s">
        <v>214</v>
      </c>
      <c r="D339" s="21">
        <v>119261</v>
      </c>
      <c r="E339" s="17" t="s">
        <v>140</v>
      </c>
      <c r="F339" s="18">
        <v>35</v>
      </c>
      <c r="G339" s="17" t="s">
        <v>424</v>
      </c>
      <c r="H339" s="17" t="s">
        <v>424</v>
      </c>
      <c r="I339" s="17" t="s">
        <v>318</v>
      </c>
      <c r="J339" s="19">
        <v>43111</v>
      </c>
      <c r="K339" s="16"/>
    </row>
    <row r="340" spans="1:11" x14ac:dyDescent="0.2">
      <c r="A340" s="17" t="str">
        <f t="shared" si="5"/>
        <v>808730201172</v>
      </c>
      <c r="B340" s="20">
        <v>808730</v>
      </c>
      <c r="C340" s="20" t="s">
        <v>192</v>
      </c>
      <c r="D340" s="21">
        <v>201172</v>
      </c>
      <c r="E340" s="17" t="s">
        <v>144</v>
      </c>
      <c r="F340" s="18">
        <v>5</v>
      </c>
      <c r="G340" s="17" t="s">
        <v>424</v>
      </c>
      <c r="H340" s="17" t="s">
        <v>424</v>
      </c>
      <c r="I340" s="17" t="s">
        <v>318</v>
      </c>
      <c r="J340" s="19">
        <v>43315</v>
      </c>
      <c r="K340" s="16"/>
    </row>
    <row r="341" spans="1:11" x14ac:dyDescent="0.2">
      <c r="A341" s="17" t="str">
        <f t="shared" si="5"/>
        <v>808937125022</v>
      </c>
      <c r="B341" s="20">
        <v>808937</v>
      </c>
      <c r="C341" s="20" t="s">
        <v>40</v>
      </c>
      <c r="D341" s="21">
        <v>125022</v>
      </c>
      <c r="E341" s="17" t="s">
        <v>195</v>
      </c>
      <c r="F341" s="18">
        <v>0</v>
      </c>
      <c r="G341" s="17" t="s">
        <v>424</v>
      </c>
      <c r="H341" s="17" t="s">
        <v>424</v>
      </c>
      <c r="I341" s="17" t="s">
        <v>318</v>
      </c>
      <c r="J341" s="19">
        <v>43294</v>
      </c>
      <c r="K341" s="16"/>
    </row>
    <row r="342" spans="1:11" x14ac:dyDescent="0.2">
      <c r="A342" s="17" t="str">
        <f t="shared" si="5"/>
        <v>809330176647</v>
      </c>
      <c r="B342" s="20">
        <v>809330</v>
      </c>
      <c r="C342" s="20" t="s">
        <v>223</v>
      </c>
      <c r="D342" s="21">
        <v>176647</v>
      </c>
      <c r="E342" s="17" t="s">
        <v>222</v>
      </c>
      <c r="F342" s="18">
        <v>45</v>
      </c>
      <c r="G342" s="17" t="s">
        <v>424</v>
      </c>
      <c r="H342" s="17" t="s">
        <v>424</v>
      </c>
      <c r="I342" s="17" t="s">
        <v>318</v>
      </c>
      <c r="J342" s="19">
        <v>43558</v>
      </c>
      <c r="K342" s="16"/>
    </row>
    <row r="343" spans="1:11" x14ac:dyDescent="0.2">
      <c r="A343" s="17" t="str">
        <f t="shared" si="5"/>
        <v>809534174445</v>
      </c>
      <c r="B343" s="20">
        <v>809534</v>
      </c>
      <c r="C343" s="20" t="s">
        <v>250</v>
      </c>
      <c r="D343" s="21">
        <v>174445</v>
      </c>
      <c r="E343" s="17" t="s">
        <v>143</v>
      </c>
      <c r="F343" s="18">
        <v>0</v>
      </c>
      <c r="G343" s="17" t="s">
        <v>424</v>
      </c>
      <c r="H343" s="17" t="s">
        <v>424</v>
      </c>
      <c r="I343" s="17" t="s">
        <v>318</v>
      </c>
      <c r="J343" s="19">
        <v>43596</v>
      </c>
      <c r="K343" s="16"/>
    </row>
    <row r="344" spans="1:11" x14ac:dyDescent="0.2">
      <c r="A344" s="17" t="str">
        <f t="shared" si="5"/>
        <v>809579119261</v>
      </c>
      <c r="B344" s="20">
        <v>809579</v>
      </c>
      <c r="C344" s="20" t="s">
        <v>213</v>
      </c>
      <c r="D344" s="21">
        <v>119261</v>
      </c>
      <c r="E344" s="17" t="s">
        <v>140</v>
      </c>
      <c r="F344" s="18">
        <v>62.5</v>
      </c>
      <c r="G344" s="17" t="s">
        <v>424</v>
      </c>
      <c r="H344" s="17" t="s">
        <v>424</v>
      </c>
      <c r="I344" s="17" t="s">
        <v>318</v>
      </c>
      <c r="J344" s="19">
        <v>43605</v>
      </c>
      <c r="K344" s="16"/>
    </row>
    <row r="345" spans="1:11" x14ac:dyDescent="0.2">
      <c r="A345" s="17" t="str">
        <f t="shared" si="5"/>
        <v>809618171947</v>
      </c>
      <c r="B345" s="20">
        <v>809618</v>
      </c>
      <c r="C345" s="20" t="s">
        <v>200</v>
      </c>
      <c r="D345" s="21">
        <v>171947</v>
      </c>
      <c r="E345" s="17" t="s">
        <v>169</v>
      </c>
      <c r="F345" s="18">
        <v>2.5</v>
      </c>
      <c r="G345" s="17" t="s">
        <v>424</v>
      </c>
      <c r="H345" s="17" t="s">
        <v>424</v>
      </c>
      <c r="I345" s="17" t="s">
        <v>318</v>
      </c>
      <c r="J345" s="19">
        <v>43609</v>
      </c>
      <c r="K345" s="16"/>
    </row>
    <row r="346" spans="1:11" x14ac:dyDescent="0.2">
      <c r="A346" s="17" t="str">
        <f t="shared" si="5"/>
        <v>809917172150</v>
      </c>
      <c r="B346" s="20">
        <v>809917</v>
      </c>
      <c r="C346" s="20" t="s">
        <v>182</v>
      </c>
      <c r="D346" s="21">
        <v>172150</v>
      </c>
      <c r="E346" s="17" t="s">
        <v>148</v>
      </c>
      <c r="F346" s="18">
        <v>32.5</v>
      </c>
      <c r="G346" s="17" t="s">
        <v>424</v>
      </c>
      <c r="H346" s="17" t="s">
        <v>424</v>
      </c>
      <c r="I346" s="17" t="s">
        <v>318</v>
      </c>
      <c r="J346" s="19">
        <v>43659</v>
      </c>
      <c r="K346" s="16"/>
    </row>
    <row r="347" spans="1:11" x14ac:dyDescent="0.2">
      <c r="A347" s="17" t="str">
        <f t="shared" si="5"/>
        <v>809918144868</v>
      </c>
      <c r="B347" s="20">
        <v>809918</v>
      </c>
      <c r="C347" s="20" t="s">
        <v>167</v>
      </c>
      <c r="D347" s="21">
        <v>144868</v>
      </c>
      <c r="E347" s="17" t="s">
        <v>158</v>
      </c>
      <c r="F347" s="18">
        <v>52.75</v>
      </c>
      <c r="G347" s="17" t="s">
        <v>424</v>
      </c>
      <c r="H347" s="17" t="s">
        <v>424</v>
      </c>
      <c r="I347" s="17" t="s">
        <v>318</v>
      </c>
      <c r="J347" s="19">
        <v>43659</v>
      </c>
      <c r="K347" s="16"/>
    </row>
    <row r="348" spans="1:11" x14ac:dyDescent="0.2">
      <c r="A348" s="17" t="str">
        <f t="shared" si="5"/>
        <v>810127178137</v>
      </c>
      <c r="B348" s="20">
        <v>810127</v>
      </c>
      <c r="C348" s="20" t="s">
        <v>64</v>
      </c>
      <c r="D348" s="21">
        <v>178137</v>
      </c>
      <c r="E348" s="17" t="s">
        <v>178</v>
      </c>
      <c r="F348" s="18">
        <v>10.5</v>
      </c>
      <c r="G348" s="17" t="s">
        <v>424</v>
      </c>
      <c r="H348" s="17" t="s">
        <v>424</v>
      </c>
      <c r="I348" s="17" t="s">
        <v>318</v>
      </c>
      <c r="J348" s="19">
        <v>43678</v>
      </c>
      <c r="K348" s="16"/>
    </row>
    <row r="349" spans="1:11" x14ac:dyDescent="0.2">
      <c r="A349" s="17" t="str">
        <f t="shared" si="5"/>
        <v>810242119261</v>
      </c>
      <c r="B349" s="20">
        <v>810242</v>
      </c>
      <c r="C349" s="20" t="s">
        <v>117</v>
      </c>
      <c r="D349" s="21">
        <v>119261</v>
      </c>
      <c r="E349" s="17" t="s">
        <v>140</v>
      </c>
      <c r="F349" s="18">
        <v>90.1</v>
      </c>
      <c r="G349" s="17" t="s">
        <v>424</v>
      </c>
      <c r="H349" s="17" t="s">
        <v>424</v>
      </c>
      <c r="I349" s="17" t="s">
        <v>318</v>
      </c>
      <c r="J349" s="19">
        <v>43691</v>
      </c>
      <c r="K349" s="16"/>
    </row>
    <row r="350" spans="1:11" x14ac:dyDescent="0.2">
      <c r="A350" s="17" t="str">
        <f t="shared" si="5"/>
        <v>810684119261</v>
      </c>
      <c r="B350" s="20">
        <v>810684</v>
      </c>
      <c r="C350" s="20" t="s">
        <v>345</v>
      </c>
      <c r="D350" s="17">
        <v>119261</v>
      </c>
      <c r="E350" s="17" t="s">
        <v>140</v>
      </c>
      <c r="F350" s="18">
        <v>0</v>
      </c>
      <c r="G350" s="17" t="s">
        <v>424</v>
      </c>
      <c r="H350" s="17" t="s">
        <v>424</v>
      </c>
      <c r="I350" s="17" t="s">
        <v>318</v>
      </c>
      <c r="J350" s="19">
        <v>43761</v>
      </c>
      <c r="K350" s="16"/>
    </row>
    <row r="351" spans="1:11" x14ac:dyDescent="0.2">
      <c r="A351" s="17" t="str">
        <f t="shared" si="5"/>
        <v>810734119065</v>
      </c>
      <c r="B351" s="20">
        <v>810734</v>
      </c>
      <c r="C351" s="20" t="s">
        <v>381</v>
      </c>
      <c r="D351" s="17">
        <v>119065</v>
      </c>
      <c r="E351" s="17" t="s">
        <v>382</v>
      </c>
      <c r="F351" s="18">
        <v>0</v>
      </c>
      <c r="G351" s="17" t="s">
        <v>424</v>
      </c>
      <c r="H351" s="17" t="s">
        <v>424</v>
      </c>
      <c r="I351" s="17" t="s">
        <v>318</v>
      </c>
      <c r="J351" s="19">
        <v>43774</v>
      </c>
      <c r="K351" s="16"/>
    </row>
    <row r="352" spans="1:11" x14ac:dyDescent="0.2">
      <c r="A352" s="17" t="str">
        <f t="shared" si="5"/>
        <v>810830119261</v>
      </c>
      <c r="B352" s="20">
        <v>810830</v>
      </c>
      <c r="C352" s="20" t="s">
        <v>215</v>
      </c>
      <c r="D352" s="21">
        <v>119261</v>
      </c>
      <c r="E352" s="17" t="s">
        <v>140</v>
      </c>
      <c r="F352" s="18">
        <v>0</v>
      </c>
      <c r="G352" s="17" t="s">
        <v>424</v>
      </c>
      <c r="H352" s="17" t="s">
        <v>424</v>
      </c>
      <c r="I352" s="17" t="s">
        <v>318</v>
      </c>
      <c r="J352" s="19">
        <v>43792</v>
      </c>
      <c r="K352" s="16"/>
    </row>
    <row r="353" spans="1:11" x14ac:dyDescent="0.2">
      <c r="A353" s="17" t="str">
        <f t="shared" si="5"/>
        <v>810852179911</v>
      </c>
      <c r="B353" s="20">
        <v>810852</v>
      </c>
      <c r="C353" s="20" t="s">
        <v>193</v>
      </c>
      <c r="D353" s="21">
        <v>179911</v>
      </c>
      <c r="E353" s="17" t="s">
        <v>156</v>
      </c>
      <c r="F353" s="18">
        <v>0</v>
      </c>
      <c r="G353" s="17" t="s">
        <v>424</v>
      </c>
      <c r="H353" s="17" t="s">
        <v>424</v>
      </c>
      <c r="I353" s="17" t="s">
        <v>318</v>
      </c>
      <c r="J353" s="19">
        <v>43796</v>
      </c>
      <c r="K353" s="16"/>
    </row>
    <row r="354" spans="1:11" x14ac:dyDescent="0.2">
      <c r="A354" s="17" t="str">
        <f t="shared" si="5"/>
        <v>811137177957</v>
      </c>
      <c r="B354" s="20">
        <v>811137</v>
      </c>
      <c r="C354" s="20" t="s">
        <v>123</v>
      </c>
      <c r="D354" s="21">
        <v>177957</v>
      </c>
      <c r="E354" s="17" t="s">
        <v>197</v>
      </c>
      <c r="F354" s="18">
        <v>12.75</v>
      </c>
      <c r="G354" s="17" t="s">
        <v>424</v>
      </c>
      <c r="H354" s="17" t="s">
        <v>424</v>
      </c>
      <c r="I354" s="17" t="s">
        <v>318</v>
      </c>
      <c r="J354" s="19">
        <v>43829</v>
      </c>
      <c r="K354" s="16"/>
    </row>
    <row r="355" spans="1:11" x14ac:dyDescent="0.2">
      <c r="A355" s="17" t="str">
        <f t="shared" si="5"/>
        <v>811183174445</v>
      </c>
      <c r="B355" s="20">
        <v>811183</v>
      </c>
      <c r="C355" s="20" t="s">
        <v>172</v>
      </c>
      <c r="D355" s="21">
        <v>174445</v>
      </c>
      <c r="E355" s="17" t="s">
        <v>143</v>
      </c>
      <c r="F355" s="18">
        <v>0</v>
      </c>
      <c r="G355" s="17" t="s">
        <v>424</v>
      </c>
      <c r="H355" s="17" t="s">
        <v>424</v>
      </c>
      <c r="I355" s="17" t="s">
        <v>318</v>
      </c>
      <c r="J355" s="19">
        <v>43834</v>
      </c>
      <c r="K355" s="16"/>
    </row>
    <row r="356" spans="1:11" x14ac:dyDescent="0.2">
      <c r="A356" s="17" t="str">
        <f t="shared" si="5"/>
        <v>811251144868</v>
      </c>
      <c r="B356" s="20">
        <v>811251</v>
      </c>
      <c r="C356" s="20" t="s">
        <v>168</v>
      </c>
      <c r="D356" s="21">
        <v>144868</v>
      </c>
      <c r="E356" s="17" t="s">
        <v>158</v>
      </c>
      <c r="F356" s="18">
        <v>5</v>
      </c>
      <c r="G356" s="17" t="s">
        <v>424</v>
      </c>
      <c r="H356" s="17" t="s">
        <v>424</v>
      </c>
      <c r="I356" s="17" t="s">
        <v>318</v>
      </c>
      <c r="J356" s="19">
        <v>43844</v>
      </c>
      <c r="K356" s="16"/>
    </row>
    <row r="357" spans="1:11" x14ac:dyDescent="0.2">
      <c r="A357" s="17" t="str">
        <f t="shared" si="5"/>
        <v>811401145639</v>
      </c>
      <c r="B357" s="20">
        <v>811401</v>
      </c>
      <c r="C357" s="20" t="s">
        <v>366</v>
      </c>
      <c r="D357" s="17">
        <v>145639</v>
      </c>
      <c r="E357" s="17" t="s">
        <v>152</v>
      </c>
      <c r="F357" s="18">
        <v>0</v>
      </c>
      <c r="G357" s="17" t="s">
        <v>424</v>
      </c>
      <c r="H357" s="17" t="s">
        <v>424</v>
      </c>
      <c r="I357" s="17" t="s">
        <v>318</v>
      </c>
      <c r="J357" s="19">
        <v>43865</v>
      </c>
      <c r="K357" s="16"/>
    </row>
    <row r="358" spans="1:11" x14ac:dyDescent="0.2">
      <c r="A358" s="17" t="str">
        <f t="shared" si="5"/>
        <v>811455176279</v>
      </c>
      <c r="B358" s="20">
        <v>811455</v>
      </c>
      <c r="C358" s="20" t="s">
        <v>297</v>
      </c>
      <c r="D358" s="21">
        <v>176279</v>
      </c>
      <c r="E358" s="17" t="s">
        <v>145</v>
      </c>
      <c r="F358" s="18">
        <v>0</v>
      </c>
      <c r="G358" s="17" t="s">
        <v>424</v>
      </c>
      <c r="H358" s="17" t="s">
        <v>424</v>
      </c>
      <c r="I358" s="17" t="s">
        <v>318</v>
      </c>
      <c r="J358" s="19">
        <v>43868</v>
      </c>
      <c r="K358" s="16"/>
    </row>
    <row r="359" spans="1:11" x14ac:dyDescent="0.2">
      <c r="A359" s="17" t="str">
        <f t="shared" si="5"/>
        <v>811480119071</v>
      </c>
      <c r="B359" s="20">
        <v>811480</v>
      </c>
      <c r="C359" s="20" t="s">
        <v>114</v>
      </c>
      <c r="D359" s="21">
        <v>119071</v>
      </c>
      <c r="E359" s="17" t="s">
        <v>154</v>
      </c>
      <c r="F359" s="18">
        <v>0</v>
      </c>
      <c r="G359" s="17" t="s">
        <v>424</v>
      </c>
      <c r="H359" s="17" t="s">
        <v>424</v>
      </c>
      <c r="I359" s="17" t="s">
        <v>318</v>
      </c>
      <c r="J359" s="19">
        <v>43873</v>
      </c>
      <c r="K359" s="16"/>
    </row>
    <row r="360" spans="1:11" x14ac:dyDescent="0.2">
      <c r="A360" s="17" t="str">
        <f t="shared" si="5"/>
        <v>811535176279</v>
      </c>
      <c r="B360" s="17">
        <v>811535</v>
      </c>
      <c r="C360" s="17" t="s">
        <v>281</v>
      </c>
      <c r="D360" s="17">
        <v>176279</v>
      </c>
      <c r="E360" s="17" t="s">
        <v>145</v>
      </c>
      <c r="F360" s="18">
        <v>0</v>
      </c>
      <c r="G360" s="17" t="s">
        <v>424</v>
      </c>
      <c r="H360" s="17" t="s">
        <v>424</v>
      </c>
      <c r="I360" s="17" t="s">
        <v>318</v>
      </c>
      <c r="J360" s="19">
        <v>43879</v>
      </c>
      <c r="K360" s="16"/>
    </row>
    <row r="361" spans="1:11" x14ac:dyDescent="0.2">
      <c r="A361" s="17" t="str">
        <f t="shared" si="5"/>
        <v>811639141512</v>
      </c>
      <c r="B361" s="20">
        <v>811639</v>
      </c>
      <c r="C361" s="20" t="s">
        <v>239</v>
      </c>
      <c r="D361" s="21">
        <v>141512</v>
      </c>
      <c r="E361" s="17" t="s">
        <v>107</v>
      </c>
      <c r="F361" s="18">
        <v>0</v>
      </c>
      <c r="G361" s="17" t="s">
        <v>424</v>
      </c>
      <c r="H361" s="17" t="s">
        <v>424</v>
      </c>
      <c r="I361" s="17" t="s">
        <v>318</v>
      </c>
      <c r="J361" s="19">
        <v>43889</v>
      </c>
      <c r="K361" s="16"/>
    </row>
    <row r="362" spans="1:11" x14ac:dyDescent="0.2">
      <c r="A362" s="17" t="str">
        <f t="shared" si="5"/>
        <v>811862149872</v>
      </c>
      <c r="B362" s="20">
        <v>811862</v>
      </c>
      <c r="C362" s="20" t="s">
        <v>179</v>
      </c>
      <c r="D362" s="21">
        <v>149872</v>
      </c>
      <c r="E362" s="17" t="s">
        <v>139</v>
      </c>
      <c r="F362" s="18">
        <v>12.5</v>
      </c>
      <c r="G362" s="17" t="s">
        <v>424</v>
      </c>
      <c r="H362" s="17" t="s">
        <v>424</v>
      </c>
      <c r="I362" s="17" t="s">
        <v>318</v>
      </c>
      <c r="J362" s="19">
        <v>43987</v>
      </c>
      <c r="K362" s="16"/>
    </row>
    <row r="363" spans="1:11" x14ac:dyDescent="0.2">
      <c r="A363" s="17" t="str">
        <f t="shared" si="5"/>
        <v>812071179911</v>
      </c>
      <c r="B363" s="20">
        <v>812071</v>
      </c>
      <c r="C363" s="20" t="s">
        <v>157</v>
      </c>
      <c r="D363" s="21">
        <v>179911</v>
      </c>
      <c r="E363" s="17" t="s">
        <v>156</v>
      </c>
      <c r="F363" s="18">
        <v>10</v>
      </c>
      <c r="G363" s="17" t="s">
        <v>424</v>
      </c>
      <c r="H363" s="17" t="s">
        <v>424</v>
      </c>
      <c r="I363" s="17" t="s">
        <v>318</v>
      </c>
      <c r="J363" s="19">
        <v>44012</v>
      </c>
      <c r="K363" s="16"/>
    </row>
    <row r="364" spans="1:11" x14ac:dyDescent="0.2">
      <c r="A364" s="17" t="str">
        <f t="shared" si="5"/>
        <v>812072144868</v>
      </c>
      <c r="B364" s="20">
        <v>812072</v>
      </c>
      <c r="C364" s="20" t="s">
        <v>159</v>
      </c>
      <c r="D364" s="21">
        <v>144868</v>
      </c>
      <c r="E364" s="17" t="s">
        <v>158</v>
      </c>
      <c r="F364" s="18">
        <v>0</v>
      </c>
      <c r="G364" s="17" t="s">
        <v>424</v>
      </c>
      <c r="H364" s="17" t="s">
        <v>424</v>
      </c>
      <c r="I364" s="17" t="s">
        <v>318</v>
      </c>
      <c r="J364" s="19">
        <v>44012</v>
      </c>
      <c r="K364" s="16"/>
    </row>
    <row r="365" spans="1:11" x14ac:dyDescent="0.2">
      <c r="A365" s="17" t="str">
        <f t="shared" si="5"/>
        <v>812142174445</v>
      </c>
      <c r="B365" s="20">
        <v>812142</v>
      </c>
      <c r="C365" s="20" t="s">
        <v>290</v>
      </c>
      <c r="D365" s="21">
        <v>174445</v>
      </c>
      <c r="E365" s="17" t="s">
        <v>143</v>
      </c>
      <c r="F365" s="18">
        <v>5</v>
      </c>
      <c r="G365" s="17" t="s">
        <v>424</v>
      </c>
      <c r="H365" s="17" t="s">
        <v>424</v>
      </c>
      <c r="I365" s="17" t="s">
        <v>318</v>
      </c>
      <c r="J365" s="19">
        <v>44019</v>
      </c>
      <c r="K365" s="16"/>
    </row>
    <row r="366" spans="1:11" x14ac:dyDescent="0.2">
      <c r="A366" s="17" t="str">
        <f t="shared" si="5"/>
        <v>812161145639</v>
      </c>
      <c r="B366" s="20">
        <v>812161</v>
      </c>
      <c r="C366" s="20" t="s">
        <v>183</v>
      </c>
      <c r="D366" s="21">
        <v>145639</v>
      </c>
      <c r="E366" s="17" t="s">
        <v>152</v>
      </c>
      <c r="F366" s="18">
        <v>5</v>
      </c>
      <c r="G366" s="17" t="s">
        <v>424</v>
      </c>
      <c r="H366" s="17" t="s">
        <v>424</v>
      </c>
      <c r="I366" s="17" t="s">
        <v>318</v>
      </c>
      <c r="J366" s="19">
        <v>44021</v>
      </c>
      <c r="K366" s="16"/>
    </row>
    <row r="367" spans="1:11" x14ac:dyDescent="0.2">
      <c r="A367" s="17" t="str">
        <f t="shared" si="5"/>
        <v>812196174445</v>
      </c>
      <c r="B367" s="20">
        <v>812196</v>
      </c>
      <c r="C367" s="20" t="s">
        <v>299</v>
      </c>
      <c r="D367" s="21">
        <v>174445</v>
      </c>
      <c r="E367" s="17" t="s">
        <v>143</v>
      </c>
      <c r="F367" s="18">
        <v>0</v>
      </c>
      <c r="G367" s="17" t="s">
        <v>424</v>
      </c>
      <c r="H367" s="17" t="s">
        <v>424</v>
      </c>
      <c r="I367" s="17" t="s">
        <v>318</v>
      </c>
      <c r="J367" s="19">
        <v>44023</v>
      </c>
      <c r="K367" s="16"/>
    </row>
    <row r="368" spans="1:11" x14ac:dyDescent="0.2">
      <c r="A368" s="17" t="str">
        <f t="shared" si="5"/>
        <v>812425146909</v>
      </c>
      <c r="B368" s="20">
        <v>812425</v>
      </c>
      <c r="C368" s="20" t="s">
        <v>111</v>
      </c>
      <c r="D368" s="21">
        <v>146909</v>
      </c>
      <c r="E368" s="17" t="s">
        <v>110</v>
      </c>
      <c r="F368" s="18">
        <v>42</v>
      </c>
      <c r="G368" s="17" t="s">
        <v>424</v>
      </c>
      <c r="H368" s="17" t="s">
        <v>424</v>
      </c>
      <c r="I368" s="17" t="s">
        <v>318</v>
      </c>
      <c r="J368" s="19">
        <v>44043</v>
      </c>
      <c r="K368" s="16"/>
    </row>
    <row r="369" spans="1:11" x14ac:dyDescent="0.2">
      <c r="A369" s="17" t="str">
        <f t="shared" si="5"/>
        <v>812428176279</v>
      </c>
      <c r="B369" s="20">
        <v>812428</v>
      </c>
      <c r="C369" s="20" t="s">
        <v>243</v>
      </c>
      <c r="D369" s="21">
        <v>176279</v>
      </c>
      <c r="E369" s="17" t="s">
        <v>145</v>
      </c>
      <c r="F369" s="18">
        <v>0</v>
      </c>
      <c r="G369" s="17" t="s">
        <v>424</v>
      </c>
      <c r="H369" s="17" t="s">
        <v>424</v>
      </c>
      <c r="I369" s="17" t="s">
        <v>318</v>
      </c>
      <c r="J369" s="19">
        <v>44043</v>
      </c>
      <c r="K369" s="16"/>
    </row>
    <row r="370" spans="1:11" x14ac:dyDescent="0.2">
      <c r="A370" s="17" t="str">
        <f t="shared" si="5"/>
        <v>812658119071</v>
      </c>
      <c r="B370" s="20">
        <v>812658</v>
      </c>
      <c r="C370" s="20" t="s">
        <v>287</v>
      </c>
      <c r="D370" s="21">
        <v>119071</v>
      </c>
      <c r="E370" s="17" t="s">
        <v>154</v>
      </c>
      <c r="F370" s="18">
        <v>0</v>
      </c>
      <c r="G370" s="17" t="s">
        <v>424</v>
      </c>
      <c r="H370" s="17" t="s">
        <v>424</v>
      </c>
      <c r="I370" s="17" t="s">
        <v>318</v>
      </c>
      <c r="J370" s="19">
        <v>44069</v>
      </c>
      <c r="K370" s="16"/>
    </row>
    <row r="371" spans="1:11" x14ac:dyDescent="0.2">
      <c r="A371" s="17" t="str">
        <f t="shared" si="5"/>
        <v>813074177957</v>
      </c>
      <c r="B371" s="20">
        <v>813074</v>
      </c>
      <c r="C371" s="20" t="s">
        <v>226</v>
      </c>
      <c r="D371" s="21">
        <v>177957</v>
      </c>
      <c r="E371" s="17" t="s">
        <v>197</v>
      </c>
      <c r="F371" s="18">
        <v>0</v>
      </c>
      <c r="G371" s="17" t="s">
        <v>424</v>
      </c>
      <c r="H371" s="17" t="s">
        <v>424</v>
      </c>
      <c r="I371" s="17" t="s">
        <v>318</v>
      </c>
      <c r="J371" s="19">
        <v>44100</v>
      </c>
      <c r="K371" s="16"/>
    </row>
    <row r="372" spans="1:11" x14ac:dyDescent="0.2">
      <c r="A372" s="17" t="str">
        <f t="shared" ref="A372:A424" si="6">B372&amp;D372</f>
        <v>813147204307</v>
      </c>
      <c r="B372" s="20">
        <v>813147</v>
      </c>
      <c r="C372" s="20" t="s">
        <v>189</v>
      </c>
      <c r="D372" s="21">
        <v>204307</v>
      </c>
      <c r="E372" s="17" t="s">
        <v>162</v>
      </c>
      <c r="F372" s="18">
        <v>0</v>
      </c>
      <c r="G372" s="17" t="s">
        <v>424</v>
      </c>
      <c r="H372" s="17" t="s">
        <v>424</v>
      </c>
      <c r="I372" s="17" t="s">
        <v>318</v>
      </c>
      <c r="J372" s="19">
        <v>44104</v>
      </c>
      <c r="K372" s="16"/>
    </row>
    <row r="373" spans="1:11" x14ac:dyDescent="0.2">
      <c r="A373" s="17" t="str">
        <f t="shared" si="6"/>
        <v>813327204307</v>
      </c>
      <c r="B373" s="20">
        <v>813327</v>
      </c>
      <c r="C373" s="20" t="s">
        <v>163</v>
      </c>
      <c r="D373" s="21">
        <v>204307</v>
      </c>
      <c r="E373" s="17" t="s">
        <v>162</v>
      </c>
      <c r="F373" s="18">
        <v>15</v>
      </c>
      <c r="G373" s="17" t="s">
        <v>424</v>
      </c>
      <c r="H373" s="17" t="s">
        <v>424</v>
      </c>
      <c r="I373" s="17" t="s">
        <v>318</v>
      </c>
      <c r="J373" s="19">
        <v>44124</v>
      </c>
      <c r="K373" s="16"/>
    </row>
    <row r="374" spans="1:11" x14ac:dyDescent="0.2">
      <c r="A374" s="17" t="str">
        <f t="shared" si="6"/>
        <v>813602177603</v>
      </c>
      <c r="B374" s="20">
        <v>813602</v>
      </c>
      <c r="C374" s="20" t="s">
        <v>328</v>
      </c>
      <c r="D374" s="21">
        <v>177603</v>
      </c>
      <c r="E374" s="17" t="s">
        <v>329</v>
      </c>
      <c r="F374" s="18">
        <v>0</v>
      </c>
      <c r="G374" s="17" t="s">
        <v>424</v>
      </c>
      <c r="H374" s="17" t="s">
        <v>424</v>
      </c>
      <c r="I374" s="17" t="s">
        <v>318</v>
      </c>
      <c r="J374" s="19">
        <v>44156</v>
      </c>
      <c r="K374" s="16"/>
    </row>
    <row r="375" spans="1:11" x14ac:dyDescent="0.2">
      <c r="A375" s="17" t="str">
        <f t="shared" si="6"/>
        <v>813800144868</v>
      </c>
      <c r="B375" s="20">
        <v>813800</v>
      </c>
      <c r="C375" s="20" t="s">
        <v>311</v>
      </c>
      <c r="D375" s="21">
        <v>144868</v>
      </c>
      <c r="E375" s="17" t="s">
        <v>158</v>
      </c>
      <c r="F375" s="18">
        <v>20</v>
      </c>
      <c r="G375" s="17" t="s">
        <v>424</v>
      </c>
      <c r="H375" s="17" t="s">
        <v>424</v>
      </c>
      <c r="I375" s="17" t="s">
        <v>318</v>
      </c>
      <c r="J375" s="19">
        <v>44175</v>
      </c>
      <c r="K375" s="16"/>
    </row>
    <row r="376" spans="1:11" x14ac:dyDescent="0.2">
      <c r="A376" s="17" t="str">
        <f t="shared" si="6"/>
        <v>813820201172</v>
      </c>
      <c r="B376" s="20">
        <v>813820</v>
      </c>
      <c r="C376" s="20" t="s">
        <v>190</v>
      </c>
      <c r="D376" s="21">
        <v>201172</v>
      </c>
      <c r="E376" s="17" t="s">
        <v>144</v>
      </c>
      <c r="F376" s="18">
        <v>0</v>
      </c>
      <c r="G376" s="17" t="s">
        <v>424</v>
      </c>
      <c r="H376" s="17" t="s">
        <v>424</v>
      </c>
      <c r="I376" s="17" t="s">
        <v>318</v>
      </c>
      <c r="J376" s="19">
        <v>44177</v>
      </c>
      <c r="K376" s="16"/>
    </row>
    <row r="377" spans="1:11" x14ac:dyDescent="0.2">
      <c r="A377" s="17" t="str">
        <f t="shared" si="6"/>
        <v>813897205225</v>
      </c>
      <c r="B377" s="20">
        <v>813897</v>
      </c>
      <c r="C377" s="20" t="s">
        <v>37</v>
      </c>
      <c r="D377" s="21">
        <v>205225</v>
      </c>
      <c r="E377" s="17" t="s">
        <v>26</v>
      </c>
      <c r="F377" s="18">
        <v>0</v>
      </c>
      <c r="G377" s="17" t="s">
        <v>424</v>
      </c>
      <c r="H377" s="17" t="s">
        <v>424</v>
      </c>
      <c r="I377" s="17" t="s">
        <v>318</v>
      </c>
      <c r="J377" s="19">
        <v>44184</v>
      </c>
      <c r="K377" s="16"/>
    </row>
    <row r="378" spans="1:11" x14ac:dyDescent="0.2">
      <c r="A378" s="17" t="str">
        <f t="shared" si="6"/>
        <v>814050206049</v>
      </c>
      <c r="B378" s="20">
        <v>814050</v>
      </c>
      <c r="C378" s="20" t="s">
        <v>224</v>
      </c>
      <c r="D378" s="21">
        <v>206049</v>
      </c>
      <c r="E378" s="17" t="s">
        <v>199</v>
      </c>
      <c r="F378" s="18">
        <v>0</v>
      </c>
      <c r="G378" s="17" t="s">
        <v>424</v>
      </c>
      <c r="H378" s="17" t="s">
        <v>424</v>
      </c>
      <c r="I378" s="17" t="s">
        <v>318</v>
      </c>
      <c r="J378" s="19">
        <v>44196</v>
      </c>
      <c r="K378" s="16"/>
    </row>
    <row r="379" spans="1:11" x14ac:dyDescent="0.2">
      <c r="A379" s="17" t="str">
        <f t="shared" si="6"/>
        <v>814290119261</v>
      </c>
      <c r="B379" s="20">
        <v>814290</v>
      </c>
      <c r="C379" s="20" t="s">
        <v>216</v>
      </c>
      <c r="D379" s="21">
        <v>119261</v>
      </c>
      <c r="E379" s="17" t="s">
        <v>140</v>
      </c>
      <c r="F379" s="18">
        <v>35</v>
      </c>
      <c r="G379" s="17" t="s">
        <v>424</v>
      </c>
      <c r="H379" s="17" t="s">
        <v>424</v>
      </c>
      <c r="I379" s="17" t="s">
        <v>318</v>
      </c>
      <c r="J379" s="19">
        <v>44223</v>
      </c>
      <c r="K379" s="16"/>
    </row>
    <row r="380" spans="1:11" x14ac:dyDescent="0.2">
      <c r="A380" s="17" t="str">
        <f t="shared" si="6"/>
        <v>814503177957</v>
      </c>
      <c r="B380" s="20">
        <v>814503</v>
      </c>
      <c r="C380" s="20" t="s">
        <v>198</v>
      </c>
      <c r="D380" s="21">
        <v>177957</v>
      </c>
      <c r="E380" s="17" t="s">
        <v>197</v>
      </c>
      <c r="F380" s="18">
        <v>0</v>
      </c>
      <c r="G380" s="17" t="s">
        <v>424</v>
      </c>
      <c r="H380" s="17" t="s">
        <v>424</v>
      </c>
      <c r="I380" s="17" t="s">
        <v>318</v>
      </c>
      <c r="J380" s="19">
        <v>44243</v>
      </c>
      <c r="K380" s="16"/>
    </row>
    <row r="381" spans="1:11" x14ac:dyDescent="0.2">
      <c r="A381" s="17" t="str">
        <f t="shared" si="6"/>
        <v>814521143416</v>
      </c>
      <c r="B381" s="20">
        <v>814521</v>
      </c>
      <c r="C381" s="20" t="s">
        <v>240</v>
      </c>
      <c r="D381" s="21">
        <v>143416</v>
      </c>
      <c r="E381" s="17" t="s">
        <v>225</v>
      </c>
      <c r="F381" s="18">
        <v>18.75</v>
      </c>
      <c r="G381" s="17" t="s">
        <v>424</v>
      </c>
      <c r="H381" s="17" t="s">
        <v>424</v>
      </c>
      <c r="I381" s="17" t="s">
        <v>318</v>
      </c>
      <c r="J381" s="19">
        <v>44245</v>
      </c>
      <c r="K381" s="16"/>
    </row>
    <row r="382" spans="1:11" x14ac:dyDescent="0.2">
      <c r="A382" s="17" t="str">
        <f t="shared" si="6"/>
        <v>814602206933</v>
      </c>
      <c r="B382" s="20">
        <v>814602</v>
      </c>
      <c r="C382" s="20" t="s">
        <v>181</v>
      </c>
      <c r="D382" s="21">
        <v>206933</v>
      </c>
      <c r="E382" s="17" t="s">
        <v>180</v>
      </c>
      <c r="F382" s="18">
        <v>8</v>
      </c>
      <c r="G382" s="17" t="s">
        <v>424</v>
      </c>
      <c r="H382" s="17" t="s">
        <v>424</v>
      </c>
      <c r="I382" s="17" t="s">
        <v>318</v>
      </c>
      <c r="J382" s="19">
        <v>44252</v>
      </c>
      <c r="K382" s="16"/>
    </row>
    <row r="383" spans="1:11" x14ac:dyDescent="0.2">
      <c r="A383" s="17" t="str">
        <f t="shared" si="6"/>
        <v>814651141146</v>
      </c>
      <c r="B383" s="20">
        <v>814651</v>
      </c>
      <c r="C383" s="20" t="s">
        <v>161</v>
      </c>
      <c r="D383" s="21">
        <v>141146</v>
      </c>
      <c r="E383" s="17" t="s">
        <v>160</v>
      </c>
      <c r="F383" s="18">
        <v>0</v>
      </c>
      <c r="G383" s="17" t="s">
        <v>424</v>
      </c>
      <c r="H383" s="17" t="s">
        <v>424</v>
      </c>
      <c r="I383" s="17" t="s">
        <v>318</v>
      </c>
      <c r="J383" s="19">
        <v>44253</v>
      </c>
      <c r="K383" s="16"/>
    </row>
    <row r="384" spans="1:11" x14ac:dyDescent="0.2">
      <c r="A384" s="17" t="str">
        <f t="shared" si="6"/>
        <v>814935206807</v>
      </c>
      <c r="B384" s="20">
        <v>814935</v>
      </c>
      <c r="C384" s="20" t="s">
        <v>252</v>
      </c>
      <c r="D384" s="17">
        <v>206807</v>
      </c>
      <c r="E384" s="17" t="s">
        <v>397</v>
      </c>
      <c r="F384" s="18">
        <v>0</v>
      </c>
      <c r="G384" s="17" t="s">
        <v>424</v>
      </c>
      <c r="H384" s="17" t="s">
        <v>424</v>
      </c>
      <c r="I384" s="17" t="s">
        <v>318</v>
      </c>
      <c r="J384" s="19">
        <v>44298</v>
      </c>
      <c r="K384" s="16"/>
    </row>
    <row r="385" spans="1:11" x14ac:dyDescent="0.2">
      <c r="A385" s="17" t="str">
        <f t="shared" si="6"/>
        <v>814942172150</v>
      </c>
      <c r="B385" s="20">
        <v>814942</v>
      </c>
      <c r="C385" s="20" t="s">
        <v>293</v>
      </c>
      <c r="D385" s="21">
        <v>172150</v>
      </c>
      <c r="E385" s="17" t="s">
        <v>148</v>
      </c>
      <c r="F385" s="18">
        <v>10</v>
      </c>
      <c r="G385" s="17" t="s">
        <v>424</v>
      </c>
      <c r="H385" s="17" t="s">
        <v>424</v>
      </c>
      <c r="I385" s="17" t="s">
        <v>318</v>
      </c>
      <c r="J385" s="19">
        <v>44300</v>
      </c>
      <c r="K385" s="16"/>
    </row>
    <row r="386" spans="1:11" x14ac:dyDescent="0.2">
      <c r="A386" s="17" t="str">
        <f t="shared" si="6"/>
        <v>815393205225</v>
      </c>
      <c r="B386" s="20">
        <v>815393</v>
      </c>
      <c r="C386" s="20" t="s">
        <v>353</v>
      </c>
      <c r="D386" s="17">
        <v>205225</v>
      </c>
      <c r="E386" s="17" t="s">
        <v>26</v>
      </c>
      <c r="F386" s="18">
        <v>28.95</v>
      </c>
      <c r="G386" s="17" t="s">
        <v>424</v>
      </c>
      <c r="H386" s="17" t="s">
        <v>424</v>
      </c>
      <c r="I386" s="17" t="s">
        <v>318</v>
      </c>
      <c r="J386" s="19">
        <v>44380</v>
      </c>
      <c r="K386" s="16"/>
    </row>
    <row r="387" spans="1:11" x14ac:dyDescent="0.2">
      <c r="A387" s="17" t="str">
        <f t="shared" si="6"/>
        <v>815401204307</v>
      </c>
      <c r="B387" s="20">
        <v>815401</v>
      </c>
      <c r="C387" s="20" t="s">
        <v>343</v>
      </c>
      <c r="D387" s="17">
        <v>204307</v>
      </c>
      <c r="E387" s="17" t="s">
        <v>162</v>
      </c>
      <c r="F387" s="18">
        <v>0</v>
      </c>
      <c r="G387" s="17" t="s">
        <v>424</v>
      </c>
      <c r="H387" s="17" t="s">
        <v>424</v>
      </c>
      <c r="I387" s="17" t="s">
        <v>318</v>
      </c>
      <c r="J387" s="19">
        <v>44382</v>
      </c>
      <c r="K387" s="16"/>
    </row>
    <row r="388" spans="1:11" x14ac:dyDescent="0.2">
      <c r="A388" s="17" t="str">
        <f t="shared" si="6"/>
        <v>815502208268</v>
      </c>
      <c r="B388" s="20">
        <v>815502</v>
      </c>
      <c r="C388" s="20" t="s">
        <v>351</v>
      </c>
      <c r="D388" s="17">
        <v>208268</v>
      </c>
      <c r="E388" s="17" t="s">
        <v>352</v>
      </c>
      <c r="F388" s="18">
        <v>0</v>
      </c>
      <c r="G388" s="17" t="s">
        <v>424</v>
      </c>
      <c r="H388" s="17" t="s">
        <v>424</v>
      </c>
      <c r="I388" s="17" t="s">
        <v>318</v>
      </c>
      <c r="J388" s="19">
        <v>44390</v>
      </c>
      <c r="K388" s="16"/>
    </row>
    <row r="389" spans="1:11" x14ac:dyDescent="0.2">
      <c r="A389" s="17" t="str">
        <f t="shared" si="6"/>
        <v>815594206049</v>
      </c>
      <c r="B389" s="20">
        <v>815594</v>
      </c>
      <c r="C389" s="20" t="s">
        <v>355</v>
      </c>
      <c r="D389" s="17">
        <v>206049</v>
      </c>
      <c r="E389" s="17" t="s">
        <v>199</v>
      </c>
      <c r="F389" s="18">
        <v>0</v>
      </c>
      <c r="G389" s="17" t="s">
        <v>424</v>
      </c>
      <c r="H389" s="17" t="s">
        <v>424</v>
      </c>
      <c r="I389" s="17" t="s">
        <v>318</v>
      </c>
      <c r="J389" s="19">
        <v>44399</v>
      </c>
      <c r="K389" s="16"/>
    </row>
    <row r="390" spans="1:11" x14ac:dyDescent="0.2">
      <c r="A390" s="17" t="str">
        <f t="shared" si="6"/>
        <v>815595208184</v>
      </c>
      <c r="B390" s="20">
        <v>815595</v>
      </c>
      <c r="C390" s="20" t="s">
        <v>342</v>
      </c>
      <c r="D390" s="17">
        <v>208184</v>
      </c>
      <c r="E390" s="17" t="s">
        <v>356</v>
      </c>
      <c r="F390" s="18">
        <v>7.5</v>
      </c>
      <c r="G390" s="17" t="s">
        <v>424</v>
      </c>
      <c r="H390" s="17" t="s">
        <v>424</v>
      </c>
      <c r="I390" s="17" t="s">
        <v>318</v>
      </c>
      <c r="J390" s="19">
        <v>44399</v>
      </c>
      <c r="K390" s="16"/>
    </row>
    <row r="391" spans="1:11" x14ac:dyDescent="0.2">
      <c r="A391" s="17" t="str">
        <f t="shared" si="6"/>
        <v>815646119261</v>
      </c>
      <c r="B391" s="20">
        <v>815646</v>
      </c>
      <c r="C391" s="20" t="s">
        <v>64</v>
      </c>
      <c r="D391" s="17">
        <v>119261</v>
      </c>
      <c r="E391" s="17" t="s">
        <v>140</v>
      </c>
      <c r="F391" s="18">
        <v>50</v>
      </c>
      <c r="G391" s="17" t="s">
        <v>424</v>
      </c>
      <c r="H391" s="17" t="s">
        <v>424</v>
      </c>
      <c r="I391" s="17" t="s">
        <v>318</v>
      </c>
      <c r="J391" s="19">
        <v>44403</v>
      </c>
      <c r="K391" s="16"/>
    </row>
    <row r="392" spans="1:11" x14ac:dyDescent="0.2">
      <c r="A392" s="17" t="str">
        <f t="shared" si="6"/>
        <v>815647119261</v>
      </c>
      <c r="B392" s="20">
        <v>815647</v>
      </c>
      <c r="C392" s="20" t="s">
        <v>373</v>
      </c>
      <c r="D392" s="17">
        <v>119261</v>
      </c>
      <c r="E392" s="17" t="s">
        <v>140</v>
      </c>
      <c r="F392" s="18">
        <v>10</v>
      </c>
      <c r="G392" s="17" t="s">
        <v>424</v>
      </c>
      <c r="H392" s="17" t="s">
        <v>424</v>
      </c>
      <c r="I392" s="17" t="s">
        <v>318</v>
      </c>
      <c r="J392" s="19">
        <v>44403</v>
      </c>
      <c r="K392" s="16"/>
    </row>
    <row r="393" spans="1:11" x14ac:dyDescent="0.2">
      <c r="A393" s="17" t="str">
        <f t="shared" si="6"/>
        <v>815658119261</v>
      </c>
      <c r="B393" s="20">
        <v>815658</v>
      </c>
      <c r="C393" s="20" t="s">
        <v>374</v>
      </c>
      <c r="D393" s="17">
        <v>119261</v>
      </c>
      <c r="E393" s="17" t="s">
        <v>140</v>
      </c>
      <c r="F393" s="18">
        <v>0</v>
      </c>
      <c r="G393" s="17" t="s">
        <v>424</v>
      </c>
      <c r="H393" s="17" t="s">
        <v>424</v>
      </c>
      <c r="I393" s="17" t="s">
        <v>318</v>
      </c>
      <c r="J393" s="19">
        <v>44403</v>
      </c>
      <c r="K393" s="16"/>
    </row>
    <row r="394" spans="1:11" x14ac:dyDescent="0.2">
      <c r="A394" s="17" t="str">
        <f t="shared" si="6"/>
        <v>815672119261</v>
      </c>
      <c r="B394" s="20">
        <v>815672</v>
      </c>
      <c r="C394" s="20" t="s">
        <v>375</v>
      </c>
      <c r="D394" s="17">
        <v>119261</v>
      </c>
      <c r="E394" s="17" t="s">
        <v>140</v>
      </c>
      <c r="F394" s="18">
        <v>4</v>
      </c>
      <c r="G394" s="17" t="s">
        <v>424</v>
      </c>
      <c r="H394" s="17" t="s">
        <v>424</v>
      </c>
      <c r="I394" s="17" t="s">
        <v>318</v>
      </c>
      <c r="J394" s="19">
        <v>44404</v>
      </c>
      <c r="K394" s="16"/>
    </row>
    <row r="395" spans="1:11" x14ac:dyDescent="0.2">
      <c r="A395" s="17" t="str">
        <f t="shared" si="6"/>
        <v>816116206049</v>
      </c>
      <c r="B395" s="20">
        <v>816116</v>
      </c>
      <c r="C395" s="20" t="s">
        <v>387</v>
      </c>
      <c r="D395" s="17">
        <v>206049</v>
      </c>
      <c r="E395" s="17" t="s">
        <v>199</v>
      </c>
      <c r="F395" s="18">
        <v>0</v>
      </c>
      <c r="G395" s="17" t="s">
        <v>424</v>
      </c>
      <c r="H395" s="17" t="s">
        <v>424</v>
      </c>
      <c r="I395" s="17" t="s">
        <v>318</v>
      </c>
      <c r="J395" s="19">
        <v>44433</v>
      </c>
      <c r="K395" s="16"/>
    </row>
    <row r="396" spans="1:11" x14ac:dyDescent="0.2">
      <c r="A396" s="17" t="str">
        <f t="shared" si="6"/>
        <v>816253201172</v>
      </c>
      <c r="B396" s="20">
        <v>816253</v>
      </c>
      <c r="C396" s="20" t="s">
        <v>398</v>
      </c>
      <c r="D396" s="17">
        <v>201172</v>
      </c>
      <c r="E396" s="17" t="s">
        <v>144</v>
      </c>
      <c r="F396" s="18">
        <v>0</v>
      </c>
      <c r="G396" s="17" t="s">
        <v>424</v>
      </c>
      <c r="H396" s="17" t="s">
        <v>424</v>
      </c>
      <c r="I396" s="17" t="s">
        <v>318</v>
      </c>
      <c r="J396" s="19">
        <v>44442</v>
      </c>
      <c r="K396" s="16"/>
    </row>
    <row r="397" spans="1:11" x14ac:dyDescent="0.2">
      <c r="A397" s="17" t="str">
        <f t="shared" si="6"/>
        <v>816314179911</v>
      </c>
      <c r="B397" s="20">
        <v>816314</v>
      </c>
      <c r="C397" s="20" t="s">
        <v>391</v>
      </c>
      <c r="D397" s="17">
        <v>179911</v>
      </c>
      <c r="E397" s="17" t="s">
        <v>156</v>
      </c>
      <c r="F397" s="18">
        <v>0</v>
      </c>
      <c r="G397" s="17" t="s">
        <v>424</v>
      </c>
      <c r="H397" s="17" t="s">
        <v>424</v>
      </c>
      <c r="I397" s="17" t="s">
        <v>318</v>
      </c>
      <c r="J397" s="19">
        <v>44450</v>
      </c>
      <c r="K397" s="16"/>
    </row>
    <row r="398" spans="1:11" x14ac:dyDescent="0.2">
      <c r="A398" s="17" t="str">
        <f t="shared" si="6"/>
        <v>816351145135</v>
      </c>
      <c r="B398" s="20">
        <v>816351</v>
      </c>
      <c r="C398" s="20" t="s">
        <v>394</v>
      </c>
      <c r="D398" s="17">
        <v>145135</v>
      </c>
      <c r="E398" s="17" t="s">
        <v>395</v>
      </c>
      <c r="F398" s="18">
        <v>66.7</v>
      </c>
      <c r="G398" s="17" t="s">
        <v>424</v>
      </c>
      <c r="H398" s="17" t="s">
        <v>424</v>
      </c>
      <c r="I398" s="17" t="s">
        <v>318</v>
      </c>
      <c r="J398" s="19">
        <v>44455</v>
      </c>
      <c r="K398" s="16"/>
    </row>
    <row r="399" spans="1:11" x14ac:dyDescent="0.2">
      <c r="A399" s="17" t="str">
        <f t="shared" si="6"/>
        <v>816529204307</v>
      </c>
      <c r="B399" s="20">
        <v>816529</v>
      </c>
      <c r="C399" s="20" t="s">
        <v>426</v>
      </c>
      <c r="D399" s="17">
        <v>204307</v>
      </c>
      <c r="E399" s="17" t="s">
        <v>162</v>
      </c>
      <c r="F399" s="18">
        <v>0</v>
      </c>
      <c r="G399" s="17" t="s">
        <v>424</v>
      </c>
      <c r="H399" s="17" t="s">
        <v>424</v>
      </c>
      <c r="I399" s="17" t="s">
        <v>318</v>
      </c>
      <c r="J399" s="19">
        <v>44466</v>
      </c>
      <c r="K399" s="16"/>
    </row>
    <row r="400" spans="1:11" x14ac:dyDescent="0.2">
      <c r="A400" s="17" t="str">
        <f t="shared" si="6"/>
        <v>816685201172</v>
      </c>
      <c r="B400" s="20">
        <v>816685</v>
      </c>
      <c r="C400" s="20" t="s">
        <v>410</v>
      </c>
      <c r="D400" s="17">
        <v>201172</v>
      </c>
      <c r="E400" s="17" t="s">
        <v>144</v>
      </c>
      <c r="F400" s="18">
        <v>47.75</v>
      </c>
      <c r="G400" s="17" t="s">
        <v>424</v>
      </c>
      <c r="H400" s="17" t="s">
        <v>424</v>
      </c>
      <c r="I400" s="17" t="s">
        <v>318</v>
      </c>
      <c r="J400" s="19">
        <v>44478</v>
      </c>
      <c r="K400" s="16"/>
    </row>
    <row r="401" spans="1:11" x14ac:dyDescent="0.2">
      <c r="A401" s="17" t="str">
        <f t="shared" si="6"/>
        <v>816905204307</v>
      </c>
      <c r="B401" s="20">
        <v>816905</v>
      </c>
      <c r="C401" s="20" t="s">
        <v>417</v>
      </c>
      <c r="D401" s="17">
        <v>204307</v>
      </c>
      <c r="E401" s="17" t="s">
        <v>162</v>
      </c>
      <c r="F401" s="18">
        <v>0</v>
      </c>
      <c r="G401" s="17" t="s">
        <v>424</v>
      </c>
      <c r="H401" s="17" t="s">
        <v>424</v>
      </c>
      <c r="I401" s="17" t="s">
        <v>318</v>
      </c>
      <c r="J401" s="19">
        <v>44499</v>
      </c>
      <c r="K401" s="16"/>
    </row>
    <row r="402" spans="1:11" x14ac:dyDescent="0.2">
      <c r="A402" s="17" t="str">
        <f t="shared" si="6"/>
        <v>817029208976</v>
      </c>
      <c r="B402" s="20">
        <v>817029</v>
      </c>
      <c r="C402" s="20" t="s">
        <v>419</v>
      </c>
      <c r="D402" s="17">
        <v>208976</v>
      </c>
      <c r="E402" s="17" t="s">
        <v>420</v>
      </c>
      <c r="F402" s="18">
        <v>0</v>
      </c>
      <c r="G402" s="17" t="s">
        <v>424</v>
      </c>
      <c r="H402" s="17" t="s">
        <v>424</v>
      </c>
      <c r="I402" s="17" t="s">
        <v>318</v>
      </c>
      <c r="J402" s="19">
        <v>44516</v>
      </c>
      <c r="K402" s="16"/>
    </row>
    <row r="403" spans="1:11" x14ac:dyDescent="0.2">
      <c r="A403" s="17" t="str">
        <f t="shared" si="6"/>
        <v>817031208268</v>
      </c>
      <c r="B403" s="20">
        <v>817031</v>
      </c>
      <c r="C403" s="20" t="s">
        <v>427</v>
      </c>
      <c r="D403" s="17">
        <v>208268</v>
      </c>
      <c r="E403" s="17" t="s">
        <v>352</v>
      </c>
      <c r="F403" s="18">
        <v>0</v>
      </c>
      <c r="G403" s="17" t="s">
        <v>424</v>
      </c>
      <c r="H403" s="17" t="s">
        <v>424</v>
      </c>
      <c r="I403" s="17" t="s">
        <v>318</v>
      </c>
      <c r="J403" s="19">
        <v>44516</v>
      </c>
      <c r="K403" s="16"/>
    </row>
    <row r="404" spans="1:11" x14ac:dyDescent="0.2">
      <c r="A404" s="17" t="str">
        <f t="shared" si="6"/>
        <v>817031212409</v>
      </c>
      <c r="B404" s="22">
        <v>817031</v>
      </c>
      <c r="C404" s="22" t="s">
        <v>427</v>
      </c>
      <c r="D404" s="29">
        <v>212409</v>
      </c>
      <c r="E404" s="16" t="s">
        <v>527</v>
      </c>
      <c r="F404" s="18">
        <v>5</v>
      </c>
      <c r="G404" s="16" t="s">
        <v>424</v>
      </c>
      <c r="H404" s="16" t="s">
        <v>424</v>
      </c>
      <c r="I404" s="16" t="s">
        <v>318</v>
      </c>
      <c r="J404" s="19">
        <v>44516</v>
      </c>
      <c r="K404" s="16"/>
    </row>
    <row r="405" spans="1:11" x14ac:dyDescent="0.2">
      <c r="A405" s="17" t="str">
        <f t="shared" si="6"/>
        <v>817032206049</v>
      </c>
      <c r="B405" s="20">
        <v>817032</v>
      </c>
      <c r="C405" s="20" t="s">
        <v>422</v>
      </c>
      <c r="D405" s="17">
        <v>206049</v>
      </c>
      <c r="E405" s="17" t="s">
        <v>199</v>
      </c>
      <c r="F405" s="18">
        <v>0</v>
      </c>
      <c r="G405" s="17" t="s">
        <v>424</v>
      </c>
      <c r="H405" s="17" t="s">
        <v>424</v>
      </c>
      <c r="I405" s="17" t="s">
        <v>318</v>
      </c>
      <c r="J405" s="19">
        <v>44516</v>
      </c>
      <c r="K405" s="16"/>
    </row>
    <row r="406" spans="1:11" x14ac:dyDescent="0.2">
      <c r="A406" s="17" t="str">
        <f t="shared" si="6"/>
        <v>817052206049</v>
      </c>
      <c r="B406" s="20">
        <v>817052</v>
      </c>
      <c r="C406" s="20" t="s">
        <v>428</v>
      </c>
      <c r="D406" s="17">
        <v>206049</v>
      </c>
      <c r="E406" s="17" t="s">
        <v>199</v>
      </c>
      <c r="F406" s="18">
        <v>65</v>
      </c>
      <c r="G406" s="17" t="s">
        <v>424</v>
      </c>
      <c r="H406" s="17" t="s">
        <v>424</v>
      </c>
      <c r="I406" s="17" t="s">
        <v>318</v>
      </c>
      <c r="J406" s="19">
        <v>44518</v>
      </c>
      <c r="K406" s="16"/>
    </row>
    <row r="407" spans="1:11" x14ac:dyDescent="0.2">
      <c r="A407" s="17" t="str">
        <f t="shared" si="6"/>
        <v>817053208268</v>
      </c>
      <c r="B407" s="20">
        <v>817053</v>
      </c>
      <c r="C407" s="20" t="s">
        <v>434</v>
      </c>
      <c r="D407" s="17">
        <v>208268</v>
      </c>
      <c r="E407" s="17" t="s">
        <v>352</v>
      </c>
      <c r="F407" s="18">
        <v>5</v>
      </c>
      <c r="G407" s="17" t="s">
        <v>424</v>
      </c>
      <c r="H407" s="17" t="s">
        <v>424</v>
      </c>
      <c r="I407" s="17" t="s">
        <v>318</v>
      </c>
      <c r="J407" s="19">
        <v>44518</v>
      </c>
      <c r="K407" s="16"/>
    </row>
    <row r="408" spans="1:11" x14ac:dyDescent="0.2">
      <c r="A408" s="17" t="str">
        <f t="shared" si="6"/>
        <v>817127206049</v>
      </c>
      <c r="B408" s="20">
        <v>817127</v>
      </c>
      <c r="C408" s="20" t="s">
        <v>452</v>
      </c>
      <c r="D408" s="17">
        <v>206049</v>
      </c>
      <c r="E408" s="17" t="s">
        <v>199</v>
      </c>
      <c r="F408" s="18">
        <v>0</v>
      </c>
      <c r="G408" s="17" t="s">
        <v>424</v>
      </c>
      <c r="H408" s="17" t="s">
        <v>424</v>
      </c>
      <c r="I408" s="17" t="s">
        <v>318</v>
      </c>
      <c r="J408" s="19">
        <v>44525</v>
      </c>
      <c r="K408" s="16"/>
    </row>
    <row r="409" spans="1:11" x14ac:dyDescent="0.2">
      <c r="A409" s="17" t="str">
        <f t="shared" si="6"/>
        <v>817136205225</v>
      </c>
      <c r="B409" s="20">
        <v>817136</v>
      </c>
      <c r="C409" s="20" t="s">
        <v>430</v>
      </c>
      <c r="D409" s="17">
        <v>205225</v>
      </c>
      <c r="E409" s="17" t="s">
        <v>26</v>
      </c>
      <c r="F409" s="18">
        <v>61.35</v>
      </c>
      <c r="G409" s="17" t="s">
        <v>424</v>
      </c>
      <c r="H409" s="17" t="s">
        <v>424</v>
      </c>
      <c r="I409" s="17" t="s">
        <v>318</v>
      </c>
      <c r="J409" s="19">
        <v>44526</v>
      </c>
      <c r="K409" s="16"/>
    </row>
    <row r="410" spans="1:11" x14ac:dyDescent="0.2">
      <c r="A410" s="17" t="str">
        <f t="shared" si="6"/>
        <v>817152144868</v>
      </c>
      <c r="B410" s="20">
        <v>817152</v>
      </c>
      <c r="C410" s="20" t="s">
        <v>435</v>
      </c>
      <c r="D410" s="17">
        <v>144868</v>
      </c>
      <c r="E410" s="17" t="s">
        <v>158</v>
      </c>
      <c r="F410" s="18">
        <v>0</v>
      </c>
      <c r="G410" s="17" t="s">
        <v>424</v>
      </c>
      <c r="H410" s="17" t="s">
        <v>424</v>
      </c>
      <c r="I410" s="17" t="s">
        <v>318</v>
      </c>
      <c r="J410" s="19">
        <v>44527</v>
      </c>
      <c r="K410" s="16"/>
    </row>
    <row r="411" spans="1:11" x14ac:dyDescent="0.2">
      <c r="A411" s="17" t="str">
        <f t="shared" si="6"/>
        <v>817153119261</v>
      </c>
      <c r="B411" s="20">
        <v>817153</v>
      </c>
      <c r="C411" s="20" t="s">
        <v>436</v>
      </c>
      <c r="D411" s="17">
        <v>119261</v>
      </c>
      <c r="E411" s="17" t="s">
        <v>140</v>
      </c>
      <c r="F411" s="18">
        <v>0</v>
      </c>
      <c r="G411" s="17" t="s">
        <v>424</v>
      </c>
      <c r="H411" s="17" t="s">
        <v>424</v>
      </c>
      <c r="I411" s="17" t="s">
        <v>318</v>
      </c>
      <c r="J411" s="19">
        <v>44527</v>
      </c>
      <c r="K411" s="16"/>
    </row>
    <row r="412" spans="1:11" x14ac:dyDescent="0.2">
      <c r="A412" s="17" t="str">
        <f t="shared" si="6"/>
        <v>817189119261</v>
      </c>
      <c r="B412" s="20">
        <v>817189</v>
      </c>
      <c r="C412" s="20" t="s">
        <v>438</v>
      </c>
      <c r="D412" s="17">
        <v>119261</v>
      </c>
      <c r="E412" s="17" t="s">
        <v>140</v>
      </c>
      <c r="F412" s="18">
        <v>0</v>
      </c>
      <c r="G412" s="17" t="s">
        <v>424</v>
      </c>
      <c r="H412" s="17" t="s">
        <v>424</v>
      </c>
      <c r="I412" s="17" t="s">
        <v>318</v>
      </c>
      <c r="J412" s="19">
        <v>44532</v>
      </c>
      <c r="K412" s="16"/>
    </row>
    <row r="413" spans="1:11" x14ac:dyDescent="0.2">
      <c r="A413" s="17" t="str">
        <f t="shared" si="6"/>
        <v>817320178105</v>
      </c>
      <c r="B413" s="20">
        <v>817320</v>
      </c>
      <c r="C413" s="20" t="s">
        <v>440</v>
      </c>
      <c r="D413" s="17">
        <v>178105</v>
      </c>
      <c r="E413" s="17" t="s">
        <v>66</v>
      </c>
      <c r="F413" s="18">
        <v>20</v>
      </c>
      <c r="G413" s="17" t="s">
        <v>424</v>
      </c>
      <c r="H413" s="17" t="s">
        <v>424</v>
      </c>
      <c r="I413" s="17" t="s">
        <v>318</v>
      </c>
      <c r="J413" s="19">
        <v>44545</v>
      </c>
      <c r="K413" s="16"/>
    </row>
    <row r="414" spans="1:11" x14ac:dyDescent="0.2">
      <c r="A414" s="17" t="str">
        <f t="shared" si="6"/>
        <v>817377178105</v>
      </c>
      <c r="B414" s="20">
        <v>817377</v>
      </c>
      <c r="C414" s="20" t="s">
        <v>161</v>
      </c>
      <c r="D414" s="17">
        <v>178105</v>
      </c>
      <c r="E414" s="17" t="s">
        <v>66</v>
      </c>
      <c r="F414" s="18">
        <v>10</v>
      </c>
      <c r="G414" s="17" t="s">
        <v>424</v>
      </c>
      <c r="H414" s="17" t="s">
        <v>424</v>
      </c>
      <c r="I414" s="17" t="s">
        <v>318</v>
      </c>
      <c r="J414" s="19">
        <v>44550</v>
      </c>
      <c r="K414" s="16"/>
    </row>
    <row r="415" spans="1:11" x14ac:dyDescent="0.2">
      <c r="A415" s="17" t="str">
        <f t="shared" si="6"/>
        <v>817382119065</v>
      </c>
      <c r="B415" s="20">
        <v>817382</v>
      </c>
      <c r="C415" s="20" t="s">
        <v>443</v>
      </c>
      <c r="D415" s="17">
        <v>119065</v>
      </c>
      <c r="E415" s="17" t="s">
        <v>382</v>
      </c>
      <c r="F415" s="18">
        <v>5</v>
      </c>
      <c r="G415" s="17" t="s">
        <v>424</v>
      </c>
      <c r="H415" s="17" t="s">
        <v>424</v>
      </c>
      <c r="I415" s="17" t="s">
        <v>318</v>
      </c>
      <c r="J415" s="19">
        <v>44550</v>
      </c>
      <c r="K415" s="16"/>
    </row>
    <row r="416" spans="1:11" x14ac:dyDescent="0.2">
      <c r="A416" s="17" t="str">
        <f t="shared" si="6"/>
        <v>817386179911</v>
      </c>
      <c r="B416" s="20">
        <v>817386</v>
      </c>
      <c r="C416" s="20" t="s">
        <v>444</v>
      </c>
      <c r="D416" s="17">
        <v>179911</v>
      </c>
      <c r="E416" s="17" t="s">
        <v>156</v>
      </c>
      <c r="F416" s="18">
        <v>0</v>
      </c>
      <c r="G416" s="17" t="s">
        <v>424</v>
      </c>
      <c r="H416" s="17" t="s">
        <v>424</v>
      </c>
      <c r="I416" s="17" t="s">
        <v>318</v>
      </c>
      <c r="J416" s="19">
        <v>44550</v>
      </c>
      <c r="K416" s="16"/>
    </row>
    <row r="417" spans="1:11" x14ac:dyDescent="0.2">
      <c r="A417" s="17" t="str">
        <f t="shared" si="6"/>
        <v>817417119261</v>
      </c>
      <c r="B417" s="20">
        <v>817417</v>
      </c>
      <c r="C417" s="20" t="s">
        <v>445</v>
      </c>
      <c r="D417" s="17">
        <v>119261</v>
      </c>
      <c r="E417" s="17" t="s">
        <v>140</v>
      </c>
      <c r="F417" s="18">
        <v>0</v>
      </c>
      <c r="G417" s="17" t="s">
        <v>424</v>
      </c>
      <c r="H417" s="17" t="s">
        <v>424</v>
      </c>
      <c r="I417" s="17" t="s">
        <v>318</v>
      </c>
      <c r="J417" s="19">
        <v>44552</v>
      </c>
      <c r="K417" s="16"/>
    </row>
    <row r="418" spans="1:11" x14ac:dyDescent="0.2">
      <c r="A418" s="17" t="str">
        <f t="shared" si="6"/>
        <v>817514119261</v>
      </c>
      <c r="B418" s="20">
        <v>817514</v>
      </c>
      <c r="C418" s="20" t="s">
        <v>257</v>
      </c>
      <c r="D418" s="17">
        <v>119261</v>
      </c>
      <c r="E418" s="17" t="s">
        <v>140</v>
      </c>
      <c r="F418" s="18">
        <v>0</v>
      </c>
      <c r="G418" s="17" t="s">
        <v>424</v>
      </c>
      <c r="H418" s="17" t="s">
        <v>424</v>
      </c>
      <c r="I418" s="17" t="s">
        <v>318</v>
      </c>
      <c r="J418" s="19">
        <v>44558</v>
      </c>
      <c r="K418" s="16"/>
    </row>
    <row r="419" spans="1:11" x14ac:dyDescent="0.2">
      <c r="A419" s="17" t="str">
        <f t="shared" si="6"/>
        <v>817543210123</v>
      </c>
      <c r="B419" s="20">
        <v>817543</v>
      </c>
      <c r="C419" s="20" t="s">
        <v>446</v>
      </c>
      <c r="D419" s="17">
        <v>210123</v>
      </c>
      <c r="E419" s="17" t="s">
        <v>73</v>
      </c>
      <c r="F419" s="18">
        <v>0</v>
      </c>
      <c r="G419" s="17" t="s">
        <v>424</v>
      </c>
      <c r="H419" s="17" t="s">
        <v>424</v>
      </c>
      <c r="I419" s="17" t="s">
        <v>318</v>
      </c>
      <c r="J419" s="19">
        <v>44560</v>
      </c>
      <c r="K419" s="16"/>
    </row>
    <row r="420" spans="1:11" x14ac:dyDescent="0.2">
      <c r="A420" s="17" t="str">
        <f t="shared" si="6"/>
        <v>817591119261</v>
      </c>
      <c r="B420" s="20">
        <v>817591</v>
      </c>
      <c r="C420" s="20" t="s">
        <v>448</v>
      </c>
      <c r="D420" s="17">
        <v>119261</v>
      </c>
      <c r="E420" s="17" t="s">
        <v>140</v>
      </c>
      <c r="F420" s="18">
        <v>0</v>
      </c>
      <c r="G420" s="17" t="s">
        <v>424</v>
      </c>
      <c r="H420" s="17" t="s">
        <v>424</v>
      </c>
      <c r="I420" s="17" t="s">
        <v>318</v>
      </c>
      <c r="J420" s="19">
        <v>44565</v>
      </c>
      <c r="K420" s="16"/>
    </row>
    <row r="421" spans="1:11" x14ac:dyDescent="0.2">
      <c r="A421" s="17" t="str">
        <f t="shared" si="6"/>
        <v>817742125022</v>
      </c>
      <c r="B421" s="20">
        <v>817742</v>
      </c>
      <c r="C421" s="20" t="s">
        <v>461</v>
      </c>
      <c r="D421" s="17">
        <v>125022</v>
      </c>
      <c r="E421" s="17" t="s">
        <v>195</v>
      </c>
      <c r="F421" s="18">
        <v>74.150000000000006</v>
      </c>
      <c r="G421" s="17" t="s">
        <v>424</v>
      </c>
      <c r="H421" s="17" t="s">
        <v>424</v>
      </c>
      <c r="I421" s="17" t="s">
        <v>318</v>
      </c>
      <c r="J421" s="19">
        <v>44580</v>
      </c>
      <c r="K421" s="16"/>
    </row>
    <row r="422" spans="1:11" x14ac:dyDescent="0.2">
      <c r="A422" s="17" t="str">
        <f t="shared" si="6"/>
        <v>817915119261</v>
      </c>
      <c r="B422" s="20">
        <v>817915</v>
      </c>
      <c r="C422" s="20" t="s">
        <v>466</v>
      </c>
      <c r="D422" s="17">
        <v>119261</v>
      </c>
      <c r="E422" s="17" t="s">
        <v>140</v>
      </c>
      <c r="F422" s="18">
        <v>25</v>
      </c>
      <c r="G422" s="17" t="s">
        <v>424</v>
      </c>
      <c r="H422" s="17" t="s">
        <v>424</v>
      </c>
      <c r="I422" s="17" t="s">
        <v>318</v>
      </c>
      <c r="J422" s="19">
        <v>44592</v>
      </c>
      <c r="K422" s="16"/>
    </row>
    <row r="423" spans="1:11" x14ac:dyDescent="0.2">
      <c r="A423" s="17" t="str">
        <f t="shared" si="6"/>
        <v>818066119261</v>
      </c>
      <c r="B423" s="20">
        <v>818066</v>
      </c>
      <c r="C423" s="20" t="s">
        <v>476</v>
      </c>
      <c r="D423" s="17">
        <v>119261</v>
      </c>
      <c r="E423" s="17" t="s">
        <v>140</v>
      </c>
      <c r="F423" s="18">
        <v>15</v>
      </c>
      <c r="G423" s="17" t="s">
        <v>424</v>
      </c>
      <c r="H423" s="17" t="s">
        <v>424</v>
      </c>
      <c r="I423" s="17" t="s">
        <v>318</v>
      </c>
      <c r="J423" s="19">
        <v>44609</v>
      </c>
      <c r="K423" s="16"/>
    </row>
    <row r="424" spans="1:11" x14ac:dyDescent="0.2">
      <c r="A424" s="17" t="str">
        <f t="shared" si="6"/>
        <v>818731205270</v>
      </c>
      <c r="B424" s="22">
        <v>818731</v>
      </c>
      <c r="C424" s="22" t="s">
        <v>528</v>
      </c>
      <c r="D424" s="29">
        <v>205270</v>
      </c>
      <c r="E424" s="16" t="s">
        <v>153</v>
      </c>
      <c r="F424" s="18">
        <v>6.25</v>
      </c>
      <c r="G424" s="16" t="s">
        <v>424</v>
      </c>
      <c r="H424" s="16" t="s">
        <v>424</v>
      </c>
      <c r="I424" s="16" t="s">
        <v>318</v>
      </c>
      <c r="J424" s="19">
        <v>44674</v>
      </c>
      <c r="K424" s="16"/>
    </row>
    <row r="425" spans="1:11" x14ac:dyDescent="0.2">
      <c r="A425" s="17" t="str">
        <f t="shared" ref="A425" si="7">B425&amp;D425</f>
        <v>814733176641</v>
      </c>
      <c r="B425" s="22">
        <v>814733</v>
      </c>
      <c r="C425" s="22" t="s">
        <v>94</v>
      </c>
      <c r="D425" s="29">
        <v>176641</v>
      </c>
      <c r="E425" s="16" t="s">
        <v>41</v>
      </c>
      <c r="F425" s="18">
        <v>3.5</v>
      </c>
      <c r="G425" s="16" t="s">
        <v>0</v>
      </c>
      <c r="H425" s="16" t="s">
        <v>11</v>
      </c>
      <c r="I425" s="16" t="s">
        <v>318</v>
      </c>
      <c r="J425" s="19">
        <v>44266</v>
      </c>
      <c r="K425" s="16"/>
    </row>
    <row r="426" spans="1:11" x14ac:dyDescent="0.2">
      <c r="A426" s="26"/>
      <c r="B426" s="27" t="s">
        <v>323</v>
      </c>
      <c r="C426" s="27"/>
      <c r="D426" s="27"/>
      <c r="E426" s="26"/>
      <c r="F426" s="28">
        <f>SUM(F3:F425)</f>
        <v>5045.8999999999996</v>
      </c>
      <c r="G426" s="26"/>
      <c r="H426" s="26"/>
      <c r="I426" s="26"/>
      <c r="J426" s="25"/>
      <c r="K426" s="24"/>
    </row>
  </sheetData>
  <autoFilter ref="A2:K426" xr:uid="{4FBDA40E-9A0F-40E5-8CA0-947CCEA847AB}">
    <sortState ref="A3:K426">
      <sortCondition ref="I2"/>
    </sortState>
  </autoFilter>
  <conditionalFormatting sqref="B3:B424">
    <cfRule type="duplicateValues" dxfId="6" priority="864"/>
  </conditionalFormatting>
  <conditionalFormatting sqref="B3:B424">
    <cfRule type="duplicateValues" dxfId="5" priority="865"/>
    <cfRule type="duplicateValues" dxfId="4" priority="866"/>
    <cfRule type="duplicateValues" dxfId="3" priority="867"/>
    <cfRule type="duplicateValues" dxfId="2" priority="868"/>
    <cfRule type="duplicateValues" dxfId="1" priority="869"/>
  </conditionalFormatting>
  <conditionalFormatting sqref="A3:A425">
    <cfRule type="duplicateValues" dxfId="0" priority="87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8:I13"/>
  <sheetViews>
    <sheetView workbookViewId="0">
      <selection activeCell="I10" sqref="I10"/>
    </sheetView>
  </sheetViews>
  <sheetFormatPr defaultRowHeight="12.75" x14ac:dyDescent="0.2"/>
  <sheetData>
    <row r="8" spans="7:9" x14ac:dyDescent="0.2">
      <c r="G8" t="s">
        <v>478</v>
      </c>
      <c r="H8" t="s">
        <v>479</v>
      </c>
    </row>
    <row r="9" spans="7:9" x14ac:dyDescent="0.2">
      <c r="G9">
        <v>0</v>
      </c>
      <c r="H9" s="4" t="s">
        <v>480</v>
      </c>
      <c r="I9" s="4" t="s">
        <v>480</v>
      </c>
    </row>
    <row r="10" spans="7:9" x14ac:dyDescent="0.2">
      <c r="G10">
        <v>400</v>
      </c>
      <c r="H10" t="s">
        <v>481</v>
      </c>
      <c r="I10" t="s">
        <v>485</v>
      </c>
    </row>
    <row r="11" spans="7:9" x14ac:dyDescent="0.2">
      <c r="G11">
        <v>600</v>
      </c>
      <c r="H11" t="s">
        <v>482</v>
      </c>
      <c r="I11" t="s">
        <v>486</v>
      </c>
    </row>
    <row r="12" spans="7:9" x14ac:dyDescent="0.2">
      <c r="G12">
        <v>900</v>
      </c>
      <c r="H12" t="s">
        <v>483</v>
      </c>
      <c r="I12" t="s">
        <v>487</v>
      </c>
    </row>
    <row r="13" spans="7:9" x14ac:dyDescent="0.2">
      <c r="G13">
        <v>1200</v>
      </c>
      <c r="H13" t="s">
        <v>484</v>
      </c>
      <c r="I13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F11"/>
  <sheetViews>
    <sheetView workbookViewId="0">
      <selection activeCell="C3" sqref="C3:F11"/>
    </sheetView>
  </sheetViews>
  <sheetFormatPr defaultRowHeight="12.75" x14ac:dyDescent="0.2"/>
  <cols>
    <col min="3" max="3" width="12" customWidth="1"/>
    <col min="4" max="4" width="9.140625" style="8"/>
    <col min="5" max="5" width="11.5703125" bestFit="1" customWidth="1"/>
  </cols>
  <sheetData>
    <row r="3" spans="3:6" ht="15" x14ac:dyDescent="0.25">
      <c r="E3" s="31" t="s">
        <v>498</v>
      </c>
      <c r="F3" s="31"/>
    </row>
    <row r="4" spans="3:6" ht="15" customHeight="1" x14ac:dyDescent="0.2">
      <c r="C4" s="32" t="s">
        <v>494</v>
      </c>
      <c r="D4" s="32" t="s">
        <v>478</v>
      </c>
      <c r="E4" s="32" t="s">
        <v>497</v>
      </c>
      <c r="F4" s="32" t="s">
        <v>496</v>
      </c>
    </row>
    <row r="5" spans="3:6" ht="29.25" customHeight="1" x14ac:dyDescent="0.2">
      <c r="C5" s="32"/>
      <c r="D5" s="32"/>
      <c r="E5" s="32"/>
      <c r="F5" s="32"/>
    </row>
    <row r="6" spans="3:6" ht="15" x14ac:dyDescent="0.2">
      <c r="C6" s="5" t="s">
        <v>489</v>
      </c>
      <c r="D6" s="7" t="s">
        <v>480</v>
      </c>
      <c r="E6" s="11" t="e">
        <f>SUMIF('mtd sale'!#REF!,SUMMARY!D6,'mtd sale'!#REF!)</f>
        <v>#REF!</v>
      </c>
      <c r="F6" s="6" t="e">
        <f>COUNTIF('mtd sale'!#REF!,SUMMARY!D6)</f>
        <v>#REF!</v>
      </c>
    </row>
    <row r="7" spans="3:6" ht="15" x14ac:dyDescent="0.2">
      <c r="C7" s="5" t="s">
        <v>490</v>
      </c>
      <c r="D7" s="6" t="s">
        <v>485</v>
      </c>
      <c r="E7" s="11" t="e">
        <f>SUMIF('mtd sale'!#REF!,SUMMARY!D7,'mtd sale'!#REF!)</f>
        <v>#REF!</v>
      </c>
      <c r="F7" s="6" t="e">
        <f>COUNTIF('mtd sale'!#REF!,SUMMARY!D7)</f>
        <v>#REF!</v>
      </c>
    </row>
    <row r="8" spans="3:6" ht="15" x14ac:dyDescent="0.2">
      <c r="C8" s="5" t="s">
        <v>491</v>
      </c>
      <c r="D8" s="6" t="s">
        <v>486</v>
      </c>
      <c r="E8" s="11" t="e">
        <f>SUMIF('mtd sale'!#REF!,SUMMARY!D8,'mtd sale'!#REF!)</f>
        <v>#REF!</v>
      </c>
      <c r="F8" s="6" t="e">
        <f>COUNTIF('mtd sale'!#REF!,SUMMARY!D8)</f>
        <v>#REF!</v>
      </c>
    </row>
    <row r="9" spans="3:6" ht="15" x14ac:dyDescent="0.2">
      <c r="C9" s="5" t="s">
        <v>492</v>
      </c>
      <c r="D9" s="6" t="s">
        <v>487</v>
      </c>
      <c r="E9" s="11" t="e">
        <f>SUMIF('mtd sale'!#REF!,SUMMARY!D9,'mtd sale'!#REF!)</f>
        <v>#REF!</v>
      </c>
      <c r="F9" s="6" t="e">
        <f>COUNTIF('mtd sale'!#REF!,SUMMARY!D9)</f>
        <v>#REF!</v>
      </c>
    </row>
    <row r="10" spans="3:6" ht="15" x14ac:dyDescent="0.2">
      <c r="C10" s="5" t="s">
        <v>493</v>
      </c>
      <c r="D10" s="6" t="s">
        <v>488</v>
      </c>
      <c r="E10" s="11" t="e">
        <f>SUMIF('mtd sale'!#REF!,SUMMARY!D10,'mtd sale'!#REF!)</f>
        <v>#REF!</v>
      </c>
      <c r="F10" s="6" t="e">
        <f>COUNTIF('mtd sale'!#REF!,SUMMARY!D10)</f>
        <v>#REF!</v>
      </c>
    </row>
    <row r="11" spans="3:6" ht="15" x14ac:dyDescent="0.2">
      <c r="C11" s="9" t="s">
        <v>495</v>
      </c>
      <c r="D11" s="10"/>
      <c r="E11" s="12" t="e">
        <f t="shared" ref="E11:F11" si="0">SUM(E6:E10)</f>
        <v>#REF!</v>
      </c>
      <c r="F11" s="10" t="e">
        <f t="shared" si="0"/>
        <v>#REF!</v>
      </c>
    </row>
  </sheetData>
  <mergeCells count="5">
    <mergeCell ref="E3:F3"/>
    <mergeCell ref="C4:C5"/>
    <mergeCell ref="D4:D5"/>
    <mergeCell ref="E4:E5"/>
    <mergeCell ref="F4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mtd sale</vt:lpstr>
      <vt:lpstr>SCHEME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Jitendra Kumar Vyas</cp:lastModifiedBy>
  <cp:revision>1</cp:revision>
  <dcterms:created xsi:type="dcterms:W3CDTF">2021-10-25T12:04:34Z</dcterms:created>
  <dcterms:modified xsi:type="dcterms:W3CDTF">2022-05-31T06:45:03Z</dcterms:modified>
  <cp:category/>
</cp:coreProperties>
</file>