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ocal.User\Desktop\JK ALWAR AO FY 22-23\ALWAR AO\BO BILL DETAIL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Sheet1!$A$1:$W$84</definedName>
  </definedNames>
  <calcPr calcId="152511"/>
</workbook>
</file>

<file path=xl/calcChain.xml><?xml version="1.0" encoding="utf-8"?>
<calcChain xmlns="http://schemas.openxmlformats.org/spreadsheetml/2006/main">
  <c r="M101" i="1" l="1"/>
  <c r="M97" i="1"/>
  <c r="M93" i="1"/>
  <c r="M102" i="1" l="1"/>
</calcChain>
</file>

<file path=xl/sharedStrings.xml><?xml version="1.0" encoding="utf-8"?>
<sst xmlns="http://schemas.openxmlformats.org/spreadsheetml/2006/main" count="1192" uniqueCount="234">
  <si>
    <t>DHOLPUR</t>
  </si>
  <si>
    <t>1004</t>
  </si>
  <si>
    <t>3351399240</t>
  </si>
  <si>
    <t>208026</t>
  </si>
  <si>
    <t>PRIYA ENTERPRISES</t>
  </si>
  <si>
    <t/>
  </si>
  <si>
    <t>0000208026</t>
  </si>
  <si>
    <t>PPC</t>
  </si>
  <si>
    <t>RJ09GC5652</t>
  </si>
  <si>
    <t>ARAVALI GOODS TRANSPORT</t>
  </si>
  <si>
    <t>3351399241</t>
  </si>
  <si>
    <t>0000815101</t>
  </si>
  <si>
    <t>0021245479</t>
  </si>
  <si>
    <t>Dev cement agency</t>
  </si>
  <si>
    <t>3351399242</t>
  </si>
  <si>
    <t>OPC</t>
  </si>
  <si>
    <t>3351400256</t>
  </si>
  <si>
    <t>179894</t>
  </si>
  <si>
    <t>SHARMA CEMENT AGENCY</t>
  </si>
  <si>
    <t>0021245649</t>
  </si>
  <si>
    <t>Dinesh ji</t>
  </si>
  <si>
    <t>RAJAKHERA</t>
  </si>
  <si>
    <t>RJ32GC7090</t>
  </si>
  <si>
    <t>AMAR TRANSPORT COMPANY</t>
  </si>
  <si>
    <t>3351401029</t>
  </si>
  <si>
    <t>0000816037</t>
  </si>
  <si>
    <t>BHUPENDRA CEMENT AGENCY</t>
  </si>
  <si>
    <t>MANIA</t>
  </si>
  <si>
    <t>RJ32GC2274</t>
  </si>
  <si>
    <t>3351401047</t>
  </si>
  <si>
    <t>202758</t>
  </si>
  <si>
    <t>B M TRADING &amp; CONSTRUCTION COM</t>
  </si>
  <si>
    <t>0000202758</t>
  </si>
  <si>
    <t>BARI</t>
  </si>
  <si>
    <t>RJ32GC7823</t>
  </si>
  <si>
    <t>3351401048</t>
  </si>
  <si>
    <t>0000811848</t>
  </si>
  <si>
    <t>R R CONSTRUCTION COMPANY</t>
  </si>
  <si>
    <t>1468</t>
  </si>
  <si>
    <t>1033</t>
  </si>
  <si>
    <t>3368351734</t>
  </si>
  <si>
    <t>174713</t>
  </si>
  <si>
    <t>KANHA BUILDING MATERIAL</t>
  </si>
  <si>
    <t>0021244281</t>
  </si>
  <si>
    <t>Ankit ji</t>
  </si>
  <si>
    <t>RJ11RB1971</t>
  </si>
  <si>
    <t>GANESHA TRADERS</t>
  </si>
  <si>
    <t>3368351735</t>
  </si>
  <si>
    <t>0021245669</t>
  </si>
  <si>
    <t>Mahesh ji</t>
  </si>
  <si>
    <t>RJ11RA6476</t>
  </si>
  <si>
    <t>3368351736</t>
  </si>
  <si>
    <t>RJ11RA6565</t>
  </si>
  <si>
    <t>3368351737</t>
  </si>
  <si>
    <t>0021245641</t>
  </si>
  <si>
    <t>khana building material</t>
  </si>
  <si>
    <t>BASEDI</t>
  </si>
  <si>
    <t>RJ11RA1631</t>
  </si>
  <si>
    <t>3368351793</t>
  </si>
  <si>
    <t>208516</t>
  </si>
  <si>
    <t>HARDENIYA CEMENT AGENCIES</t>
  </si>
  <si>
    <t>0021245496</t>
  </si>
  <si>
    <t>Dilip ji</t>
  </si>
  <si>
    <t>RJ11RA7070</t>
  </si>
  <si>
    <t>3368351803</t>
  </si>
  <si>
    <t>3368351804</t>
  </si>
  <si>
    <t>3368351805</t>
  </si>
  <si>
    <t>3368351811</t>
  </si>
  <si>
    <t>RJ11RA3625</t>
  </si>
  <si>
    <t>3368351891</t>
  </si>
  <si>
    <t>0021244274</t>
  </si>
  <si>
    <t>Punit ji</t>
  </si>
  <si>
    <t>3368351953</t>
  </si>
  <si>
    <t>0021245648</t>
  </si>
  <si>
    <t>MARENA</t>
  </si>
  <si>
    <t>3368351958</t>
  </si>
  <si>
    <t>0021245658</t>
  </si>
  <si>
    <t>Suresh ji</t>
  </si>
  <si>
    <t>3368351959</t>
  </si>
  <si>
    <t>3368352016</t>
  </si>
  <si>
    <t>119074</t>
  </si>
  <si>
    <t>LAVANIA CEMENT SALES CORPORATI</t>
  </si>
  <si>
    <t>0000119074</t>
  </si>
  <si>
    <t>3368352018</t>
  </si>
  <si>
    <t>3368352611</t>
  </si>
  <si>
    <t>0000818073</t>
  </si>
  <si>
    <t>3368352612</t>
  </si>
  <si>
    <t>3368353022</t>
  </si>
  <si>
    <t>0021244264</t>
  </si>
  <si>
    <t>Rajendra ji</t>
  </si>
  <si>
    <t>3368353063</t>
  </si>
  <si>
    <t>0000818484</t>
  </si>
  <si>
    <t>0021244270</t>
  </si>
  <si>
    <t>Rajesh ji</t>
  </si>
  <si>
    <t>3368353064</t>
  </si>
  <si>
    <t>0000818100</t>
  </si>
  <si>
    <t>0021244271</t>
  </si>
  <si>
    <t>Mohan ji</t>
  </si>
  <si>
    <t>1001</t>
  </si>
  <si>
    <t>3368353267</t>
  </si>
  <si>
    <t>0021245480</t>
  </si>
  <si>
    <t>Karan ji</t>
  </si>
  <si>
    <t>PPCWS</t>
  </si>
  <si>
    <t>3368353274</t>
  </si>
  <si>
    <t>210479</t>
  </si>
  <si>
    <t>SHRIPATI CONSTRUCTION</t>
  </si>
  <si>
    <t>0021245671</t>
  </si>
  <si>
    <t>Vishal ji</t>
  </si>
  <si>
    <t>3368353278</t>
  </si>
  <si>
    <t>0000210479</t>
  </si>
  <si>
    <t>3368353287</t>
  </si>
  <si>
    <t>3368353291</t>
  </si>
  <si>
    <t>3368354084</t>
  </si>
  <si>
    <t>0021245665</t>
  </si>
  <si>
    <t>Ramesh ji</t>
  </si>
  <si>
    <t>3368354590</t>
  </si>
  <si>
    <t>3368354609</t>
  </si>
  <si>
    <t>3368355273</t>
  </si>
  <si>
    <t>179892</t>
  </si>
  <si>
    <t>MADHAV ENTERPRISES</t>
  </si>
  <si>
    <t>0000813151</t>
  </si>
  <si>
    <t>3368355274</t>
  </si>
  <si>
    <t>RUPESH CEMENT AGENCY</t>
  </si>
  <si>
    <t>3368355275</t>
  </si>
  <si>
    <t>3368355313</t>
  </si>
  <si>
    <t>3368355323</t>
  </si>
  <si>
    <t>3368355350</t>
  </si>
  <si>
    <t>0000208516</t>
  </si>
  <si>
    <t>3368355417</t>
  </si>
  <si>
    <t>RJ11RA6917</t>
  </si>
  <si>
    <t>3368355590</t>
  </si>
  <si>
    <t>3368355602</t>
  </si>
  <si>
    <t>3368355605</t>
  </si>
  <si>
    <t>3368355610</t>
  </si>
  <si>
    <t>0000813299</t>
  </si>
  <si>
    <t>KRISHNA ENTERPRISES</t>
  </si>
  <si>
    <t>PIPHERA</t>
  </si>
  <si>
    <t>3368355618</t>
  </si>
  <si>
    <t>3368355713</t>
  </si>
  <si>
    <t>3368355724</t>
  </si>
  <si>
    <t>0000811944</t>
  </si>
  <si>
    <t>RAVINDRA SINGH PARMAR</t>
  </si>
  <si>
    <t>RJ11RA5503</t>
  </si>
  <si>
    <t>3368355725</t>
  </si>
  <si>
    <t>0014000952</t>
  </si>
  <si>
    <t>KAILASH CHAND</t>
  </si>
  <si>
    <t>RJ11RA9191</t>
  </si>
  <si>
    <t>3368355726</t>
  </si>
  <si>
    <t>RAJPOOT CEMENT AGENCY</t>
  </si>
  <si>
    <t>RJ11RA6810</t>
  </si>
  <si>
    <t>3368355761</t>
  </si>
  <si>
    <t>202849</t>
  </si>
  <si>
    <t>AKHLESH TRADING COMPANY</t>
  </si>
  <si>
    <t>0000812372</t>
  </si>
  <si>
    <t>0021245663</t>
  </si>
  <si>
    <t>Yogesh construction</t>
  </si>
  <si>
    <t>3368355762</t>
  </si>
  <si>
    <t>3368355763</t>
  </si>
  <si>
    <t>3368356674</t>
  </si>
  <si>
    <t>0021245498</t>
  </si>
  <si>
    <t>Naresh ji</t>
  </si>
  <si>
    <t>3368356728</t>
  </si>
  <si>
    <t>3368357015</t>
  </si>
  <si>
    <t>0021245660</t>
  </si>
  <si>
    <t>Shubham ji</t>
  </si>
  <si>
    <t>3368357344</t>
  </si>
  <si>
    <t>3368358054</t>
  </si>
  <si>
    <t>0021244275</t>
  </si>
  <si>
    <t>3368358276</t>
  </si>
  <si>
    <t>3368358279</t>
  </si>
  <si>
    <t>3368358876</t>
  </si>
  <si>
    <t>3368359193</t>
  </si>
  <si>
    <t>3368359195</t>
  </si>
  <si>
    <t>0000817789</t>
  </si>
  <si>
    <t>KULDEEP CEMENT AGENCY</t>
  </si>
  <si>
    <t>MANGROL (DHOLPUR)</t>
  </si>
  <si>
    <t>3368359198</t>
  </si>
  <si>
    <t>3368359415</t>
  </si>
  <si>
    <t>3368359420</t>
  </si>
  <si>
    <t>0021245404</t>
  </si>
  <si>
    <t>DEV CEMENT AGENCY</t>
  </si>
  <si>
    <t>3368359588</t>
  </si>
  <si>
    <t>3368359589</t>
  </si>
  <si>
    <t>3368359838</t>
  </si>
  <si>
    <t>3368359989</t>
  </si>
  <si>
    <t>0021244276</t>
  </si>
  <si>
    <t>SAIPAU</t>
  </si>
  <si>
    <t>3368359998</t>
  </si>
  <si>
    <t>3368360232</t>
  </si>
  <si>
    <t>0021245654</t>
  </si>
  <si>
    <t>Rupesh ji</t>
  </si>
  <si>
    <t>3368360234</t>
  </si>
  <si>
    <t>3368360529</t>
  </si>
  <si>
    <t>3368360546</t>
  </si>
  <si>
    <t>0000179894</t>
  </si>
  <si>
    <t>BASAI NABAB</t>
  </si>
  <si>
    <t>3368360838</t>
  </si>
  <si>
    <t>0021245672</t>
  </si>
  <si>
    <t>Vimal ji</t>
  </si>
  <si>
    <t>3368360851</t>
  </si>
  <si>
    <t>3368360855</t>
  </si>
  <si>
    <t>3368360863</t>
  </si>
  <si>
    <t>3368360873</t>
  </si>
  <si>
    <t>3368360882</t>
  </si>
  <si>
    <t>BILLING DATE</t>
  </si>
  <si>
    <t>PO DATE</t>
  </si>
  <si>
    <t>COUNTY NAME</t>
  </si>
  <si>
    <t>PLANT</t>
  </si>
  <si>
    <t>Valuation Type</t>
  </si>
  <si>
    <t>INVOICE NO</t>
  </si>
  <si>
    <t>SOLD TO PARTY</t>
  </si>
  <si>
    <t>CUSTOMER DESCRIPTION</t>
  </si>
  <si>
    <t>Retailer Code</t>
  </si>
  <si>
    <t>SHP TO PARTY</t>
  </si>
  <si>
    <t>SHP TO PARTY DESCRIP</t>
  </si>
  <si>
    <t>SHP PARTY DEST</t>
  </si>
  <si>
    <t>CITY NAME</t>
  </si>
  <si>
    <t>MATERIAL GROUP</t>
  </si>
  <si>
    <t>SALES QUANTITY - TO</t>
  </si>
  <si>
    <t>BILLING VALUE</t>
  </si>
  <si>
    <t>VEHICLE NUMBER</t>
  </si>
  <si>
    <t>TRANSPORTER NAME</t>
  </si>
  <si>
    <t>NETWORK SALE FROM NIMB. PLANT</t>
  </si>
  <si>
    <t>NETWORK SALE FROM NIMB. PLANT WS</t>
  </si>
  <si>
    <t>SELF SALE FROM NIMB. PLANT</t>
  </si>
  <si>
    <t>SELF SALE FROM NIMB. PLANT WS</t>
  </si>
  <si>
    <t>TOTAL SALE FROM NIMB. PLANT</t>
  </si>
  <si>
    <t>NETWORK SALE FROM ALIGARH. PLANT</t>
  </si>
  <si>
    <t>SELF SALE FROM ALIGARH. PLANT</t>
  </si>
  <si>
    <t>TOTAL SALE FROM JHARLI PLANT</t>
  </si>
  <si>
    <t>NETWORK SALE FROM MANGROL. PLANT</t>
  </si>
  <si>
    <t>SELF SALE FROM MANGROL. PLANT</t>
  </si>
  <si>
    <t>TOTAL SALE FROM MANGROL. PLANT</t>
  </si>
  <si>
    <t>TOTAL SALE IN APR'22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</si>
</sst>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2" fontId="2" fillId="5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102"/>
  <sheetViews>
    <sheetView tabSelected="1" topLeftCell="J85" workbookViewId="0">
      <selection activeCell="K89" sqref="K89:M102"/>
    </sheetView>
  </sheetViews>
  <sheetFormatPr defaultRowHeight="12.75" x14ac:dyDescent="0.2"/>
  <cols>
    <col min="1" max="1" width="14" bestFit="1" customWidth="1"/>
    <col min="2" max="3" width="13" bestFit="1" customWidth="1"/>
    <col min="4" max="4" width="7" bestFit="1" customWidth="1"/>
    <col min="5" max="5" width="6" bestFit="1" customWidth="1"/>
    <col min="6" max="6" width="12" bestFit="1" customWidth="1"/>
    <col min="7" max="7" width="15" bestFit="1" customWidth="1"/>
    <col min="8" max="8" width="32" bestFit="1" customWidth="1"/>
    <col min="9" max="9" width="15" bestFit="1" customWidth="1"/>
    <col min="10" max="10" width="14" bestFit="1" customWidth="1"/>
    <col min="11" max="11" width="32" bestFit="1" customWidth="1"/>
    <col min="12" max="12" width="16" bestFit="1" customWidth="1"/>
    <col min="13" max="13" width="19" bestFit="1" customWidth="1"/>
    <col min="14" max="14" width="16" bestFit="1" customWidth="1"/>
    <col min="15" max="15" width="9" bestFit="1" customWidth="1"/>
    <col min="16" max="16" width="15" bestFit="1" customWidth="1"/>
    <col min="17" max="17" width="16" bestFit="1" customWidth="1"/>
    <col min="18" max="18" width="25" bestFit="1" customWidth="1"/>
  </cols>
  <sheetData>
    <row r="1" spans="1:18" ht="38.25" x14ac:dyDescent="0.2">
      <c r="A1" s="1" t="s">
        <v>204</v>
      </c>
      <c r="B1" s="1" t="s">
        <v>205</v>
      </c>
      <c r="C1" s="1" t="s">
        <v>206</v>
      </c>
      <c r="D1" s="1" t="s">
        <v>207</v>
      </c>
      <c r="E1" s="9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9" t="s">
        <v>218</v>
      </c>
      <c r="P1" s="1" t="s">
        <v>219</v>
      </c>
      <c r="Q1" s="1" t="s">
        <v>220</v>
      </c>
      <c r="R1" s="1" t="s">
        <v>221</v>
      </c>
    </row>
    <row r="2" spans="1:18" hidden="1" x14ac:dyDescent="0.2">
      <c r="A2" s="2">
        <v>44667</v>
      </c>
      <c r="B2" s="2">
        <v>44666</v>
      </c>
      <c r="C2" t="s">
        <v>0</v>
      </c>
      <c r="D2" t="s">
        <v>1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4</v>
      </c>
      <c r="L2" t="s">
        <v>5</v>
      </c>
      <c r="M2" t="s">
        <v>0</v>
      </c>
      <c r="N2" t="s">
        <v>7</v>
      </c>
      <c r="O2" s="4">
        <v>10</v>
      </c>
      <c r="P2" s="3">
        <v>77800</v>
      </c>
      <c r="Q2" t="s">
        <v>8</v>
      </c>
      <c r="R2" t="s">
        <v>9</v>
      </c>
    </row>
    <row r="3" spans="1:18" hidden="1" x14ac:dyDescent="0.2">
      <c r="A3" s="2">
        <v>44667</v>
      </c>
      <c r="B3" s="2">
        <v>44666</v>
      </c>
      <c r="C3" t="s">
        <v>0</v>
      </c>
      <c r="D3" t="s">
        <v>1</v>
      </c>
      <c r="E3" t="s">
        <v>1</v>
      </c>
      <c r="F3" t="s">
        <v>10</v>
      </c>
      <c r="G3" t="s">
        <v>3</v>
      </c>
      <c r="H3" t="s">
        <v>4</v>
      </c>
      <c r="I3" t="s">
        <v>11</v>
      </c>
      <c r="J3" t="s">
        <v>12</v>
      </c>
      <c r="K3" t="s">
        <v>13</v>
      </c>
      <c r="L3" t="s">
        <v>5</v>
      </c>
      <c r="M3" t="s">
        <v>0</v>
      </c>
      <c r="N3" t="s">
        <v>7</v>
      </c>
      <c r="O3" s="4">
        <v>16</v>
      </c>
      <c r="P3" s="3">
        <v>124480</v>
      </c>
      <c r="Q3" t="s">
        <v>8</v>
      </c>
      <c r="R3" t="s">
        <v>9</v>
      </c>
    </row>
    <row r="4" spans="1:18" hidden="1" x14ac:dyDescent="0.2">
      <c r="A4" s="2">
        <v>44667</v>
      </c>
      <c r="B4" s="2">
        <v>44666</v>
      </c>
      <c r="C4" t="s">
        <v>0</v>
      </c>
      <c r="D4" t="s">
        <v>1</v>
      </c>
      <c r="E4" t="s">
        <v>1</v>
      </c>
      <c r="F4" t="s">
        <v>14</v>
      </c>
      <c r="G4" t="s">
        <v>3</v>
      </c>
      <c r="H4" t="s">
        <v>4</v>
      </c>
      <c r="I4" t="s">
        <v>5</v>
      </c>
      <c r="J4" t="s">
        <v>6</v>
      </c>
      <c r="K4" t="s">
        <v>4</v>
      </c>
      <c r="L4" t="s">
        <v>5</v>
      </c>
      <c r="M4" t="s">
        <v>0</v>
      </c>
      <c r="N4" t="s">
        <v>15</v>
      </c>
      <c r="O4" s="4">
        <v>15</v>
      </c>
      <c r="P4" s="3">
        <v>124200</v>
      </c>
      <c r="Q4" t="s">
        <v>8</v>
      </c>
      <c r="R4" t="s">
        <v>9</v>
      </c>
    </row>
    <row r="5" spans="1:18" x14ac:dyDescent="0.2">
      <c r="A5" s="2">
        <v>44674</v>
      </c>
      <c r="B5" s="2">
        <v>44673</v>
      </c>
      <c r="C5" t="s">
        <v>0</v>
      </c>
      <c r="D5" t="s">
        <v>1</v>
      </c>
      <c r="E5" t="s">
        <v>1</v>
      </c>
      <c r="F5" t="s">
        <v>16</v>
      </c>
      <c r="G5" t="s">
        <v>17</v>
      </c>
      <c r="H5" t="s">
        <v>18</v>
      </c>
      <c r="I5" t="s">
        <v>5</v>
      </c>
      <c r="J5" t="s">
        <v>19</v>
      </c>
      <c r="K5" t="s">
        <v>20</v>
      </c>
      <c r="L5" t="s">
        <v>5</v>
      </c>
      <c r="M5" t="s">
        <v>21</v>
      </c>
      <c r="N5" t="s">
        <v>7</v>
      </c>
      <c r="O5" s="4">
        <v>42</v>
      </c>
      <c r="P5" s="3">
        <v>326760</v>
      </c>
      <c r="Q5" t="s">
        <v>22</v>
      </c>
      <c r="R5" t="s">
        <v>23</v>
      </c>
    </row>
    <row r="6" spans="1:18" x14ac:dyDescent="0.2">
      <c r="A6" s="2">
        <v>44678</v>
      </c>
      <c r="B6" s="2">
        <v>44677</v>
      </c>
      <c r="C6" t="s">
        <v>0</v>
      </c>
      <c r="D6" t="s">
        <v>1</v>
      </c>
      <c r="E6" t="s">
        <v>1</v>
      </c>
      <c r="F6" t="s">
        <v>24</v>
      </c>
      <c r="G6" t="s">
        <v>17</v>
      </c>
      <c r="H6" t="s">
        <v>18</v>
      </c>
      <c r="I6" t="s">
        <v>5</v>
      </c>
      <c r="J6" t="s">
        <v>25</v>
      </c>
      <c r="K6" t="s">
        <v>26</v>
      </c>
      <c r="L6" t="s">
        <v>5</v>
      </c>
      <c r="M6" t="s">
        <v>27</v>
      </c>
      <c r="N6" t="s">
        <v>15</v>
      </c>
      <c r="O6" s="4">
        <v>42</v>
      </c>
      <c r="P6" s="3">
        <v>347760</v>
      </c>
      <c r="Q6" t="s">
        <v>28</v>
      </c>
      <c r="R6" t="s">
        <v>23</v>
      </c>
    </row>
    <row r="7" spans="1:18" hidden="1" x14ac:dyDescent="0.2">
      <c r="A7" s="2">
        <v>44678</v>
      </c>
      <c r="B7" s="2">
        <v>44677</v>
      </c>
      <c r="C7" t="s">
        <v>0</v>
      </c>
      <c r="D7" t="s">
        <v>1</v>
      </c>
      <c r="E7" t="s">
        <v>1</v>
      </c>
      <c r="F7" t="s">
        <v>29</v>
      </c>
      <c r="G7" t="s">
        <v>30</v>
      </c>
      <c r="H7" t="s">
        <v>31</v>
      </c>
      <c r="I7" t="s">
        <v>5</v>
      </c>
      <c r="J7" t="s">
        <v>32</v>
      </c>
      <c r="K7" t="s">
        <v>31</v>
      </c>
      <c r="L7" t="s">
        <v>5</v>
      </c>
      <c r="M7" t="s">
        <v>33</v>
      </c>
      <c r="N7" t="s">
        <v>7</v>
      </c>
      <c r="O7" s="4">
        <v>30</v>
      </c>
      <c r="P7" s="3">
        <v>233400</v>
      </c>
      <c r="Q7" t="s">
        <v>34</v>
      </c>
      <c r="R7" t="s">
        <v>23</v>
      </c>
    </row>
    <row r="8" spans="1:18" hidden="1" x14ac:dyDescent="0.2">
      <c r="A8" s="2">
        <v>44678</v>
      </c>
      <c r="B8" s="2">
        <v>44677</v>
      </c>
      <c r="C8" t="s">
        <v>0</v>
      </c>
      <c r="D8" t="s">
        <v>1</v>
      </c>
      <c r="E8" t="s">
        <v>1</v>
      </c>
      <c r="F8" t="s">
        <v>35</v>
      </c>
      <c r="G8" t="s">
        <v>30</v>
      </c>
      <c r="H8" t="s">
        <v>31</v>
      </c>
      <c r="I8" t="s">
        <v>5</v>
      </c>
      <c r="J8" t="s">
        <v>36</v>
      </c>
      <c r="K8" t="s">
        <v>37</v>
      </c>
      <c r="L8" t="s">
        <v>5</v>
      </c>
      <c r="M8" t="s">
        <v>33</v>
      </c>
      <c r="N8" t="s">
        <v>7</v>
      </c>
      <c r="O8" s="4">
        <v>12</v>
      </c>
      <c r="P8" s="3">
        <v>93360</v>
      </c>
      <c r="Q8" t="s">
        <v>34</v>
      </c>
      <c r="R8" t="s">
        <v>23</v>
      </c>
    </row>
    <row r="9" spans="1:18" hidden="1" x14ac:dyDescent="0.2">
      <c r="A9" s="2">
        <v>44653</v>
      </c>
      <c r="B9" s="2">
        <v>44653</v>
      </c>
      <c r="C9" t="s">
        <v>0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5</v>
      </c>
      <c r="J9" t="s">
        <v>43</v>
      </c>
      <c r="K9" t="s">
        <v>44</v>
      </c>
      <c r="L9" t="s">
        <v>5</v>
      </c>
      <c r="M9" t="s">
        <v>33</v>
      </c>
      <c r="N9" t="s">
        <v>7</v>
      </c>
      <c r="O9" s="4">
        <v>4</v>
      </c>
      <c r="P9" s="3">
        <v>27320</v>
      </c>
      <c r="Q9" t="s">
        <v>45</v>
      </c>
      <c r="R9" t="s">
        <v>46</v>
      </c>
    </row>
    <row r="10" spans="1:18" hidden="1" x14ac:dyDescent="0.2">
      <c r="A10" s="2">
        <v>44653</v>
      </c>
      <c r="B10" s="2">
        <v>44653</v>
      </c>
      <c r="C10" t="s">
        <v>0</v>
      </c>
      <c r="D10" t="s">
        <v>38</v>
      </c>
      <c r="E10" t="s">
        <v>39</v>
      </c>
      <c r="F10" t="s">
        <v>47</v>
      </c>
      <c r="G10" t="s">
        <v>17</v>
      </c>
      <c r="H10" t="s">
        <v>18</v>
      </c>
      <c r="I10" t="s">
        <v>5</v>
      </c>
      <c r="J10" t="s">
        <v>48</v>
      </c>
      <c r="K10" t="s">
        <v>49</v>
      </c>
      <c r="L10" t="s">
        <v>5</v>
      </c>
      <c r="M10" t="s">
        <v>27</v>
      </c>
      <c r="N10" t="s">
        <v>7</v>
      </c>
      <c r="O10" s="4">
        <v>10</v>
      </c>
      <c r="P10" s="3">
        <v>68300</v>
      </c>
      <c r="Q10" t="s">
        <v>50</v>
      </c>
      <c r="R10" t="s">
        <v>46</v>
      </c>
    </row>
    <row r="11" spans="1:18" hidden="1" x14ac:dyDescent="0.2">
      <c r="A11" s="2">
        <v>44653</v>
      </c>
      <c r="B11" s="2">
        <v>44653</v>
      </c>
      <c r="C11" t="s">
        <v>0</v>
      </c>
      <c r="D11" t="s">
        <v>38</v>
      </c>
      <c r="E11" t="s">
        <v>39</v>
      </c>
      <c r="F11" t="s">
        <v>51</v>
      </c>
      <c r="G11" t="s">
        <v>17</v>
      </c>
      <c r="H11" t="s">
        <v>18</v>
      </c>
      <c r="I11" t="s">
        <v>5</v>
      </c>
      <c r="J11" t="s">
        <v>48</v>
      </c>
      <c r="K11" t="s">
        <v>49</v>
      </c>
      <c r="L11" t="s">
        <v>5</v>
      </c>
      <c r="M11" t="s">
        <v>27</v>
      </c>
      <c r="N11" t="s">
        <v>7</v>
      </c>
      <c r="O11" s="4">
        <v>10</v>
      </c>
      <c r="P11" s="3">
        <v>68300</v>
      </c>
      <c r="Q11" t="s">
        <v>52</v>
      </c>
      <c r="R11" t="s">
        <v>46</v>
      </c>
    </row>
    <row r="12" spans="1:18" hidden="1" x14ac:dyDescent="0.2">
      <c r="A12" s="2">
        <v>44653</v>
      </c>
      <c r="B12" s="2">
        <v>44653</v>
      </c>
      <c r="C12" t="s">
        <v>0</v>
      </c>
      <c r="D12" t="s">
        <v>38</v>
      </c>
      <c r="E12" t="s">
        <v>39</v>
      </c>
      <c r="F12" t="s">
        <v>53</v>
      </c>
      <c r="G12" t="s">
        <v>41</v>
      </c>
      <c r="H12" t="s">
        <v>42</v>
      </c>
      <c r="I12" t="s">
        <v>5</v>
      </c>
      <c r="J12" t="s">
        <v>54</v>
      </c>
      <c r="K12" t="s">
        <v>55</v>
      </c>
      <c r="L12" t="s">
        <v>5</v>
      </c>
      <c r="M12" t="s">
        <v>56</v>
      </c>
      <c r="N12" t="s">
        <v>7</v>
      </c>
      <c r="O12" s="4">
        <v>12.5</v>
      </c>
      <c r="P12" s="3">
        <v>85375</v>
      </c>
      <c r="Q12" t="s">
        <v>57</v>
      </c>
      <c r="R12" t="s">
        <v>46</v>
      </c>
    </row>
    <row r="13" spans="1:18" hidden="1" x14ac:dyDescent="0.2">
      <c r="A13" s="2">
        <v>44654</v>
      </c>
      <c r="B13" s="2">
        <v>44654</v>
      </c>
      <c r="C13" t="s">
        <v>0</v>
      </c>
      <c r="D13" t="s">
        <v>38</v>
      </c>
      <c r="E13" t="s">
        <v>39</v>
      </c>
      <c r="F13" t="s">
        <v>58</v>
      </c>
      <c r="G13" t="s">
        <v>59</v>
      </c>
      <c r="H13" t="s">
        <v>60</v>
      </c>
      <c r="I13" t="s">
        <v>5</v>
      </c>
      <c r="J13" t="s">
        <v>61</v>
      </c>
      <c r="K13" t="s">
        <v>62</v>
      </c>
      <c r="L13" t="s">
        <v>5</v>
      </c>
      <c r="M13" t="s">
        <v>27</v>
      </c>
      <c r="N13" t="s">
        <v>7</v>
      </c>
      <c r="O13" s="4">
        <v>10</v>
      </c>
      <c r="P13" s="3">
        <v>68300</v>
      </c>
      <c r="Q13" t="s">
        <v>63</v>
      </c>
      <c r="R13" t="s">
        <v>46</v>
      </c>
    </row>
    <row r="14" spans="1:18" hidden="1" x14ac:dyDescent="0.2">
      <c r="A14" s="2">
        <v>44654</v>
      </c>
      <c r="B14" s="2">
        <v>44654</v>
      </c>
      <c r="C14" t="s">
        <v>0</v>
      </c>
      <c r="D14" t="s">
        <v>38</v>
      </c>
      <c r="E14" t="s">
        <v>39</v>
      </c>
      <c r="F14" t="s">
        <v>64</v>
      </c>
      <c r="G14" t="s">
        <v>17</v>
      </c>
      <c r="H14" t="s">
        <v>18</v>
      </c>
      <c r="I14" t="s">
        <v>5</v>
      </c>
      <c r="J14" t="s">
        <v>48</v>
      </c>
      <c r="K14" t="s">
        <v>49</v>
      </c>
      <c r="L14" t="s">
        <v>5</v>
      </c>
      <c r="M14" t="s">
        <v>27</v>
      </c>
      <c r="N14" t="s">
        <v>7</v>
      </c>
      <c r="O14" s="4">
        <v>15</v>
      </c>
      <c r="P14" s="3">
        <v>102450</v>
      </c>
      <c r="Q14" t="s">
        <v>50</v>
      </c>
      <c r="R14" t="s">
        <v>46</v>
      </c>
    </row>
    <row r="15" spans="1:18" hidden="1" x14ac:dyDescent="0.2">
      <c r="A15" s="2">
        <v>44654</v>
      </c>
      <c r="B15" s="2">
        <v>44654</v>
      </c>
      <c r="C15" t="s">
        <v>0</v>
      </c>
      <c r="D15" t="s">
        <v>38</v>
      </c>
      <c r="E15" t="s">
        <v>39</v>
      </c>
      <c r="F15" t="s">
        <v>65</v>
      </c>
      <c r="G15" t="s">
        <v>17</v>
      </c>
      <c r="H15" t="s">
        <v>18</v>
      </c>
      <c r="I15" t="s">
        <v>5</v>
      </c>
      <c r="J15" t="s">
        <v>48</v>
      </c>
      <c r="K15" t="s">
        <v>49</v>
      </c>
      <c r="L15" t="s">
        <v>5</v>
      </c>
      <c r="M15" t="s">
        <v>27</v>
      </c>
      <c r="N15" t="s">
        <v>7</v>
      </c>
      <c r="O15" s="4">
        <v>15</v>
      </c>
      <c r="P15" s="3">
        <v>102450</v>
      </c>
      <c r="Q15" t="s">
        <v>52</v>
      </c>
      <c r="R15" t="s">
        <v>46</v>
      </c>
    </row>
    <row r="16" spans="1:18" hidden="1" x14ac:dyDescent="0.2">
      <c r="A16" s="2">
        <v>44654</v>
      </c>
      <c r="B16" s="2">
        <v>44654</v>
      </c>
      <c r="C16" t="s">
        <v>0</v>
      </c>
      <c r="D16" t="s">
        <v>38</v>
      </c>
      <c r="E16" t="s">
        <v>39</v>
      </c>
      <c r="F16" t="s">
        <v>66</v>
      </c>
      <c r="G16" t="s">
        <v>30</v>
      </c>
      <c r="H16" t="s">
        <v>31</v>
      </c>
      <c r="I16" t="s">
        <v>5</v>
      </c>
      <c r="J16" t="s">
        <v>32</v>
      </c>
      <c r="K16" t="s">
        <v>31</v>
      </c>
      <c r="L16" t="s">
        <v>5</v>
      </c>
      <c r="M16" t="s">
        <v>33</v>
      </c>
      <c r="N16" t="s">
        <v>7</v>
      </c>
      <c r="O16" s="4">
        <v>15</v>
      </c>
      <c r="P16" s="3">
        <v>102450</v>
      </c>
      <c r="Q16" t="s">
        <v>57</v>
      </c>
      <c r="R16" t="s">
        <v>46</v>
      </c>
    </row>
    <row r="17" spans="1:18" hidden="1" x14ac:dyDescent="0.2">
      <c r="A17" s="2">
        <v>44654</v>
      </c>
      <c r="B17" s="2">
        <v>44654</v>
      </c>
      <c r="C17" t="s">
        <v>0</v>
      </c>
      <c r="D17" t="s">
        <v>38</v>
      </c>
      <c r="E17" t="s">
        <v>39</v>
      </c>
      <c r="F17" t="s">
        <v>67</v>
      </c>
      <c r="G17" t="s">
        <v>30</v>
      </c>
      <c r="H17" t="s">
        <v>31</v>
      </c>
      <c r="I17" t="s">
        <v>5</v>
      </c>
      <c r="J17" t="s">
        <v>32</v>
      </c>
      <c r="K17" t="s">
        <v>31</v>
      </c>
      <c r="L17" t="s">
        <v>5</v>
      </c>
      <c r="M17" t="s">
        <v>33</v>
      </c>
      <c r="N17" t="s">
        <v>7</v>
      </c>
      <c r="O17" s="4">
        <v>12.5</v>
      </c>
      <c r="P17" s="3">
        <v>85375</v>
      </c>
      <c r="Q17" t="s">
        <v>68</v>
      </c>
      <c r="R17" t="s">
        <v>46</v>
      </c>
    </row>
    <row r="18" spans="1:18" hidden="1" x14ac:dyDescent="0.2">
      <c r="A18" s="2">
        <v>44654</v>
      </c>
      <c r="B18" s="2">
        <v>44654</v>
      </c>
      <c r="C18" t="s">
        <v>0</v>
      </c>
      <c r="D18" t="s">
        <v>38</v>
      </c>
      <c r="E18" t="s">
        <v>39</v>
      </c>
      <c r="F18" t="s">
        <v>69</v>
      </c>
      <c r="G18" t="s">
        <v>59</v>
      </c>
      <c r="H18" t="s">
        <v>60</v>
      </c>
      <c r="I18" t="s">
        <v>5</v>
      </c>
      <c r="J18" t="s">
        <v>70</v>
      </c>
      <c r="K18" t="s">
        <v>71</v>
      </c>
      <c r="L18" t="s">
        <v>5</v>
      </c>
      <c r="M18" t="s">
        <v>21</v>
      </c>
      <c r="N18" t="s">
        <v>7</v>
      </c>
      <c r="O18" s="4">
        <v>10</v>
      </c>
      <c r="P18" s="3">
        <v>68300</v>
      </c>
      <c r="Q18" t="s">
        <v>45</v>
      </c>
      <c r="R18" t="s">
        <v>46</v>
      </c>
    </row>
    <row r="19" spans="1:18" hidden="1" x14ac:dyDescent="0.2">
      <c r="A19" s="2">
        <v>44655</v>
      </c>
      <c r="B19" s="2">
        <v>44655</v>
      </c>
      <c r="C19" t="s">
        <v>0</v>
      </c>
      <c r="D19" t="s">
        <v>38</v>
      </c>
      <c r="E19" t="s">
        <v>1</v>
      </c>
      <c r="F19" t="s">
        <v>72</v>
      </c>
      <c r="G19" t="s">
        <v>59</v>
      </c>
      <c r="H19" t="s">
        <v>60</v>
      </c>
      <c r="I19" t="s">
        <v>5</v>
      </c>
      <c r="J19" t="s">
        <v>73</v>
      </c>
      <c r="K19" t="s">
        <v>62</v>
      </c>
      <c r="L19" t="s">
        <v>5</v>
      </c>
      <c r="M19" t="s">
        <v>74</v>
      </c>
      <c r="N19" t="s">
        <v>7</v>
      </c>
      <c r="O19" s="4">
        <v>10</v>
      </c>
      <c r="P19" s="3">
        <v>68300</v>
      </c>
      <c r="Q19" t="s">
        <v>45</v>
      </c>
      <c r="R19" t="s">
        <v>46</v>
      </c>
    </row>
    <row r="20" spans="1:18" hidden="1" x14ac:dyDescent="0.2">
      <c r="A20" s="2">
        <v>44655</v>
      </c>
      <c r="B20" s="2">
        <v>44655</v>
      </c>
      <c r="C20" t="s">
        <v>0</v>
      </c>
      <c r="D20" t="s">
        <v>38</v>
      </c>
      <c r="E20" t="s">
        <v>39</v>
      </c>
      <c r="F20" t="s">
        <v>75</v>
      </c>
      <c r="G20" t="s">
        <v>17</v>
      </c>
      <c r="H20" t="s">
        <v>18</v>
      </c>
      <c r="I20" t="s">
        <v>5</v>
      </c>
      <c r="J20" t="s">
        <v>76</v>
      </c>
      <c r="K20" t="s">
        <v>77</v>
      </c>
      <c r="L20" t="s">
        <v>5</v>
      </c>
      <c r="M20" t="s">
        <v>27</v>
      </c>
      <c r="N20" t="s">
        <v>7</v>
      </c>
      <c r="O20" s="4">
        <v>12.5</v>
      </c>
      <c r="P20" s="3">
        <v>85375</v>
      </c>
      <c r="Q20" t="s">
        <v>50</v>
      </c>
      <c r="R20" t="s">
        <v>46</v>
      </c>
    </row>
    <row r="21" spans="1:18" hidden="1" x14ac:dyDescent="0.2">
      <c r="A21" s="2">
        <v>44655</v>
      </c>
      <c r="B21" s="2">
        <v>44655</v>
      </c>
      <c r="C21" t="s">
        <v>0</v>
      </c>
      <c r="D21" t="s">
        <v>38</v>
      </c>
      <c r="E21" t="s">
        <v>39</v>
      </c>
      <c r="F21" t="s">
        <v>78</v>
      </c>
      <c r="G21" t="s">
        <v>17</v>
      </c>
      <c r="H21" t="s">
        <v>18</v>
      </c>
      <c r="I21" t="s">
        <v>5</v>
      </c>
      <c r="J21" t="s">
        <v>76</v>
      </c>
      <c r="K21" t="s">
        <v>77</v>
      </c>
      <c r="L21" t="s">
        <v>5</v>
      </c>
      <c r="M21" t="s">
        <v>27</v>
      </c>
      <c r="N21" t="s">
        <v>7</v>
      </c>
      <c r="O21" s="4">
        <v>12.5</v>
      </c>
      <c r="P21" s="3">
        <v>85375</v>
      </c>
      <c r="Q21" t="s">
        <v>52</v>
      </c>
      <c r="R21" t="s">
        <v>46</v>
      </c>
    </row>
    <row r="22" spans="1:18" hidden="1" x14ac:dyDescent="0.2">
      <c r="A22" s="2">
        <v>44655</v>
      </c>
      <c r="B22" s="2">
        <v>44655</v>
      </c>
      <c r="C22" t="s">
        <v>0</v>
      </c>
      <c r="D22" t="s">
        <v>38</v>
      </c>
      <c r="E22" t="s">
        <v>39</v>
      </c>
      <c r="F22" t="s">
        <v>79</v>
      </c>
      <c r="G22" t="s">
        <v>80</v>
      </c>
      <c r="H22" t="s">
        <v>81</v>
      </c>
      <c r="I22" t="s">
        <v>5</v>
      </c>
      <c r="J22" t="s">
        <v>82</v>
      </c>
      <c r="K22" t="s">
        <v>81</v>
      </c>
      <c r="L22" t="s">
        <v>5</v>
      </c>
      <c r="M22" t="s">
        <v>0</v>
      </c>
      <c r="N22" t="s">
        <v>7</v>
      </c>
      <c r="O22" s="4">
        <v>12.5</v>
      </c>
      <c r="P22" s="3">
        <v>85375</v>
      </c>
      <c r="Q22" t="s">
        <v>57</v>
      </c>
      <c r="R22" t="s">
        <v>46</v>
      </c>
    </row>
    <row r="23" spans="1:18" hidden="1" x14ac:dyDescent="0.2">
      <c r="A23" s="2">
        <v>44655</v>
      </c>
      <c r="B23" s="2">
        <v>44655</v>
      </c>
      <c r="C23" t="s">
        <v>0</v>
      </c>
      <c r="D23" t="s">
        <v>38</v>
      </c>
      <c r="E23" t="s">
        <v>39</v>
      </c>
      <c r="F23" t="s">
        <v>83</v>
      </c>
      <c r="G23" t="s">
        <v>80</v>
      </c>
      <c r="H23" t="s">
        <v>81</v>
      </c>
      <c r="I23" t="s">
        <v>5</v>
      </c>
      <c r="J23" t="s">
        <v>82</v>
      </c>
      <c r="K23" t="s">
        <v>81</v>
      </c>
      <c r="L23" t="s">
        <v>5</v>
      </c>
      <c r="M23" t="s">
        <v>0</v>
      </c>
      <c r="N23" t="s">
        <v>7</v>
      </c>
      <c r="O23" s="4">
        <v>12.5</v>
      </c>
      <c r="P23" s="3">
        <v>85375</v>
      </c>
      <c r="Q23" t="s">
        <v>68</v>
      </c>
      <c r="R23" t="s">
        <v>46</v>
      </c>
    </row>
    <row r="24" spans="1:18" hidden="1" x14ac:dyDescent="0.2">
      <c r="A24" s="2">
        <v>44656</v>
      </c>
      <c r="B24" s="2">
        <v>44656</v>
      </c>
      <c r="C24" t="s">
        <v>0</v>
      </c>
      <c r="D24" t="s">
        <v>38</v>
      </c>
      <c r="E24" t="s">
        <v>1</v>
      </c>
      <c r="F24" t="s">
        <v>84</v>
      </c>
      <c r="G24" t="s">
        <v>59</v>
      </c>
      <c r="H24" t="s">
        <v>60</v>
      </c>
      <c r="I24" t="s">
        <v>85</v>
      </c>
      <c r="J24" t="s">
        <v>19</v>
      </c>
      <c r="K24" t="s">
        <v>20</v>
      </c>
      <c r="L24" t="s">
        <v>5</v>
      </c>
      <c r="M24" t="s">
        <v>21</v>
      </c>
      <c r="N24" t="s">
        <v>7</v>
      </c>
      <c r="O24" s="4">
        <v>10</v>
      </c>
      <c r="P24" s="3">
        <v>71300</v>
      </c>
      <c r="Q24" t="s">
        <v>45</v>
      </c>
      <c r="R24" t="s">
        <v>46</v>
      </c>
    </row>
    <row r="25" spans="1:18" hidden="1" x14ac:dyDescent="0.2">
      <c r="A25" s="2">
        <v>44656</v>
      </c>
      <c r="B25" s="2">
        <v>44656</v>
      </c>
      <c r="C25" t="s">
        <v>0</v>
      </c>
      <c r="D25" t="s">
        <v>38</v>
      </c>
      <c r="E25" t="s">
        <v>1</v>
      </c>
      <c r="F25" t="s">
        <v>86</v>
      </c>
      <c r="G25" t="s">
        <v>59</v>
      </c>
      <c r="H25" t="s">
        <v>60</v>
      </c>
      <c r="I25" t="s">
        <v>85</v>
      </c>
      <c r="J25" t="s">
        <v>61</v>
      </c>
      <c r="K25" t="s">
        <v>62</v>
      </c>
      <c r="L25" t="s">
        <v>5</v>
      </c>
      <c r="M25" t="s">
        <v>27</v>
      </c>
      <c r="N25" t="s">
        <v>7</v>
      </c>
      <c r="O25" s="4">
        <v>10</v>
      </c>
      <c r="P25" s="3">
        <v>71300</v>
      </c>
      <c r="Q25" t="s">
        <v>63</v>
      </c>
      <c r="R25" t="s">
        <v>46</v>
      </c>
    </row>
    <row r="26" spans="1:18" x14ac:dyDescent="0.2">
      <c r="A26" s="2">
        <v>44658</v>
      </c>
      <c r="B26" s="2">
        <v>44658</v>
      </c>
      <c r="C26" t="s">
        <v>0</v>
      </c>
      <c r="D26" t="s">
        <v>38</v>
      </c>
      <c r="E26" t="s">
        <v>1</v>
      </c>
      <c r="F26" t="s">
        <v>87</v>
      </c>
      <c r="G26" t="s">
        <v>17</v>
      </c>
      <c r="H26" t="s">
        <v>18</v>
      </c>
      <c r="I26" t="s">
        <v>5</v>
      </c>
      <c r="J26" t="s">
        <v>88</v>
      </c>
      <c r="K26" t="s">
        <v>89</v>
      </c>
      <c r="L26" t="s">
        <v>5</v>
      </c>
      <c r="M26" t="s">
        <v>33</v>
      </c>
      <c r="N26" t="s">
        <v>7</v>
      </c>
      <c r="O26" s="4">
        <v>10</v>
      </c>
      <c r="P26" s="3">
        <v>71300</v>
      </c>
      <c r="Q26" t="s">
        <v>45</v>
      </c>
      <c r="R26" t="s">
        <v>46</v>
      </c>
    </row>
    <row r="27" spans="1:18" x14ac:dyDescent="0.2">
      <c r="A27" s="2">
        <v>44658</v>
      </c>
      <c r="B27" s="2">
        <v>44658</v>
      </c>
      <c r="C27" t="s">
        <v>0</v>
      </c>
      <c r="D27" t="s">
        <v>38</v>
      </c>
      <c r="E27" t="s">
        <v>1</v>
      </c>
      <c r="F27" t="s">
        <v>90</v>
      </c>
      <c r="G27" t="s">
        <v>17</v>
      </c>
      <c r="H27" t="s">
        <v>18</v>
      </c>
      <c r="I27" t="s">
        <v>91</v>
      </c>
      <c r="J27" t="s">
        <v>92</v>
      </c>
      <c r="K27" t="s">
        <v>93</v>
      </c>
      <c r="L27" t="s">
        <v>5</v>
      </c>
      <c r="M27" t="s">
        <v>27</v>
      </c>
      <c r="N27" t="s">
        <v>7</v>
      </c>
      <c r="O27" s="4">
        <v>10</v>
      </c>
      <c r="P27" s="3">
        <v>71300</v>
      </c>
      <c r="Q27" t="s">
        <v>50</v>
      </c>
      <c r="R27" t="s">
        <v>46</v>
      </c>
    </row>
    <row r="28" spans="1:18" x14ac:dyDescent="0.2">
      <c r="A28" s="2">
        <v>44658</v>
      </c>
      <c r="B28" s="2">
        <v>44658</v>
      </c>
      <c r="C28" t="s">
        <v>0</v>
      </c>
      <c r="D28" t="s">
        <v>38</v>
      </c>
      <c r="E28" t="s">
        <v>1</v>
      </c>
      <c r="F28" t="s">
        <v>94</v>
      </c>
      <c r="G28" t="s">
        <v>17</v>
      </c>
      <c r="H28" t="s">
        <v>18</v>
      </c>
      <c r="I28" t="s">
        <v>95</v>
      </c>
      <c r="J28" t="s">
        <v>96</v>
      </c>
      <c r="K28" t="s">
        <v>97</v>
      </c>
      <c r="L28" t="s">
        <v>5</v>
      </c>
      <c r="M28" t="s">
        <v>27</v>
      </c>
      <c r="N28" t="s">
        <v>7</v>
      </c>
      <c r="O28" s="4">
        <v>15</v>
      </c>
      <c r="P28" s="3">
        <v>106950</v>
      </c>
      <c r="Q28" t="s">
        <v>52</v>
      </c>
      <c r="R28" t="s">
        <v>46</v>
      </c>
    </row>
    <row r="29" spans="1:18" hidden="1" x14ac:dyDescent="0.2">
      <c r="A29" s="2">
        <v>44659</v>
      </c>
      <c r="B29" s="2">
        <v>44659</v>
      </c>
      <c r="C29" t="s">
        <v>0</v>
      </c>
      <c r="D29" t="s">
        <v>38</v>
      </c>
      <c r="E29" t="s">
        <v>98</v>
      </c>
      <c r="F29" t="s">
        <v>99</v>
      </c>
      <c r="G29" t="s">
        <v>3</v>
      </c>
      <c r="H29" t="s">
        <v>4</v>
      </c>
      <c r="I29" t="s">
        <v>5</v>
      </c>
      <c r="J29" t="s">
        <v>100</v>
      </c>
      <c r="K29" t="s">
        <v>101</v>
      </c>
      <c r="L29" t="s">
        <v>5</v>
      </c>
      <c r="M29" t="s">
        <v>33</v>
      </c>
      <c r="N29" t="s">
        <v>102</v>
      </c>
      <c r="O29" s="4">
        <v>7.5</v>
      </c>
      <c r="P29" s="3">
        <v>61725</v>
      </c>
      <c r="Q29" t="s">
        <v>45</v>
      </c>
      <c r="R29" t="s">
        <v>46</v>
      </c>
    </row>
    <row r="30" spans="1:18" hidden="1" x14ac:dyDescent="0.2">
      <c r="A30" s="2">
        <v>44659</v>
      </c>
      <c r="B30" s="2">
        <v>44659</v>
      </c>
      <c r="C30" t="s">
        <v>0</v>
      </c>
      <c r="D30" t="s">
        <v>38</v>
      </c>
      <c r="E30" t="s">
        <v>39</v>
      </c>
      <c r="F30" t="s">
        <v>103</v>
      </c>
      <c r="G30" t="s">
        <v>104</v>
      </c>
      <c r="H30" t="s">
        <v>105</v>
      </c>
      <c r="I30" t="s">
        <v>5</v>
      </c>
      <c r="J30" t="s">
        <v>106</v>
      </c>
      <c r="K30" t="s">
        <v>107</v>
      </c>
      <c r="L30" t="s">
        <v>5</v>
      </c>
      <c r="M30" t="s">
        <v>21</v>
      </c>
      <c r="N30" t="s">
        <v>7</v>
      </c>
      <c r="O30" s="4">
        <v>10</v>
      </c>
      <c r="P30" s="3">
        <v>71300</v>
      </c>
      <c r="Q30" t="s">
        <v>45</v>
      </c>
      <c r="R30" t="s">
        <v>46</v>
      </c>
    </row>
    <row r="31" spans="1:18" hidden="1" x14ac:dyDescent="0.2">
      <c r="A31" s="2">
        <v>44659</v>
      </c>
      <c r="B31" s="2">
        <v>44659</v>
      </c>
      <c r="C31" t="s">
        <v>0</v>
      </c>
      <c r="D31" t="s">
        <v>38</v>
      </c>
      <c r="E31" t="s">
        <v>98</v>
      </c>
      <c r="F31" t="s">
        <v>108</v>
      </c>
      <c r="G31" t="s">
        <v>104</v>
      </c>
      <c r="H31" t="s">
        <v>105</v>
      </c>
      <c r="I31" t="s">
        <v>5</v>
      </c>
      <c r="J31" t="s">
        <v>109</v>
      </c>
      <c r="K31" t="s">
        <v>105</v>
      </c>
      <c r="L31" t="s">
        <v>5</v>
      </c>
      <c r="M31" t="s">
        <v>27</v>
      </c>
      <c r="N31" t="s">
        <v>102</v>
      </c>
      <c r="O31" s="4">
        <v>5</v>
      </c>
      <c r="P31" s="3">
        <v>41150</v>
      </c>
      <c r="Q31" t="s">
        <v>45</v>
      </c>
      <c r="R31" t="s">
        <v>46</v>
      </c>
    </row>
    <row r="32" spans="1:18" hidden="1" x14ac:dyDescent="0.2">
      <c r="A32" s="2">
        <v>44659</v>
      </c>
      <c r="B32" s="2">
        <v>44659</v>
      </c>
      <c r="C32" t="s">
        <v>0</v>
      </c>
      <c r="D32" t="s">
        <v>38</v>
      </c>
      <c r="E32" t="s">
        <v>39</v>
      </c>
      <c r="F32" t="s">
        <v>110</v>
      </c>
      <c r="G32" t="s">
        <v>104</v>
      </c>
      <c r="H32" t="s">
        <v>105</v>
      </c>
      <c r="I32" t="s">
        <v>5</v>
      </c>
      <c r="J32" t="s">
        <v>109</v>
      </c>
      <c r="K32" t="s">
        <v>105</v>
      </c>
      <c r="L32" t="s">
        <v>5</v>
      </c>
      <c r="M32" t="s">
        <v>27</v>
      </c>
      <c r="N32" t="s">
        <v>7</v>
      </c>
      <c r="O32" s="4">
        <v>5</v>
      </c>
      <c r="P32" s="3">
        <v>35650</v>
      </c>
      <c r="Q32" t="s">
        <v>50</v>
      </c>
      <c r="R32" t="s">
        <v>46</v>
      </c>
    </row>
    <row r="33" spans="1:18" hidden="1" x14ac:dyDescent="0.2">
      <c r="A33" s="2">
        <v>44659</v>
      </c>
      <c r="B33" s="2">
        <v>44659</v>
      </c>
      <c r="C33" t="s">
        <v>0</v>
      </c>
      <c r="D33" t="s">
        <v>38</v>
      </c>
      <c r="E33" t="s">
        <v>39</v>
      </c>
      <c r="F33" t="s">
        <v>111</v>
      </c>
      <c r="G33" t="s">
        <v>17</v>
      </c>
      <c r="H33" t="s">
        <v>18</v>
      </c>
      <c r="I33" t="s">
        <v>5</v>
      </c>
      <c r="J33" t="s">
        <v>25</v>
      </c>
      <c r="K33" t="s">
        <v>26</v>
      </c>
      <c r="L33" t="s">
        <v>5</v>
      </c>
      <c r="M33" t="s">
        <v>27</v>
      </c>
      <c r="N33" t="s">
        <v>7</v>
      </c>
      <c r="O33" s="4">
        <v>15</v>
      </c>
      <c r="P33" s="3">
        <v>106950</v>
      </c>
      <c r="Q33" t="s">
        <v>52</v>
      </c>
      <c r="R33" t="s">
        <v>46</v>
      </c>
    </row>
    <row r="34" spans="1:18" hidden="1" x14ac:dyDescent="0.2">
      <c r="A34" s="2">
        <v>44660</v>
      </c>
      <c r="B34" s="2">
        <v>44660</v>
      </c>
      <c r="C34" t="s">
        <v>0</v>
      </c>
      <c r="D34" t="s">
        <v>38</v>
      </c>
      <c r="E34" t="s">
        <v>39</v>
      </c>
      <c r="F34" t="s">
        <v>112</v>
      </c>
      <c r="G34" t="s">
        <v>104</v>
      </c>
      <c r="H34" t="s">
        <v>105</v>
      </c>
      <c r="I34" t="s">
        <v>5</v>
      </c>
      <c r="J34" t="s">
        <v>113</v>
      </c>
      <c r="K34" t="s">
        <v>114</v>
      </c>
      <c r="L34" t="s">
        <v>5</v>
      </c>
      <c r="M34" t="s">
        <v>33</v>
      </c>
      <c r="N34" t="s">
        <v>7</v>
      </c>
      <c r="O34" s="4">
        <v>5</v>
      </c>
      <c r="P34" s="3">
        <v>35650</v>
      </c>
      <c r="Q34" t="s">
        <v>45</v>
      </c>
      <c r="R34" t="s">
        <v>46</v>
      </c>
    </row>
    <row r="35" spans="1:18" hidden="1" x14ac:dyDescent="0.2">
      <c r="A35" s="2">
        <v>44661</v>
      </c>
      <c r="B35" s="2">
        <v>44661</v>
      </c>
      <c r="C35" t="s">
        <v>0</v>
      </c>
      <c r="D35" t="s">
        <v>38</v>
      </c>
      <c r="E35" t="s">
        <v>39</v>
      </c>
      <c r="F35" t="s">
        <v>115</v>
      </c>
      <c r="G35" t="s">
        <v>59</v>
      </c>
      <c r="H35" t="s">
        <v>60</v>
      </c>
      <c r="I35" t="s">
        <v>5</v>
      </c>
      <c r="J35" t="s">
        <v>19</v>
      </c>
      <c r="K35" t="s">
        <v>20</v>
      </c>
      <c r="L35" t="s">
        <v>5</v>
      </c>
      <c r="M35" t="s">
        <v>21</v>
      </c>
      <c r="N35" t="s">
        <v>7</v>
      </c>
      <c r="O35" s="4">
        <v>10</v>
      </c>
      <c r="P35" s="3">
        <v>71300</v>
      </c>
      <c r="Q35" t="s">
        <v>45</v>
      </c>
      <c r="R35" t="s">
        <v>46</v>
      </c>
    </row>
    <row r="36" spans="1:18" hidden="1" x14ac:dyDescent="0.2">
      <c r="A36" s="2">
        <v>44661</v>
      </c>
      <c r="B36" s="2">
        <v>44661</v>
      </c>
      <c r="C36" t="s">
        <v>0</v>
      </c>
      <c r="D36" t="s">
        <v>38</v>
      </c>
      <c r="E36" t="s">
        <v>39</v>
      </c>
      <c r="F36" t="s">
        <v>116</v>
      </c>
      <c r="G36" t="s">
        <v>59</v>
      </c>
      <c r="H36" t="s">
        <v>60</v>
      </c>
      <c r="I36" t="s">
        <v>85</v>
      </c>
      <c r="J36" t="s">
        <v>48</v>
      </c>
      <c r="K36" t="s">
        <v>49</v>
      </c>
      <c r="L36" t="s">
        <v>5</v>
      </c>
      <c r="M36" t="s">
        <v>27</v>
      </c>
      <c r="N36" t="s">
        <v>7</v>
      </c>
      <c r="O36" s="4">
        <v>10</v>
      </c>
      <c r="P36" s="3">
        <v>71300</v>
      </c>
      <c r="Q36" t="s">
        <v>50</v>
      </c>
      <c r="R36" t="s">
        <v>46</v>
      </c>
    </row>
    <row r="37" spans="1:18" hidden="1" x14ac:dyDescent="0.2">
      <c r="A37" s="2">
        <v>44662</v>
      </c>
      <c r="B37" s="2">
        <v>44662</v>
      </c>
      <c r="C37" t="s">
        <v>0</v>
      </c>
      <c r="D37" t="s">
        <v>38</v>
      </c>
      <c r="E37" t="s">
        <v>39</v>
      </c>
      <c r="F37" t="s">
        <v>117</v>
      </c>
      <c r="G37" t="s">
        <v>118</v>
      </c>
      <c r="H37" t="s">
        <v>119</v>
      </c>
      <c r="I37" t="s">
        <v>120</v>
      </c>
      <c r="J37" t="s">
        <v>19</v>
      </c>
      <c r="K37" t="s">
        <v>20</v>
      </c>
      <c r="L37" t="s">
        <v>5</v>
      </c>
      <c r="M37" t="s">
        <v>21</v>
      </c>
      <c r="N37" t="s">
        <v>7</v>
      </c>
      <c r="O37" s="4">
        <v>10</v>
      </c>
      <c r="P37" s="3">
        <v>78300</v>
      </c>
      <c r="Q37" t="s">
        <v>45</v>
      </c>
      <c r="R37" t="s">
        <v>46</v>
      </c>
    </row>
    <row r="38" spans="1:18" hidden="1" x14ac:dyDescent="0.2">
      <c r="A38" s="2">
        <v>44662</v>
      </c>
      <c r="B38" s="2">
        <v>44662</v>
      </c>
      <c r="C38" t="s">
        <v>0</v>
      </c>
      <c r="D38" t="s">
        <v>38</v>
      </c>
      <c r="E38" t="s">
        <v>39</v>
      </c>
      <c r="F38" t="s">
        <v>121</v>
      </c>
      <c r="G38" t="s">
        <v>118</v>
      </c>
      <c r="H38" t="s">
        <v>119</v>
      </c>
      <c r="I38" t="s">
        <v>5</v>
      </c>
      <c r="J38" t="s">
        <v>120</v>
      </c>
      <c r="K38" t="s">
        <v>122</v>
      </c>
      <c r="L38" t="s">
        <v>5</v>
      </c>
      <c r="M38" t="s">
        <v>0</v>
      </c>
      <c r="N38" t="s">
        <v>7</v>
      </c>
      <c r="O38" s="4">
        <v>10</v>
      </c>
      <c r="P38" s="3">
        <v>78300</v>
      </c>
      <c r="Q38" t="s">
        <v>63</v>
      </c>
      <c r="R38" t="s">
        <v>46</v>
      </c>
    </row>
    <row r="39" spans="1:18" hidden="1" x14ac:dyDescent="0.2">
      <c r="A39" s="2">
        <v>44662</v>
      </c>
      <c r="B39" s="2">
        <v>44662</v>
      </c>
      <c r="C39" t="s">
        <v>0</v>
      </c>
      <c r="D39" t="s">
        <v>38</v>
      </c>
      <c r="E39" t="s">
        <v>39</v>
      </c>
      <c r="F39" t="s">
        <v>123</v>
      </c>
      <c r="G39" t="s">
        <v>118</v>
      </c>
      <c r="H39" t="s">
        <v>119</v>
      </c>
      <c r="I39" t="s">
        <v>5</v>
      </c>
      <c r="J39" t="s">
        <v>120</v>
      </c>
      <c r="K39" t="s">
        <v>122</v>
      </c>
      <c r="L39" t="s">
        <v>5</v>
      </c>
      <c r="M39" t="s">
        <v>0</v>
      </c>
      <c r="N39" t="s">
        <v>7</v>
      </c>
      <c r="O39" s="4">
        <v>10</v>
      </c>
      <c r="P39" s="3">
        <v>78300</v>
      </c>
      <c r="Q39" t="s">
        <v>50</v>
      </c>
      <c r="R39" t="s">
        <v>46</v>
      </c>
    </row>
    <row r="40" spans="1:18" hidden="1" x14ac:dyDescent="0.2">
      <c r="A40" s="2">
        <v>44662</v>
      </c>
      <c r="B40" s="2">
        <v>44662</v>
      </c>
      <c r="C40" t="s">
        <v>0</v>
      </c>
      <c r="D40" t="s">
        <v>38</v>
      </c>
      <c r="E40" t="s">
        <v>39</v>
      </c>
      <c r="F40" t="s">
        <v>124</v>
      </c>
      <c r="G40" t="s">
        <v>118</v>
      </c>
      <c r="H40" t="s">
        <v>119</v>
      </c>
      <c r="I40" t="s">
        <v>5</v>
      </c>
      <c r="J40" t="s">
        <v>120</v>
      </c>
      <c r="K40" t="s">
        <v>122</v>
      </c>
      <c r="L40" t="s">
        <v>5</v>
      </c>
      <c r="M40" t="s">
        <v>0</v>
      </c>
      <c r="N40" t="s">
        <v>7</v>
      </c>
      <c r="O40" s="4">
        <v>10</v>
      </c>
      <c r="P40" s="3">
        <v>78300</v>
      </c>
      <c r="Q40" t="s">
        <v>52</v>
      </c>
      <c r="R40" t="s">
        <v>46</v>
      </c>
    </row>
    <row r="41" spans="1:18" hidden="1" x14ac:dyDescent="0.2">
      <c r="A41" s="2">
        <v>44662</v>
      </c>
      <c r="B41" s="2">
        <v>44662</v>
      </c>
      <c r="C41" t="s">
        <v>0</v>
      </c>
      <c r="D41" t="s">
        <v>38</v>
      </c>
      <c r="E41" t="s">
        <v>39</v>
      </c>
      <c r="F41" t="s">
        <v>125</v>
      </c>
      <c r="G41" t="s">
        <v>118</v>
      </c>
      <c r="H41" t="s">
        <v>119</v>
      </c>
      <c r="I41" t="s">
        <v>5</v>
      </c>
      <c r="J41" t="s">
        <v>120</v>
      </c>
      <c r="K41" t="s">
        <v>122</v>
      </c>
      <c r="L41" t="s">
        <v>5</v>
      </c>
      <c r="M41" t="s">
        <v>0</v>
      </c>
      <c r="N41" t="s">
        <v>7</v>
      </c>
      <c r="O41" s="4">
        <v>10</v>
      </c>
      <c r="P41" s="3">
        <v>78300</v>
      </c>
      <c r="Q41" t="s">
        <v>57</v>
      </c>
      <c r="R41" t="s">
        <v>46</v>
      </c>
    </row>
    <row r="42" spans="1:18" hidden="1" x14ac:dyDescent="0.2">
      <c r="A42" s="2">
        <v>44662</v>
      </c>
      <c r="B42" s="2">
        <v>44661</v>
      </c>
      <c r="C42" t="s">
        <v>0</v>
      </c>
      <c r="D42" t="s">
        <v>38</v>
      </c>
      <c r="E42" t="s">
        <v>1</v>
      </c>
      <c r="F42" t="s">
        <v>126</v>
      </c>
      <c r="G42" t="s">
        <v>59</v>
      </c>
      <c r="H42" t="s">
        <v>60</v>
      </c>
      <c r="I42" t="s">
        <v>5</v>
      </c>
      <c r="J42" t="s">
        <v>127</v>
      </c>
      <c r="K42" t="s">
        <v>60</v>
      </c>
      <c r="L42" t="s">
        <v>5</v>
      </c>
      <c r="M42" t="s">
        <v>27</v>
      </c>
      <c r="N42" t="s">
        <v>7</v>
      </c>
      <c r="O42" s="4">
        <v>10</v>
      </c>
      <c r="P42" s="3">
        <v>78300</v>
      </c>
      <c r="Q42" t="s">
        <v>68</v>
      </c>
      <c r="R42" t="s">
        <v>46</v>
      </c>
    </row>
    <row r="43" spans="1:18" hidden="1" x14ac:dyDescent="0.2">
      <c r="A43" s="2">
        <v>44662</v>
      </c>
      <c r="B43" s="2">
        <v>44662</v>
      </c>
      <c r="C43" t="s">
        <v>0</v>
      </c>
      <c r="D43" t="s">
        <v>38</v>
      </c>
      <c r="E43" t="s">
        <v>1</v>
      </c>
      <c r="F43" t="s">
        <v>128</v>
      </c>
      <c r="G43" t="s">
        <v>104</v>
      </c>
      <c r="H43" t="s">
        <v>105</v>
      </c>
      <c r="I43" t="s">
        <v>5</v>
      </c>
      <c r="J43" t="s">
        <v>109</v>
      </c>
      <c r="K43" t="s">
        <v>105</v>
      </c>
      <c r="L43" t="s">
        <v>5</v>
      </c>
      <c r="M43" t="s">
        <v>27</v>
      </c>
      <c r="N43" t="s">
        <v>7</v>
      </c>
      <c r="O43" s="4">
        <v>15</v>
      </c>
      <c r="P43" s="3">
        <v>117450</v>
      </c>
      <c r="Q43" t="s">
        <v>129</v>
      </c>
      <c r="R43" t="s">
        <v>46</v>
      </c>
    </row>
    <row r="44" spans="1:18" x14ac:dyDescent="0.2">
      <c r="A44" s="2">
        <v>44663</v>
      </c>
      <c r="B44" s="2">
        <v>44662</v>
      </c>
      <c r="C44" t="s">
        <v>0</v>
      </c>
      <c r="D44" t="s">
        <v>38</v>
      </c>
      <c r="E44" t="s">
        <v>1</v>
      </c>
      <c r="F44" t="s">
        <v>130</v>
      </c>
      <c r="G44" t="s">
        <v>17</v>
      </c>
      <c r="H44" t="s">
        <v>18</v>
      </c>
      <c r="I44" t="s">
        <v>5</v>
      </c>
      <c r="J44" t="s">
        <v>70</v>
      </c>
      <c r="K44" t="s">
        <v>71</v>
      </c>
      <c r="L44" t="s">
        <v>5</v>
      </c>
      <c r="M44" t="s">
        <v>21</v>
      </c>
      <c r="N44" t="s">
        <v>7</v>
      </c>
      <c r="O44" s="4">
        <v>10</v>
      </c>
      <c r="P44" s="3">
        <v>78300</v>
      </c>
      <c r="Q44" t="s">
        <v>45</v>
      </c>
      <c r="R44" t="s">
        <v>46</v>
      </c>
    </row>
    <row r="45" spans="1:18" x14ac:dyDescent="0.2">
      <c r="A45" s="2">
        <v>44663</v>
      </c>
      <c r="B45" s="2">
        <v>44662</v>
      </c>
      <c r="C45" t="s">
        <v>0</v>
      </c>
      <c r="D45" t="s">
        <v>38</v>
      </c>
      <c r="E45" t="s">
        <v>1</v>
      </c>
      <c r="F45" t="s">
        <v>131</v>
      </c>
      <c r="G45" t="s">
        <v>17</v>
      </c>
      <c r="H45" t="s">
        <v>18</v>
      </c>
      <c r="I45" t="s">
        <v>5</v>
      </c>
      <c r="J45" t="s">
        <v>25</v>
      </c>
      <c r="K45" t="s">
        <v>26</v>
      </c>
      <c r="L45" t="s">
        <v>5</v>
      </c>
      <c r="M45" t="s">
        <v>27</v>
      </c>
      <c r="N45" t="s">
        <v>7</v>
      </c>
      <c r="O45" s="4">
        <v>10</v>
      </c>
      <c r="P45" s="3">
        <v>78300</v>
      </c>
      <c r="Q45" t="s">
        <v>63</v>
      </c>
      <c r="R45" t="s">
        <v>46</v>
      </c>
    </row>
    <row r="46" spans="1:18" x14ac:dyDescent="0.2">
      <c r="A46" s="2">
        <v>44663</v>
      </c>
      <c r="B46" s="2">
        <v>44662</v>
      </c>
      <c r="C46" t="s">
        <v>0</v>
      </c>
      <c r="D46" t="s">
        <v>38</v>
      </c>
      <c r="E46" t="s">
        <v>1</v>
      </c>
      <c r="F46" t="s">
        <v>132</v>
      </c>
      <c r="G46" t="s">
        <v>17</v>
      </c>
      <c r="H46" t="s">
        <v>18</v>
      </c>
      <c r="I46" t="s">
        <v>5</v>
      </c>
      <c r="J46" t="s">
        <v>25</v>
      </c>
      <c r="K46" t="s">
        <v>26</v>
      </c>
      <c r="L46" t="s">
        <v>5</v>
      </c>
      <c r="M46" t="s">
        <v>27</v>
      </c>
      <c r="N46" t="s">
        <v>7</v>
      </c>
      <c r="O46" s="4">
        <v>10</v>
      </c>
      <c r="P46" s="3">
        <v>78300</v>
      </c>
      <c r="Q46" t="s">
        <v>50</v>
      </c>
      <c r="R46" t="s">
        <v>46</v>
      </c>
    </row>
    <row r="47" spans="1:18" x14ac:dyDescent="0.2">
      <c r="A47" s="2">
        <v>44663</v>
      </c>
      <c r="B47" s="2">
        <v>44662</v>
      </c>
      <c r="C47" t="s">
        <v>0</v>
      </c>
      <c r="D47" t="s">
        <v>38</v>
      </c>
      <c r="E47" t="s">
        <v>1</v>
      </c>
      <c r="F47" t="s">
        <v>133</v>
      </c>
      <c r="G47" t="s">
        <v>17</v>
      </c>
      <c r="H47" t="s">
        <v>18</v>
      </c>
      <c r="I47" t="s">
        <v>5</v>
      </c>
      <c r="J47" t="s">
        <v>134</v>
      </c>
      <c r="K47" t="s">
        <v>135</v>
      </c>
      <c r="L47" t="s">
        <v>5</v>
      </c>
      <c r="M47" t="s">
        <v>136</v>
      </c>
      <c r="N47" t="s">
        <v>7</v>
      </c>
      <c r="O47" s="4">
        <v>10</v>
      </c>
      <c r="P47" s="3">
        <v>78300</v>
      </c>
      <c r="Q47" t="s">
        <v>52</v>
      </c>
      <c r="R47" t="s">
        <v>46</v>
      </c>
    </row>
    <row r="48" spans="1:18" x14ac:dyDescent="0.2">
      <c r="A48" s="2">
        <v>44663</v>
      </c>
      <c r="B48" s="2">
        <v>44662</v>
      </c>
      <c r="C48" t="s">
        <v>0</v>
      </c>
      <c r="D48" t="s">
        <v>38</v>
      </c>
      <c r="E48" t="s">
        <v>1</v>
      </c>
      <c r="F48" t="s">
        <v>137</v>
      </c>
      <c r="G48" t="s">
        <v>17</v>
      </c>
      <c r="H48" t="s">
        <v>18</v>
      </c>
      <c r="I48" t="s">
        <v>5</v>
      </c>
      <c r="J48" t="s">
        <v>134</v>
      </c>
      <c r="K48" t="s">
        <v>135</v>
      </c>
      <c r="L48" t="s">
        <v>5</v>
      </c>
      <c r="M48" t="s">
        <v>136</v>
      </c>
      <c r="N48" t="s">
        <v>7</v>
      </c>
      <c r="O48" s="4">
        <v>10</v>
      </c>
      <c r="P48" s="3">
        <v>78300</v>
      </c>
      <c r="Q48" t="s">
        <v>57</v>
      </c>
      <c r="R48" t="s">
        <v>46</v>
      </c>
    </row>
    <row r="49" spans="1:18" x14ac:dyDescent="0.2">
      <c r="A49" s="2">
        <v>44663</v>
      </c>
      <c r="B49" s="2">
        <v>44662</v>
      </c>
      <c r="C49" t="s">
        <v>0</v>
      </c>
      <c r="D49" t="s">
        <v>38</v>
      </c>
      <c r="E49" t="s">
        <v>1</v>
      </c>
      <c r="F49" t="s">
        <v>138</v>
      </c>
      <c r="G49" t="s">
        <v>17</v>
      </c>
      <c r="H49" t="s">
        <v>18</v>
      </c>
      <c r="I49" t="s">
        <v>91</v>
      </c>
      <c r="J49" t="s">
        <v>96</v>
      </c>
      <c r="K49" t="s">
        <v>97</v>
      </c>
      <c r="L49" t="s">
        <v>5</v>
      </c>
      <c r="M49" t="s">
        <v>27</v>
      </c>
      <c r="N49" t="s">
        <v>7</v>
      </c>
      <c r="O49" s="4">
        <v>15</v>
      </c>
      <c r="P49" s="3">
        <v>117450</v>
      </c>
      <c r="Q49" t="s">
        <v>68</v>
      </c>
      <c r="R49" t="s">
        <v>46</v>
      </c>
    </row>
    <row r="50" spans="1:18" x14ac:dyDescent="0.2">
      <c r="A50" s="2">
        <v>44663</v>
      </c>
      <c r="B50" s="2">
        <v>44662</v>
      </c>
      <c r="C50" t="s">
        <v>0</v>
      </c>
      <c r="D50" t="s">
        <v>38</v>
      </c>
      <c r="E50" t="s">
        <v>1</v>
      </c>
      <c r="F50" t="s">
        <v>139</v>
      </c>
      <c r="G50" t="s">
        <v>17</v>
      </c>
      <c r="H50" t="s">
        <v>18</v>
      </c>
      <c r="I50" t="s">
        <v>5</v>
      </c>
      <c r="J50" t="s">
        <v>140</v>
      </c>
      <c r="K50" t="s">
        <v>141</v>
      </c>
      <c r="L50" t="s">
        <v>5</v>
      </c>
      <c r="M50" t="s">
        <v>0</v>
      </c>
      <c r="N50" t="s">
        <v>7</v>
      </c>
      <c r="O50" s="4">
        <v>15</v>
      </c>
      <c r="P50" s="3">
        <v>117450</v>
      </c>
      <c r="Q50" t="s">
        <v>142</v>
      </c>
      <c r="R50" t="s">
        <v>46</v>
      </c>
    </row>
    <row r="51" spans="1:18" x14ac:dyDescent="0.2">
      <c r="A51" s="2">
        <v>44663</v>
      </c>
      <c r="B51" s="2">
        <v>44662</v>
      </c>
      <c r="C51" t="s">
        <v>0</v>
      </c>
      <c r="D51" t="s">
        <v>38</v>
      </c>
      <c r="E51" t="s">
        <v>1</v>
      </c>
      <c r="F51" t="s">
        <v>143</v>
      </c>
      <c r="G51" t="s">
        <v>17</v>
      </c>
      <c r="H51" t="s">
        <v>18</v>
      </c>
      <c r="I51" t="s">
        <v>5</v>
      </c>
      <c r="J51" t="s">
        <v>144</v>
      </c>
      <c r="K51" t="s">
        <v>145</v>
      </c>
      <c r="L51" t="s">
        <v>5</v>
      </c>
      <c r="M51" t="s">
        <v>27</v>
      </c>
      <c r="N51" t="s">
        <v>7</v>
      </c>
      <c r="O51" s="4">
        <v>10</v>
      </c>
      <c r="P51" s="3">
        <v>78300</v>
      </c>
      <c r="Q51" t="s">
        <v>146</v>
      </c>
      <c r="R51" t="s">
        <v>46</v>
      </c>
    </row>
    <row r="52" spans="1:18" x14ac:dyDescent="0.2">
      <c r="A52" s="2">
        <v>44663</v>
      </c>
      <c r="B52" s="2">
        <v>44662</v>
      </c>
      <c r="C52" t="s">
        <v>0</v>
      </c>
      <c r="D52" t="s">
        <v>38</v>
      </c>
      <c r="E52" t="s">
        <v>1</v>
      </c>
      <c r="F52" t="s">
        <v>147</v>
      </c>
      <c r="G52" t="s">
        <v>17</v>
      </c>
      <c r="H52" t="s">
        <v>18</v>
      </c>
      <c r="I52" t="s">
        <v>5</v>
      </c>
      <c r="J52" t="s">
        <v>95</v>
      </c>
      <c r="K52" t="s">
        <v>148</v>
      </c>
      <c r="L52" t="s">
        <v>5</v>
      </c>
      <c r="M52" t="s">
        <v>136</v>
      </c>
      <c r="N52" t="s">
        <v>7</v>
      </c>
      <c r="O52" s="4">
        <v>10</v>
      </c>
      <c r="P52" s="3">
        <v>78300</v>
      </c>
      <c r="Q52" t="s">
        <v>149</v>
      </c>
      <c r="R52" t="s">
        <v>46</v>
      </c>
    </row>
    <row r="53" spans="1:18" hidden="1" x14ac:dyDescent="0.2">
      <c r="A53" s="2">
        <v>44664</v>
      </c>
      <c r="B53" s="2">
        <v>44662</v>
      </c>
      <c r="C53" t="s">
        <v>0</v>
      </c>
      <c r="D53" t="s">
        <v>38</v>
      </c>
      <c r="E53" t="s">
        <v>1</v>
      </c>
      <c r="F53" t="s">
        <v>150</v>
      </c>
      <c r="G53" t="s">
        <v>151</v>
      </c>
      <c r="H53" t="s">
        <v>152</v>
      </c>
      <c r="I53" t="s">
        <v>153</v>
      </c>
      <c r="J53" t="s">
        <v>154</v>
      </c>
      <c r="K53" t="s">
        <v>155</v>
      </c>
      <c r="L53" t="s">
        <v>5</v>
      </c>
      <c r="M53" t="s">
        <v>21</v>
      </c>
      <c r="N53" t="s">
        <v>7</v>
      </c>
      <c r="O53" s="4">
        <v>10</v>
      </c>
      <c r="P53" s="3">
        <v>78300</v>
      </c>
      <c r="Q53" t="s">
        <v>45</v>
      </c>
      <c r="R53" t="s">
        <v>46</v>
      </c>
    </row>
    <row r="54" spans="1:18" hidden="1" x14ac:dyDescent="0.2">
      <c r="A54" s="2">
        <v>44664</v>
      </c>
      <c r="B54" s="2">
        <v>44662</v>
      </c>
      <c r="C54" t="s">
        <v>0</v>
      </c>
      <c r="D54" t="s">
        <v>38</v>
      </c>
      <c r="E54" t="s">
        <v>39</v>
      </c>
      <c r="F54" t="s">
        <v>156</v>
      </c>
      <c r="G54" t="s">
        <v>151</v>
      </c>
      <c r="H54" t="s">
        <v>152</v>
      </c>
      <c r="I54" t="s">
        <v>153</v>
      </c>
      <c r="J54" t="s">
        <v>154</v>
      </c>
      <c r="K54" t="s">
        <v>155</v>
      </c>
      <c r="L54" t="s">
        <v>5</v>
      </c>
      <c r="M54" t="s">
        <v>21</v>
      </c>
      <c r="N54" t="s">
        <v>7</v>
      </c>
      <c r="O54" s="4">
        <v>2.5</v>
      </c>
      <c r="P54" s="3">
        <v>19575</v>
      </c>
      <c r="Q54" t="s">
        <v>50</v>
      </c>
      <c r="R54" t="s">
        <v>46</v>
      </c>
    </row>
    <row r="55" spans="1:18" hidden="1" x14ac:dyDescent="0.2">
      <c r="A55" s="2">
        <v>44664</v>
      </c>
      <c r="B55" s="2">
        <v>44662</v>
      </c>
      <c r="C55" t="s">
        <v>0</v>
      </c>
      <c r="D55" t="s">
        <v>38</v>
      </c>
      <c r="E55" t="s">
        <v>1</v>
      </c>
      <c r="F55" t="s">
        <v>157</v>
      </c>
      <c r="G55" t="s">
        <v>151</v>
      </c>
      <c r="H55" t="s">
        <v>152</v>
      </c>
      <c r="I55" t="s">
        <v>153</v>
      </c>
      <c r="J55" t="s">
        <v>154</v>
      </c>
      <c r="K55" t="s">
        <v>155</v>
      </c>
      <c r="L55" t="s">
        <v>5</v>
      </c>
      <c r="M55" t="s">
        <v>21</v>
      </c>
      <c r="N55" t="s">
        <v>7</v>
      </c>
      <c r="O55" s="4">
        <v>9.5</v>
      </c>
      <c r="P55" s="3">
        <v>74385</v>
      </c>
      <c r="Q55" t="s">
        <v>57</v>
      </c>
      <c r="R55" t="s">
        <v>46</v>
      </c>
    </row>
    <row r="56" spans="1:18" hidden="1" x14ac:dyDescent="0.2">
      <c r="A56" s="2">
        <v>44668</v>
      </c>
      <c r="B56" s="2">
        <v>44668</v>
      </c>
      <c r="C56" t="s">
        <v>0</v>
      </c>
      <c r="D56" t="s">
        <v>38</v>
      </c>
      <c r="E56" t="s">
        <v>1</v>
      </c>
      <c r="F56" t="s">
        <v>158</v>
      </c>
      <c r="G56" t="s">
        <v>104</v>
      </c>
      <c r="H56" t="s">
        <v>105</v>
      </c>
      <c r="I56" t="s">
        <v>5</v>
      </c>
      <c r="J56" t="s">
        <v>159</v>
      </c>
      <c r="K56" t="s">
        <v>160</v>
      </c>
      <c r="L56" t="s">
        <v>5</v>
      </c>
      <c r="M56" t="s">
        <v>21</v>
      </c>
      <c r="N56" t="s">
        <v>7</v>
      </c>
      <c r="O56" s="4">
        <v>8</v>
      </c>
      <c r="P56" s="3">
        <v>62640</v>
      </c>
      <c r="Q56" t="s">
        <v>45</v>
      </c>
      <c r="R56" t="s">
        <v>46</v>
      </c>
    </row>
    <row r="57" spans="1:18" hidden="1" x14ac:dyDescent="0.2">
      <c r="A57" s="2">
        <v>44669</v>
      </c>
      <c r="B57" s="2">
        <v>44669</v>
      </c>
      <c r="C57" t="s">
        <v>0</v>
      </c>
      <c r="D57" t="s">
        <v>38</v>
      </c>
      <c r="E57" t="s">
        <v>98</v>
      </c>
      <c r="F57" t="s">
        <v>161</v>
      </c>
      <c r="G57" t="s">
        <v>104</v>
      </c>
      <c r="H57" t="s">
        <v>105</v>
      </c>
      <c r="I57" t="s">
        <v>5</v>
      </c>
      <c r="J57" t="s">
        <v>159</v>
      </c>
      <c r="K57" t="s">
        <v>160</v>
      </c>
      <c r="L57" t="s">
        <v>5</v>
      </c>
      <c r="M57" t="s">
        <v>21</v>
      </c>
      <c r="N57" t="s">
        <v>7</v>
      </c>
      <c r="O57" s="4">
        <v>8</v>
      </c>
      <c r="P57" s="3">
        <v>62640</v>
      </c>
      <c r="Q57" t="s">
        <v>45</v>
      </c>
      <c r="R57" t="s">
        <v>46</v>
      </c>
    </row>
    <row r="58" spans="1:18" hidden="1" x14ac:dyDescent="0.2">
      <c r="A58" s="2">
        <v>44670</v>
      </c>
      <c r="B58" s="2">
        <v>44670</v>
      </c>
      <c r="C58" t="s">
        <v>0</v>
      </c>
      <c r="D58" t="s">
        <v>38</v>
      </c>
      <c r="E58" t="s">
        <v>1</v>
      </c>
      <c r="F58" t="s">
        <v>162</v>
      </c>
      <c r="G58" t="s">
        <v>151</v>
      </c>
      <c r="H58" t="s">
        <v>152</v>
      </c>
      <c r="I58" t="s">
        <v>5</v>
      </c>
      <c r="J58" t="s">
        <v>163</v>
      </c>
      <c r="K58" t="s">
        <v>164</v>
      </c>
      <c r="L58" t="s">
        <v>5</v>
      </c>
      <c r="M58" t="s">
        <v>21</v>
      </c>
      <c r="N58" t="s">
        <v>7</v>
      </c>
      <c r="O58" s="4">
        <v>7.5</v>
      </c>
      <c r="P58" s="3">
        <v>58725</v>
      </c>
      <c r="Q58" t="s">
        <v>45</v>
      </c>
      <c r="R58" t="s">
        <v>46</v>
      </c>
    </row>
    <row r="59" spans="1:18" hidden="1" x14ac:dyDescent="0.2">
      <c r="A59" s="2">
        <v>44671</v>
      </c>
      <c r="B59" s="2">
        <v>44671</v>
      </c>
      <c r="C59" t="s">
        <v>0</v>
      </c>
      <c r="D59" t="s">
        <v>38</v>
      </c>
      <c r="E59" t="s">
        <v>98</v>
      </c>
      <c r="F59" t="s">
        <v>165</v>
      </c>
      <c r="G59" t="s">
        <v>17</v>
      </c>
      <c r="H59" t="s">
        <v>18</v>
      </c>
      <c r="I59" t="s">
        <v>5</v>
      </c>
      <c r="J59" t="s">
        <v>88</v>
      </c>
      <c r="K59" t="s">
        <v>89</v>
      </c>
      <c r="L59" t="s">
        <v>5</v>
      </c>
      <c r="M59" t="s">
        <v>33</v>
      </c>
      <c r="N59" t="s">
        <v>7</v>
      </c>
      <c r="O59" s="4">
        <v>10</v>
      </c>
      <c r="P59" s="3">
        <v>78300</v>
      </c>
      <c r="Q59" t="s">
        <v>45</v>
      </c>
      <c r="R59" t="s">
        <v>46</v>
      </c>
    </row>
    <row r="60" spans="1:18" x14ac:dyDescent="0.2">
      <c r="A60" s="2">
        <v>44673</v>
      </c>
      <c r="B60" s="2">
        <v>44673</v>
      </c>
      <c r="C60" t="s">
        <v>0</v>
      </c>
      <c r="D60" t="s">
        <v>38</v>
      </c>
      <c r="E60" t="s">
        <v>1</v>
      </c>
      <c r="F60" t="s">
        <v>166</v>
      </c>
      <c r="G60" t="s">
        <v>17</v>
      </c>
      <c r="H60" t="s">
        <v>18</v>
      </c>
      <c r="I60" t="s">
        <v>5</v>
      </c>
      <c r="J60" t="s">
        <v>167</v>
      </c>
      <c r="K60" t="s">
        <v>114</v>
      </c>
      <c r="L60" t="s">
        <v>5</v>
      </c>
      <c r="M60" t="s">
        <v>21</v>
      </c>
      <c r="N60" t="s">
        <v>7</v>
      </c>
      <c r="O60" s="4">
        <v>5</v>
      </c>
      <c r="P60" s="3">
        <v>39150</v>
      </c>
      <c r="Q60" t="s">
        <v>45</v>
      </c>
      <c r="R60" t="s">
        <v>46</v>
      </c>
    </row>
    <row r="61" spans="1:18" hidden="1" x14ac:dyDescent="0.2">
      <c r="A61" s="2">
        <v>44674</v>
      </c>
      <c r="B61" s="2">
        <v>44674</v>
      </c>
      <c r="C61" t="s">
        <v>0</v>
      </c>
      <c r="D61" t="s">
        <v>38</v>
      </c>
      <c r="E61" t="s">
        <v>98</v>
      </c>
      <c r="F61" t="s">
        <v>168</v>
      </c>
      <c r="G61" t="s">
        <v>17</v>
      </c>
      <c r="H61" t="s">
        <v>18</v>
      </c>
      <c r="I61" t="s">
        <v>5</v>
      </c>
      <c r="J61" t="s">
        <v>70</v>
      </c>
      <c r="K61" t="s">
        <v>71</v>
      </c>
      <c r="L61" t="s">
        <v>5</v>
      </c>
      <c r="M61" t="s">
        <v>21</v>
      </c>
      <c r="N61" t="s">
        <v>7</v>
      </c>
      <c r="O61" s="4">
        <v>8</v>
      </c>
      <c r="P61" s="3">
        <v>62640</v>
      </c>
      <c r="Q61" t="s">
        <v>45</v>
      </c>
      <c r="R61" t="s">
        <v>46</v>
      </c>
    </row>
    <row r="62" spans="1:18" x14ac:dyDescent="0.2">
      <c r="A62" s="2">
        <v>44674</v>
      </c>
      <c r="B62" s="2">
        <v>44674</v>
      </c>
      <c r="C62" t="s">
        <v>0</v>
      </c>
      <c r="D62" t="s">
        <v>38</v>
      </c>
      <c r="E62" t="s">
        <v>1</v>
      </c>
      <c r="F62" t="s">
        <v>169</v>
      </c>
      <c r="G62" t="s">
        <v>17</v>
      </c>
      <c r="H62" t="s">
        <v>18</v>
      </c>
      <c r="I62" t="s">
        <v>5</v>
      </c>
      <c r="J62" t="s">
        <v>25</v>
      </c>
      <c r="K62" t="s">
        <v>26</v>
      </c>
      <c r="L62" t="s">
        <v>5</v>
      </c>
      <c r="M62" t="s">
        <v>27</v>
      </c>
      <c r="N62" t="s">
        <v>7</v>
      </c>
      <c r="O62" s="4">
        <v>15</v>
      </c>
      <c r="P62" s="3">
        <v>117450</v>
      </c>
      <c r="Q62" t="s">
        <v>63</v>
      </c>
      <c r="R62" t="s">
        <v>46</v>
      </c>
    </row>
    <row r="63" spans="1:18" hidden="1" x14ac:dyDescent="0.2">
      <c r="A63" s="2">
        <v>44675</v>
      </c>
      <c r="B63" s="2">
        <v>44675</v>
      </c>
      <c r="C63" t="s">
        <v>0</v>
      </c>
      <c r="D63" t="s">
        <v>38</v>
      </c>
      <c r="E63" t="s">
        <v>98</v>
      </c>
      <c r="F63" t="s">
        <v>170</v>
      </c>
      <c r="G63" t="s">
        <v>17</v>
      </c>
      <c r="H63" t="s">
        <v>18</v>
      </c>
      <c r="I63" t="s">
        <v>5</v>
      </c>
      <c r="J63" t="s">
        <v>70</v>
      </c>
      <c r="K63" t="s">
        <v>71</v>
      </c>
      <c r="L63" t="s">
        <v>5</v>
      </c>
      <c r="M63" t="s">
        <v>21</v>
      </c>
      <c r="N63" t="s">
        <v>7</v>
      </c>
      <c r="O63" s="4">
        <v>12.5</v>
      </c>
      <c r="P63" s="3">
        <v>97875</v>
      </c>
      <c r="Q63" t="s">
        <v>45</v>
      </c>
      <c r="R63" t="s">
        <v>46</v>
      </c>
    </row>
    <row r="64" spans="1:18" x14ac:dyDescent="0.2">
      <c r="A64" s="2">
        <v>44676</v>
      </c>
      <c r="B64" s="2">
        <v>44676</v>
      </c>
      <c r="C64" t="s">
        <v>0</v>
      </c>
      <c r="D64" t="s">
        <v>38</v>
      </c>
      <c r="E64" t="s">
        <v>1</v>
      </c>
      <c r="F64" t="s">
        <v>171</v>
      </c>
      <c r="G64" t="s">
        <v>17</v>
      </c>
      <c r="H64" t="s">
        <v>18</v>
      </c>
      <c r="I64" t="s">
        <v>5</v>
      </c>
      <c r="J64" t="s">
        <v>25</v>
      </c>
      <c r="K64" t="s">
        <v>26</v>
      </c>
      <c r="L64" t="s">
        <v>5</v>
      </c>
      <c r="M64" t="s">
        <v>27</v>
      </c>
      <c r="N64" t="s">
        <v>7</v>
      </c>
      <c r="O64" s="4">
        <v>15</v>
      </c>
      <c r="P64" s="3">
        <v>117450</v>
      </c>
      <c r="Q64" t="s">
        <v>63</v>
      </c>
      <c r="R64" t="s">
        <v>46</v>
      </c>
    </row>
    <row r="65" spans="1:18" x14ac:dyDescent="0.2">
      <c r="A65" s="2">
        <v>44676</v>
      </c>
      <c r="B65" s="2">
        <v>44676</v>
      </c>
      <c r="C65" t="s">
        <v>0</v>
      </c>
      <c r="D65" t="s">
        <v>38</v>
      </c>
      <c r="E65" t="s">
        <v>1</v>
      </c>
      <c r="F65" t="s">
        <v>172</v>
      </c>
      <c r="G65" t="s">
        <v>17</v>
      </c>
      <c r="H65" t="s">
        <v>18</v>
      </c>
      <c r="I65" t="s">
        <v>5</v>
      </c>
      <c r="J65" t="s">
        <v>173</v>
      </c>
      <c r="K65" t="s">
        <v>174</v>
      </c>
      <c r="L65" t="s">
        <v>5</v>
      </c>
      <c r="M65" t="s">
        <v>175</v>
      </c>
      <c r="N65" t="s">
        <v>7</v>
      </c>
      <c r="O65" s="4">
        <v>15</v>
      </c>
      <c r="P65" s="3">
        <v>117450</v>
      </c>
      <c r="Q65" t="s">
        <v>52</v>
      </c>
      <c r="R65" t="s">
        <v>46</v>
      </c>
    </row>
    <row r="66" spans="1:18" hidden="1" x14ac:dyDescent="0.2">
      <c r="A66" s="2">
        <v>44676</v>
      </c>
      <c r="B66" s="2">
        <v>44676</v>
      </c>
      <c r="C66" t="s">
        <v>0</v>
      </c>
      <c r="D66" t="s">
        <v>38</v>
      </c>
      <c r="E66" t="s">
        <v>98</v>
      </c>
      <c r="F66" t="s">
        <v>176</v>
      </c>
      <c r="G66" t="s">
        <v>104</v>
      </c>
      <c r="H66" t="s">
        <v>105</v>
      </c>
      <c r="I66" t="s">
        <v>5</v>
      </c>
      <c r="J66" t="s">
        <v>106</v>
      </c>
      <c r="K66" t="s">
        <v>107</v>
      </c>
      <c r="L66" t="s">
        <v>5</v>
      </c>
      <c r="M66" t="s">
        <v>21</v>
      </c>
      <c r="N66" t="s">
        <v>102</v>
      </c>
      <c r="O66" s="4">
        <v>10</v>
      </c>
      <c r="P66" s="3">
        <v>89300</v>
      </c>
      <c r="Q66" t="s">
        <v>45</v>
      </c>
      <c r="R66" t="s">
        <v>46</v>
      </c>
    </row>
    <row r="67" spans="1:18" hidden="1" x14ac:dyDescent="0.2">
      <c r="A67" s="2">
        <v>44676</v>
      </c>
      <c r="B67" s="2">
        <v>44676</v>
      </c>
      <c r="C67" t="s">
        <v>0</v>
      </c>
      <c r="D67" t="s">
        <v>38</v>
      </c>
      <c r="E67" t="s">
        <v>98</v>
      </c>
      <c r="F67" t="s">
        <v>177</v>
      </c>
      <c r="G67" t="s">
        <v>59</v>
      </c>
      <c r="H67" t="s">
        <v>60</v>
      </c>
      <c r="I67" t="s">
        <v>5</v>
      </c>
      <c r="J67" t="s">
        <v>19</v>
      </c>
      <c r="K67" t="s">
        <v>20</v>
      </c>
      <c r="L67" t="s">
        <v>5</v>
      </c>
      <c r="M67" t="s">
        <v>21</v>
      </c>
      <c r="N67" t="s">
        <v>102</v>
      </c>
      <c r="O67" s="4">
        <v>2.5</v>
      </c>
      <c r="P67" s="3">
        <v>22325</v>
      </c>
      <c r="Q67" t="s">
        <v>45</v>
      </c>
      <c r="R67" t="s">
        <v>46</v>
      </c>
    </row>
    <row r="68" spans="1:18" hidden="1" x14ac:dyDescent="0.2">
      <c r="A68" s="2">
        <v>44676</v>
      </c>
      <c r="B68" s="2">
        <v>44676</v>
      </c>
      <c r="C68" t="s">
        <v>0</v>
      </c>
      <c r="D68" t="s">
        <v>38</v>
      </c>
      <c r="E68" t="s">
        <v>98</v>
      </c>
      <c r="F68" t="s">
        <v>178</v>
      </c>
      <c r="G68" t="s">
        <v>3</v>
      </c>
      <c r="H68" t="s">
        <v>4</v>
      </c>
      <c r="I68" t="s">
        <v>11</v>
      </c>
      <c r="J68" t="s">
        <v>179</v>
      </c>
      <c r="K68" t="s">
        <v>180</v>
      </c>
      <c r="L68" t="s">
        <v>5</v>
      </c>
      <c r="M68" t="s">
        <v>21</v>
      </c>
      <c r="N68" t="s">
        <v>7</v>
      </c>
      <c r="O68" s="4">
        <v>3</v>
      </c>
      <c r="P68" s="3">
        <v>23490</v>
      </c>
      <c r="Q68" t="s">
        <v>50</v>
      </c>
      <c r="R68" t="s">
        <v>46</v>
      </c>
    </row>
    <row r="69" spans="1:18" hidden="1" x14ac:dyDescent="0.2">
      <c r="A69" s="2">
        <v>44676</v>
      </c>
      <c r="B69" s="2">
        <v>44676</v>
      </c>
      <c r="C69" t="s">
        <v>0</v>
      </c>
      <c r="D69" t="s">
        <v>38</v>
      </c>
      <c r="E69" t="s">
        <v>1</v>
      </c>
      <c r="F69" t="s">
        <v>181</v>
      </c>
      <c r="G69" t="s">
        <v>3</v>
      </c>
      <c r="H69" t="s">
        <v>4</v>
      </c>
      <c r="I69" t="s">
        <v>11</v>
      </c>
      <c r="J69" t="s">
        <v>179</v>
      </c>
      <c r="K69" t="s">
        <v>180</v>
      </c>
      <c r="L69" t="s">
        <v>5</v>
      </c>
      <c r="M69" t="s">
        <v>21</v>
      </c>
      <c r="N69" t="s">
        <v>7</v>
      </c>
      <c r="O69" s="4">
        <v>5</v>
      </c>
      <c r="P69" s="3">
        <v>39150</v>
      </c>
      <c r="Q69" t="s">
        <v>50</v>
      </c>
      <c r="R69" t="s">
        <v>46</v>
      </c>
    </row>
    <row r="70" spans="1:18" hidden="1" x14ac:dyDescent="0.2">
      <c r="A70" s="2">
        <v>44676</v>
      </c>
      <c r="B70" s="2">
        <v>44676</v>
      </c>
      <c r="C70" t="s">
        <v>0</v>
      </c>
      <c r="D70" t="s">
        <v>38</v>
      </c>
      <c r="E70" t="s">
        <v>1</v>
      </c>
      <c r="F70" t="s">
        <v>182</v>
      </c>
      <c r="G70" t="s">
        <v>59</v>
      </c>
      <c r="H70" t="s">
        <v>60</v>
      </c>
      <c r="I70" t="s">
        <v>5</v>
      </c>
      <c r="J70" t="s">
        <v>127</v>
      </c>
      <c r="K70" t="s">
        <v>60</v>
      </c>
      <c r="L70" t="s">
        <v>5</v>
      </c>
      <c r="M70" t="s">
        <v>27</v>
      </c>
      <c r="N70" t="s">
        <v>7</v>
      </c>
      <c r="O70" s="4">
        <v>5</v>
      </c>
      <c r="P70" s="3">
        <v>39150</v>
      </c>
      <c r="Q70" t="s">
        <v>57</v>
      </c>
      <c r="R70" t="s">
        <v>46</v>
      </c>
    </row>
    <row r="71" spans="1:18" hidden="1" x14ac:dyDescent="0.2">
      <c r="A71" s="2">
        <v>44677</v>
      </c>
      <c r="B71" s="2">
        <v>44677</v>
      </c>
      <c r="C71" t="s">
        <v>0</v>
      </c>
      <c r="D71" t="s">
        <v>38</v>
      </c>
      <c r="E71" t="s">
        <v>1</v>
      </c>
      <c r="F71" t="s">
        <v>183</v>
      </c>
      <c r="G71" t="s">
        <v>104</v>
      </c>
      <c r="H71" t="s">
        <v>105</v>
      </c>
      <c r="I71" t="s">
        <v>5</v>
      </c>
      <c r="J71" t="s">
        <v>106</v>
      </c>
      <c r="K71" t="s">
        <v>107</v>
      </c>
      <c r="L71" t="s">
        <v>5</v>
      </c>
      <c r="M71" t="s">
        <v>21</v>
      </c>
      <c r="N71" t="s">
        <v>7</v>
      </c>
      <c r="O71" s="4">
        <v>5</v>
      </c>
      <c r="P71" s="3">
        <v>39150</v>
      </c>
      <c r="Q71" t="s">
        <v>45</v>
      </c>
      <c r="R71" t="s">
        <v>46</v>
      </c>
    </row>
    <row r="72" spans="1:18" x14ac:dyDescent="0.2">
      <c r="A72" s="2">
        <v>44678</v>
      </c>
      <c r="B72" s="2">
        <v>44678</v>
      </c>
      <c r="C72" t="s">
        <v>0</v>
      </c>
      <c r="D72" t="s">
        <v>38</v>
      </c>
      <c r="E72" t="s">
        <v>1</v>
      </c>
      <c r="F72" t="s">
        <v>184</v>
      </c>
      <c r="G72" t="s">
        <v>17</v>
      </c>
      <c r="H72" t="s">
        <v>18</v>
      </c>
      <c r="I72" t="s">
        <v>5</v>
      </c>
      <c r="J72" t="s">
        <v>185</v>
      </c>
      <c r="K72" t="s">
        <v>20</v>
      </c>
      <c r="L72" t="s">
        <v>5</v>
      </c>
      <c r="M72" t="s">
        <v>186</v>
      </c>
      <c r="N72" t="s">
        <v>7</v>
      </c>
      <c r="O72" s="4">
        <v>10</v>
      </c>
      <c r="P72" s="3">
        <v>78300</v>
      </c>
      <c r="Q72" t="s">
        <v>45</v>
      </c>
      <c r="R72" t="s">
        <v>46</v>
      </c>
    </row>
    <row r="73" spans="1:18" x14ac:dyDescent="0.2">
      <c r="A73" s="2">
        <v>44678</v>
      </c>
      <c r="B73" s="2">
        <v>44678</v>
      </c>
      <c r="C73" t="s">
        <v>0</v>
      </c>
      <c r="D73" t="s">
        <v>38</v>
      </c>
      <c r="E73" t="s">
        <v>1</v>
      </c>
      <c r="F73" t="s">
        <v>187</v>
      </c>
      <c r="G73" t="s">
        <v>17</v>
      </c>
      <c r="H73" t="s">
        <v>18</v>
      </c>
      <c r="I73" t="s">
        <v>5</v>
      </c>
      <c r="J73" t="s">
        <v>185</v>
      </c>
      <c r="K73" t="s">
        <v>20</v>
      </c>
      <c r="L73" t="s">
        <v>5</v>
      </c>
      <c r="M73" t="s">
        <v>186</v>
      </c>
      <c r="N73" t="s">
        <v>15</v>
      </c>
      <c r="O73" s="4">
        <v>1</v>
      </c>
      <c r="P73" s="3">
        <v>8330</v>
      </c>
      <c r="Q73" t="s">
        <v>45</v>
      </c>
      <c r="R73" t="s">
        <v>46</v>
      </c>
    </row>
    <row r="74" spans="1:18" hidden="1" x14ac:dyDescent="0.2">
      <c r="A74" s="2">
        <v>44679</v>
      </c>
      <c r="B74" s="2">
        <v>44679</v>
      </c>
      <c r="C74" t="s">
        <v>0</v>
      </c>
      <c r="D74" t="s">
        <v>38</v>
      </c>
      <c r="E74" t="s">
        <v>98</v>
      </c>
      <c r="F74" t="s">
        <v>188</v>
      </c>
      <c r="G74" t="s">
        <v>59</v>
      </c>
      <c r="H74" t="s">
        <v>60</v>
      </c>
      <c r="I74" t="s">
        <v>85</v>
      </c>
      <c r="J74" t="s">
        <v>189</v>
      </c>
      <c r="K74" t="s">
        <v>190</v>
      </c>
      <c r="L74" t="s">
        <v>5</v>
      </c>
      <c r="M74" t="s">
        <v>33</v>
      </c>
      <c r="N74" t="s">
        <v>102</v>
      </c>
      <c r="O74" s="4">
        <v>7.5</v>
      </c>
      <c r="P74" s="3">
        <v>66975</v>
      </c>
      <c r="Q74" t="s">
        <v>45</v>
      </c>
      <c r="R74" t="s">
        <v>46</v>
      </c>
    </row>
    <row r="75" spans="1:18" x14ac:dyDescent="0.2">
      <c r="A75" s="2">
        <v>44679</v>
      </c>
      <c r="B75" s="2">
        <v>44679</v>
      </c>
      <c r="C75" t="s">
        <v>0</v>
      </c>
      <c r="D75" t="s">
        <v>38</v>
      </c>
      <c r="E75" t="s">
        <v>1</v>
      </c>
      <c r="F75" t="s">
        <v>191</v>
      </c>
      <c r="G75" t="s">
        <v>17</v>
      </c>
      <c r="H75" t="s">
        <v>18</v>
      </c>
      <c r="I75" t="s">
        <v>5</v>
      </c>
      <c r="J75" t="s">
        <v>100</v>
      </c>
      <c r="K75" t="s">
        <v>101</v>
      </c>
      <c r="L75" t="s">
        <v>5</v>
      </c>
      <c r="M75" t="s">
        <v>33</v>
      </c>
      <c r="N75" t="s">
        <v>7</v>
      </c>
      <c r="O75" s="4">
        <v>10</v>
      </c>
      <c r="P75" s="3">
        <v>78300</v>
      </c>
      <c r="Q75" t="s">
        <v>45</v>
      </c>
      <c r="R75" t="s">
        <v>46</v>
      </c>
    </row>
    <row r="76" spans="1:18" x14ac:dyDescent="0.2">
      <c r="A76" s="2">
        <v>44680</v>
      </c>
      <c r="B76" s="2">
        <v>44679</v>
      </c>
      <c r="C76" t="s">
        <v>0</v>
      </c>
      <c r="D76" t="s">
        <v>38</v>
      </c>
      <c r="E76" t="s">
        <v>1</v>
      </c>
      <c r="F76" t="s">
        <v>192</v>
      </c>
      <c r="G76" t="s">
        <v>17</v>
      </c>
      <c r="H76" t="s">
        <v>18</v>
      </c>
      <c r="I76" t="s">
        <v>5</v>
      </c>
      <c r="J76" t="s">
        <v>100</v>
      </c>
      <c r="K76" t="s">
        <v>101</v>
      </c>
      <c r="L76" t="s">
        <v>5</v>
      </c>
      <c r="M76" t="s">
        <v>33</v>
      </c>
      <c r="N76" t="s">
        <v>7</v>
      </c>
      <c r="O76" s="4">
        <v>10</v>
      </c>
      <c r="P76" s="3">
        <v>78300</v>
      </c>
      <c r="Q76" t="s">
        <v>45</v>
      </c>
      <c r="R76" t="s">
        <v>46</v>
      </c>
    </row>
    <row r="77" spans="1:18" x14ac:dyDescent="0.2">
      <c r="A77" s="2">
        <v>44680</v>
      </c>
      <c r="B77" s="2">
        <v>44680</v>
      </c>
      <c r="C77" t="s">
        <v>0</v>
      </c>
      <c r="D77" t="s">
        <v>38</v>
      </c>
      <c r="E77" t="s">
        <v>1</v>
      </c>
      <c r="F77" t="s">
        <v>193</v>
      </c>
      <c r="G77" t="s">
        <v>17</v>
      </c>
      <c r="H77" t="s">
        <v>18</v>
      </c>
      <c r="I77" t="s">
        <v>5</v>
      </c>
      <c r="J77" t="s">
        <v>194</v>
      </c>
      <c r="K77" t="s">
        <v>18</v>
      </c>
      <c r="L77" t="s">
        <v>5</v>
      </c>
      <c r="M77" t="s">
        <v>195</v>
      </c>
      <c r="N77" t="s">
        <v>7</v>
      </c>
      <c r="O77" s="4">
        <v>15</v>
      </c>
      <c r="P77" s="3">
        <v>117450</v>
      </c>
      <c r="Q77" t="s">
        <v>52</v>
      </c>
      <c r="R77" t="s">
        <v>46</v>
      </c>
    </row>
    <row r="78" spans="1:18" hidden="1" x14ac:dyDescent="0.2">
      <c r="A78" s="2">
        <v>44681</v>
      </c>
      <c r="B78" s="2">
        <v>44681</v>
      </c>
      <c r="C78" t="s">
        <v>0</v>
      </c>
      <c r="D78" t="s">
        <v>38</v>
      </c>
      <c r="E78" t="s">
        <v>1</v>
      </c>
      <c r="F78" t="s">
        <v>196</v>
      </c>
      <c r="G78" t="s">
        <v>104</v>
      </c>
      <c r="H78" t="s">
        <v>105</v>
      </c>
      <c r="I78" t="s">
        <v>5</v>
      </c>
      <c r="J78" t="s">
        <v>197</v>
      </c>
      <c r="K78" t="s">
        <v>198</v>
      </c>
      <c r="L78" t="s">
        <v>5</v>
      </c>
      <c r="M78" t="s">
        <v>186</v>
      </c>
      <c r="N78" t="s">
        <v>7</v>
      </c>
      <c r="O78" s="4">
        <v>10</v>
      </c>
      <c r="P78" s="3">
        <v>78300</v>
      </c>
      <c r="Q78" t="s">
        <v>45</v>
      </c>
      <c r="R78" t="s">
        <v>46</v>
      </c>
    </row>
    <row r="79" spans="1:18" hidden="1" x14ac:dyDescent="0.2">
      <c r="A79" s="2">
        <v>44681</v>
      </c>
      <c r="B79" s="2">
        <v>44681</v>
      </c>
      <c r="C79" t="s">
        <v>0</v>
      </c>
      <c r="D79" t="s">
        <v>38</v>
      </c>
      <c r="E79" t="s">
        <v>1</v>
      </c>
      <c r="F79" t="s">
        <v>199</v>
      </c>
      <c r="G79" t="s">
        <v>104</v>
      </c>
      <c r="H79" t="s">
        <v>105</v>
      </c>
      <c r="I79" t="s">
        <v>5</v>
      </c>
      <c r="J79" t="s">
        <v>113</v>
      </c>
      <c r="K79" t="s">
        <v>114</v>
      </c>
      <c r="L79" t="s">
        <v>5</v>
      </c>
      <c r="M79" t="s">
        <v>33</v>
      </c>
      <c r="N79" t="s">
        <v>7</v>
      </c>
      <c r="O79" s="4">
        <v>10</v>
      </c>
      <c r="P79" s="3">
        <v>78300</v>
      </c>
      <c r="Q79" t="s">
        <v>45</v>
      </c>
      <c r="R79" t="s">
        <v>46</v>
      </c>
    </row>
    <row r="80" spans="1:18" hidden="1" x14ac:dyDescent="0.2">
      <c r="A80" s="2">
        <v>44681</v>
      </c>
      <c r="B80" s="2">
        <v>44681</v>
      </c>
      <c r="C80" t="s">
        <v>0</v>
      </c>
      <c r="D80" t="s">
        <v>38</v>
      </c>
      <c r="E80" t="s">
        <v>1</v>
      </c>
      <c r="F80" t="s">
        <v>200</v>
      </c>
      <c r="G80" t="s">
        <v>104</v>
      </c>
      <c r="H80" t="s">
        <v>105</v>
      </c>
      <c r="I80" t="s">
        <v>5</v>
      </c>
      <c r="J80" t="s">
        <v>109</v>
      </c>
      <c r="K80" t="s">
        <v>105</v>
      </c>
      <c r="L80" t="s">
        <v>5</v>
      </c>
      <c r="M80" t="s">
        <v>27</v>
      </c>
      <c r="N80" t="s">
        <v>7</v>
      </c>
      <c r="O80" s="4">
        <v>10</v>
      </c>
      <c r="P80" s="3">
        <v>78300</v>
      </c>
      <c r="Q80" t="s">
        <v>57</v>
      </c>
      <c r="R80" t="s">
        <v>46</v>
      </c>
    </row>
    <row r="81" spans="1:18" hidden="1" x14ac:dyDescent="0.2">
      <c r="A81" s="2">
        <v>44681</v>
      </c>
      <c r="B81" s="2">
        <v>44681</v>
      </c>
      <c r="C81" t="s">
        <v>0</v>
      </c>
      <c r="D81" t="s">
        <v>38</v>
      </c>
      <c r="E81" t="s">
        <v>1</v>
      </c>
      <c r="F81" t="s">
        <v>201</v>
      </c>
      <c r="G81" t="s">
        <v>59</v>
      </c>
      <c r="H81" t="s">
        <v>60</v>
      </c>
      <c r="I81" t="s">
        <v>85</v>
      </c>
      <c r="J81" t="s">
        <v>61</v>
      </c>
      <c r="K81" t="s">
        <v>62</v>
      </c>
      <c r="L81" t="s">
        <v>5</v>
      </c>
      <c r="M81" t="s">
        <v>27</v>
      </c>
      <c r="N81" t="s">
        <v>7</v>
      </c>
      <c r="O81" s="4">
        <v>6</v>
      </c>
      <c r="P81" s="3">
        <v>46980</v>
      </c>
      <c r="Q81" t="s">
        <v>50</v>
      </c>
      <c r="R81" t="s">
        <v>46</v>
      </c>
    </row>
    <row r="82" spans="1:18" x14ac:dyDescent="0.2">
      <c r="A82" s="2">
        <v>44681</v>
      </c>
      <c r="B82" s="2">
        <v>44681</v>
      </c>
      <c r="C82" t="s">
        <v>0</v>
      </c>
      <c r="D82" t="s">
        <v>38</v>
      </c>
      <c r="E82" t="s">
        <v>1</v>
      </c>
      <c r="F82" t="s">
        <v>202</v>
      </c>
      <c r="G82" t="s">
        <v>17</v>
      </c>
      <c r="H82" t="s">
        <v>18</v>
      </c>
      <c r="I82" t="s">
        <v>5</v>
      </c>
      <c r="J82" t="s">
        <v>194</v>
      </c>
      <c r="K82" t="s">
        <v>18</v>
      </c>
      <c r="L82" t="s">
        <v>5</v>
      </c>
      <c r="M82" t="s">
        <v>195</v>
      </c>
      <c r="N82" t="s">
        <v>7</v>
      </c>
      <c r="O82" s="4">
        <v>10</v>
      </c>
      <c r="P82" s="3">
        <v>78300</v>
      </c>
      <c r="Q82" t="s">
        <v>52</v>
      </c>
      <c r="R82" t="s">
        <v>46</v>
      </c>
    </row>
    <row r="83" spans="1:18" x14ac:dyDescent="0.2">
      <c r="A83" s="2">
        <v>44681</v>
      </c>
      <c r="B83" s="2">
        <v>44681</v>
      </c>
      <c r="C83" t="s">
        <v>0</v>
      </c>
      <c r="D83" t="s">
        <v>38</v>
      </c>
      <c r="E83" t="s">
        <v>1</v>
      </c>
      <c r="F83" t="s">
        <v>203</v>
      </c>
      <c r="G83" t="s">
        <v>17</v>
      </c>
      <c r="H83" t="s">
        <v>18</v>
      </c>
      <c r="I83" t="s">
        <v>5</v>
      </c>
      <c r="J83" t="s">
        <v>194</v>
      </c>
      <c r="K83" t="s">
        <v>18</v>
      </c>
      <c r="L83" t="s">
        <v>5</v>
      </c>
      <c r="M83" t="s">
        <v>195</v>
      </c>
      <c r="N83" t="s">
        <v>7</v>
      </c>
      <c r="O83" s="4">
        <v>10</v>
      </c>
      <c r="P83" s="3">
        <v>78300</v>
      </c>
      <c r="Q83" t="s">
        <v>63</v>
      </c>
      <c r="R83" t="s">
        <v>46</v>
      </c>
    </row>
    <row r="84" spans="1:18" hidden="1" x14ac:dyDescent="0.2">
      <c r="A84" s="5"/>
      <c r="B84" s="5"/>
      <c r="C84" s="6" t="s">
        <v>5</v>
      </c>
      <c r="D84" s="6" t="s">
        <v>5</v>
      </c>
      <c r="E84" s="6" t="s">
        <v>5</v>
      </c>
      <c r="F84" s="6" t="s">
        <v>5</v>
      </c>
      <c r="G84" s="6" t="s">
        <v>5</v>
      </c>
      <c r="H84" s="6" t="s">
        <v>5</v>
      </c>
      <c r="I84" s="6" t="s">
        <v>5</v>
      </c>
      <c r="J84" s="6" t="s">
        <v>5</v>
      </c>
      <c r="K84" s="6" t="s">
        <v>5</v>
      </c>
      <c r="L84" s="6" t="s">
        <v>5</v>
      </c>
      <c r="M84" s="6" t="s">
        <v>5</v>
      </c>
      <c r="N84" s="6" t="s">
        <v>5</v>
      </c>
      <c r="O84" s="7">
        <v>904.5</v>
      </c>
      <c r="P84" s="8">
        <v>6878885</v>
      </c>
      <c r="Q84" s="6" t="s">
        <v>5</v>
      </c>
      <c r="R84" s="6" t="s">
        <v>5</v>
      </c>
    </row>
    <row r="89" spans="1:18" x14ac:dyDescent="0.2">
      <c r="K89" s="10" t="s">
        <v>222</v>
      </c>
      <c r="L89" s="10"/>
      <c r="M89" s="11">
        <v>11</v>
      </c>
    </row>
    <row r="90" spans="1:18" x14ac:dyDescent="0.2">
      <c r="K90" s="12" t="s">
        <v>223</v>
      </c>
      <c r="L90" s="12"/>
      <c r="M90" s="11">
        <v>32.5</v>
      </c>
    </row>
    <row r="91" spans="1:18" x14ac:dyDescent="0.2">
      <c r="K91" s="10" t="s">
        <v>224</v>
      </c>
      <c r="L91" s="10"/>
      <c r="M91" s="11">
        <v>30.5</v>
      </c>
    </row>
    <row r="92" spans="1:18" x14ac:dyDescent="0.2">
      <c r="K92" s="12" t="s">
        <v>225</v>
      </c>
      <c r="L92" s="12"/>
      <c r="M92" s="11">
        <v>0</v>
      </c>
    </row>
    <row r="93" spans="1:18" x14ac:dyDescent="0.2">
      <c r="K93" s="13" t="s">
        <v>226</v>
      </c>
      <c r="L93" s="13"/>
      <c r="M93" s="14">
        <f>SUBTOTAL(9,M89:M92)</f>
        <v>74</v>
      </c>
    </row>
    <row r="95" spans="1:18" x14ac:dyDescent="0.2">
      <c r="K95" s="10" t="s">
        <v>227</v>
      </c>
      <c r="L95" s="10"/>
      <c r="M95" s="11">
        <v>181.5</v>
      </c>
    </row>
    <row r="96" spans="1:18" x14ac:dyDescent="0.2">
      <c r="K96" s="10" t="s">
        <v>228</v>
      </c>
      <c r="L96" s="10"/>
      <c r="M96" s="11">
        <v>90</v>
      </c>
    </row>
    <row r="97" spans="11:13" x14ac:dyDescent="0.2">
      <c r="K97" s="13" t="s">
        <v>229</v>
      </c>
      <c r="L97" s="13"/>
      <c r="M97" s="14">
        <f>SUBTOTAL(9,M95:M96)</f>
        <v>271.5</v>
      </c>
    </row>
    <row r="98" spans="11:13" x14ac:dyDescent="0.2">
      <c r="M98" s="15"/>
    </row>
    <row r="99" spans="11:13" x14ac:dyDescent="0.2">
      <c r="K99" s="10" t="s">
        <v>230</v>
      </c>
      <c r="L99" s="10"/>
      <c r="M99" s="11">
        <v>224</v>
      </c>
    </row>
    <row r="100" spans="11:13" x14ac:dyDescent="0.2">
      <c r="K100" s="10" t="s">
        <v>231</v>
      </c>
      <c r="L100" s="10"/>
      <c r="M100" s="11">
        <v>335</v>
      </c>
    </row>
    <row r="101" spans="11:13" x14ac:dyDescent="0.2">
      <c r="K101" s="13" t="s">
        <v>232</v>
      </c>
      <c r="L101" s="13"/>
      <c r="M101" s="14">
        <f>+M100+M99</f>
        <v>559</v>
      </c>
    </row>
    <row r="102" spans="11:13" x14ac:dyDescent="0.2">
      <c r="K102" s="13" t="s">
        <v>233</v>
      </c>
      <c r="L102" s="13"/>
      <c r="M102" s="16">
        <f>+M101+M97+M93</f>
        <v>904.5</v>
      </c>
    </row>
  </sheetData>
  <autoFilter ref="A1:W84">
    <filterColumn colId="4">
      <filters blank="1">
        <filter val="1004"/>
      </filters>
    </filterColumn>
    <filterColumn colId="7">
      <filters>
        <filter val="SHARMA CEMENT AGENCY"/>
      </filters>
    </filterColumn>
  </autoFilter>
  <mergeCells count="12">
    <mergeCell ref="K96:L96"/>
    <mergeCell ref="K97:L97"/>
    <mergeCell ref="K99:L99"/>
    <mergeCell ref="K100:L100"/>
    <mergeCell ref="K101:L101"/>
    <mergeCell ref="K102:L102"/>
    <mergeCell ref="K89:L89"/>
    <mergeCell ref="K90:L90"/>
    <mergeCell ref="K91:L91"/>
    <mergeCell ref="K92:L92"/>
    <mergeCell ref="K93:L93"/>
    <mergeCell ref="K95:L95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Local.User</cp:lastModifiedBy>
  <cp:revision>1</cp:revision>
  <dcterms:modified xsi:type="dcterms:W3CDTF">2022-05-02T10:59:24Z</dcterms:modified>
  <cp:category/>
</cp:coreProperties>
</file>