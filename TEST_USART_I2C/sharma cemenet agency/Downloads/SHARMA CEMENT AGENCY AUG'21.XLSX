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ALWAR AO FY 21-22\BO BILL DETAIL FY 21-22\AUG'21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Sheet1!$A$1:$W$69</definedName>
  </definedNames>
  <calcPr calcId="152511"/>
</workbook>
</file>

<file path=xl/calcChain.xml><?xml version="1.0" encoding="utf-8"?>
<calcChain xmlns="http://schemas.openxmlformats.org/spreadsheetml/2006/main">
  <c r="L80" i="1" l="1"/>
  <c r="L76" i="1"/>
  <c r="L81" i="1" l="1"/>
</calcChain>
</file>

<file path=xl/sharedStrings.xml><?xml version="1.0" encoding="utf-8"?>
<sst xmlns="http://schemas.openxmlformats.org/spreadsheetml/2006/main" count="910" uniqueCount="144">
  <si>
    <t>DHOLPUR</t>
  </si>
  <si>
    <t>1004</t>
  </si>
  <si>
    <t>208516</t>
  </si>
  <si>
    <t>HARDENIYA CEMENT AGENCIES</t>
  </si>
  <si>
    <t/>
  </si>
  <si>
    <t>0000208516</t>
  </si>
  <si>
    <t>MANIA</t>
  </si>
  <si>
    <t>PPC</t>
  </si>
  <si>
    <t>RJ32GB9035</t>
  </si>
  <si>
    <t>AMAR TRANSPORT COMPANY</t>
  </si>
  <si>
    <t>208026</t>
  </si>
  <si>
    <t>PRIYA ENTERPRISES</t>
  </si>
  <si>
    <t>0000815101</t>
  </si>
  <si>
    <t>0021180985</t>
  </si>
  <si>
    <t>Rupesh ji</t>
  </si>
  <si>
    <t>RAJAKHERA</t>
  </si>
  <si>
    <t>174713</t>
  </si>
  <si>
    <t>KANHA BUILDING MATERIAL</t>
  </si>
  <si>
    <t>0021178059</t>
  </si>
  <si>
    <t>khana building material</t>
  </si>
  <si>
    <t>BASEDI</t>
  </si>
  <si>
    <t>KA32D7583</t>
  </si>
  <si>
    <t>ARAVALI GOODS TRANSPORT COMPANY</t>
  </si>
  <si>
    <t>0000807200</t>
  </si>
  <si>
    <t>0021178058</t>
  </si>
  <si>
    <t>Shiv Ganpati Granite &amp; Marble</t>
  </si>
  <si>
    <t>OPC</t>
  </si>
  <si>
    <t>202758</t>
  </si>
  <si>
    <t>B M TRADING &amp; CONSTRUCTION COM</t>
  </si>
  <si>
    <t>0000202758</t>
  </si>
  <si>
    <t>BARI</t>
  </si>
  <si>
    <t>RJ05GB4271</t>
  </si>
  <si>
    <t>ASHOK FREIGHT CARRIERS PVT LTD</t>
  </si>
  <si>
    <t>0000811848</t>
  </si>
  <si>
    <t>R R CONSTRUCTION COMPANY</t>
  </si>
  <si>
    <t>149403</t>
  </si>
  <si>
    <t>VINAYAK BUILDING MATERIAL</t>
  </si>
  <si>
    <t>0000149403</t>
  </si>
  <si>
    <t>RJ09GC5738</t>
  </si>
  <si>
    <t>JAI JWALA TRAILOR TRANSPORT CO</t>
  </si>
  <si>
    <t>146791</t>
  </si>
  <si>
    <t>OM SAI CONSTRUCTION</t>
  </si>
  <si>
    <t>0021179969</t>
  </si>
  <si>
    <t>Punit ji</t>
  </si>
  <si>
    <t>RJ32GB4817</t>
  </si>
  <si>
    <t>1468</t>
  </si>
  <si>
    <t>0021179310</t>
  </si>
  <si>
    <t>Manish ji</t>
  </si>
  <si>
    <t>MANGROL (DHOLPUR)</t>
  </si>
  <si>
    <t>RJ11RB1971</t>
  </si>
  <si>
    <t>GANESHA TRADERS</t>
  </si>
  <si>
    <t>0021180070</t>
  </si>
  <si>
    <t>HEERA SINGH</t>
  </si>
  <si>
    <t>MARENA</t>
  </si>
  <si>
    <t>0021180982</t>
  </si>
  <si>
    <t>Anoop ji</t>
  </si>
  <si>
    <t>1001</t>
  </si>
  <si>
    <t>0021180983</t>
  </si>
  <si>
    <t>Kailash ji</t>
  </si>
  <si>
    <t>PPCWS</t>
  </si>
  <si>
    <t>RJ11RA7070</t>
  </si>
  <si>
    <t>RJ11RA6565</t>
  </si>
  <si>
    <t>119074</t>
  </si>
  <si>
    <t>LAVANIA CEMENT SALES CORPORATI</t>
  </si>
  <si>
    <t>0000119074</t>
  </si>
  <si>
    <t>179894</t>
  </si>
  <si>
    <t>SHARMA CEMENT AGENCY</t>
  </si>
  <si>
    <t>RJ11RA9826</t>
  </si>
  <si>
    <t>0021180981</t>
  </si>
  <si>
    <t>Yogesh ji</t>
  </si>
  <si>
    <t>RJ11RA1271</t>
  </si>
  <si>
    <t>0000812404</t>
  </si>
  <si>
    <t>GUPTA HARDWARE STORE</t>
  </si>
  <si>
    <t>RJ11RA7742</t>
  </si>
  <si>
    <t>0021179308</t>
  </si>
  <si>
    <t>Ramkaran ji</t>
  </si>
  <si>
    <t>BASAI NABAB</t>
  </si>
  <si>
    <t>0021180109</t>
  </si>
  <si>
    <t>Ramkishor ji</t>
  </si>
  <si>
    <t>SAIPAU</t>
  </si>
  <si>
    <t>0021192454</t>
  </si>
  <si>
    <t>Rakesh ji</t>
  </si>
  <si>
    <t>0021180984</t>
  </si>
  <si>
    <t>Nandlal ji</t>
  </si>
  <si>
    <t>0021180078</t>
  </si>
  <si>
    <t>Kamal ji</t>
  </si>
  <si>
    <t>0000811944</t>
  </si>
  <si>
    <t>RAVINDRA SINGH PARMAR</t>
  </si>
  <si>
    <t>0021179977</t>
  </si>
  <si>
    <t>Sharma cement agency</t>
  </si>
  <si>
    <t>0000816037</t>
  </si>
  <si>
    <t>BHUPENDRA CEMENT AGENCY</t>
  </si>
  <si>
    <t>RJ11RA6810</t>
  </si>
  <si>
    <t>0021179307</t>
  </si>
  <si>
    <t>Pankaj ji</t>
  </si>
  <si>
    <t>0021173576</t>
  </si>
  <si>
    <t>DEV CEMENT AGENCY</t>
  </si>
  <si>
    <t>RJ11RA2288</t>
  </si>
  <si>
    <t>0021179301</t>
  </si>
  <si>
    <t>0021180077</t>
  </si>
  <si>
    <t>Dayanand ji</t>
  </si>
  <si>
    <t>0000208026</t>
  </si>
  <si>
    <t>0021179964</t>
  </si>
  <si>
    <t>BRIJESH JI</t>
  </si>
  <si>
    <t>0021179986</t>
  </si>
  <si>
    <t>Ravindra Singh Parmar</t>
  </si>
  <si>
    <t>RJ11RA6476</t>
  </si>
  <si>
    <t>RJ11RA1631</t>
  </si>
  <si>
    <t>RJ11RA3625</t>
  </si>
  <si>
    <t>0000179894</t>
  </si>
  <si>
    <t>0021179968</t>
  </si>
  <si>
    <t>Ramavtar ji</t>
  </si>
  <si>
    <t>RJ11RA5503</t>
  </si>
  <si>
    <t>RJ11RA6917</t>
  </si>
  <si>
    <t>RJ11RA9191</t>
  </si>
  <si>
    <t>179892</t>
  </si>
  <si>
    <t>MADHAV ENTERPRISES</t>
  </si>
  <si>
    <t>0000179892</t>
  </si>
  <si>
    <t>BILLING DATE</t>
  </si>
  <si>
    <t>PO DATE</t>
  </si>
  <si>
    <t>COUNTY NAME</t>
  </si>
  <si>
    <t>PLANT</t>
  </si>
  <si>
    <t>Valuation Type</t>
  </si>
  <si>
    <t>SOLD TO PARTY</t>
  </si>
  <si>
    <t>CUSTOMER DESCRIPTION</t>
  </si>
  <si>
    <t>Retailer Code</t>
  </si>
  <si>
    <t>SHP TO PARTY</t>
  </si>
  <si>
    <t>SHP TO PARTY DESCRIP</t>
  </si>
  <si>
    <t>SHP PARTY DEST</t>
  </si>
  <si>
    <t>CITY NAME</t>
  </si>
  <si>
    <t>MATERIAL GROUP</t>
  </si>
  <si>
    <t>SALES QUANTITY - TO</t>
  </si>
  <si>
    <t>BILLING VALUE</t>
  </si>
  <si>
    <t>VEHICLE NUMBER</t>
  </si>
  <si>
    <t>TRANSPORTER NAME</t>
  </si>
  <si>
    <t>NETWORK SALE FROM NIMB. PLANT</t>
  </si>
  <si>
    <t>NETWORK SALE FROM NIMB. PLANT WS</t>
  </si>
  <si>
    <t>SELF SALE FROM NIMB. PLANT</t>
  </si>
  <si>
    <t>SELF SALE FROM NIMB. PLANT WS</t>
  </si>
  <si>
    <t>TOTAL SALE FROM NIMB. PLANT</t>
  </si>
  <si>
    <t>NETWORK SALE FROM MANGROL. PLANT</t>
  </si>
  <si>
    <t>SELF SALE FROM MANGROL. PLANT</t>
  </si>
  <si>
    <t>TOTAL SALE FROM MANGROL. PLANT</t>
  </si>
  <si>
    <t>TOTAL SALE IN AUG'21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</si>
</sst>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1"/>
  <sheetViews>
    <sheetView tabSelected="1" topLeftCell="F61" workbookViewId="0">
      <selection activeCell="J72" sqref="J72:L81"/>
    </sheetView>
  </sheetViews>
  <sheetFormatPr defaultRowHeight="12.75" x14ac:dyDescent="0.2"/>
  <cols>
    <col min="1" max="1" width="14" bestFit="1" customWidth="1"/>
    <col min="2" max="3" width="13" bestFit="1" customWidth="1"/>
    <col min="4" max="4" width="7" bestFit="1" customWidth="1"/>
    <col min="5" max="5" width="6" bestFit="1" customWidth="1"/>
    <col min="6" max="6" width="15" bestFit="1" customWidth="1"/>
    <col min="7" max="7" width="32" bestFit="1" customWidth="1"/>
    <col min="8" max="8" width="15" bestFit="1" customWidth="1"/>
    <col min="9" max="9" width="14" bestFit="1" customWidth="1"/>
    <col min="10" max="10" width="32" bestFit="1" customWidth="1"/>
    <col min="11" max="11" width="16" bestFit="1" customWidth="1"/>
    <col min="12" max="12" width="19" bestFit="1" customWidth="1"/>
    <col min="13" max="13" width="16" bestFit="1" customWidth="1"/>
    <col min="14" max="14" width="9" bestFit="1" customWidth="1"/>
    <col min="15" max="15" width="15" bestFit="1" customWidth="1"/>
    <col min="16" max="16" width="16" bestFit="1" customWidth="1"/>
    <col min="17" max="17" width="33" bestFit="1" customWidth="1"/>
  </cols>
  <sheetData>
    <row r="1" spans="1:17" ht="38.25" x14ac:dyDescent="0.2">
      <c r="A1" s="1" t="s">
        <v>118</v>
      </c>
      <c r="B1" s="1" t="s">
        <v>119</v>
      </c>
      <c r="C1" s="1" t="s">
        <v>120</v>
      </c>
      <c r="D1" s="1" t="s">
        <v>121</v>
      </c>
      <c r="E1" s="9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9" t="s">
        <v>131</v>
      </c>
      <c r="O1" s="1" t="s">
        <v>132</v>
      </c>
      <c r="P1" s="1" t="s">
        <v>133</v>
      </c>
      <c r="Q1" s="1" t="s">
        <v>134</v>
      </c>
    </row>
    <row r="2" spans="1:17" x14ac:dyDescent="0.2">
      <c r="A2" s="2">
        <v>44413</v>
      </c>
      <c r="B2" s="2">
        <v>44413</v>
      </c>
      <c r="C2" t="s">
        <v>0</v>
      </c>
      <c r="D2" t="s">
        <v>1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3</v>
      </c>
      <c r="K2" t="s">
        <v>4</v>
      </c>
      <c r="L2" t="s">
        <v>6</v>
      </c>
      <c r="M2" t="s">
        <v>7</v>
      </c>
      <c r="N2" s="4">
        <v>15</v>
      </c>
      <c r="O2" s="3">
        <v>98100</v>
      </c>
      <c r="P2" t="s">
        <v>8</v>
      </c>
      <c r="Q2" t="s">
        <v>9</v>
      </c>
    </row>
    <row r="3" spans="1:17" x14ac:dyDescent="0.2">
      <c r="A3" s="2">
        <v>44413</v>
      </c>
      <c r="B3" s="2">
        <v>44413</v>
      </c>
      <c r="C3" t="s">
        <v>0</v>
      </c>
      <c r="D3" t="s">
        <v>1</v>
      </c>
      <c r="E3" t="s">
        <v>1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4</v>
      </c>
      <c r="L3" t="s">
        <v>15</v>
      </c>
      <c r="M3" t="s">
        <v>7</v>
      </c>
      <c r="N3" s="4">
        <v>27</v>
      </c>
      <c r="O3" s="3">
        <v>176580</v>
      </c>
      <c r="P3" t="s">
        <v>8</v>
      </c>
      <c r="Q3" t="s">
        <v>9</v>
      </c>
    </row>
    <row r="4" spans="1:17" x14ac:dyDescent="0.2">
      <c r="A4" s="2">
        <v>44418</v>
      </c>
      <c r="B4" s="2">
        <v>44417</v>
      </c>
      <c r="C4" t="s">
        <v>0</v>
      </c>
      <c r="D4" t="s">
        <v>1</v>
      </c>
      <c r="E4" t="s">
        <v>1</v>
      </c>
      <c r="F4" t="s">
        <v>16</v>
      </c>
      <c r="G4" t="s">
        <v>17</v>
      </c>
      <c r="H4" t="s">
        <v>4</v>
      </c>
      <c r="I4" t="s">
        <v>18</v>
      </c>
      <c r="J4" t="s">
        <v>19</v>
      </c>
      <c r="K4" t="s">
        <v>4</v>
      </c>
      <c r="L4" t="s">
        <v>20</v>
      </c>
      <c r="M4" t="s">
        <v>7</v>
      </c>
      <c r="N4" s="4">
        <v>20</v>
      </c>
      <c r="O4" s="3">
        <v>130800</v>
      </c>
      <c r="P4" t="s">
        <v>21</v>
      </c>
      <c r="Q4" t="s">
        <v>22</v>
      </c>
    </row>
    <row r="5" spans="1:17" x14ac:dyDescent="0.2">
      <c r="A5" s="2">
        <v>44418</v>
      </c>
      <c r="B5" s="2">
        <v>44417</v>
      </c>
      <c r="C5" t="s">
        <v>0</v>
      </c>
      <c r="D5" t="s">
        <v>1</v>
      </c>
      <c r="E5" t="s">
        <v>1</v>
      </c>
      <c r="F5" t="s">
        <v>16</v>
      </c>
      <c r="G5" t="s">
        <v>17</v>
      </c>
      <c r="H5" t="s">
        <v>23</v>
      </c>
      <c r="I5" t="s">
        <v>24</v>
      </c>
      <c r="J5" t="s">
        <v>25</v>
      </c>
      <c r="K5" t="s">
        <v>4</v>
      </c>
      <c r="L5" t="s">
        <v>20</v>
      </c>
      <c r="M5" t="s">
        <v>26</v>
      </c>
      <c r="N5" s="4">
        <v>22</v>
      </c>
      <c r="O5" s="3">
        <v>154880</v>
      </c>
      <c r="P5" t="s">
        <v>21</v>
      </c>
      <c r="Q5" t="s">
        <v>22</v>
      </c>
    </row>
    <row r="6" spans="1:17" x14ac:dyDescent="0.2">
      <c r="A6" s="2">
        <v>44422</v>
      </c>
      <c r="B6" s="2">
        <v>44421</v>
      </c>
      <c r="C6" t="s">
        <v>0</v>
      </c>
      <c r="D6" t="s">
        <v>1</v>
      </c>
      <c r="E6" t="s">
        <v>1</v>
      </c>
      <c r="F6" t="s">
        <v>27</v>
      </c>
      <c r="G6" t="s">
        <v>28</v>
      </c>
      <c r="H6" t="s">
        <v>4</v>
      </c>
      <c r="I6" t="s">
        <v>29</v>
      </c>
      <c r="J6" t="s">
        <v>28</v>
      </c>
      <c r="K6" t="s">
        <v>4</v>
      </c>
      <c r="L6" t="s">
        <v>30</v>
      </c>
      <c r="M6" t="s">
        <v>7</v>
      </c>
      <c r="N6" s="4">
        <v>20</v>
      </c>
      <c r="O6" s="3">
        <v>128800</v>
      </c>
      <c r="P6" t="s">
        <v>31</v>
      </c>
      <c r="Q6" t="s">
        <v>32</v>
      </c>
    </row>
    <row r="7" spans="1:17" x14ac:dyDescent="0.2">
      <c r="A7" s="2">
        <v>44422</v>
      </c>
      <c r="B7" s="2">
        <v>44421</v>
      </c>
      <c r="C7" t="s">
        <v>0</v>
      </c>
      <c r="D7" t="s">
        <v>1</v>
      </c>
      <c r="E7" t="s">
        <v>1</v>
      </c>
      <c r="F7" t="s">
        <v>27</v>
      </c>
      <c r="G7" t="s">
        <v>28</v>
      </c>
      <c r="H7" t="s">
        <v>4</v>
      </c>
      <c r="I7" t="s">
        <v>33</v>
      </c>
      <c r="J7" t="s">
        <v>34</v>
      </c>
      <c r="K7" t="s">
        <v>4</v>
      </c>
      <c r="L7" t="s">
        <v>30</v>
      </c>
      <c r="M7" t="s">
        <v>7</v>
      </c>
      <c r="N7" s="4">
        <v>14</v>
      </c>
      <c r="O7" s="3">
        <v>90160</v>
      </c>
      <c r="P7" t="s">
        <v>31</v>
      </c>
      <c r="Q7" t="s">
        <v>32</v>
      </c>
    </row>
    <row r="8" spans="1:17" x14ac:dyDescent="0.2">
      <c r="A8" s="2">
        <v>44425</v>
      </c>
      <c r="B8" s="2">
        <v>44424</v>
      </c>
      <c r="C8" t="s">
        <v>0</v>
      </c>
      <c r="D8" t="s">
        <v>1</v>
      </c>
      <c r="E8" t="s">
        <v>1</v>
      </c>
      <c r="F8" t="s">
        <v>35</v>
      </c>
      <c r="G8" t="s">
        <v>36</v>
      </c>
      <c r="H8" t="s">
        <v>4</v>
      </c>
      <c r="I8" t="s">
        <v>37</v>
      </c>
      <c r="J8" t="s">
        <v>36</v>
      </c>
      <c r="K8" t="s">
        <v>4</v>
      </c>
      <c r="L8" t="s">
        <v>30</v>
      </c>
      <c r="M8" t="s">
        <v>7</v>
      </c>
      <c r="N8" s="4">
        <v>42</v>
      </c>
      <c r="O8" s="3">
        <v>270480</v>
      </c>
      <c r="P8" t="s">
        <v>8</v>
      </c>
      <c r="Q8" t="s">
        <v>9</v>
      </c>
    </row>
    <row r="9" spans="1:17" x14ac:dyDescent="0.2">
      <c r="A9" s="2">
        <v>44427</v>
      </c>
      <c r="B9" s="2">
        <v>44427</v>
      </c>
      <c r="C9" t="s">
        <v>0</v>
      </c>
      <c r="D9" t="s">
        <v>1</v>
      </c>
      <c r="E9" t="s">
        <v>1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4</v>
      </c>
      <c r="L9" t="s">
        <v>15</v>
      </c>
      <c r="M9" t="s">
        <v>7</v>
      </c>
      <c r="N9" s="4">
        <v>44</v>
      </c>
      <c r="O9" s="3">
        <v>283360</v>
      </c>
      <c r="P9" t="s">
        <v>38</v>
      </c>
      <c r="Q9" t="s">
        <v>39</v>
      </c>
    </row>
    <row r="10" spans="1:17" x14ac:dyDescent="0.2">
      <c r="A10" s="2">
        <v>44431</v>
      </c>
      <c r="B10" s="2">
        <v>44431</v>
      </c>
      <c r="C10" t="s">
        <v>0</v>
      </c>
      <c r="D10" t="s">
        <v>1</v>
      </c>
      <c r="E10" t="s">
        <v>1</v>
      </c>
      <c r="F10" t="s">
        <v>40</v>
      </c>
      <c r="G10" t="s">
        <v>41</v>
      </c>
      <c r="H10" t="s">
        <v>4</v>
      </c>
      <c r="I10" t="s">
        <v>42</v>
      </c>
      <c r="J10" t="s">
        <v>43</v>
      </c>
      <c r="K10" t="s">
        <v>4</v>
      </c>
      <c r="L10" t="s">
        <v>0</v>
      </c>
      <c r="M10" t="s">
        <v>7</v>
      </c>
      <c r="N10" s="4">
        <v>42</v>
      </c>
      <c r="O10" s="3">
        <v>270480</v>
      </c>
      <c r="P10" t="s">
        <v>44</v>
      </c>
      <c r="Q10" t="s">
        <v>9</v>
      </c>
    </row>
    <row r="11" spans="1:17" x14ac:dyDescent="0.2">
      <c r="A11" s="2">
        <v>44435</v>
      </c>
      <c r="B11" s="2">
        <v>44435</v>
      </c>
      <c r="C11" t="s">
        <v>0</v>
      </c>
      <c r="D11" t="s">
        <v>1</v>
      </c>
      <c r="E11" t="s">
        <v>1</v>
      </c>
      <c r="F11" t="s">
        <v>27</v>
      </c>
      <c r="G11" t="s">
        <v>28</v>
      </c>
      <c r="H11" t="s">
        <v>4</v>
      </c>
      <c r="I11" t="s">
        <v>33</v>
      </c>
      <c r="J11" t="s">
        <v>34</v>
      </c>
      <c r="K11" t="s">
        <v>4</v>
      </c>
      <c r="L11" t="s">
        <v>30</v>
      </c>
      <c r="M11" t="s">
        <v>7</v>
      </c>
      <c r="N11" s="4">
        <v>42</v>
      </c>
      <c r="O11" s="3">
        <v>270480</v>
      </c>
      <c r="P11" t="s">
        <v>44</v>
      </c>
      <c r="Q11" t="s">
        <v>9</v>
      </c>
    </row>
    <row r="12" spans="1:17" x14ac:dyDescent="0.2">
      <c r="A12" s="2">
        <v>44416</v>
      </c>
      <c r="B12" s="2">
        <v>44416</v>
      </c>
      <c r="C12" t="s">
        <v>0</v>
      </c>
      <c r="D12" t="s">
        <v>45</v>
      </c>
      <c r="E12" t="s">
        <v>1</v>
      </c>
      <c r="F12" t="s">
        <v>10</v>
      </c>
      <c r="G12" t="s">
        <v>11</v>
      </c>
      <c r="H12" t="s">
        <v>4</v>
      </c>
      <c r="I12" t="s">
        <v>46</v>
      </c>
      <c r="J12" t="s">
        <v>47</v>
      </c>
      <c r="K12" t="s">
        <v>4</v>
      </c>
      <c r="L12" t="s">
        <v>48</v>
      </c>
      <c r="M12" t="s">
        <v>7</v>
      </c>
      <c r="N12" s="4">
        <v>3</v>
      </c>
      <c r="O12" s="3">
        <v>19770</v>
      </c>
      <c r="P12" t="s">
        <v>49</v>
      </c>
      <c r="Q12" t="s">
        <v>50</v>
      </c>
    </row>
    <row r="13" spans="1:17" x14ac:dyDescent="0.2">
      <c r="A13" s="2">
        <v>44416</v>
      </c>
      <c r="B13" s="2">
        <v>44416</v>
      </c>
      <c r="C13" t="s">
        <v>0</v>
      </c>
      <c r="D13" t="s">
        <v>45</v>
      </c>
      <c r="E13" t="s">
        <v>1</v>
      </c>
      <c r="F13" t="s">
        <v>10</v>
      </c>
      <c r="G13" t="s">
        <v>11</v>
      </c>
      <c r="H13" t="s">
        <v>4</v>
      </c>
      <c r="I13" t="s">
        <v>51</v>
      </c>
      <c r="J13" t="s">
        <v>52</v>
      </c>
      <c r="K13" t="s">
        <v>4</v>
      </c>
      <c r="L13" t="s">
        <v>53</v>
      </c>
      <c r="M13" t="s">
        <v>7</v>
      </c>
      <c r="N13" s="4">
        <v>3.5</v>
      </c>
      <c r="O13" s="3">
        <v>23065</v>
      </c>
      <c r="P13" t="s">
        <v>49</v>
      </c>
      <c r="Q13" t="s">
        <v>50</v>
      </c>
    </row>
    <row r="14" spans="1:17" x14ac:dyDescent="0.2">
      <c r="A14" s="2">
        <v>44416</v>
      </c>
      <c r="B14" s="2">
        <v>44416</v>
      </c>
      <c r="C14" t="s">
        <v>0</v>
      </c>
      <c r="D14" t="s">
        <v>45</v>
      </c>
      <c r="E14" t="s">
        <v>1</v>
      </c>
      <c r="F14" t="s">
        <v>10</v>
      </c>
      <c r="G14" t="s">
        <v>11</v>
      </c>
      <c r="H14" t="s">
        <v>4</v>
      </c>
      <c r="I14" t="s">
        <v>54</v>
      </c>
      <c r="J14" t="s">
        <v>55</v>
      </c>
      <c r="K14" t="s">
        <v>4</v>
      </c>
      <c r="L14" t="s">
        <v>15</v>
      </c>
      <c r="M14" t="s">
        <v>7</v>
      </c>
      <c r="N14" s="4">
        <v>3</v>
      </c>
      <c r="O14" s="3">
        <v>19770</v>
      </c>
      <c r="P14" t="s">
        <v>49</v>
      </c>
      <c r="Q14" t="s">
        <v>50</v>
      </c>
    </row>
    <row r="15" spans="1:17" x14ac:dyDescent="0.2">
      <c r="A15" s="2">
        <v>44416</v>
      </c>
      <c r="B15" s="2">
        <v>44416</v>
      </c>
      <c r="C15" t="s">
        <v>0</v>
      </c>
      <c r="D15" t="s">
        <v>45</v>
      </c>
      <c r="E15" t="s">
        <v>1</v>
      </c>
      <c r="F15" t="s">
        <v>10</v>
      </c>
      <c r="G15" t="s">
        <v>11</v>
      </c>
      <c r="H15" t="s">
        <v>4</v>
      </c>
      <c r="I15" t="s">
        <v>54</v>
      </c>
      <c r="J15" t="s">
        <v>55</v>
      </c>
      <c r="K15" t="s">
        <v>4</v>
      </c>
      <c r="L15" t="s">
        <v>15</v>
      </c>
      <c r="M15" t="s">
        <v>7</v>
      </c>
      <c r="N15" s="4">
        <v>3</v>
      </c>
      <c r="O15" s="3">
        <v>19770</v>
      </c>
      <c r="P15" t="s">
        <v>49</v>
      </c>
      <c r="Q15" t="s">
        <v>50</v>
      </c>
    </row>
    <row r="16" spans="1:17" x14ac:dyDescent="0.2">
      <c r="A16" s="2">
        <v>44416</v>
      </c>
      <c r="B16" s="2">
        <v>44416</v>
      </c>
      <c r="C16" t="s">
        <v>0</v>
      </c>
      <c r="D16" t="s">
        <v>45</v>
      </c>
      <c r="E16" t="s">
        <v>56</v>
      </c>
      <c r="F16" t="s">
        <v>10</v>
      </c>
      <c r="G16" t="s">
        <v>11</v>
      </c>
      <c r="H16" t="s">
        <v>4</v>
      </c>
      <c r="I16" t="s">
        <v>57</v>
      </c>
      <c r="J16" t="s">
        <v>58</v>
      </c>
      <c r="K16" t="s">
        <v>4</v>
      </c>
      <c r="L16" t="s">
        <v>15</v>
      </c>
      <c r="M16" t="s">
        <v>59</v>
      </c>
      <c r="N16" s="4">
        <v>12.5</v>
      </c>
      <c r="O16" s="3">
        <v>96125</v>
      </c>
      <c r="P16" t="s">
        <v>60</v>
      </c>
      <c r="Q16" t="s">
        <v>50</v>
      </c>
    </row>
    <row r="17" spans="1:17" x14ac:dyDescent="0.2">
      <c r="A17" s="2">
        <v>44416</v>
      </c>
      <c r="B17" s="2">
        <v>44416</v>
      </c>
      <c r="C17" t="s">
        <v>0</v>
      </c>
      <c r="D17" t="s">
        <v>45</v>
      </c>
      <c r="E17" t="s">
        <v>56</v>
      </c>
      <c r="F17" t="s">
        <v>10</v>
      </c>
      <c r="G17" t="s">
        <v>11</v>
      </c>
      <c r="H17" t="s">
        <v>4</v>
      </c>
      <c r="I17" t="s">
        <v>57</v>
      </c>
      <c r="J17" t="s">
        <v>58</v>
      </c>
      <c r="K17" t="s">
        <v>4</v>
      </c>
      <c r="L17" t="s">
        <v>15</v>
      </c>
      <c r="M17" t="s">
        <v>59</v>
      </c>
      <c r="N17" s="4">
        <v>4</v>
      </c>
      <c r="O17" s="3">
        <v>30760</v>
      </c>
      <c r="P17" t="s">
        <v>61</v>
      </c>
      <c r="Q17" t="s">
        <v>50</v>
      </c>
    </row>
    <row r="18" spans="1:17" x14ac:dyDescent="0.2">
      <c r="A18" s="2">
        <v>44421</v>
      </c>
      <c r="B18" s="2">
        <v>44421</v>
      </c>
      <c r="C18" t="s">
        <v>0</v>
      </c>
      <c r="D18" t="s">
        <v>45</v>
      </c>
      <c r="E18" t="s">
        <v>56</v>
      </c>
      <c r="F18" t="s">
        <v>10</v>
      </c>
      <c r="G18" t="s">
        <v>11</v>
      </c>
      <c r="H18" t="s">
        <v>12</v>
      </c>
      <c r="I18" t="s">
        <v>57</v>
      </c>
      <c r="J18" t="s">
        <v>58</v>
      </c>
      <c r="K18" t="s">
        <v>4</v>
      </c>
      <c r="L18" t="s">
        <v>15</v>
      </c>
      <c r="M18" t="s">
        <v>59</v>
      </c>
      <c r="N18" s="4">
        <v>5</v>
      </c>
      <c r="O18" s="3">
        <v>37950</v>
      </c>
      <c r="P18" t="s">
        <v>49</v>
      </c>
      <c r="Q18" t="s">
        <v>50</v>
      </c>
    </row>
    <row r="19" spans="1:17" x14ac:dyDescent="0.2">
      <c r="A19" s="2">
        <v>44424</v>
      </c>
      <c r="B19" s="2">
        <v>44424</v>
      </c>
      <c r="C19" t="s">
        <v>0</v>
      </c>
      <c r="D19" t="s">
        <v>45</v>
      </c>
      <c r="E19" t="s">
        <v>1</v>
      </c>
      <c r="F19" t="s">
        <v>62</v>
      </c>
      <c r="G19" t="s">
        <v>63</v>
      </c>
      <c r="H19" t="s">
        <v>4</v>
      </c>
      <c r="I19" t="s">
        <v>64</v>
      </c>
      <c r="J19" t="s">
        <v>63</v>
      </c>
      <c r="K19" t="s">
        <v>4</v>
      </c>
      <c r="L19" t="s">
        <v>0</v>
      </c>
      <c r="M19" t="s">
        <v>7</v>
      </c>
      <c r="N19" s="4">
        <v>12.5</v>
      </c>
      <c r="O19" s="3">
        <v>81125</v>
      </c>
      <c r="P19" t="s">
        <v>60</v>
      </c>
      <c r="Q19" t="s">
        <v>50</v>
      </c>
    </row>
    <row r="20" spans="1:17" x14ac:dyDescent="0.2">
      <c r="A20" s="2">
        <v>44424</v>
      </c>
      <c r="B20" s="2">
        <v>44424</v>
      </c>
      <c r="C20" t="s">
        <v>0</v>
      </c>
      <c r="D20" t="s">
        <v>45</v>
      </c>
      <c r="E20" t="s">
        <v>1</v>
      </c>
      <c r="F20" t="s">
        <v>62</v>
      </c>
      <c r="G20" t="s">
        <v>63</v>
      </c>
      <c r="H20" t="s">
        <v>4</v>
      </c>
      <c r="I20" t="s">
        <v>64</v>
      </c>
      <c r="J20" t="s">
        <v>63</v>
      </c>
      <c r="K20" t="s">
        <v>4</v>
      </c>
      <c r="L20" t="s">
        <v>0</v>
      </c>
      <c r="M20" t="s">
        <v>7</v>
      </c>
      <c r="N20" s="4">
        <v>6.25</v>
      </c>
      <c r="O20" s="3">
        <v>40562.5</v>
      </c>
      <c r="P20" t="s">
        <v>61</v>
      </c>
      <c r="Q20" t="s">
        <v>50</v>
      </c>
    </row>
    <row r="21" spans="1:17" x14ac:dyDescent="0.2">
      <c r="A21" s="2">
        <v>44424</v>
      </c>
      <c r="B21" s="2">
        <v>44424</v>
      </c>
      <c r="C21" t="s">
        <v>0</v>
      </c>
      <c r="D21" t="s">
        <v>45</v>
      </c>
      <c r="E21" t="s">
        <v>1</v>
      </c>
      <c r="F21" t="s">
        <v>65</v>
      </c>
      <c r="G21" t="s">
        <v>66</v>
      </c>
      <c r="H21" t="s">
        <v>4</v>
      </c>
      <c r="I21" t="s">
        <v>46</v>
      </c>
      <c r="J21" t="s">
        <v>47</v>
      </c>
      <c r="K21" t="s">
        <v>4</v>
      </c>
      <c r="L21" t="s">
        <v>48</v>
      </c>
      <c r="M21" t="s">
        <v>7</v>
      </c>
      <c r="N21" s="4">
        <v>10</v>
      </c>
      <c r="O21" s="3">
        <v>64900</v>
      </c>
      <c r="P21" t="s">
        <v>67</v>
      </c>
      <c r="Q21" t="s">
        <v>50</v>
      </c>
    </row>
    <row r="22" spans="1:17" x14ac:dyDescent="0.2">
      <c r="A22" s="2">
        <v>44425</v>
      </c>
      <c r="B22" s="2">
        <v>44425</v>
      </c>
      <c r="C22" t="s">
        <v>0</v>
      </c>
      <c r="D22" t="s">
        <v>45</v>
      </c>
      <c r="E22" t="s">
        <v>56</v>
      </c>
      <c r="F22" t="s">
        <v>62</v>
      </c>
      <c r="G22" t="s">
        <v>63</v>
      </c>
      <c r="H22" t="s">
        <v>12</v>
      </c>
      <c r="I22" t="s">
        <v>68</v>
      </c>
      <c r="J22" t="s">
        <v>69</v>
      </c>
      <c r="K22" t="s">
        <v>4</v>
      </c>
      <c r="L22" t="s">
        <v>15</v>
      </c>
      <c r="M22" t="s">
        <v>59</v>
      </c>
      <c r="N22" s="4">
        <v>10</v>
      </c>
      <c r="O22" s="3">
        <v>75900</v>
      </c>
      <c r="P22" t="s">
        <v>70</v>
      </c>
      <c r="Q22" t="s">
        <v>50</v>
      </c>
    </row>
    <row r="23" spans="1:17" x14ac:dyDescent="0.2">
      <c r="A23" s="2">
        <v>44425</v>
      </c>
      <c r="B23" s="2">
        <v>44425</v>
      </c>
      <c r="C23" t="s">
        <v>0</v>
      </c>
      <c r="D23" t="s">
        <v>45</v>
      </c>
      <c r="E23" t="s">
        <v>1</v>
      </c>
      <c r="F23" t="s">
        <v>65</v>
      </c>
      <c r="G23" t="s">
        <v>66</v>
      </c>
      <c r="H23" t="s">
        <v>4</v>
      </c>
      <c r="I23" t="s">
        <v>71</v>
      </c>
      <c r="J23" t="s">
        <v>72</v>
      </c>
      <c r="K23" t="s">
        <v>4</v>
      </c>
      <c r="L23" t="s">
        <v>6</v>
      </c>
      <c r="M23" t="s">
        <v>26</v>
      </c>
      <c r="N23" s="4">
        <v>12.5</v>
      </c>
      <c r="O23" s="3">
        <v>87375</v>
      </c>
      <c r="P23" t="s">
        <v>73</v>
      </c>
      <c r="Q23" t="s">
        <v>50</v>
      </c>
    </row>
    <row r="24" spans="1:17" x14ac:dyDescent="0.2">
      <c r="A24" s="2">
        <v>44426</v>
      </c>
      <c r="B24" s="2">
        <v>44426</v>
      </c>
      <c r="C24" t="s">
        <v>0</v>
      </c>
      <c r="D24" t="s">
        <v>45</v>
      </c>
      <c r="E24" t="s">
        <v>1</v>
      </c>
      <c r="F24" t="s">
        <v>65</v>
      </c>
      <c r="G24" t="s">
        <v>66</v>
      </c>
      <c r="H24" t="s">
        <v>71</v>
      </c>
      <c r="I24" t="s">
        <v>74</v>
      </c>
      <c r="J24" t="s">
        <v>75</v>
      </c>
      <c r="K24" t="s">
        <v>4</v>
      </c>
      <c r="L24" t="s">
        <v>76</v>
      </c>
      <c r="M24" t="s">
        <v>26</v>
      </c>
      <c r="N24" s="4">
        <v>2.5</v>
      </c>
      <c r="O24" s="3">
        <v>17475</v>
      </c>
      <c r="P24" t="s">
        <v>49</v>
      </c>
      <c r="Q24" t="s">
        <v>50</v>
      </c>
    </row>
    <row r="25" spans="1:17" x14ac:dyDescent="0.2">
      <c r="A25" s="2">
        <v>44426</v>
      </c>
      <c r="B25" s="2">
        <v>44426</v>
      </c>
      <c r="C25" t="s">
        <v>0</v>
      </c>
      <c r="D25" t="s">
        <v>45</v>
      </c>
      <c r="E25" t="s">
        <v>1</v>
      </c>
      <c r="F25" t="s">
        <v>65</v>
      </c>
      <c r="G25" t="s">
        <v>66</v>
      </c>
      <c r="H25" t="s">
        <v>71</v>
      </c>
      <c r="I25" t="s">
        <v>77</v>
      </c>
      <c r="J25" t="s">
        <v>78</v>
      </c>
      <c r="K25" t="s">
        <v>4</v>
      </c>
      <c r="L25" t="s">
        <v>79</v>
      </c>
      <c r="M25" t="s">
        <v>7</v>
      </c>
      <c r="N25" s="4">
        <v>5</v>
      </c>
      <c r="O25" s="3">
        <v>32450</v>
      </c>
      <c r="P25" t="s">
        <v>49</v>
      </c>
      <c r="Q25" t="s">
        <v>50</v>
      </c>
    </row>
    <row r="26" spans="1:17" x14ac:dyDescent="0.2">
      <c r="A26" s="2">
        <v>44426</v>
      </c>
      <c r="B26" s="2">
        <v>44426</v>
      </c>
      <c r="C26" t="s">
        <v>0</v>
      </c>
      <c r="D26" t="s">
        <v>45</v>
      </c>
      <c r="E26" t="s">
        <v>1</v>
      </c>
      <c r="F26" t="s">
        <v>65</v>
      </c>
      <c r="G26" t="s">
        <v>66</v>
      </c>
      <c r="H26" t="s">
        <v>71</v>
      </c>
      <c r="I26" t="s">
        <v>80</v>
      </c>
      <c r="J26" t="s">
        <v>81</v>
      </c>
      <c r="K26" t="s">
        <v>4</v>
      </c>
      <c r="L26" t="s">
        <v>20</v>
      </c>
      <c r="M26" t="s">
        <v>7</v>
      </c>
      <c r="N26" s="4">
        <v>5</v>
      </c>
      <c r="O26" s="3">
        <v>32450</v>
      </c>
      <c r="P26" t="s">
        <v>49</v>
      </c>
      <c r="Q26" t="s">
        <v>50</v>
      </c>
    </row>
    <row r="27" spans="1:17" x14ac:dyDescent="0.2">
      <c r="A27" s="2">
        <v>44427</v>
      </c>
      <c r="B27" s="2">
        <v>44427</v>
      </c>
      <c r="C27" t="s">
        <v>0</v>
      </c>
      <c r="D27" t="s">
        <v>45</v>
      </c>
      <c r="E27" t="s">
        <v>1</v>
      </c>
      <c r="F27" t="s">
        <v>65</v>
      </c>
      <c r="G27" t="s">
        <v>66</v>
      </c>
      <c r="H27" t="s">
        <v>71</v>
      </c>
      <c r="I27" t="s">
        <v>82</v>
      </c>
      <c r="J27" t="s">
        <v>83</v>
      </c>
      <c r="K27" t="s">
        <v>4</v>
      </c>
      <c r="L27" t="s">
        <v>15</v>
      </c>
      <c r="M27" t="s">
        <v>7</v>
      </c>
      <c r="N27" s="4">
        <v>5</v>
      </c>
      <c r="O27" s="3">
        <v>32450</v>
      </c>
      <c r="P27" t="s">
        <v>49</v>
      </c>
      <c r="Q27" t="s">
        <v>50</v>
      </c>
    </row>
    <row r="28" spans="1:17" x14ac:dyDescent="0.2">
      <c r="A28" s="2">
        <v>44427</v>
      </c>
      <c r="B28" s="2">
        <v>44427</v>
      </c>
      <c r="C28" t="s">
        <v>0</v>
      </c>
      <c r="D28" t="s">
        <v>45</v>
      </c>
      <c r="E28" t="s">
        <v>1</v>
      </c>
      <c r="F28" t="s">
        <v>65</v>
      </c>
      <c r="G28" t="s">
        <v>66</v>
      </c>
      <c r="H28" t="s">
        <v>71</v>
      </c>
      <c r="I28" t="s">
        <v>82</v>
      </c>
      <c r="J28" t="s">
        <v>83</v>
      </c>
      <c r="K28" t="s">
        <v>4</v>
      </c>
      <c r="L28" t="s">
        <v>15</v>
      </c>
      <c r="M28" t="s">
        <v>7</v>
      </c>
      <c r="N28" s="4">
        <v>5</v>
      </c>
      <c r="O28" s="3">
        <v>32450</v>
      </c>
      <c r="P28" t="s">
        <v>49</v>
      </c>
      <c r="Q28" t="s">
        <v>50</v>
      </c>
    </row>
    <row r="29" spans="1:17" x14ac:dyDescent="0.2">
      <c r="A29" s="2">
        <v>44427</v>
      </c>
      <c r="B29" s="2">
        <v>44427</v>
      </c>
      <c r="C29" t="s">
        <v>0</v>
      </c>
      <c r="D29" t="s">
        <v>45</v>
      </c>
      <c r="E29" t="s">
        <v>1</v>
      </c>
      <c r="F29" t="s">
        <v>65</v>
      </c>
      <c r="G29" t="s">
        <v>66</v>
      </c>
      <c r="H29" t="s">
        <v>71</v>
      </c>
      <c r="I29" t="s">
        <v>84</v>
      </c>
      <c r="J29" t="s">
        <v>85</v>
      </c>
      <c r="K29" t="s">
        <v>4</v>
      </c>
      <c r="L29" t="s">
        <v>53</v>
      </c>
      <c r="M29" t="s">
        <v>7</v>
      </c>
      <c r="N29" s="4">
        <v>5</v>
      </c>
      <c r="O29" s="3">
        <v>32450</v>
      </c>
      <c r="P29" t="s">
        <v>49</v>
      </c>
      <c r="Q29" t="s">
        <v>50</v>
      </c>
    </row>
    <row r="30" spans="1:17" x14ac:dyDescent="0.2">
      <c r="A30" s="2">
        <v>44428</v>
      </c>
      <c r="B30" s="2">
        <v>44428</v>
      </c>
      <c r="C30" t="s">
        <v>0</v>
      </c>
      <c r="D30" t="s">
        <v>45</v>
      </c>
      <c r="E30" t="s">
        <v>1</v>
      </c>
      <c r="F30" t="s">
        <v>65</v>
      </c>
      <c r="G30" t="s">
        <v>66</v>
      </c>
      <c r="H30" t="s">
        <v>4</v>
      </c>
      <c r="I30" t="s">
        <v>86</v>
      </c>
      <c r="J30" t="s">
        <v>87</v>
      </c>
      <c r="K30" t="s">
        <v>4</v>
      </c>
      <c r="L30" t="s">
        <v>0</v>
      </c>
      <c r="M30" t="s">
        <v>7</v>
      </c>
      <c r="N30" s="4">
        <v>12.5</v>
      </c>
      <c r="O30" s="3">
        <v>81125</v>
      </c>
      <c r="P30" t="s">
        <v>70</v>
      </c>
      <c r="Q30" t="s">
        <v>50</v>
      </c>
    </row>
    <row r="31" spans="1:17" x14ac:dyDescent="0.2">
      <c r="A31" s="2">
        <v>44428</v>
      </c>
      <c r="B31" s="2">
        <v>44428</v>
      </c>
      <c r="C31" t="s">
        <v>0</v>
      </c>
      <c r="D31" t="s">
        <v>45</v>
      </c>
      <c r="E31" t="s">
        <v>1</v>
      </c>
      <c r="F31" t="s">
        <v>65</v>
      </c>
      <c r="G31" t="s">
        <v>66</v>
      </c>
      <c r="H31" t="s">
        <v>4</v>
      </c>
      <c r="I31" t="s">
        <v>88</v>
      </c>
      <c r="J31" t="s">
        <v>89</v>
      </c>
      <c r="K31" t="s">
        <v>4</v>
      </c>
      <c r="L31" t="s">
        <v>6</v>
      </c>
      <c r="M31" t="s">
        <v>7</v>
      </c>
      <c r="N31" s="4">
        <v>12.5</v>
      </c>
      <c r="O31" s="3">
        <v>81125</v>
      </c>
      <c r="P31" t="s">
        <v>73</v>
      </c>
      <c r="Q31" t="s">
        <v>50</v>
      </c>
    </row>
    <row r="32" spans="1:17" x14ac:dyDescent="0.2">
      <c r="A32" s="2">
        <v>44429</v>
      </c>
      <c r="B32" s="2">
        <v>44460</v>
      </c>
      <c r="C32" t="s">
        <v>0</v>
      </c>
      <c r="D32" t="s">
        <v>45</v>
      </c>
      <c r="E32" t="s">
        <v>1</v>
      </c>
      <c r="F32" t="s">
        <v>65</v>
      </c>
      <c r="G32" t="s">
        <v>66</v>
      </c>
      <c r="H32" t="s">
        <v>4</v>
      </c>
      <c r="I32" t="s">
        <v>90</v>
      </c>
      <c r="J32" t="s">
        <v>91</v>
      </c>
      <c r="K32" t="s">
        <v>4</v>
      </c>
      <c r="L32" t="s">
        <v>6</v>
      </c>
      <c r="M32" t="s">
        <v>7</v>
      </c>
      <c r="N32" s="4">
        <v>10</v>
      </c>
      <c r="O32" s="3">
        <v>64900</v>
      </c>
      <c r="P32" t="s">
        <v>92</v>
      </c>
      <c r="Q32" t="s">
        <v>50</v>
      </c>
    </row>
    <row r="33" spans="1:17" x14ac:dyDescent="0.2">
      <c r="A33" s="2">
        <v>44431</v>
      </c>
      <c r="B33" s="2">
        <v>44431</v>
      </c>
      <c r="C33" t="s">
        <v>0</v>
      </c>
      <c r="D33" t="s">
        <v>45</v>
      </c>
      <c r="E33" t="s">
        <v>1</v>
      </c>
      <c r="F33" t="s">
        <v>65</v>
      </c>
      <c r="G33" t="s">
        <v>66</v>
      </c>
      <c r="H33" t="s">
        <v>90</v>
      </c>
      <c r="I33" t="s">
        <v>93</v>
      </c>
      <c r="J33" t="s">
        <v>94</v>
      </c>
      <c r="K33" t="s">
        <v>4</v>
      </c>
      <c r="L33" t="s">
        <v>76</v>
      </c>
      <c r="M33" t="s">
        <v>7</v>
      </c>
      <c r="N33" s="4">
        <v>10</v>
      </c>
      <c r="O33" s="3">
        <v>64900</v>
      </c>
      <c r="P33" t="s">
        <v>92</v>
      </c>
      <c r="Q33" t="s">
        <v>50</v>
      </c>
    </row>
    <row r="34" spans="1:17" x14ac:dyDescent="0.2">
      <c r="A34" s="2">
        <v>44431</v>
      </c>
      <c r="B34" s="2">
        <v>44431</v>
      </c>
      <c r="C34" t="s">
        <v>0</v>
      </c>
      <c r="D34" t="s">
        <v>45</v>
      </c>
      <c r="E34" t="s">
        <v>56</v>
      </c>
      <c r="F34" t="s">
        <v>10</v>
      </c>
      <c r="G34" t="s">
        <v>11</v>
      </c>
      <c r="H34" t="s">
        <v>12</v>
      </c>
      <c r="I34" t="s">
        <v>95</v>
      </c>
      <c r="J34" t="s">
        <v>96</v>
      </c>
      <c r="K34" t="s">
        <v>4</v>
      </c>
      <c r="L34" t="s">
        <v>0</v>
      </c>
      <c r="M34" t="s">
        <v>59</v>
      </c>
      <c r="N34" s="4">
        <v>15.5</v>
      </c>
      <c r="O34" s="3">
        <v>117645</v>
      </c>
      <c r="P34" t="s">
        <v>97</v>
      </c>
      <c r="Q34" t="s">
        <v>50</v>
      </c>
    </row>
    <row r="35" spans="1:17" x14ac:dyDescent="0.2">
      <c r="A35" s="2">
        <v>44432</v>
      </c>
      <c r="B35" s="2">
        <v>44431</v>
      </c>
      <c r="C35" t="s">
        <v>0</v>
      </c>
      <c r="D35" t="s">
        <v>45</v>
      </c>
      <c r="E35" t="s">
        <v>1</v>
      </c>
      <c r="F35" t="s">
        <v>65</v>
      </c>
      <c r="G35" t="s">
        <v>66</v>
      </c>
      <c r="H35" t="s">
        <v>90</v>
      </c>
      <c r="I35" t="s">
        <v>98</v>
      </c>
      <c r="J35" t="s">
        <v>47</v>
      </c>
      <c r="K35" t="s">
        <v>4</v>
      </c>
      <c r="L35" t="s">
        <v>30</v>
      </c>
      <c r="M35" t="s">
        <v>26</v>
      </c>
      <c r="N35" s="4">
        <v>2.5</v>
      </c>
      <c r="O35" s="3">
        <v>17475</v>
      </c>
      <c r="P35" t="s">
        <v>49</v>
      </c>
      <c r="Q35" t="s">
        <v>50</v>
      </c>
    </row>
    <row r="36" spans="1:17" x14ac:dyDescent="0.2">
      <c r="A36" s="2">
        <v>44432</v>
      </c>
      <c r="B36" s="2">
        <v>44431</v>
      </c>
      <c r="C36" t="s">
        <v>0</v>
      </c>
      <c r="D36" t="s">
        <v>45</v>
      </c>
      <c r="E36" t="s">
        <v>56</v>
      </c>
      <c r="F36" t="s">
        <v>65</v>
      </c>
      <c r="G36" t="s">
        <v>66</v>
      </c>
      <c r="H36" t="s">
        <v>4</v>
      </c>
      <c r="I36" t="s">
        <v>98</v>
      </c>
      <c r="J36" t="s">
        <v>47</v>
      </c>
      <c r="K36" t="s">
        <v>4</v>
      </c>
      <c r="L36" t="s">
        <v>30</v>
      </c>
      <c r="M36" t="s">
        <v>59</v>
      </c>
      <c r="N36" s="4">
        <v>2.5</v>
      </c>
      <c r="O36" s="3">
        <v>18975</v>
      </c>
      <c r="P36" t="s">
        <v>49</v>
      </c>
      <c r="Q36" t="s">
        <v>50</v>
      </c>
    </row>
    <row r="37" spans="1:17" x14ac:dyDescent="0.2">
      <c r="A37" s="2">
        <v>44433</v>
      </c>
      <c r="B37" s="2">
        <v>44433</v>
      </c>
      <c r="C37" t="s">
        <v>0</v>
      </c>
      <c r="D37" t="s">
        <v>45</v>
      </c>
      <c r="E37" t="s">
        <v>1</v>
      </c>
      <c r="F37" t="s">
        <v>65</v>
      </c>
      <c r="G37" t="s">
        <v>66</v>
      </c>
      <c r="H37" t="s">
        <v>90</v>
      </c>
      <c r="I37" t="s">
        <v>99</v>
      </c>
      <c r="J37" t="s">
        <v>100</v>
      </c>
      <c r="K37" t="s">
        <v>4</v>
      </c>
      <c r="L37" t="s">
        <v>53</v>
      </c>
      <c r="M37" t="s">
        <v>7</v>
      </c>
      <c r="N37" s="4">
        <v>4.5</v>
      </c>
      <c r="O37" s="3">
        <v>29205</v>
      </c>
      <c r="P37" t="s">
        <v>49</v>
      </c>
      <c r="Q37" t="s">
        <v>50</v>
      </c>
    </row>
    <row r="38" spans="1:17" x14ac:dyDescent="0.2">
      <c r="A38" s="2">
        <v>44433</v>
      </c>
      <c r="B38" s="2">
        <v>44433</v>
      </c>
      <c r="C38" t="s">
        <v>0</v>
      </c>
      <c r="D38" t="s">
        <v>45</v>
      </c>
      <c r="E38" t="s">
        <v>1</v>
      </c>
      <c r="F38" t="s">
        <v>65</v>
      </c>
      <c r="G38" t="s">
        <v>66</v>
      </c>
      <c r="H38" t="s">
        <v>90</v>
      </c>
      <c r="I38" t="s">
        <v>68</v>
      </c>
      <c r="J38" t="s">
        <v>69</v>
      </c>
      <c r="K38" t="s">
        <v>4</v>
      </c>
      <c r="L38" t="s">
        <v>15</v>
      </c>
      <c r="M38" t="s">
        <v>7</v>
      </c>
      <c r="N38" s="4">
        <v>4</v>
      </c>
      <c r="O38" s="3">
        <v>25960</v>
      </c>
      <c r="P38" t="s">
        <v>49</v>
      </c>
      <c r="Q38" t="s">
        <v>50</v>
      </c>
    </row>
    <row r="39" spans="1:17" x14ac:dyDescent="0.2">
      <c r="A39" s="2">
        <v>44433</v>
      </c>
      <c r="B39" s="2">
        <v>44433</v>
      </c>
      <c r="C39" t="s">
        <v>0</v>
      </c>
      <c r="D39" t="s">
        <v>45</v>
      </c>
      <c r="E39" t="s">
        <v>1</v>
      </c>
      <c r="F39" t="s">
        <v>65</v>
      </c>
      <c r="G39" t="s">
        <v>66</v>
      </c>
      <c r="H39" t="s">
        <v>90</v>
      </c>
      <c r="I39" t="s">
        <v>13</v>
      </c>
      <c r="J39" t="s">
        <v>14</v>
      </c>
      <c r="K39" t="s">
        <v>4</v>
      </c>
      <c r="L39" t="s">
        <v>15</v>
      </c>
      <c r="M39" t="s">
        <v>7</v>
      </c>
      <c r="N39" s="4">
        <v>4</v>
      </c>
      <c r="O39" s="3">
        <v>25960</v>
      </c>
      <c r="P39" t="s">
        <v>49</v>
      </c>
      <c r="Q39" t="s">
        <v>50</v>
      </c>
    </row>
    <row r="40" spans="1:17" x14ac:dyDescent="0.2">
      <c r="A40" s="2">
        <v>44435</v>
      </c>
      <c r="B40" s="2">
        <v>44435</v>
      </c>
      <c r="C40" t="s">
        <v>0</v>
      </c>
      <c r="D40" t="s">
        <v>45</v>
      </c>
      <c r="E40" t="s">
        <v>1</v>
      </c>
      <c r="F40" t="s">
        <v>65</v>
      </c>
      <c r="G40" t="s">
        <v>66</v>
      </c>
      <c r="H40" t="s">
        <v>4</v>
      </c>
      <c r="I40" t="s">
        <v>90</v>
      </c>
      <c r="J40" t="s">
        <v>91</v>
      </c>
      <c r="K40" t="s">
        <v>4</v>
      </c>
      <c r="L40" t="s">
        <v>6</v>
      </c>
      <c r="M40" t="s">
        <v>7</v>
      </c>
      <c r="N40" s="4">
        <v>2.5</v>
      </c>
      <c r="O40" s="3">
        <v>16225</v>
      </c>
      <c r="P40" t="s">
        <v>49</v>
      </c>
      <c r="Q40" t="s">
        <v>50</v>
      </c>
    </row>
    <row r="41" spans="1:17" x14ac:dyDescent="0.2">
      <c r="A41" s="2">
        <v>44435</v>
      </c>
      <c r="B41" s="2">
        <v>44435</v>
      </c>
      <c r="C41" t="s">
        <v>0</v>
      </c>
      <c r="D41" t="s">
        <v>45</v>
      </c>
      <c r="E41" t="s">
        <v>1</v>
      </c>
      <c r="F41" t="s">
        <v>65</v>
      </c>
      <c r="G41" t="s">
        <v>66</v>
      </c>
      <c r="H41" t="s">
        <v>4</v>
      </c>
      <c r="I41" t="s">
        <v>90</v>
      </c>
      <c r="J41" t="s">
        <v>91</v>
      </c>
      <c r="K41" t="s">
        <v>4</v>
      </c>
      <c r="L41" t="s">
        <v>6</v>
      </c>
      <c r="M41" t="s">
        <v>7</v>
      </c>
      <c r="N41" s="4">
        <v>2.5</v>
      </c>
      <c r="O41" s="3">
        <v>16225</v>
      </c>
      <c r="P41" t="s">
        <v>49</v>
      </c>
      <c r="Q41" t="s">
        <v>50</v>
      </c>
    </row>
    <row r="42" spans="1:17" x14ac:dyDescent="0.2">
      <c r="A42" s="2">
        <v>44435</v>
      </c>
      <c r="B42" s="2">
        <v>44435</v>
      </c>
      <c r="C42" t="s">
        <v>0</v>
      </c>
      <c r="D42" t="s">
        <v>45</v>
      </c>
      <c r="E42" t="s">
        <v>1</v>
      </c>
      <c r="F42" t="s">
        <v>62</v>
      </c>
      <c r="G42" t="s">
        <v>63</v>
      </c>
      <c r="H42" t="s">
        <v>4</v>
      </c>
      <c r="I42" t="s">
        <v>64</v>
      </c>
      <c r="J42" t="s">
        <v>63</v>
      </c>
      <c r="K42" t="s">
        <v>4</v>
      </c>
      <c r="L42" t="s">
        <v>0</v>
      </c>
      <c r="M42" t="s">
        <v>7</v>
      </c>
      <c r="N42" s="4">
        <v>12</v>
      </c>
      <c r="O42" s="3">
        <v>77880</v>
      </c>
      <c r="P42" t="s">
        <v>67</v>
      </c>
      <c r="Q42" t="s">
        <v>50</v>
      </c>
    </row>
    <row r="43" spans="1:17" x14ac:dyDescent="0.2">
      <c r="A43" s="2">
        <v>44435</v>
      </c>
      <c r="B43" s="2">
        <v>44435</v>
      </c>
      <c r="C43" t="s">
        <v>0</v>
      </c>
      <c r="D43" t="s">
        <v>45</v>
      </c>
      <c r="E43" t="s">
        <v>1</v>
      </c>
      <c r="F43" t="s">
        <v>62</v>
      </c>
      <c r="G43" t="s">
        <v>63</v>
      </c>
      <c r="H43" t="s">
        <v>4</v>
      </c>
      <c r="I43" t="s">
        <v>64</v>
      </c>
      <c r="J43" t="s">
        <v>63</v>
      </c>
      <c r="K43" t="s">
        <v>4</v>
      </c>
      <c r="L43" t="s">
        <v>0</v>
      </c>
      <c r="M43" t="s">
        <v>7</v>
      </c>
      <c r="N43" s="4">
        <v>10</v>
      </c>
      <c r="O43" s="3">
        <v>64900</v>
      </c>
      <c r="P43" t="s">
        <v>60</v>
      </c>
      <c r="Q43" t="s">
        <v>50</v>
      </c>
    </row>
    <row r="44" spans="1:17" x14ac:dyDescent="0.2">
      <c r="A44" s="2">
        <v>44435</v>
      </c>
      <c r="B44" s="2">
        <v>44435</v>
      </c>
      <c r="C44" t="s">
        <v>0</v>
      </c>
      <c r="D44" t="s">
        <v>45</v>
      </c>
      <c r="E44" t="s">
        <v>1</v>
      </c>
      <c r="F44" t="s">
        <v>10</v>
      </c>
      <c r="G44" t="s">
        <v>11</v>
      </c>
      <c r="H44" t="s">
        <v>4</v>
      </c>
      <c r="I44" t="s">
        <v>101</v>
      </c>
      <c r="J44" t="s">
        <v>11</v>
      </c>
      <c r="K44" t="s">
        <v>4</v>
      </c>
      <c r="L44" t="s">
        <v>0</v>
      </c>
      <c r="M44" t="s">
        <v>7</v>
      </c>
      <c r="N44" s="4">
        <v>4</v>
      </c>
      <c r="O44" s="3">
        <v>25960</v>
      </c>
      <c r="P44" t="s">
        <v>49</v>
      </c>
      <c r="Q44" t="s">
        <v>50</v>
      </c>
    </row>
    <row r="45" spans="1:17" x14ac:dyDescent="0.2">
      <c r="A45" s="2">
        <v>44435</v>
      </c>
      <c r="B45" s="2">
        <v>44435</v>
      </c>
      <c r="C45" t="s">
        <v>0</v>
      </c>
      <c r="D45" t="s">
        <v>45</v>
      </c>
      <c r="E45" t="s">
        <v>1</v>
      </c>
      <c r="F45" t="s">
        <v>10</v>
      </c>
      <c r="G45" t="s">
        <v>11</v>
      </c>
      <c r="H45" t="s">
        <v>4</v>
      </c>
      <c r="I45" t="s">
        <v>101</v>
      </c>
      <c r="J45" t="s">
        <v>11</v>
      </c>
      <c r="K45" t="s">
        <v>4</v>
      </c>
      <c r="L45" t="s">
        <v>0</v>
      </c>
      <c r="M45" t="s">
        <v>7</v>
      </c>
      <c r="N45" s="4">
        <v>4</v>
      </c>
      <c r="O45" s="3">
        <v>25960</v>
      </c>
      <c r="P45" t="s">
        <v>49</v>
      </c>
      <c r="Q45" t="s">
        <v>50</v>
      </c>
    </row>
    <row r="46" spans="1:17" x14ac:dyDescent="0.2">
      <c r="A46" s="2">
        <v>44435</v>
      </c>
      <c r="B46" s="2">
        <v>44435</v>
      </c>
      <c r="C46" t="s">
        <v>0</v>
      </c>
      <c r="D46" t="s">
        <v>45</v>
      </c>
      <c r="E46" t="s">
        <v>1</v>
      </c>
      <c r="F46" t="s">
        <v>10</v>
      </c>
      <c r="G46" t="s">
        <v>11</v>
      </c>
      <c r="H46" t="s">
        <v>4</v>
      </c>
      <c r="I46" t="s">
        <v>101</v>
      </c>
      <c r="J46" t="s">
        <v>11</v>
      </c>
      <c r="K46" t="s">
        <v>4</v>
      </c>
      <c r="L46" t="s">
        <v>0</v>
      </c>
      <c r="M46" t="s">
        <v>7</v>
      </c>
      <c r="N46" s="4">
        <v>4.5</v>
      </c>
      <c r="O46" s="3">
        <v>29205</v>
      </c>
      <c r="P46" t="s">
        <v>49</v>
      </c>
      <c r="Q46" t="s">
        <v>50</v>
      </c>
    </row>
    <row r="47" spans="1:17" x14ac:dyDescent="0.2">
      <c r="A47" s="2">
        <v>44435</v>
      </c>
      <c r="B47" s="2">
        <v>44435</v>
      </c>
      <c r="C47" t="s">
        <v>0</v>
      </c>
      <c r="D47" t="s">
        <v>45</v>
      </c>
      <c r="E47" t="s">
        <v>1</v>
      </c>
      <c r="F47" t="s">
        <v>10</v>
      </c>
      <c r="G47" t="s">
        <v>11</v>
      </c>
      <c r="H47" t="s">
        <v>4</v>
      </c>
      <c r="I47" t="s">
        <v>101</v>
      </c>
      <c r="J47" t="s">
        <v>11</v>
      </c>
      <c r="K47" t="s">
        <v>4</v>
      </c>
      <c r="L47" t="s">
        <v>0</v>
      </c>
      <c r="M47" t="s">
        <v>7</v>
      </c>
      <c r="N47" s="4">
        <v>2</v>
      </c>
      <c r="O47" s="3">
        <v>12980</v>
      </c>
      <c r="P47" t="s">
        <v>70</v>
      </c>
      <c r="Q47" t="s">
        <v>50</v>
      </c>
    </row>
    <row r="48" spans="1:17" x14ac:dyDescent="0.2">
      <c r="A48" s="2">
        <v>44435</v>
      </c>
      <c r="B48" s="2">
        <v>44435</v>
      </c>
      <c r="C48" t="s">
        <v>0</v>
      </c>
      <c r="D48" t="s">
        <v>45</v>
      </c>
      <c r="E48" t="s">
        <v>56</v>
      </c>
      <c r="F48" t="s">
        <v>10</v>
      </c>
      <c r="G48" t="s">
        <v>11</v>
      </c>
      <c r="H48" t="s">
        <v>4</v>
      </c>
      <c r="I48" t="s">
        <v>101</v>
      </c>
      <c r="J48" t="s">
        <v>11</v>
      </c>
      <c r="K48" t="s">
        <v>4</v>
      </c>
      <c r="L48" t="s">
        <v>0</v>
      </c>
      <c r="M48" t="s">
        <v>59</v>
      </c>
      <c r="N48" s="4">
        <v>5.75</v>
      </c>
      <c r="O48" s="3">
        <v>43642.5</v>
      </c>
      <c r="P48" t="s">
        <v>73</v>
      </c>
      <c r="Q48" t="s">
        <v>50</v>
      </c>
    </row>
    <row r="49" spans="1:17" x14ac:dyDescent="0.2">
      <c r="A49" s="2">
        <v>44436</v>
      </c>
      <c r="B49" s="2">
        <v>44436</v>
      </c>
      <c r="C49" t="s">
        <v>0</v>
      </c>
      <c r="D49" t="s">
        <v>45</v>
      </c>
      <c r="E49" t="s">
        <v>1</v>
      </c>
      <c r="F49" t="s">
        <v>65</v>
      </c>
      <c r="G49" t="s">
        <v>66</v>
      </c>
      <c r="H49" t="s">
        <v>90</v>
      </c>
      <c r="I49" t="s">
        <v>102</v>
      </c>
      <c r="J49" t="s">
        <v>103</v>
      </c>
      <c r="K49" t="s">
        <v>4</v>
      </c>
      <c r="L49" t="s">
        <v>0</v>
      </c>
      <c r="M49" t="s">
        <v>7</v>
      </c>
      <c r="N49" s="4">
        <v>15</v>
      </c>
      <c r="O49" s="3">
        <v>97350</v>
      </c>
      <c r="P49" t="s">
        <v>60</v>
      </c>
      <c r="Q49" t="s">
        <v>50</v>
      </c>
    </row>
    <row r="50" spans="1:17" x14ac:dyDescent="0.2">
      <c r="A50" s="2">
        <v>44436</v>
      </c>
      <c r="B50" s="2">
        <v>44436</v>
      </c>
      <c r="C50" t="s">
        <v>0</v>
      </c>
      <c r="D50" t="s">
        <v>45</v>
      </c>
      <c r="E50" t="s">
        <v>1</v>
      </c>
      <c r="F50" t="s">
        <v>65</v>
      </c>
      <c r="G50" t="s">
        <v>66</v>
      </c>
      <c r="H50" t="s">
        <v>86</v>
      </c>
      <c r="I50" t="s">
        <v>104</v>
      </c>
      <c r="J50" t="s">
        <v>105</v>
      </c>
      <c r="K50" t="s">
        <v>4</v>
      </c>
      <c r="L50" t="s">
        <v>6</v>
      </c>
      <c r="M50" t="s">
        <v>7</v>
      </c>
      <c r="N50" s="4">
        <v>15</v>
      </c>
      <c r="O50" s="3">
        <v>97350</v>
      </c>
      <c r="P50" t="s">
        <v>61</v>
      </c>
      <c r="Q50" t="s">
        <v>50</v>
      </c>
    </row>
    <row r="51" spans="1:17" x14ac:dyDescent="0.2">
      <c r="A51" s="2">
        <v>44436</v>
      </c>
      <c r="B51" s="2">
        <v>44436</v>
      </c>
      <c r="C51" t="s">
        <v>0</v>
      </c>
      <c r="D51" t="s">
        <v>45</v>
      </c>
      <c r="E51" t="s">
        <v>1</v>
      </c>
      <c r="F51" t="s">
        <v>65</v>
      </c>
      <c r="G51" t="s">
        <v>66</v>
      </c>
      <c r="H51" t="s">
        <v>4</v>
      </c>
      <c r="I51" t="s">
        <v>88</v>
      </c>
      <c r="J51" t="s">
        <v>89</v>
      </c>
      <c r="K51" t="s">
        <v>4</v>
      </c>
      <c r="L51" t="s">
        <v>6</v>
      </c>
      <c r="M51" t="s">
        <v>7</v>
      </c>
      <c r="N51" s="4">
        <v>15</v>
      </c>
      <c r="O51" s="3">
        <v>97350</v>
      </c>
      <c r="P51" t="s">
        <v>106</v>
      </c>
      <c r="Q51" t="s">
        <v>50</v>
      </c>
    </row>
    <row r="52" spans="1:17" x14ac:dyDescent="0.2">
      <c r="A52" s="2">
        <v>44438</v>
      </c>
      <c r="B52" s="2">
        <v>44437</v>
      </c>
      <c r="C52" t="s">
        <v>0</v>
      </c>
      <c r="D52" t="s">
        <v>45</v>
      </c>
      <c r="E52" t="s">
        <v>1</v>
      </c>
      <c r="F52" t="s">
        <v>65</v>
      </c>
      <c r="G52" t="s">
        <v>66</v>
      </c>
      <c r="H52" t="s">
        <v>90</v>
      </c>
      <c r="I52" t="s">
        <v>102</v>
      </c>
      <c r="J52" t="s">
        <v>103</v>
      </c>
      <c r="K52" t="s">
        <v>4</v>
      </c>
      <c r="L52" t="s">
        <v>0</v>
      </c>
      <c r="M52" t="s">
        <v>7</v>
      </c>
      <c r="N52" s="4">
        <v>12</v>
      </c>
      <c r="O52" s="3">
        <v>77880</v>
      </c>
      <c r="P52" t="s">
        <v>60</v>
      </c>
      <c r="Q52" t="s">
        <v>50</v>
      </c>
    </row>
    <row r="53" spans="1:17" x14ac:dyDescent="0.2">
      <c r="A53" s="2">
        <v>44438</v>
      </c>
      <c r="B53" s="2">
        <v>44437</v>
      </c>
      <c r="C53" t="s">
        <v>0</v>
      </c>
      <c r="D53" t="s">
        <v>45</v>
      </c>
      <c r="E53" t="s">
        <v>1</v>
      </c>
      <c r="F53" t="s">
        <v>65</v>
      </c>
      <c r="G53" t="s">
        <v>66</v>
      </c>
      <c r="H53" t="s">
        <v>4</v>
      </c>
      <c r="I53" t="s">
        <v>90</v>
      </c>
      <c r="J53" t="s">
        <v>91</v>
      </c>
      <c r="K53" t="s">
        <v>4</v>
      </c>
      <c r="L53" t="s">
        <v>6</v>
      </c>
      <c r="M53" t="s">
        <v>7</v>
      </c>
      <c r="N53" s="4">
        <v>12</v>
      </c>
      <c r="O53" s="3">
        <v>77880</v>
      </c>
      <c r="P53" t="s">
        <v>61</v>
      </c>
      <c r="Q53" t="s">
        <v>50</v>
      </c>
    </row>
    <row r="54" spans="1:17" x14ac:dyDescent="0.2">
      <c r="A54" s="2">
        <v>44438</v>
      </c>
      <c r="B54" s="2">
        <v>44438</v>
      </c>
      <c r="C54" t="s">
        <v>0</v>
      </c>
      <c r="D54" t="s">
        <v>45</v>
      </c>
      <c r="E54" t="s">
        <v>1</v>
      </c>
      <c r="F54" t="s">
        <v>65</v>
      </c>
      <c r="G54" t="s">
        <v>66</v>
      </c>
      <c r="H54" t="s">
        <v>90</v>
      </c>
      <c r="I54" t="s">
        <v>102</v>
      </c>
      <c r="J54" t="s">
        <v>103</v>
      </c>
      <c r="K54" t="s">
        <v>4</v>
      </c>
      <c r="L54" t="s">
        <v>0</v>
      </c>
      <c r="M54" t="s">
        <v>7</v>
      </c>
      <c r="N54" s="4">
        <v>15</v>
      </c>
      <c r="O54" s="3">
        <v>97350</v>
      </c>
      <c r="P54" t="s">
        <v>107</v>
      </c>
      <c r="Q54" t="s">
        <v>50</v>
      </c>
    </row>
    <row r="55" spans="1:17" x14ac:dyDescent="0.2">
      <c r="A55" s="2">
        <v>44438</v>
      </c>
      <c r="B55" s="2">
        <v>44438</v>
      </c>
      <c r="C55" t="s">
        <v>0</v>
      </c>
      <c r="D55" t="s">
        <v>45</v>
      </c>
      <c r="E55" t="s">
        <v>1</v>
      </c>
      <c r="F55" t="s">
        <v>65</v>
      </c>
      <c r="G55" t="s">
        <v>66</v>
      </c>
      <c r="H55" t="s">
        <v>90</v>
      </c>
      <c r="I55" t="s">
        <v>102</v>
      </c>
      <c r="J55" t="s">
        <v>103</v>
      </c>
      <c r="K55" t="s">
        <v>4</v>
      </c>
      <c r="L55" t="s">
        <v>0</v>
      </c>
      <c r="M55" t="s">
        <v>7</v>
      </c>
      <c r="N55" s="4">
        <v>15</v>
      </c>
      <c r="O55" s="3">
        <v>97350</v>
      </c>
      <c r="P55" t="s">
        <v>108</v>
      </c>
      <c r="Q55" t="s">
        <v>50</v>
      </c>
    </row>
    <row r="56" spans="1:17" x14ac:dyDescent="0.2">
      <c r="A56" s="2">
        <v>44438</v>
      </c>
      <c r="B56" s="2">
        <v>44438</v>
      </c>
      <c r="C56" t="s">
        <v>0</v>
      </c>
      <c r="D56" t="s">
        <v>45</v>
      </c>
      <c r="E56" t="s">
        <v>1</v>
      </c>
      <c r="F56" t="s">
        <v>65</v>
      </c>
      <c r="G56" t="s">
        <v>66</v>
      </c>
      <c r="H56" t="s">
        <v>4</v>
      </c>
      <c r="I56" t="s">
        <v>109</v>
      </c>
      <c r="J56" t="s">
        <v>66</v>
      </c>
      <c r="K56" t="s">
        <v>4</v>
      </c>
      <c r="L56" t="s">
        <v>76</v>
      </c>
      <c r="M56" t="s">
        <v>7</v>
      </c>
      <c r="N56" s="4">
        <v>10</v>
      </c>
      <c r="O56" s="3">
        <v>64900</v>
      </c>
      <c r="P56" t="s">
        <v>67</v>
      </c>
      <c r="Q56" t="s">
        <v>50</v>
      </c>
    </row>
    <row r="57" spans="1:17" x14ac:dyDescent="0.2">
      <c r="A57" s="2">
        <v>44439</v>
      </c>
      <c r="B57" s="2">
        <v>44439</v>
      </c>
      <c r="C57" t="s">
        <v>0</v>
      </c>
      <c r="D57" t="s">
        <v>45</v>
      </c>
      <c r="E57" t="s">
        <v>1</v>
      </c>
      <c r="F57" t="s">
        <v>65</v>
      </c>
      <c r="G57" t="s">
        <v>66</v>
      </c>
      <c r="H57" t="s">
        <v>4</v>
      </c>
      <c r="I57" t="s">
        <v>88</v>
      </c>
      <c r="J57" t="s">
        <v>89</v>
      </c>
      <c r="K57" t="s">
        <v>4</v>
      </c>
      <c r="L57" t="s">
        <v>6</v>
      </c>
      <c r="M57" t="s">
        <v>7</v>
      </c>
      <c r="N57" s="4">
        <v>15</v>
      </c>
      <c r="O57" s="3">
        <v>97350</v>
      </c>
      <c r="P57" t="s">
        <v>60</v>
      </c>
      <c r="Q57" t="s">
        <v>50</v>
      </c>
    </row>
    <row r="58" spans="1:17" x14ac:dyDescent="0.2">
      <c r="A58" s="2">
        <v>44439</v>
      </c>
      <c r="B58" s="2">
        <v>44439</v>
      </c>
      <c r="C58" t="s">
        <v>0</v>
      </c>
      <c r="D58" t="s">
        <v>45</v>
      </c>
      <c r="E58" t="s">
        <v>1</v>
      </c>
      <c r="F58" t="s">
        <v>65</v>
      </c>
      <c r="G58" t="s">
        <v>66</v>
      </c>
      <c r="H58" t="s">
        <v>4</v>
      </c>
      <c r="I58" t="s">
        <v>42</v>
      </c>
      <c r="J58" t="s">
        <v>43</v>
      </c>
      <c r="K58" t="s">
        <v>4</v>
      </c>
      <c r="L58" t="s">
        <v>0</v>
      </c>
      <c r="M58" t="s">
        <v>7</v>
      </c>
      <c r="N58" s="4">
        <v>15</v>
      </c>
      <c r="O58" s="3">
        <v>97350</v>
      </c>
      <c r="P58" t="s">
        <v>61</v>
      </c>
      <c r="Q58" t="s">
        <v>50</v>
      </c>
    </row>
    <row r="59" spans="1:17" x14ac:dyDescent="0.2">
      <c r="A59" s="2">
        <v>44439</v>
      </c>
      <c r="B59" s="2">
        <v>44439</v>
      </c>
      <c r="C59" t="s">
        <v>0</v>
      </c>
      <c r="D59" t="s">
        <v>45</v>
      </c>
      <c r="E59" t="s">
        <v>1</v>
      </c>
      <c r="F59" t="s">
        <v>65</v>
      </c>
      <c r="G59" t="s">
        <v>66</v>
      </c>
      <c r="H59" t="s">
        <v>90</v>
      </c>
      <c r="I59" t="s">
        <v>42</v>
      </c>
      <c r="J59" t="s">
        <v>43</v>
      </c>
      <c r="K59" t="s">
        <v>4</v>
      </c>
      <c r="L59" t="s">
        <v>0</v>
      </c>
      <c r="M59" t="s">
        <v>7</v>
      </c>
      <c r="N59" s="4">
        <v>10</v>
      </c>
      <c r="O59" s="3">
        <v>64900</v>
      </c>
      <c r="P59" t="s">
        <v>106</v>
      </c>
      <c r="Q59" t="s">
        <v>50</v>
      </c>
    </row>
    <row r="60" spans="1:17" x14ac:dyDescent="0.2">
      <c r="A60" s="2">
        <v>44439</v>
      </c>
      <c r="B60" s="2">
        <v>44439</v>
      </c>
      <c r="C60" t="s">
        <v>0</v>
      </c>
      <c r="D60" t="s">
        <v>45</v>
      </c>
      <c r="E60" t="s">
        <v>1</v>
      </c>
      <c r="F60" t="s">
        <v>65</v>
      </c>
      <c r="G60" t="s">
        <v>66</v>
      </c>
      <c r="H60" t="s">
        <v>86</v>
      </c>
      <c r="I60" t="s">
        <v>104</v>
      </c>
      <c r="J60" t="s">
        <v>105</v>
      </c>
      <c r="K60" t="s">
        <v>4</v>
      </c>
      <c r="L60" t="s">
        <v>6</v>
      </c>
      <c r="M60" t="s">
        <v>7</v>
      </c>
      <c r="N60" s="4">
        <v>10</v>
      </c>
      <c r="O60" s="3">
        <v>64900</v>
      </c>
      <c r="P60" t="s">
        <v>107</v>
      </c>
      <c r="Q60" t="s">
        <v>50</v>
      </c>
    </row>
    <row r="61" spans="1:17" x14ac:dyDescent="0.2">
      <c r="A61" s="2">
        <v>44439</v>
      </c>
      <c r="B61" s="2">
        <v>44439</v>
      </c>
      <c r="C61" t="s">
        <v>0</v>
      </c>
      <c r="D61" t="s">
        <v>45</v>
      </c>
      <c r="E61" t="s">
        <v>1</v>
      </c>
      <c r="F61" t="s">
        <v>65</v>
      </c>
      <c r="G61" t="s">
        <v>66</v>
      </c>
      <c r="H61" t="s">
        <v>71</v>
      </c>
      <c r="I61" t="s">
        <v>110</v>
      </c>
      <c r="J61" t="s">
        <v>111</v>
      </c>
      <c r="K61" t="s">
        <v>4</v>
      </c>
      <c r="L61" t="s">
        <v>0</v>
      </c>
      <c r="M61" t="s">
        <v>7</v>
      </c>
      <c r="N61" s="4">
        <v>10</v>
      </c>
      <c r="O61" s="3">
        <v>64900</v>
      </c>
      <c r="P61" t="s">
        <v>108</v>
      </c>
      <c r="Q61" t="s">
        <v>50</v>
      </c>
    </row>
    <row r="62" spans="1:17" x14ac:dyDescent="0.2">
      <c r="A62" s="2">
        <v>44439</v>
      </c>
      <c r="B62" s="2">
        <v>44439</v>
      </c>
      <c r="C62" t="s">
        <v>0</v>
      </c>
      <c r="D62" t="s">
        <v>45</v>
      </c>
      <c r="E62" t="s">
        <v>1</v>
      </c>
      <c r="F62" t="s">
        <v>65</v>
      </c>
      <c r="G62" t="s">
        <v>66</v>
      </c>
      <c r="H62" t="s">
        <v>4</v>
      </c>
      <c r="I62" t="s">
        <v>42</v>
      </c>
      <c r="J62" t="s">
        <v>43</v>
      </c>
      <c r="K62" t="s">
        <v>4</v>
      </c>
      <c r="L62" t="s">
        <v>0</v>
      </c>
      <c r="M62" t="s">
        <v>7</v>
      </c>
      <c r="N62" s="4">
        <v>12</v>
      </c>
      <c r="O62" s="3">
        <v>77880</v>
      </c>
      <c r="P62" t="s">
        <v>112</v>
      </c>
      <c r="Q62" t="s">
        <v>50</v>
      </c>
    </row>
    <row r="63" spans="1:17" x14ac:dyDescent="0.2">
      <c r="A63" s="2">
        <v>44439</v>
      </c>
      <c r="B63" s="2">
        <v>44439</v>
      </c>
      <c r="C63" t="s">
        <v>0</v>
      </c>
      <c r="D63" t="s">
        <v>45</v>
      </c>
      <c r="E63" t="s">
        <v>1</v>
      </c>
      <c r="F63" t="s">
        <v>65</v>
      </c>
      <c r="G63" t="s">
        <v>66</v>
      </c>
      <c r="H63" t="s">
        <v>4</v>
      </c>
      <c r="I63" t="s">
        <v>42</v>
      </c>
      <c r="J63" t="s">
        <v>43</v>
      </c>
      <c r="K63" t="s">
        <v>4</v>
      </c>
      <c r="L63" t="s">
        <v>0</v>
      </c>
      <c r="M63" t="s">
        <v>7</v>
      </c>
      <c r="N63" s="4">
        <v>12</v>
      </c>
      <c r="O63" s="3">
        <v>77880</v>
      </c>
      <c r="P63" t="s">
        <v>67</v>
      </c>
      <c r="Q63" t="s">
        <v>50</v>
      </c>
    </row>
    <row r="64" spans="1:17" x14ac:dyDescent="0.2">
      <c r="A64" s="2">
        <v>44439</v>
      </c>
      <c r="B64" s="2">
        <v>44439</v>
      </c>
      <c r="C64" t="s">
        <v>0</v>
      </c>
      <c r="D64" t="s">
        <v>45</v>
      </c>
      <c r="E64" t="s">
        <v>56</v>
      </c>
      <c r="F64" t="s">
        <v>10</v>
      </c>
      <c r="G64" t="s">
        <v>11</v>
      </c>
      <c r="H64" t="s">
        <v>4</v>
      </c>
      <c r="I64" t="s">
        <v>101</v>
      </c>
      <c r="J64" t="s">
        <v>11</v>
      </c>
      <c r="K64" t="s">
        <v>4</v>
      </c>
      <c r="L64" t="s">
        <v>0</v>
      </c>
      <c r="M64" t="s">
        <v>59</v>
      </c>
      <c r="N64" s="4">
        <v>11</v>
      </c>
      <c r="O64" s="3">
        <v>83490</v>
      </c>
      <c r="P64" t="s">
        <v>113</v>
      </c>
      <c r="Q64" t="s">
        <v>50</v>
      </c>
    </row>
    <row r="65" spans="1:17" x14ac:dyDescent="0.2">
      <c r="A65" s="2">
        <v>44439</v>
      </c>
      <c r="B65" s="2">
        <v>44439</v>
      </c>
      <c r="C65" t="s">
        <v>0</v>
      </c>
      <c r="D65" t="s">
        <v>45</v>
      </c>
      <c r="E65" t="s">
        <v>56</v>
      </c>
      <c r="F65" t="s">
        <v>27</v>
      </c>
      <c r="G65" t="s">
        <v>28</v>
      </c>
      <c r="H65" t="s">
        <v>4</v>
      </c>
      <c r="I65" t="s">
        <v>33</v>
      </c>
      <c r="J65" t="s">
        <v>34</v>
      </c>
      <c r="K65" t="s">
        <v>4</v>
      </c>
      <c r="L65" t="s">
        <v>30</v>
      </c>
      <c r="M65" t="s">
        <v>59</v>
      </c>
      <c r="N65" s="4">
        <v>12.5</v>
      </c>
      <c r="O65" s="3">
        <v>94875</v>
      </c>
      <c r="P65" t="s">
        <v>114</v>
      </c>
      <c r="Q65" t="s">
        <v>50</v>
      </c>
    </row>
    <row r="66" spans="1:17" x14ac:dyDescent="0.2">
      <c r="A66" s="2">
        <v>44439</v>
      </c>
      <c r="B66" s="2">
        <v>44439</v>
      </c>
      <c r="C66" t="s">
        <v>0</v>
      </c>
      <c r="D66" t="s">
        <v>45</v>
      </c>
      <c r="E66" t="s">
        <v>56</v>
      </c>
      <c r="F66" t="s">
        <v>65</v>
      </c>
      <c r="G66" t="s">
        <v>66</v>
      </c>
      <c r="H66" t="s">
        <v>4</v>
      </c>
      <c r="I66" t="s">
        <v>102</v>
      </c>
      <c r="J66" t="s">
        <v>103</v>
      </c>
      <c r="K66" t="s">
        <v>4</v>
      </c>
      <c r="L66" t="s">
        <v>0</v>
      </c>
      <c r="M66" t="s">
        <v>59</v>
      </c>
      <c r="N66" s="4">
        <v>10</v>
      </c>
      <c r="O66" s="3">
        <v>75900</v>
      </c>
      <c r="P66" t="s">
        <v>92</v>
      </c>
      <c r="Q66" t="s">
        <v>50</v>
      </c>
    </row>
    <row r="67" spans="1:17" x14ac:dyDescent="0.2">
      <c r="A67" s="2">
        <v>44439</v>
      </c>
      <c r="B67" s="2">
        <v>44439</v>
      </c>
      <c r="C67" t="s">
        <v>0</v>
      </c>
      <c r="D67" t="s">
        <v>45</v>
      </c>
      <c r="E67" t="s">
        <v>56</v>
      </c>
      <c r="F67" t="s">
        <v>27</v>
      </c>
      <c r="G67" t="s">
        <v>28</v>
      </c>
      <c r="H67" t="s">
        <v>4</v>
      </c>
      <c r="I67" t="s">
        <v>29</v>
      </c>
      <c r="J67" t="s">
        <v>28</v>
      </c>
      <c r="K67" t="s">
        <v>4</v>
      </c>
      <c r="L67" t="s">
        <v>30</v>
      </c>
      <c r="M67" t="s">
        <v>59</v>
      </c>
      <c r="N67" s="4">
        <v>12.5</v>
      </c>
      <c r="O67" s="3">
        <v>94875</v>
      </c>
      <c r="P67" t="s">
        <v>70</v>
      </c>
      <c r="Q67" t="s">
        <v>50</v>
      </c>
    </row>
    <row r="68" spans="1:17" x14ac:dyDescent="0.2">
      <c r="A68" s="2">
        <v>44439</v>
      </c>
      <c r="B68" s="2">
        <v>44439</v>
      </c>
      <c r="C68" t="s">
        <v>0</v>
      </c>
      <c r="D68" t="s">
        <v>45</v>
      </c>
      <c r="E68" t="s">
        <v>1</v>
      </c>
      <c r="F68" t="s">
        <v>115</v>
      </c>
      <c r="G68" t="s">
        <v>116</v>
      </c>
      <c r="H68" t="s">
        <v>4</v>
      </c>
      <c r="I68" t="s">
        <v>117</v>
      </c>
      <c r="J68" t="s">
        <v>116</v>
      </c>
      <c r="K68" t="s">
        <v>4</v>
      </c>
      <c r="L68" t="s">
        <v>0</v>
      </c>
      <c r="M68" t="s">
        <v>7</v>
      </c>
      <c r="N68" s="4">
        <v>1</v>
      </c>
      <c r="O68" s="3">
        <v>6490</v>
      </c>
      <c r="P68" t="s">
        <v>60</v>
      </c>
      <c r="Q68" t="s">
        <v>50</v>
      </c>
    </row>
    <row r="69" spans="1:17" x14ac:dyDescent="0.2">
      <c r="A69" s="5"/>
      <c r="B69" s="5"/>
      <c r="C69" s="6" t="s">
        <v>4</v>
      </c>
      <c r="D69" s="6" t="s">
        <v>4</v>
      </c>
      <c r="E69" s="6" t="s">
        <v>4</v>
      </c>
      <c r="F69" s="6" t="s">
        <v>4</v>
      </c>
      <c r="G69" s="6" t="s">
        <v>4</v>
      </c>
      <c r="H69" s="6" t="s">
        <v>4</v>
      </c>
      <c r="I69" s="6" t="s">
        <v>4</v>
      </c>
      <c r="J69" s="6" t="s">
        <v>4</v>
      </c>
      <c r="K69" s="6" t="s">
        <v>4</v>
      </c>
      <c r="L69" s="6" t="s">
        <v>4</v>
      </c>
      <c r="M69" s="6" t="s">
        <v>4</v>
      </c>
      <c r="N69" s="7">
        <v>766</v>
      </c>
      <c r="O69" s="8">
        <v>5099365</v>
      </c>
      <c r="P69" s="6" t="s">
        <v>4</v>
      </c>
      <c r="Q69" s="6" t="s">
        <v>4</v>
      </c>
    </row>
    <row r="72" spans="1:17" x14ac:dyDescent="0.2">
      <c r="J72" s="10" t="s">
        <v>135</v>
      </c>
      <c r="K72" s="10"/>
      <c r="L72" s="11">
        <v>0</v>
      </c>
    </row>
    <row r="73" spans="1:17" x14ac:dyDescent="0.2">
      <c r="J73" s="12" t="s">
        <v>136</v>
      </c>
      <c r="K73" s="12"/>
      <c r="L73" s="11">
        <v>88.75</v>
      </c>
    </row>
    <row r="74" spans="1:17" x14ac:dyDescent="0.2">
      <c r="J74" s="10" t="s">
        <v>137</v>
      </c>
      <c r="K74" s="10"/>
      <c r="L74" s="11">
        <v>0</v>
      </c>
    </row>
    <row r="75" spans="1:17" x14ac:dyDescent="0.2">
      <c r="J75" s="12" t="s">
        <v>138</v>
      </c>
      <c r="K75" s="12"/>
      <c r="L75" s="11">
        <v>12.5</v>
      </c>
    </row>
    <row r="76" spans="1:17" x14ac:dyDescent="0.2">
      <c r="J76" s="13" t="s">
        <v>139</v>
      </c>
      <c r="K76" s="13"/>
      <c r="L76" s="14">
        <f>SUBTOTAL(9,L72:L75)</f>
        <v>101.25</v>
      </c>
    </row>
    <row r="78" spans="1:17" x14ac:dyDescent="0.2">
      <c r="J78" s="10" t="s">
        <v>140</v>
      </c>
      <c r="K78" s="10"/>
      <c r="L78" s="11">
        <v>356.75</v>
      </c>
    </row>
    <row r="79" spans="1:17" x14ac:dyDescent="0.2">
      <c r="J79" s="10" t="s">
        <v>141</v>
      </c>
      <c r="K79" s="10"/>
      <c r="L79" s="11">
        <v>308</v>
      </c>
    </row>
    <row r="80" spans="1:17" x14ac:dyDescent="0.2">
      <c r="J80" s="13" t="s">
        <v>142</v>
      </c>
      <c r="K80" s="13"/>
      <c r="L80" s="14">
        <f>+L79+L78</f>
        <v>664.75</v>
      </c>
    </row>
    <row r="81" spans="10:12" x14ac:dyDescent="0.2">
      <c r="J81" s="13" t="s">
        <v>143</v>
      </c>
      <c r="K81" s="13"/>
      <c r="L81" s="14">
        <f>+L80+L76</f>
        <v>766</v>
      </c>
    </row>
  </sheetData>
  <mergeCells count="9">
    <mergeCell ref="J79:K79"/>
    <mergeCell ref="J80:K80"/>
    <mergeCell ref="J81:K81"/>
    <mergeCell ref="J72:K72"/>
    <mergeCell ref="J73:K73"/>
    <mergeCell ref="J74:K74"/>
    <mergeCell ref="J75:K75"/>
    <mergeCell ref="J76:K76"/>
    <mergeCell ref="J78:K78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2021-09-04T10:33:25Z</dcterms:modified>
  <cp:category/>
</cp:coreProperties>
</file>