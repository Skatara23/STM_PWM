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02001\Desktop\ARS LIFTING 2018-19\ARS SALE 2021-22\"/>
    </mc:Choice>
  </mc:AlternateContent>
  <bookViews>
    <workbookView xWindow="0" yWindow="0" windowWidth="21855" windowHeight="14940" firstSheet="3" activeTab="3"/>
  </bookViews>
  <sheets>
    <sheet name="Sheet4" sheetId="9" state="hidden" r:id="rId1"/>
    <sheet name="DIST WIS SLAB" sheetId="10" state="hidden" r:id="rId2"/>
    <sheet name="Sheet6" sheetId="11" state="hidden" r:id="rId3"/>
    <sheet name="mtd sale" sheetId="4" r:id="rId4"/>
    <sheet name="Sheet1" sheetId="12" state="hidden" r:id="rId5"/>
    <sheet name="Slab" sheetId="8" state="hidden" r:id="rId6"/>
  </sheets>
  <definedNames>
    <definedName name="_xlnm._FilterDatabase" localSheetId="1" hidden="1">'DIST WIS SLAB'!$A$2:$J$35</definedName>
    <definedName name="_xlnm._FilterDatabase" localSheetId="3" hidden="1">'mtd sale'!$A$1:$P$512</definedName>
  </definedNames>
  <calcPr calcId="162913"/>
  <pivotCaches>
    <pivotCache cacheId="0" r:id="rId7"/>
  </pivotCaches>
</workbook>
</file>

<file path=xl/calcChain.xml><?xml version="1.0" encoding="utf-8"?>
<calcChain xmlns="http://schemas.openxmlformats.org/spreadsheetml/2006/main">
  <c r="G4" i="4" l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3" i="4"/>
  <c r="L511" i="4"/>
  <c r="K511" i="4"/>
  <c r="J511" i="4"/>
  <c r="I511" i="4"/>
  <c r="H511" i="4"/>
  <c r="L510" i="4"/>
  <c r="K510" i="4"/>
  <c r="J510" i="4"/>
  <c r="I510" i="4"/>
  <c r="H510" i="4"/>
  <c r="L509" i="4"/>
  <c r="K509" i="4"/>
  <c r="J509" i="4"/>
  <c r="I509" i="4"/>
  <c r="H509" i="4"/>
  <c r="L508" i="4"/>
  <c r="K508" i="4"/>
  <c r="J508" i="4"/>
  <c r="I508" i="4"/>
  <c r="H508" i="4"/>
  <c r="L507" i="4"/>
  <c r="K507" i="4"/>
  <c r="J507" i="4"/>
  <c r="I507" i="4"/>
  <c r="H507" i="4"/>
  <c r="L506" i="4"/>
  <c r="K506" i="4"/>
  <c r="J506" i="4"/>
  <c r="I506" i="4"/>
  <c r="H506" i="4"/>
  <c r="L505" i="4"/>
  <c r="K505" i="4"/>
  <c r="J505" i="4"/>
  <c r="I505" i="4"/>
  <c r="H505" i="4"/>
  <c r="L504" i="4"/>
  <c r="K504" i="4"/>
  <c r="J504" i="4"/>
  <c r="I504" i="4"/>
  <c r="H504" i="4"/>
  <c r="L503" i="4"/>
  <c r="K503" i="4"/>
  <c r="J503" i="4"/>
  <c r="I503" i="4"/>
  <c r="H503" i="4"/>
  <c r="L502" i="4"/>
  <c r="K502" i="4"/>
  <c r="J502" i="4"/>
  <c r="I502" i="4"/>
  <c r="H502" i="4"/>
  <c r="L501" i="4"/>
  <c r="K501" i="4"/>
  <c r="J501" i="4"/>
  <c r="I501" i="4"/>
  <c r="H501" i="4"/>
  <c r="L500" i="4"/>
  <c r="K500" i="4"/>
  <c r="J500" i="4"/>
  <c r="I500" i="4"/>
  <c r="H500" i="4"/>
  <c r="L499" i="4"/>
  <c r="K499" i="4"/>
  <c r="J499" i="4"/>
  <c r="I499" i="4"/>
  <c r="H499" i="4"/>
  <c r="L498" i="4"/>
  <c r="K498" i="4"/>
  <c r="J498" i="4"/>
  <c r="I498" i="4"/>
  <c r="H498" i="4"/>
  <c r="L497" i="4"/>
  <c r="K497" i="4"/>
  <c r="J497" i="4"/>
  <c r="I497" i="4"/>
  <c r="H497" i="4"/>
  <c r="L496" i="4"/>
  <c r="K496" i="4"/>
  <c r="J496" i="4"/>
  <c r="I496" i="4"/>
  <c r="H496" i="4"/>
  <c r="L495" i="4"/>
  <c r="K495" i="4"/>
  <c r="J495" i="4"/>
  <c r="I495" i="4"/>
  <c r="H495" i="4"/>
  <c r="L494" i="4"/>
  <c r="K494" i="4"/>
  <c r="J494" i="4"/>
  <c r="I494" i="4"/>
  <c r="H494" i="4"/>
  <c r="L493" i="4"/>
  <c r="K493" i="4"/>
  <c r="J493" i="4"/>
  <c r="I493" i="4"/>
  <c r="H493" i="4"/>
  <c r="L492" i="4"/>
  <c r="K492" i="4"/>
  <c r="J492" i="4"/>
  <c r="I492" i="4"/>
  <c r="H492" i="4"/>
  <c r="L491" i="4"/>
  <c r="K491" i="4"/>
  <c r="J491" i="4"/>
  <c r="I491" i="4"/>
  <c r="H491" i="4"/>
  <c r="L490" i="4"/>
  <c r="K490" i="4"/>
  <c r="J490" i="4"/>
  <c r="I490" i="4"/>
  <c r="H490" i="4"/>
  <c r="L489" i="4"/>
  <c r="K489" i="4"/>
  <c r="J489" i="4"/>
  <c r="I489" i="4"/>
  <c r="H489" i="4"/>
  <c r="L488" i="4"/>
  <c r="K488" i="4"/>
  <c r="J488" i="4"/>
  <c r="I488" i="4"/>
  <c r="H488" i="4"/>
  <c r="L487" i="4"/>
  <c r="K487" i="4"/>
  <c r="J487" i="4"/>
  <c r="I487" i="4"/>
  <c r="H487" i="4"/>
  <c r="L486" i="4"/>
  <c r="K486" i="4"/>
  <c r="J486" i="4"/>
  <c r="I486" i="4"/>
  <c r="H486" i="4"/>
  <c r="L485" i="4"/>
  <c r="K485" i="4"/>
  <c r="J485" i="4"/>
  <c r="I485" i="4"/>
  <c r="H485" i="4"/>
  <c r="L484" i="4"/>
  <c r="K484" i="4"/>
  <c r="J484" i="4"/>
  <c r="I484" i="4"/>
  <c r="H484" i="4"/>
  <c r="L483" i="4"/>
  <c r="K483" i="4"/>
  <c r="J483" i="4"/>
  <c r="I483" i="4"/>
  <c r="H483" i="4"/>
  <c r="L482" i="4"/>
  <c r="K482" i="4"/>
  <c r="J482" i="4"/>
  <c r="I482" i="4"/>
  <c r="H482" i="4"/>
  <c r="L481" i="4"/>
  <c r="K481" i="4"/>
  <c r="J481" i="4"/>
  <c r="I481" i="4"/>
  <c r="H481" i="4"/>
  <c r="L480" i="4"/>
  <c r="K480" i="4"/>
  <c r="J480" i="4"/>
  <c r="I480" i="4"/>
  <c r="H480" i="4"/>
  <c r="L479" i="4"/>
  <c r="K479" i="4"/>
  <c r="J479" i="4"/>
  <c r="I479" i="4"/>
  <c r="H479" i="4"/>
  <c r="L478" i="4"/>
  <c r="K478" i="4"/>
  <c r="J478" i="4"/>
  <c r="I478" i="4"/>
  <c r="H478" i="4"/>
  <c r="L477" i="4"/>
  <c r="K477" i="4"/>
  <c r="J477" i="4"/>
  <c r="I477" i="4"/>
  <c r="H477" i="4"/>
  <c r="L476" i="4"/>
  <c r="K476" i="4"/>
  <c r="J476" i="4"/>
  <c r="I476" i="4"/>
  <c r="H476" i="4"/>
  <c r="L475" i="4"/>
  <c r="K475" i="4"/>
  <c r="J475" i="4"/>
  <c r="I475" i="4"/>
  <c r="H475" i="4"/>
  <c r="L474" i="4"/>
  <c r="K474" i="4"/>
  <c r="J474" i="4"/>
  <c r="I474" i="4"/>
  <c r="H474" i="4"/>
  <c r="L473" i="4"/>
  <c r="K473" i="4"/>
  <c r="J473" i="4"/>
  <c r="I473" i="4"/>
  <c r="H473" i="4"/>
  <c r="L472" i="4"/>
  <c r="K472" i="4"/>
  <c r="J472" i="4"/>
  <c r="I472" i="4"/>
  <c r="H472" i="4"/>
  <c r="L471" i="4"/>
  <c r="K471" i="4"/>
  <c r="J471" i="4"/>
  <c r="I471" i="4"/>
  <c r="H471" i="4"/>
  <c r="L470" i="4"/>
  <c r="K470" i="4"/>
  <c r="J470" i="4"/>
  <c r="I470" i="4"/>
  <c r="H470" i="4"/>
  <c r="L469" i="4"/>
  <c r="K469" i="4"/>
  <c r="J469" i="4"/>
  <c r="I469" i="4"/>
  <c r="H469" i="4"/>
  <c r="L468" i="4"/>
  <c r="K468" i="4"/>
  <c r="J468" i="4"/>
  <c r="I468" i="4"/>
  <c r="H468" i="4"/>
  <c r="L467" i="4"/>
  <c r="K467" i="4"/>
  <c r="J467" i="4"/>
  <c r="I467" i="4"/>
  <c r="H467" i="4"/>
  <c r="L466" i="4"/>
  <c r="K466" i="4"/>
  <c r="J466" i="4"/>
  <c r="I466" i="4"/>
  <c r="H466" i="4"/>
  <c r="L465" i="4"/>
  <c r="K465" i="4"/>
  <c r="J465" i="4"/>
  <c r="I465" i="4"/>
  <c r="H465" i="4"/>
  <c r="L464" i="4"/>
  <c r="K464" i="4"/>
  <c r="J464" i="4"/>
  <c r="I464" i="4"/>
  <c r="H464" i="4"/>
  <c r="L463" i="4"/>
  <c r="K463" i="4"/>
  <c r="J463" i="4"/>
  <c r="I463" i="4"/>
  <c r="H463" i="4"/>
  <c r="L462" i="4"/>
  <c r="K462" i="4"/>
  <c r="J462" i="4"/>
  <c r="I462" i="4"/>
  <c r="H462" i="4"/>
  <c r="L461" i="4"/>
  <c r="K461" i="4"/>
  <c r="J461" i="4"/>
  <c r="I461" i="4"/>
  <c r="H461" i="4"/>
  <c r="L460" i="4"/>
  <c r="K460" i="4"/>
  <c r="J460" i="4"/>
  <c r="I460" i="4"/>
  <c r="H460" i="4"/>
  <c r="L459" i="4"/>
  <c r="K459" i="4"/>
  <c r="J459" i="4"/>
  <c r="I459" i="4"/>
  <c r="H459" i="4"/>
  <c r="L458" i="4"/>
  <c r="K458" i="4"/>
  <c r="J458" i="4"/>
  <c r="I458" i="4"/>
  <c r="H458" i="4"/>
  <c r="L457" i="4"/>
  <c r="K457" i="4"/>
  <c r="J457" i="4"/>
  <c r="I457" i="4"/>
  <c r="H457" i="4"/>
  <c r="L456" i="4"/>
  <c r="K456" i="4"/>
  <c r="J456" i="4"/>
  <c r="I456" i="4"/>
  <c r="H456" i="4"/>
  <c r="L455" i="4"/>
  <c r="K455" i="4"/>
  <c r="J455" i="4"/>
  <c r="I455" i="4"/>
  <c r="H455" i="4"/>
  <c r="L454" i="4"/>
  <c r="K454" i="4"/>
  <c r="J454" i="4"/>
  <c r="I454" i="4"/>
  <c r="H454" i="4"/>
  <c r="L453" i="4"/>
  <c r="K453" i="4"/>
  <c r="J453" i="4"/>
  <c r="I453" i="4"/>
  <c r="H453" i="4"/>
  <c r="L452" i="4"/>
  <c r="K452" i="4"/>
  <c r="J452" i="4"/>
  <c r="I452" i="4"/>
  <c r="H452" i="4"/>
  <c r="L451" i="4"/>
  <c r="K451" i="4"/>
  <c r="J451" i="4"/>
  <c r="I451" i="4"/>
  <c r="H451" i="4"/>
  <c r="L450" i="4"/>
  <c r="K450" i="4"/>
  <c r="J450" i="4"/>
  <c r="I450" i="4"/>
  <c r="H450" i="4"/>
  <c r="L449" i="4"/>
  <c r="K449" i="4"/>
  <c r="J449" i="4"/>
  <c r="I449" i="4"/>
  <c r="H449" i="4"/>
  <c r="L448" i="4"/>
  <c r="K448" i="4"/>
  <c r="J448" i="4"/>
  <c r="I448" i="4"/>
  <c r="H448" i="4"/>
  <c r="L447" i="4"/>
  <c r="K447" i="4"/>
  <c r="J447" i="4"/>
  <c r="I447" i="4"/>
  <c r="H447" i="4"/>
  <c r="L446" i="4"/>
  <c r="K446" i="4"/>
  <c r="J446" i="4"/>
  <c r="I446" i="4"/>
  <c r="H446" i="4"/>
  <c r="L445" i="4"/>
  <c r="K445" i="4"/>
  <c r="J445" i="4"/>
  <c r="I445" i="4"/>
  <c r="H445" i="4"/>
  <c r="L444" i="4"/>
  <c r="K444" i="4"/>
  <c r="J444" i="4"/>
  <c r="I444" i="4"/>
  <c r="H444" i="4"/>
  <c r="L443" i="4"/>
  <c r="K443" i="4"/>
  <c r="J443" i="4"/>
  <c r="I443" i="4"/>
  <c r="H443" i="4"/>
  <c r="L442" i="4"/>
  <c r="K442" i="4"/>
  <c r="J442" i="4"/>
  <c r="I442" i="4"/>
  <c r="H442" i="4"/>
  <c r="L441" i="4"/>
  <c r="K441" i="4"/>
  <c r="J441" i="4"/>
  <c r="I441" i="4"/>
  <c r="H441" i="4"/>
  <c r="L440" i="4"/>
  <c r="K440" i="4"/>
  <c r="J440" i="4"/>
  <c r="I440" i="4"/>
  <c r="H440" i="4"/>
  <c r="L439" i="4"/>
  <c r="K439" i="4"/>
  <c r="J439" i="4"/>
  <c r="I439" i="4"/>
  <c r="H439" i="4"/>
  <c r="L438" i="4"/>
  <c r="K438" i="4"/>
  <c r="J438" i="4"/>
  <c r="I438" i="4"/>
  <c r="H438" i="4"/>
  <c r="L437" i="4"/>
  <c r="K437" i="4"/>
  <c r="J437" i="4"/>
  <c r="I437" i="4"/>
  <c r="H437" i="4"/>
  <c r="L436" i="4"/>
  <c r="K436" i="4"/>
  <c r="J436" i="4"/>
  <c r="I436" i="4"/>
  <c r="H436" i="4"/>
  <c r="L435" i="4"/>
  <c r="K435" i="4"/>
  <c r="J435" i="4"/>
  <c r="I435" i="4"/>
  <c r="H435" i="4"/>
  <c r="L434" i="4"/>
  <c r="K434" i="4"/>
  <c r="J434" i="4"/>
  <c r="I434" i="4"/>
  <c r="H434" i="4"/>
  <c r="L433" i="4"/>
  <c r="K433" i="4"/>
  <c r="J433" i="4"/>
  <c r="I433" i="4"/>
  <c r="H433" i="4"/>
  <c r="L432" i="4"/>
  <c r="K432" i="4"/>
  <c r="J432" i="4"/>
  <c r="I432" i="4"/>
  <c r="H432" i="4"/>
  <c r="L431" i="4"/>
  <c r="K431" i="4"/>
  <c r="J431" i="4"/>
  <c r="I431" i="4"/>
  <c r="H431" i="4"/>
  <c r="L430" i="4"/>
  <c r="K430" i="4"/>
  <c r="J430" i="4"/>
  <c r="I430" i="4"/>
  <c r="H430" i="4"/>
  <c r="L429" i="4"/>
  <c r="K429" i="4"/>
  <c r="J429" i="4"/>
  <c r="I429" i="4"/>
  <c r="H429" i="4"/>
  <c r="L428" i="4"/>
  <c r="K428" i="4"/>
  <c r="J428" i="4"/>
  <c r="I428" i="4"/>
  <c r="H428" i="4"/>
  <c r="L427" i="4"/>
  <c r="K427" i="4"/>
  <c r="J427" i="4"/>
  <c r="I427" i="4"/>
  <c r="H427" i="4"/>
  <c r="L426" i="4"/>
  <c r="K426" i="4"/>
  <c r="J426" i="4"/>
  <c r="I426" i="4"/>
  <c r="H426" i="4"/>
  <c r="L425" i="4"/>
  <c r="K425" i="4"/>
  <c r="J425" i="4"/>
  <c r="I425" i="4"/>
  <c r="H425" i="4"/>
  <c r="L424" i="4"/>
  <c r="K424" i="4"/>
  <c r="J424" i="4"/>
  <c r="I424" i="4"/>
  <c r="H424" i="4"/>
  <c r="L423" i="4"/>
  <c r="K423" i="4"/>
  <c r="J423" i="4"/>
  <c r="I423" i="4"/>
  <c r="H423" i="4"/>
  <c r="L422" i="4"/>
  <c r="K422" i="4"/>
  <c r="J422" i="4"/>
  <c r="I422" i="4"/>
  <c r="H422" i="4"/>
  <c r="L421" i="4"/>
  <c r="K421" i="4"/>
  <c r="J421" i="4"/>
  <c r="I421" i="4"/>
  <c r="H421" i="4"/>
  <c r="L420" i="4"/>
  <c r="K420" i="4"/>
  <c r="J420" i="4"/>
  <c r="I420" i="4"/>
  <c r="H420" i="4"/>
  <c r="L419" i="4"/>
  <c r="K419" i="4"/>
  <c r="J419" i="4"/>
  <c r="I419" i="4"/>
  <c r="H419" i="4"/>
  <c r="L418" i="4"/>
  <c r="K418" i="4"/>
  <c r="J418" i="4"/>
  <c r="I418" i="4"/>
  <c r="H418" i="4"/>
  <c r="L417" i="4"/>
  <c r="K417" i="4"/>
  <c r="J417" i="4"/>
  <c r="I417" i="4"/>
  <c r="H417" i="4"/>
  <c r="L416" i="4"/>
  <c r="K416" i="4"/>
  <c r="J416" i="4"/>
  <c r="I416" i="4"/>
  <c r="H416" i="4"/>
  <c r="L415" i="4"/>
  <c r="K415" i="4"/>
  <c r="J415" i="4"/>
  <c r="I415" i="4"/>
  <c r="H415" i="4"/>
  <c r="L414" i="4"/>
  <c r="K414" i="4"/>
  <c r="J414" i="4"/>
  <c r="I414" i="4"/>
  <c r="H414" i="4"/>
  <c r="L413" i="4"/>
  <c r="K413" i="4"/>
  <c r="J413" i="4"/>
  <c r="I413" i="4"/>
  <c r="H413" i="4"/>
  <c r="L412" i="4"/>
  <c r="K412" i="4"/>
  <c r="J412" i="4"/>
  <c r="I412" i="4"/>
  <c r="H412" i="4"/>
  <c r="L411" i="4"/>
  <c r="K411" i="4"/>
  <c r="J411" i="4"/>
  <c r="I411" i="4"/>
  <c r="H411" i="4"/>
  <c r="L410" i="4"/>
  <c r="K410" i="4"/>
  <c r="J410" i="4"/>
  <c r="I410" i="4"/>
  <c r="H410" i="4"/>
  <c r="L409" i="4"/>
  <c r="K409" i="4"/>
  <c r="J409" i="4"/>
  <c r="I409" i="4"/>
  <c r="H409" i="4"/>
  <c r="L408" i="4"/>
  <c r="K408" i="4"/>
  <c r="J408" i="4"/>
  <c r="I408" i="4"/>
  <c r="H408" i="4"/>
  <c r="L407" i="4"/>
  <c r="K407" i="4"/>
  <c r="J407" i="4"/>
  <c r="I407" i="4"/>
  <c r="H407" i="4"/>
  <c r="L406" i="4"/>
  <c r="K406" i="4"/>
  <c r="J406" i="4"/>
  <c r="I406" i="4"/>
  <c r="H406" i="4"/>
  <c r="L405" i="4"/>
  <c r="K405" i="4"/>
  <c r="J405" i="4"/>
  <c r="I405" i="4"/>
  <c r="H405" i="4"/>
  <c r="L404" i="4"/>
  <c r="K404" i="4"/>
  <c r="J404" i="4"/>
  <c r="I404" i="4"/>
  <c r="H404" i="4"/>
  <c r="L403" i="4"/>
  <c r="K403" i="4"/>
  <c r="J403" i="4"/>
  <c r="I403" i="4"/>
  <c r="H403" i="4"/>
  <c r="L402" i="4"/>
  <c r="K402" i="4"/>
  <c r="J402" i="4"/>
  <c r="I402" i="4"/>
  <c r="H402" i="4"/>
  <c r="L401" i="4"/>
  <c r="K401" i="4"/>
  <c r="J401" i="4"/>
  <c r="I401" i="4"/>
  <c r="H401" i="4"/>
  <c r="L400" i="4"/>
  <c r="K400" i="4"/>
  <c r="J400" i="4"/>
  <c r="I400" i="4"/>
  <c r="H400" i="4"/>
  <c r="L399" i="4"/>
  <c r="K399" i="4"/>
  <c r="J399" i="4"/>
  <c r="I399" i="4"/>
  <c r="H399" i="4"/>
  <c r="L398" i="4"/>
  <c r="K398" i="4"/>
  <c r="J398" i="4"/>
  <c r="I398" i="4"/>
  <c r="H398" i="4"/>
  <c r="L397" i="4"/>
  <c r="K397" i="4"/>
  <c r="J397" i="4"/>
  <c r="I397" i="4"/>
  <c r="H397" i="4"/>
  <c r="L396" i="4"/>
  <c r="K396" i="4"/>
  <c r="J396" i="4"/>
  <c r="I396" i="4"/>
  <c r="H396" i="4"/>
  <c r="L395" i="4"/>
  <c r="K395" i="4"/>
  <c r="J395" i="4"/>
  <c r="I395" i="4"/>
  <c r="H395" i="4"/>
  <c r="L394" i="4"/>
  <c r="K394" i="4"/>
  <c r="J394" i="4"/>
  <c r="I394" i="4"/>
  <c r="H394" i="4"/>
  <c r="L393" i="4"/>
  <c r="K393" i="4"/>
  <c r="J393" i="4"/>
  <c r="I393" i="4"/>
  <c r="H393" i="4"/>
  <c r="L392" i="4"/>
  <c r="K392" i="4"/>
  <c r="J392" i="4"/>
  <c r="I392" i="4"/>
  <c r="H392" i="4"/>
  <c r="L391" i="4"/>
  <c r="K391" i="4"/>
  <c r="J391" i="4"/>
  <c r="I391" i="4"/>
  <c r="H391" i="4"/>
  <c r="L390" i="4"/>
  <c r="K390" i="4"/>
  <c r="J390" i="4"/>
  <c r="I390" i="4"/>
  <c r="H390" i="4"/>
  <c r="L389" i="4"/>
  <c r="K389" i="4"/>
  <c r="J389" i="4"/>
  <c r="I389" i="4"/>
  <c r="H389" i="4"/>
  <c r="L388" i="4"/>
  <c r="K388" i="4"/>
  <c r="J388" i="4"/>
  <c r="I388" i="4"/>
  <c r="H388" i="4"/>
  <c r="L387" i="4"/>
  <c r="K387" i="4"/>
  <c r="J387" i="4"/>
  <c r="I387" i="4"/>
  <c r="H387" i="4"/>
  <c r="L386" i="4"/>
  <c r="K386" i="4"/>
  <c r="J386" i="4"/>
  <c r="I386" i="4"/>
  <c r="H386" i="4"/>
  <c r="L385" i="4"/>
  <c r="K385" i="4"/>
  <c r="J385" i="4"/>
  <c r="I385" i="4"/>
  <c r="H385" i="4"/>
  <c r="L384" i="4"/>
  <c r="K384" i="4"/>
  <c r="J384" i="4"/>
  <c r="I384" i="4"/>
  <c r="H384" i="4"/>
  <c r="L383" i="4"/>
  <c r="K383" i="4"/>
  <c r="J383" i="4"/>
  <c r="I383" i="4"/>
  <c r="H383" i="4"/>
  <c r="L382" i="4"/>
  <c r="K382" i="4"/>
  <c r="J382" i="4"/>
  <c r="I382" i="4"/>
  <c r="H382" i="4"/>
  <c r="L381" i="4"/>
  <c r="K381" i="4"/>
  <c r="J381" i="4"/>
  <c r="I381" i="4"/>
  <c r="H381" i="4"/>
  <c r="L380" i="4"/>
  <c r="K380" i="4"/>
  <c r="J380" i="4"/>
  <c r="I380" i="4"/>
  <c r="H380" i="4"/>
  <c r="L379" i="4"/>
  <c r="K379" i="4"/>
  <c r="J379" i="4"/>
  <c r="I379" i="4"/>
  <c r="H379" i="4"/>
  <c r="L378" i="4"/>
  <c r="K378" i="4"/>
  <c r="J378" i="4"/>
  <c r="I378" i="4"/>
  <c r="H378" i="4"/>
  <c r="L377" i="4"/>
  <c r="K377" i="4"/>
  <c r="J377" i="4"/>
  <c r="I377" i="4"/>
  <c r="H377" i="4"/>
  <c r="L376" i="4"/>
  <c r="K376" i="4"/>
  <c r="J376" i="4"/>
  <c r="I376" i="4"/>
  <c r="H376" i="4"/>
  <c r="L375" i="4"/>
  <c r="K375" i="4"/>
  <c r="J375" i="4"/>
  <c r="I375" i="4"/>
  <c r="H375" i="4"/>
  <c r="L374" i="4"/>
  <c r="K374" i="4"/>
  <c r="J374" i="4"/>
  <c r="I374" i="4"/>
  <c r="H374" i="4"/>
  <c r="L373" i="4"/>
  <c r="K373" i="4"/>
  <c r="J373" i="4"/>
  <c r="I373" i="4"/>
  <c r="H373" i="4"/>
  <c r="L372" i="4"/>
  <c r="K372" i="4"/>
  <c r="J372" i="4"/>
  <c r="I372" i="4"/>
  <c r="H372" i="4"/>
  <c r="L371" i="4"/>
  <c r="K371" i="4"/>
  <c r="J371" i="4"/>
  <c r="I371" i="4"/>
  <c r="H371" i="4"/>
  <c r="L370" i="4"/>
  <c r="K370" i="4"/>
  <c r="J370" i="4"/>
  <c r="I370" i="4"/>
  <c r="H370" i="4"/>
  <c r="L369" i="4"/>
  <c r="K369" i="4"/>
  <c r="J369" i="4"/>
  <c r="I369" i="4"/>
  <c r="H369" i="4"/>
  <c r="L368" i="4"/>
  <c r="K368" i="4"/>
  <c r="J368" i="4"/>
  <c r="I368" i="4"/>
  <c r="H368" i="4"/>
  <c r="L367" i="4"/>
  <c r="K367" i="4"/>
  <c r="J367" i="4"/>
  <c r="I367" i="4"/>
  <c r="H367" i="4"/>
  <c r="L366" i="4"/>
  <c r="K366" i="4"/>
  <c r="J366" i="4"/>
  <c r="I366" i="4"/>
  <c r="H366" i="4"/>
  <c r="L365" i="4"/>
  <c r="K365" i="4"/>
  <c r="J365" i="4"/>
  <c r="I365" i="4"/>
  <c r="H365" i="4"/>
  <c r="L364" i="4"/>
  <c r="K364" i="4"/>
  <c r="J364" i="4"/>
  <c r="I364" i="4"/>
  <c r="H364" i="4"/>
  <c r="L363" i="4"/>
  <c r="K363" i="4"/>
  <c r="J363" i="4"/>
  <c r="I363" i="4"/>
  <c r="H363" i="4"/>
  <c r="L362" i="4"/>
  <c r="K362" i="4"/>
  <c r="J362" i="4"/>
  <c r="I362" i="4"/>
  <c r="H362" i="4"/>
  <c r="L361" i="4"/>
  <c r="K361" i="4"/>
  <c r="J361" i="4"/>
  <c r="I361" i="4"/>
  <c r="H361" i="4"/>
  <c r="L360" i="4"/>
  <c r="K360" i="4"/>
  <c r="J360" i="4"/>
  <c r="I360" i="4"/>
  <c r="H360" i="4"/>
  <c r="L359" i="4"/>
  <c r="K359" i="4"/>
  <c r="J359" i="4"/>
  <c r="I359" i="4"/>
  <c r="H359" i="4"/>
  <c r="L358" i="4"/>
  <c r="K358" i="4"/>
  <c r="J358" i="4"/>
  <c r="I358" i="4"/>
  <c r="H358" i="4"/>
  <c r="L357" i="4"/>
  <c r="K357" i="4"/>
  <c r="J357" i="4"/>
  <c r="I357" i="4"/>
  <c r="H357" i="4"/>
  <c r="L356" i="4"/>
  <c r="K356" i="4"/>
  <c r="J356" i="4"/>
  <c r="I356" i="4"/>
  <c r="H356" i="4"/>
  <c r="L355" i="4"/>
  <c r="K355" i="4"/>
  <c r="J355" i="4"/>
  <c r="I355" i="4"/>
  <c r="H355" i="4"/>
  <c r="L354" i="4"/>
  <c r="K354" i="4"/>
  <c r="J354" i="4"/>
  <c r="I354" i="4"/>
  <c r="H354" i="4"/>
  <c r="L353" i="4"/>
  <c r="K353" i="4"/>
  <c r="J353" i="4"/>
  <c r="I353" i="4"/>
  <c r="H353" i="4"/>
  <c r="L352" i="4"/>
  <c r="K352" i="4"/>
  <c r="J352" i="4"/>
  <c r="I352" i="4"/>
  <c r="H352" i="4"/>
  <c r="L351" i="4"/>
  <c r="K351" i="4"/>
  <c r="J351" i="4"/>
  <c r="I351" i="4"/>
  <c r="H351" i="4"/>
  <c r="L350" i="4"/>
  <c r="K350" i="4"/>
  <c r="J350" i="4"/>
  <c r="I350" i="4"/>
  <c r="H350" i="4"/>
  <c r="L349" i="4"/>
  <c r="K349" i="4"/>
  <c r="J349" i="4"/>
  <c r="I349" i="4"/>
  <c r="H349" i="4"/>
  <c r="L348" i="4"/>
  <c r="K348" i="4"/>
  <c r="J348" i="4"/>
  <c r="I348" i="4"/>
  <c r="H348" i="4"/>
  <c r="L347" i="4"/>
  <c r="K347" i="4"/>
  <c r="J347" i="4"/>
  <c r="I347" i="4"/>
  <c r="H347" i="4"/>
  <c r="L346" i="4"/>
  <c r="K346" i="4"/>
  <c r="J346" i="4"/>
  <c r="I346" i="4"/>
  <c r="H346" i="4"/>
  <c r="L345" i="4"/>
  <c r="K345" i="4"/>
  <c r="J345" i="4"/>
  <c r="I345" i="4"/>
  <c r="H345" i="4"/>
  <c r="L344" i="4"/>
  <c r="K344" i="4"/>
  <c r="J344" i="4"/>
  <c r="I344" i="4"/>
  <c r="H344" i="4"/>
  <c r="L343" i="4"/>
  <c r="K343" i="4"/>
  <c r="J343" i="4"/>
  <c r="I343" i="4"/>
  <c r="H343" i="4"/>
  <c r="L342" i="4"/>
  <c r="K342" i="4"/>
  <c r="J342" i="4"/>
  <c r="I342" i="4"/>
  <c r="H342" i="4"/>
  <c r="L341" i="4"/>
  <c r="K341" i="4"/>
  <c r="J341" i="4"/>
  <c r="I341" i="4"/>
  <c r="H341" i="4"/>
  <c r="L340" i="4"/>
  <c r="K340" i="4"/>
  <c r="J340" i="4"/>
  <c r="I340" i="4"/>
  <c r="H340" i="4"/>
  <c r="L339" i="4"/>
  <c r="K339" i="4"/>
  <c r="J339" i="4"/>
  <c r="I339" i="4"/>
  <c r="H339" i="4"/>
  <c r="L338" i="4"/>
  <c r="K338" i="4"/>
  <c r="J338" i="4"/>
  <c r="I338" i="4"/>
  <c r="H338" i="4"/>
  <c r="L337" i="4"/>
  <c r="K337" i="4"/>
  <c r="J337" i="4"/>
  <c r="I337" i="4"/>
  <c r="H337" i="4"/>
  <c r="L336" i="4"/>
  <c r="K336" i="4"/>
  <c r="J336" i="4"/>
  <c r="I336" i="4"/>
  <c r="H336" i="4"/>
  <c r="L335" i="4"/>
  <c r="K335" i="4"/>
  <c r="J335" i="4"/>
  <c r="I335" i="4"/>
  <c r="H335" i="4"/>
  <c r="L334" i="4"/>
  <c r="K334" i="4"/>
  <c r="J334" i="4"/>
  <c r="I334" i="4"/>
  <c r="H334" i="4"/>
  <c r="L333" i="4"/>
  <c r="K333" i="4"/>
  <c r="J333" i="4"/>
  <c r="I333" i="4"/>
  <c r="H333" i="4"/>
  <c r="L332" i="4"/>
  <c r="K332" i="4"/>
  <c r="J332" i="4"/>
  <c r="I332" i="4"/>
  <c r="H332" i="4"/>
  <c r="L331" i="4"/>
  <c r="K331" i="4"/>
  <c r="J331" i="4"/>
  <c r="I331" i="4"/>
  <c r="H331" i="4"/>
  <c r="L330" i="4"/>
  <c r="K330" i="4"/>
  <c r="J330" i="4"/>
  <c r="I330" i="4"/>
  <c r="H330" i="4"/>
  <c r="L329" i="4"/>
  <c r="K329" i="4"/>
  <c r="J329" i="4"/>
  <c r="I329" i="4"/>
  <c r="H329" i="4"/>
  <c r="L328" i="4"/>
  <c r="K328" i="4"/>
  <c r="J328" i="4"/>
  <c r="I328" i="4"/>
  <c r="H328" i="4"/>
  <c r="L327" i="4"/>
  <c r="K327" i="4"/>
  <c r="J327" i="4"/>
  <c r="I327" i="4"/>
  <c r="H327" i="4"/>
  <c r="L326" i="4"/>
  <c r="K326" i="4"/>
  <c r="J326" i="4"/>
  <c r="I326" i="4"/>
  <c r="H326" i="4"/>
  <c r="L325" i="4"/>
  <c r="K325" i="4"/>
  <c r="J325" i="4"/>
  <c r="I325" i="4"/>
  <c r="H325" i="4"/>
  <c r="L324" i="4"/>
  <c r="K324" i="4"/>
  <c r="J324" i="4"/>
  <c r="I324" i="4"/>
  <c r="H324" i="4"/>
  <c r="L323" i="4"/>
  <c r="K323" i="4"/>
  <c r="J323" i="4"/>
  <c r="I323" i="4"/>
  <c r="H323" i="4"/>
  <c r="L322" i="4"/>
  <c r="K322" i="4"/>
  <c r="J322" i="4"/>
  <c r="I322" i="4"/>
  <c r="H322" i="4"/>
  <c r="L321" i="4"/>
  <c r="K321" i="4"/>
  <c r="J321" i="4"/>
  <c r="I321" i="4"/>
  <c r="H321" i="4"/>
  <c r="L320" i="4"/>
  <c r="K320" i="4"/>
  <c r="J320" i="4"/>
  <c r="I320" i="4"/>
  <c r="H320" i="4"/>
  <c r="L319" i="4"/>
  <c r="K319" i="4"/>
  <c r="J319" i="4"/>
  <c r="I319" i="4"/>
  <c r="H319" i="4"/>
  <c r="L318" i="4"/>
  <c r="K318" i="4"/>
  <c r="J318" i="4"/>
  <c r="I318" i="4"/>
  <c r="H318" i="4"/>
  <c r="L317" i="4"/>
  <c r="K317" i="4"/>
  <c r="J317" i="4"/>
  <c r="I317" i="4"/>
  <c r="H317" i="4"/>
  <c r="L316" i="4"/>
  <c r="K316" i="4"/>
  <c r="J316" i="4"/>
  <c r="I316" i="4"/>
  <c r="H316" i="4"/>
  <c r="L315" i="4"/>
  <c r="K315" i="4"/>
  <c r="J315" i="4"/>
  <c r="I315" i="4"/>
  <c r="H315" i="4"/>
  <c r="L314" i="4"/>
  <c r="K314" i="4"/>
  <c r="J314" i="4"/>
  <c r="I314" i="4"/>
  <c r="H314" i="4"/>
  <c r="L313" i="4"/>
  <c r="K313" i="4"/>
  <c r="J313" i="4"/>
  <c r="I313" i="4"/>
  <c r="H313" i="4"/>
  <c r="L312" i="4"/>
  <c r="K312" i="4"/>
  <c r="J312" i="4"/>
  <c r="I312" i="4"/>
  <c r="H312" i="4"/>
  <c r="L311" i="4"/>
  <c r="K311" i="4"/>
  <c r="J311" i="4"/>
  <c r="I311" i="4"/>
  <c r="H311" i="4"/>
  <c r="L310" i="4"/>
  <c r="K310" i="4"/>
  <c r="J310" i="4"/>
  <c r="I310" i="4"/>
  <c r="H310" i="4"/>
  <c r="L309" i="4"/>
  <c r="K309" i="4"/>
  <c r="J309" i="4"/>
  <c r="I309" i="4"/>
  <c r="H309" i="4"/>
  <c r="L308" i="4"/>
  <c r="K308" i="4"/>
  <c r="J308" i="4"/>
  <c r="I308" i="4"/>
  <c r="H308" i="4"/>
  <c r="L307" i="4"/>
  <c r="K307" i="4"/>
  <c r="J307" i="4"/>
  <c r="I307" i="4"/>
  <c r="H307" i="4"/>
  <c r="L306" i="4"/>
  <c r="K306" i="4"/>
  <c r="J306" i="4"/>
  <c r="I306" i="4"/>
  <c r="H306" i="4"/>
  <c r="L305" i="4"/>
  <c r="K305" i="4"/>
  <c r="J305" i="4"/>
  <c r="I305" i="4"/>
  <c r="H305" i="4"/>
  <c r="L304" i="4"/>
  <c r="K304" i="4"/>
  <c r="J304" i="4"/>
  <c r="I304" i="4"/>
  <c r="H304" i="4"/>
  <c r="L303" i="4"/>
  <c r="K303" i="4"/>
  <c r="J303" i="4"/>
  <c r="I303" i="4"/>
  <c r="H303" i="4"/>
  <c r="L302" i="4"/>
  <c r="K302" i="4"/>
  <c r="J302" i="4"/>
  <c r="I302" i="4"/>
  <c r="H302" i="4"/>
  <c r="L301" i="4"/>
  <c r="K301" i="4"/>
  <c r="J301" i="4"/>
  <c r="I301" i="4"/>
  <c r="H301" i="4"/>
  <c r="L300" i="4"/>
  <c r="K300" i="4"/>
  <c r="J300" i="4"/>
  <c r="I300" i="4"/>
  <c r="H300" i="4"/>
  <c r="L299" i="4"/>
  <c r="K299" i="4"/>
  <c r="J299" i="4"/>
  <c r="I299" i="4"/>
  <c r="H299" i="4"/>
  <c r="L298" i="4"/>
  <c r="K298" i="4"/>
  <c r="J298" i="4"/>
  <c r="I298" i="4"/>
  <c r="H298" i="4"/>
  <c r="L297" i="4"/>
  <c r="K297" i="4"/>
  <c r="J297" i="4"/>
  <c r="I297" i="4"/>
  <c r="H297" i="4"/>
  <c r="L296" i="4"/>
  <c r="K296" i="4"/>
  <c r="J296" i="4"/>
  <c r="I296" i="4"/>
  <c r="H296" i="4"/>
  <c r="L295" i="4"/>
  <c r="K295" i="4"/>
  <c r="J295" i="4"/>
  <c r="I295" i="4"/>
  <c r="H295" i="4"/>
  <c r="L294" i="4"/>
  <c r="K294" i="4"/>
  <c r="J294" i="4"/>
  <c r="I294" i="4"/>
  <c r="H294" i="4"/>
  <c r="L293" i="4"/>
  <c r="K293" i="4"/>
  <c r="J293" i="4"/>
  <c r="I293" i="4"/>
  <c r="H293" i="4"/>
  <c r="L292" i="4"/>
  <c r="K292" i="4"/>
  <c r="J292" i="4"/>
  <c r="I292" i="4"/>
  <c r="H292" i="4"/>
  <c r="L291" i="4"/>
  <c r="K291" i="4"/>
  <c r="J291" i="4"/>
  <c r="I291" i="4"/>
  <c r="H291" i="4"/>
  <c r="L290" i="4"/>
  <c r="K290" i="4"/>
  <c r="J290" i="4"/>
  <c r="I290" i="4"/>
  <c r="H290" i="4"/>
  <c r="L289" i="4"/>
  <c r="K289" i="4"/>
  <c r="J289" i="4"/>
  <c r="I289" i="4"/>
  <c r="H289" i="4"/>
  <c r="L288" i="4"/>
  <c r="K288" i="4"/>
  <c r="J288" i="4"/>
  <c r="I288" i="4"/>
  <c r="H288" i="4"/>
  <c r="L287" i="4"/>
  <c r="K287" i="4"/>
  <c r="J287" i="4"/>
  <c r="I287" i="4"/>
  <c r="H287" i="4"/>
  <c r="L286" i="4"/>
  <c r="K286" i="4"/>
  <c r="J286" i="4"/>
  <c r="I286" i="4"/>
  <c r="H286" i="4"/>
  <c r="L285" i="4"/>
  <c r="K285" i="4"/>
  <c r="J285" i="4"/>
  <c r="I285" i="4"/>
  <c r="H285" i="4"/>
  <c r="L284" i="4"/>
  <c r="K284" i="4"/>
  <c r="J284" i="4"/>
  <c r="I284" i="4"/>
  <c r="H284" i="4"/>
  <c r="L283" i="4"/>
  <c r="K283" i="4"/>
  <c r="J283" i="4"/>
  <c r="I283" i="4"/>
  <c r="H283" i="4"/>
  <c r="L282" i="4"/>
  <c r="K282" i="4"/>
  <c r="J282" i="4"/>
  <c r="I282" i="4"/>
  <c r="H282" i="4"/>
  <c r="L281" i="4"/>
  <c r="K281" i="4"/>
  <c r="J281" i="4"/>
  <c r="I281" i="4"/>
  <c r="H281" i="4"/>
  <c r="L280" i="4"/>
  <c r="K280" i="4"/>
  <c r="J280" i="4"/>
  <c r="I280" i="4"/>
  <c r="H280" i="4"/>
  <c r="L279" i="4"/>
  <c r="K279" i="4"/>
  <c r="J279" i="4"/>
  <c r="I279" i="4"/>
  <c r="H279" i="4"/>
  <c r="L278" i="4"/>
  <c r="K278" i="4"/>
  <c r="J278" i="4"/>
  <c r="I278" i="4"/>
  <c r="H278" i="4"/>
  <c r="L277" i="4"/>
  <c r="K277" i="4"/>
  <c r="J277" i="4"/>
  <c r="I277" i="4"/>
  <c r="H277" i="4"/>
  <c r="L276" i="4"/>
  <c r="K276" i="4"/>
  <c r="J276" i="4"/>
  <c r="I276" i="4"/>
  <c r="H276" i="4"/>
  <c r="L275" i="4"/>
  <c r="K275" i="4"/>
  <c r="J275" i="4"/>
  <c r="I275" i="4"/>
  <c r="H275" i="4"/>
  <c r="L274" i="4"/>
  <c r="K274" i="4"/>
  <c r="J274" i="4"/>
  <c r="I274" i="4"/>
  <c r="H274" i="4"/>
  <c r="L273" i="4"/>
  <c r="K273" i="4"/>
  <c r="J273" i="4"/>
  <c r="I273" i="4"/>
  <c r="H273" i="4"/>
  <c r="L272" i="4"/>
  <c r="K272" i="4"/>
  <c r="J272" i="4"/>
  <c r="I272" i="4"/>
  <c r="H272" i="4"/>
  <c r="L271" i="4"/>
  <c r="K271" i="4"/>
  <c r="J271" i="4"/>
  <c r="I271" i="4"/>
  <c r="H271" i="4"/>
  <c r="L270" i="4"/>
  <c r="K270" i="4"/>
  <c r="J270" i="4"/>
  <c r="I270" i="4"/>
  <c r="H270" i="4"/>
  <c r="L269" i="4"/>
  <c r="K269" i="4"/>
  <c r="J269" i="4"/>
  <c r="I269" i="4"/>
  <c r="H269" i="4"/>
  <c r="L268" i="4"/>
  <c r="K268" i="4"/>
  <c r="J268" i="4"/>
  <c r="I268" i="4"/>
  <c r="H268" i="4"/>
  <c r="L267" i="4"/>
  <c r="K267" i="4"/>
  <c r="J267" i="4"/>
  <c r="I267" i="4"/>
  <c r="H267" i="4"/>
  <c r="L266" i="4"/>
  <c r="K266" i="4"/>
  <c r="J266" i="4"/>
  <c r="I266" i="4"/>
  <c r="H266" i="4"/>
  <c r="L265" i="4"/>
  <c r="K265" i="4"/>
  <c r="J265" i="4"/>
  <c r="I265" i="4"/>
  <c r="H265" i="4"/>
  <c r="L264" i="4"/>
  <c r="K264" i="4"/>
  <c r="J264" i="4"/>
  <c r="I264" i="4"/>
  <c r="H264" i="4"/>
  <c r="L263" i="4"/>
  <c r="K263" i="4"/>
  <c r="J263" i="4"/>
  <c r="I263" i="4"/>
  <c r="H263" i="4"/>
  <c r="L262" i="4"/>
  <c r="K262" i="4"/>
  <c r="J262" i="4"/>
  <c r="I262" i="4"/>
  <c r="H262" i="4"/>
  <c r="L261" i="4"/>
  <c r="K261" i="4"/>
  <c r="J261" i="4"/>
  <c r="I261" i="4"/>
  <c r="H261" i="4"/>
  <c r="L260" i="4"/>
  <c r="K260" i="4"/>
  <c r="J260" i="4"/>
  <c r="I260" i="4"/>
  <c r="H260" i="4"/>
  <c r="L259" i="4"/>
  <c r="K259" i="4"/>
  <c r="J259" i="4"/>
  <c r="I259" i="4"/>
  <c r="H259" i="4"/>
  <c r="L258" i="4"/>
  <c r="K258" i="4"/>
  <c r="J258" i="4"/>
  <c r="I258" i="4"/>
  <c r="H258" i="4"/>
  <c r="L257" i="4"/>
  <c r="K257" i="4"/>
  <c r="J257" i="4"/>
  <c r="I257" i="4"/>
  <c r="H257" i="4"/>
  <c r="L256" i="4"/>
  <c r="K256" i="4"/>
  <c r="J256" i="4"/>
  <c r="I256" i="4"/>
  <c r="H256" i="4"/>
  <c r="L255" i="4"/>
  <c r="K255" i="4"/>
  <c r="J255" i="4"/>
  <c r="I255" i="4"/>
  <c r="H255" i="4"/>
  <c r="L254" i="4"/>
  <c r="K254" i="4"/>
  <c r="J254" i="4"/>
  <c r="I254" i="4"/>
  <c r="H254" i="4"/>
  <c r="L253" i="4"/>
  <c r="K253" i="4"/>
  <c r="J253" i="4"/>
  <c r="I253" i="4"/>
  <c r="H253" i="4"/>
  <c r="L252" i="4"/>
  <c r="K252" i="4"/>
  <c r="J252" i="4"/>
  <c r="I252" i="4"/>
  <c r="H252" i="4"/>
  <c r="L251" i="4"/>
  <c r="K251" i="4"/>
  <c r="J251" i="4"/>
  <c r="I251" i="4"/>
  <c r="H251" i="4"/>
  <c r="L250" i="4"/>
  <c r="K250" i="4"/>
  <c r="J250" i="4"/>
  <c r="I250" i="4"/>
  <c r="H250" i="4"/>
  <c r="L249" i="4"/>
  <c r="K249" i="4"/>
  <c r="J249" i="4"/>
  <c r="I249" i="4"/>
  <c r="H249" i="4"/>
  <c r="L248" i="4"/>
  <c r="K248" i="4"/>
  <c r="J248" i="4"/>
  <c r="I248" i="4"/>
  <c r="H248" i="4"/>
  <c r="L247" i="4"/>
  <c r="K247" i="4"/>
  <c r="J247" i="4"/>
  <c r="I247" i="4"/>
  <c r="H247" i="4"/>
  <c r="L246" i="4"/>
  <c r="K246" i="4"/>
  <c r="J246" i="4"/>
  <c r="I246" i="4"/>
  <c r="H246" i="4"/>
  <c r="L245" i="4"/>
  <c r="K245" i="4"/>
  <c r="J245" i="4"/>
  <c r="I245" i="4"/>
  <c r="H245" i="4"/>
  <c r="L244" i="4"/>
  <c r="K244" i="4"/>
  <c r="J244" i="4"/>
  <c r="I244" i="4"/>
  <c r="H244" i="4"/>
  <c r="L243" i="4"/>
  <c r="K243" i="4"/>
  <c r="J243" i="4"/>
  <c r="I243" i="4"/>
  <c r="H243" i="4"/>
  <c r="L242" i="4"/>
  <c r="K242" i="4"/>
  <c r="J242" i="4"/>
  <c r="I242" i="4"/>
  <c r="H242" i="4"/>
  <c r="L241" i="4"/>
  <c r="K241" i="4"/>
  <c r="J241" i="4"/>
  <c r="I241" i="4"/>
  <c r="H241" i="4"/>
  <c r="L240" i="4"/>
  <c r="K240" i="4"/>
  <c r="J240" i="4"/>
  <c r="I240" i="4"/>
  <c r="H240" i="4"/>
  <c r="L239" i="4"/>
  <c r="K239" i="4"/>
  <c r="J239" i="4"/>
  <c r="I239" i="4"/>
  <c r="H239" i="4"/>
  <c r="L238" i="4"/>
  <c r="K238" i="4"/>
  <c r="J238" i="4"/>
  <c r="I238" i="4"/>
  <c r="H238" i="4"/>
  <c r="L237" i="4"/>
  <c r="K237" i="4"/>
  <c r="J237" i="4"/>
  <c r="I237" i="4"/>
  <c r="H237" i="4"/>
  <c r="L236" i="4"/>
  <c r="K236" i="4"/>
  <c r="J236" i="4"/>
  <c r="I236" i="4"/>
  <c r="H236" i="4"/>
  <c r="L235" i="4"/>
  <c r="K235" i="4"/>
  <c r="J235" i="4"/>
  <c r="I235" i="4"/>
  <c r="H235" i="4"/>
  <c r="L234" i="4"/>
  <c r="K234" i="4"/>
  <c r="J234" i="4"/>
  <c r="I234" i="4"/>
  <c r="H234" i="4"/>
  <c r="L233" i="4"/>
  <c r="K233" i="4"/>
  <c r="J233" i="4"/>
  <c r="I233" i="4"/>
  <c r="H233" i="4"/>
  <c r="L232" i="4"/>
  <c r="K232" i="4"/>
  <c r="J232" i="4"/>
  <c r="I232" i="4"/>
  <c r="H232" i="4"/>
  <c r="L231" i="4"/>
  <c r="K231" i="4"/>
  <c r="J231" i="4"/>
  <c r="I231" i="4"/>
  <c r="H231" i="4"/>
  <c r="L230" i="4"/>
  <c r="K230" i="4"/>
  <c r="J230" i="4"/>
  <c r="I230" i="4"/>
  <c r="H230" i="4"/>
  <c r="L229" i="4"/>
  <c r="K229" i="4"/>
  <c r="J229" i="4"/>
  <c r="I229" i="4"/>
  <c r="H229" i="4"/>
  <c r="L228" i="4"/>
  <c r="K228" i="4"/>
  <c r="J228" i="4"/>
  <c r="I228" i="4"/>
  <c r="H228" i="4"/>
  <c r="L227" i="4"/>
  <c r="K227" i="4"/>
  <c r="J227" i="4"/>
  <c r="I227" i="4"/>
  <c r="H227" i="4"/>
  <c r="L226" i="4"/>
  <c r="K226" i="4"/>
  <c r="J226" i="4"/>
  <c r="I226" i="4"/>
  <c r="H226" i="4"/>
  <c r="L225" i="4"/>
  <c r="K225" i="4"/>
  <c r="J225" i="4"/>
  <c r="I225" i="4"/>
  <c r="H225" i="4"/>
  <c r="L224" i="4"/>
  <c r="K224" i="4"/>
  <c r="J224" i="4"/>
  <c r="I224" i="4"/>
  <c r="H224" i="4"/>
  <c r="L223" i="4"/>
  <c r="K223" i="4"/>
  <c r="J223" i="4"/>
  <c r="I223" i="4"/>
  <c r="H223" i="4"/>
  <c r="L222" i="4"/>
  <c r="K222" i="4"/>
  <c r="J222" i="4"/>
  <c r="I222" i="4"/>
  <c r="H222" i="4"/>
  <c r="L221" i="4"/>
  <c r="K221" i="4"/>
  <c r="J221" i="4"/>
  <c r="I221" i="4"/>
  <c r="H221" i="4"/>
  <c r="L220" i="4"/>
  <c r="K220" i="4"/>
  <c r="J220" i="4"/>
  <c r="I220" i="4"/>
  <c r="H220" i="4"/>
  <c r="L219" i="4"/>
  <c r="K219" i="4"/>
  <c r="J219" i="4"/>
  <c r="I219" i="4"/>
  <c r="H219" i="4"/>
  <c r="L218" i="4"/>
  <c r="K218" i="4"/>
  <c r="J218" i="4"/>
  <c r="I218" i="4"/>
  <c r="H218" i="4"/>
  <c r="L217" i="4"/>
  <c r="K217" i="4"/>
  <c r="J217" i="4"/>
  <c r="I217" i="4"/>
  <c r="H217" i="4"/>
  <c r="L216" i="4"/>
  <c r="K216" i="4"/>
  <c r="J216" i="4"/>
  <c r="I216" i="4"/>
  <c r="H216" i="4"/>
  <c r="L215" i="4"/>
  <c r="K215" i="4"/>
  <c r="J215" i="4"/>
  <c r="I215" i="4"/>
  <c r="H215" i="4"/>
  <c r="L214" i="4"/>
  <c r="K214" i="4"/>
  <c r="J214" i="4"/>
  <c r="I214" i="4"/>
  <c r="H214" i="4"/>
  <c r="L213" i="4"/>
  <c r="K213" i="4"/>
  <c r="J213" i="4"/>
  <c r="I213" i="4"/>
  <c r="H213" i="4"/>
  <c r="L212" i="4"/>
  <c r="K212" i="4"/>
  <c r="J212" i="4"/>
  <c r="I212" i="4"/>
  <c r="H212" i="4"/>
  <c r="L211" i="4"/>
  <c r="K211" i="4"/>
  <c r="J211" i="4"/>
  <c r="I211" i="4"/>
  <c r="H211" i="4"/>
  <c r="L210" i="4"/>
  <c r="K210" i="4"/>
  <c r="J210" i="4"/>
  <c r="I210" i="4"/>
  <c r="H210" i="4"/>
  <c r="L209" i="4"/>
  <c r="K209" i="4"/>
  <c r="J209" i="4"/>
  <c r="I209" i="4"/>
  <c r="H209" i="4"/>
  <c r="L208" i="4"/>
  <c r="K208" i="4"/>
  <c r="J208" i="4"/>
  <c r="I208" i="4"/>
  <c r="H208" i="4"/>
  <c r="L207" i="4"/>
  <c r="K207" i="4"/>
  <c r="J207" i="4"/>
  <c r="I207" i="4"/>
  <c r="H207" i="4"/>
  <c r="L206" i="4"/>
  <c r="K206" i="4"/>
  <c r="J206" i="4"/>
  <c r="I206" i="4"/>
  <c r="H206" i="4"/>
  <c r="L205" i="4"/>
  <c r="K205" i="4"/>
  <c r="J205" i="4"/>
  <c r="I205" i="4"/>
  <c r="H205" i="4"/>
  <c r="L204" i="4"/>
  <c r="K204" i="4"/>
  <c r="J204" i="4"/>
  <c r="I204" i="4"/>
  <c r="H204" i="4"/>
  <c r="L203" i="4"/>
  <c r="K203" i="4"/>
  <c r="J203" i="4"/>
  <c r="I203" i="4"/>
  <c r="H203" i="4"/>
  <c r="L202" i="4"/>
  <c r="K202" i="4"/>
  <c r="J202" i="4"/>
  <c r="I202" i="4"/>
  <c r="H202" i="4"/>
  <c r="L201" i="4"/>
  <c r="K201" i="4"/>
  <c r="J201" i="4"/>
  <c r="I201" i="4"/>
  <c r="H201" i="4"/>
  <c r="L200" i="4"/>
  <c r="K200" i="4"/>
  <c r="J200" i="4"/>
  <c r="I200" i="4"/>
  <c r="H200" i="4"/>
  <c r="L199" i="4"/>
  <c r="K199" i="4"/>
  <c r="J199" i="4"/>
  <c r="I199" i="4"/>
  <c r="H199" i="4"/>
  <c r="L198" i="4"/>
  <c r="K198" i="4"/>
  <c r="J198" i="4"/>
  <c r="I198" i="4"/>
  <c r="H198" i="4"/>
  <c r="L197" i="4"/>
  <c r="K197" i="4"/>
  <c r="J197" i="4"/>
  <c r="I197" i="4"/>
  <c r="H197" i="4"/>
  <c r="L196" i="4"/>
  <c r="K196" i="4"/>
  <c r="J196" i="4"/>
  <c r="I196" i="4"/>
  <c r="H196" i="4"/>
  <c r="L195" i="4"/>
  <c r="K195" i="4"/>
  <c r="J195" i="4"/>
  <c r="I195" i="4"/>
  <c r="H195" i="4"/>
  <c r="L194" i="4"/>
  <c r="K194" i="4"/>
  <c r="J194" i="4"/>
  <c r="I194" i="4"/>
  <c r="H194" i="4"/>
  <c r="L193" i="4"/>
  <c r="K193" i="4"/>
  <c r="J193" i="4"/>
  <c r="I193" i="4"/>
  <c r="H193" i="4"/>
  <c r="L192" i="4"/>
  <c r="K192" i="4"/>
  <c r="J192" i="4"/>
  <c r="I192" i="4"/>
  <c r="H192" i="4"/>
  <c r="L191" i="4"/>
  <c r="K191" i="4"/>
  <c r="J191" i="4"/>
  <c r="I191" i="4"/>
  <c r="H191" i="4"/>
  <c r="L190" i="4"/>
  <c r="K190" i="4"/>
  <c r="J190" i="4"/>
  <c r="I190" i="4"/>
  <c r="H190" i="4"/>
  <c r="L189" i="4"/>
  <c r="K189" i="4"/>
  <c r="J189" i="4"/>
  <c r="I189" i="4"/>
  <c r="H189" i="4"/>
  <c r="L188" i="4"/>
  <c r="K188" i="4"/>
  <c r="J188" i="4"/>
  <c r="I188" i="4"/>
  <c r="H188" i="4"/>
  <c r="L187" i="4"/>
  <c r="K187" i="4"/>
  <c r="J187" i="4"/>
  <c r="I187" i="4"/>
  <c r="H187" i="4"/>
  <c r="L186" i="4"/>
  <c r="K186" i="4"/>
  <c r="J186" i="4"/>
  <c r="I186" i="4"/>
  <c r="H186" i="4"/>
  <c r="L185" i="4"/>
  <c r="K185" i="4"/>
  <c r="J185" i="4"/>
  <c r="I185" i="4"/>
  <c r="H185" i="4"/>
  <c r="L184" i="4"/>
  <c r="K184" i="4"/>
  <c r="J184" i="4"/>
  <c r="I184" i="4"/>
  <c r="H184" i="4"/>
  <c r="L183" i="4"/>
  <c r="K183" i="4"/>
  <c r="J183" i="4"/>
  <c r="I183" i="4"/>
  <c r="H183" i="4"/>
  <c r="L182" i="4"/>
  <c r="K182" i="4"/>
  <c r="J182" i="4"/>
  <c r="I182" i="4"/>
  <c r="H182" i="4"/>
  <c r="L181" i="4"/>
  <c r="K181" i="4"/>
  <c r="J181" i="4"/>
  <c r="I181" i="4"/>
  <c r="H181" i="4"/>
  <c r="L180" i="4"/>
  <c r="K180" i="4"/>
  <c r="J180" i="4"/>
  <c r="I180" i="4"/>
  <c r="H180" i="4"/>
  <c r="L179" i="4"/>
  <c r="K179" i="4"/>
  <c r="J179" i="4"/>
  <c r="I179" i="4"/>
  <c r="H179" i="4"/>
  <c r="L178" i="4"/>
  <c r="K178" i="4"/>
  <c r="J178" i="4"/>
  <c r="I178" i="4"/>
  <c r="H178" i="4"/>
  <c r="L177" i="4"/>
  <c r="K177" i="4"/>
  <c r="J177" i="4"/>
  <c r="I177" i="4"/>
  <c r="H177" i="4"/>
  <c r="L176" i="4"/>
  <c r="K176" i="4"/>
  <c r="J176" i="4"/>
  <c r="I176" i="4"/>
  <c r="H176" i="4"/>
  <c r="L175" i="4"/>
  <c r="K175" i="4"/>
  <c r="J175" i="4"/>
  <c r="I175" i="4"/>
  <c r="H175" i="4"/>
  <c r="L174" i="4"/>
  <c r="K174" i="4"/>
  <c r="J174" i="4"/>
  <c r="I174" i="4"/>
  <c r="H174" i="4"/>
  <c r="L173" i="4"/>
  <c r="K173" i="4"/>
  <c r="J173" i="4"/>
  <c r="I173" i="4"/>
  <c r="H173" i="4"/>
  <c r="L172" i="4"/>
  <c r="K172" i="4"/>
  <c r="J172" i="4"/>
  <c r="I172" i="4"/>
  <c r="H172" i="4"/>
  <c r="L171" i="4"/>
  <c r="K171" i="4"/>
  <c r="J171" i="4"/>
  <c r="I171" i="4"/>
  <c r="H171" i="4"/>
  <c r="L170" i="4"/>
  <c r="K170" i="4"/>
  <c r="J170" i="4"/>
  <c r="I170" i="4"/>
  <c r="H170" i="4"/>
  <c r="L169" i="4"/>
  <c r="K169" i="4"/>
  <c r="J169" i="4"/>
  <c r="I169" i="4"/>
  <c r="H169" i="4"/>
  <c r="L168" i="4"/>
  <c r="K168" i="4"/>
  <c r="J168" i="4"/>
  <c r="I168" i="4"/>
  <c r="H168" i="4"/>
  <c r="L167" i="4"/>
  <c r="K167" i="4"/>
  <c r="J167" i="4"/>
  <c r="I167" i="4"/>
  <c r="H167" i="4"/>
  <c r="L166" i="4"/>
  <c r="K166" i="4"/>
  <c r="J166" i="4"/>
  <c r="I166" i="4"/>
  <c r="H166" i="4"/>
  <c r="L165" i="4"/>
  <c r="K165" i="4"/>
  <c r="J165" i="4"/>
  <c r="I165" i="4"/>
  <c r="H165" i="4"/>
  <c r="L164" i="4"/>
  <c r="K164" i="4"/>
  <c r="J164" i="4"/>
  <c r="I164" i="4"/>
  <c r="H164" i="4"/>
  <c r="L163" i="4"/>
  <c r="K163" i="4"/>
  <c r="J163" i="4"/>
  <c r="I163" i="4"/>
  <c r="H163" i="4"/>
  <c r="L162" i="4"/>
  <c r="K162" i="4"/>
  <c r="J162" i="4"/>
  <c r="I162" i="4"/>
  <c r="H162" i="4"/>
  <c r="L161" i="4"/>
  <c r="K161" i="4"/>
  <c r="J161" i="4"/>
  <c r="I161" i="4"/>
  <c r="H161" i="4"/>
  <c r="L160" i="4"/>
  <c r="K160" i="4"/>
  <c r="J160" i="4"/>
  <c r="I160" i="4"/>
  <c r="H160" i="4"/>
  <c r="L159" i="4"/>
  <c r="K159" i="4"/>
  <c r="J159" i="4"/>
  <c r="I159" i="4"/>
  <c r="H159" i="4"/>
  <c r="L158" i="4"/>
  <c r="K158" i="4"/>
  <c r="J158" i="4"/>
  <c r="I158" i="4"/>
  <c r="H158" i="4"/>
  <c r="L157" i="4"/>
  <c r="K157" i="4"/>
  <c r="J157" i="4"/>
  <c r="I157" i="4"/>
  <c r="H157" i="4"/>
  <c r="L156" i="4"/>
  <c r="K156" i="4"/>
  <c r="J156" i="4"/>
  <c r="I156" i="4"/>
  <c r="H156" i="4"/>
  <c r="L155" i="4"/>
  <c r="K155" i="4"/>
  <c r="J155" i="4"/>
  <c r="I155" i="4"/>
  <c r="H155" i="4"/>
  <c r="L154" i="4"/>
  <c r="K154" i="4"/>
  <c r="J154" i="4"/>
  <c r="I154" i="4"/>
  <c r="H154" i="4"/>
  <c r="L153" i="4"/>
  <c r="K153" i="4"/>
  <c r="J153" i="4"/>
  <c r="I153" i="4"/>
  <c r="H153" i="4"/>
  <c r="L152" i="4"/>
  <c r="K152" i="4"/>
  <c r="J152" i="4"/>
  <c r="I152" i="4"/>
  <c r="H152" i="4"/>
  <c r="L151" i="4"/>
  <c r="K151" i="4"/>
  <c r="J151" i="4"/>
  <c r="I151" i="4"/>
  <c r="H151" i="4"/>
  <c r="L150" i="4"/>
  <c r="K150" i="4"/>
  <c r="J150" i="4"/>
  <c r="I150" i="4"/>
  <c r="H150" i="4"/>
  <c r="L149" i="4"/>
  <c r="K149" i="4"/>
  <c r="J149" i="4"/>
  <c r="I149" i="4"/>
  <c r="H149" i="4"/>
  <c r="L148" i="4"/>
  <c r="K148" i="4"/>
  <c r="J148" i="4"/>
  <c r="I148" i="4"/>
  <c r="H148" i="4"/>
  <c r="L147" i="4"/>
  <c r="K147" i="4"/>
  <c r="J147" i="4"/>
  <c r="I147" i="4"/>
  <c r="H147" i="4"/>
  <c r="L146" i="4"/>
  <c r="K146" i="4"/>
  <c r="J146" i="4"/>
  <c r="I146" i="4"/>
  <c r="H146" i="4"/>
  <c r="L145" i="4"/>
  <c r="K145" i="4"/>
  <c r="J145" i="4"/>
  <c r="I145" i="4"/>
  <c r="H145" i="4"/>
  <c r="L144" i="4"/>
  <c r="K144" i="4"/>
  <c r="J144" i="4"/>
  <c r="I144" i="4"/>
  <c r="H144" i="4"/>
  <c r="L143" i="4"/>
  <c r="K143" i="4"/>
  <c r="J143" i="4"/>
  <c r="I143" i="4"/>
  <c r="H143" i="4"/>
  <c r="L142" i="4"/>
  <c r="K142" i="4"/>
  <c r="J142" i="4"/>
  <c r="I142" i="4"/>
  <c r="H142" i="4"/>
  <c r="L141" i="4"/>
  <c r="K141" i="4"/>
  <c r="J141" i="4"/>
  <c r="I141" i="4"/>
  <c r="H141" i="4"/>
  <c r="L140" i="4"/>
  <c r="K140" i="4"/>
  <c r="J140" i="4"/>
  <c r="I140" i="4"/>
  <c r="H140" i="4"/>
  <c r="L139" i="4"/>
  <c r="K139" i="4"/>
  <c r="J139" i="4"/>
  <c r="I139" i="4"/>
  <c r="H139" i="4"/>
  <c r="L138" i="4"/>
  <c r="K138" i="4"/>
  <c r="J138" i="4"/>
  <c r="I138" i="4"/>
  <c r="H138" i="4"/>
  <c r="L137" i="4"/>
  <c r="K137" i="4"/>
  <c r="J137" i="4"/>
  <c r="I137" i="4"/>
  <c r="H137" i="4"/>
  <c r="L136" i="4"/>
  <c r="K136" i="4"/>
  <c r="J136" i="4"/>
  <c r="I136" i="4"/>
  <c r="H136" i="4"/>
  <c r="L135" i="4"/>
  <c r="K135" i="4"/>
  <c r="J135" i="4"/>
  <c r="I135" i="4"/>
  <c r="H135" i="4"/>
  <c r="L134" i="4"/>
  <c r="K134" i="4"/>
  <c r="J134" i="4"/>
  <c r="I134" i="4"/>
  <c r="H134" i="4"/>
  <c r="L133" i="4"/>
  <c r="K133" i="4"/>
  <c r="J133" i="4"/>
  <c r="I133" i="4"/>
  <c r="H133" i="4"/>
  <c r="L132" i="4"/>
  <c r="K132" i="4"/>
  <c r="J132" i="4"/>
  <c r="I132" i="4"/>
  <c r="H132" i="4"/>
  <c r="L131" i="4"/>
  <c r="K131" i="4"/>
  <c r="J131" i="4"/>
  <c r="I131" i="4"/>
  <c r="H131" i="4"/>
  <c r="L130" i="4"/>
  <c r="K130" i="4"/>
  <c r="J130" i="4"/>
  <c r="I130" i="4"/>
  <c r="H130" i="4"/>
  <c r="L129" i="4"/>
  <c r="K129" i="4"/>
  <c r="J129" i="4"/>
  <c r="I129" i="4"/>
  <c r="H129" i="4"/>
  <c r="L128" i="4"/>
  <c r="K128" i="4"/>
  <c r="J128" i="4"/>
  <c r="I128" i="4"/>
  <c r="H128" i="4"/>
  <c r="L127" i="4"/>
  <c r="K127" i="4"/>
  <c r="J127" i="4"/>
  <c r="I127" i="4"/>
  <c r="H127" i="4"/>
  <c r="L126" i="4"/>
  <c r="K126" i="4"/>
  <c r="J126" i="4"/>
  <c r="I126" i="4"/>
  <c r="H126" i="4"/>
  <c r="L125" i="4"/>
  <c r="K125" i="4"/>
  <c r="J125" i="4"/>
  <c r="I125" i="4"/>
  <c r="H125" i="4"/>
  <c r="L124" i="4"/>
  <c r="K124" i="4"/>
  <c r="J124" i="4"/>
  <c r="I124" i="4"/>
  <c r="H124" i="4"/>
  <c r="L123" i="4"/>
  <c r="K123" i="4"/>
  <c r="J123" i="4"/>
  <c r="I123" i="4"/>
  <c r="H123" i="4"/>
  <c r="L122" i="4"/>
  <c r="K122" i="4"/>
  <c r="J122" i="4"/>
  <c r="I122" i="4"/>
  <c r="H122" i="4"/>
  <c r="L121" i="4"/>
  <c r="K121" i="4"/>
  <c r="J121" i="4"/>
  <c r="I121" i="4"/>
  <c r="H121" i="4"/>
  <c r="L120" i="4"/>
  <c r="K120" i="4"/>
  <c r="J120" i="4"/>
  <c r="I120" i="4"/>
  <c r="H120" i="4"/>
  <c r="L119" i="4"/>
  <c r="K119" i="4"/>
  <c r="J119" i="4"/>
  <c r="I119" i="4"/>
  <c r="H119" i="4"/>
  <c r="L118" i="4"/>
  <c r="K118" i="4"/>
  <c r="J118" i="4"/>
  <c r="I118" i="4"/>
  <c r="H118" i="4"/>
  <c r="L117" i="4"/>
  <c r="K117" i="4"/>
  <c r="J117" i="4"/>
  <c r="I117" i="4"/>
  <c r="H117" i="4"/>
  <c r="L116" i="4"/>
  <c r="K116" i="4"/>
  <c r="J116" i="4"/>
  <c r="I116" i="4"/>
  <c r="H116" i="4"/>
  <c r="L115" i="4"/>
  <c r="K115" i="4"/>
  <c r="J115" i="4"/>
  <c r="I115" i="4"/>
  <c r="H115" i="4"/>
  <c r="L114" i="4"/>
  <c r="K114" i="4"/>
  <c r="J114" i="4"/>
  <c r="I114" i="4"/>
  <c r="H114" i="4"/>
  <c r="L113" i="4"/>
  <c r="K113" i="4"/>
  <c r="J113" i="4"/>
  <c r="I113" i="4"/>
  <c r="H113" i="4"/>
  <c r="L112" i="4"/>
  <c r="K112" i="4"/>
  <c r="J112" i="4"/>
  <c r="I112" i="4"/>
  <c r="H112" i="4"/>
  <c r="L111" i="4"/>
  <c r="K111" i="4"/>
  <c r="J111" i="4"/>
  <c r="I111" i="4"/>
  <c r="H111" i="4"/>
  <c r="L110" i="4"/>
  <c r="K110" i="4"/>
  <c r="J110" i="4"/>
  <c r="I110" i="4"/>
  <c r="H110" i="4"/>
  <c r="L109" i="4"/>
  <c r="K109" i="4"/>
  <c r="J109" i="4"/>
  <c r="I109" i="4"/>
  <c r="H109" i="4"/>
  <c r="L108" i="4"/>
  <c r="K108" i="4"/>
  <c r="J108" i="4"/>
  <c r="I108" i="4"/>
  <c r="H108" i="4"/>
  <c r="L107" i="4"/>
  <c r="K107" i="4"/>
  <c r="J107" i="4"/>
  <c r="I107" i="4"/>
  <c r="H107" i="4"/>
  <c r="L106" i="4"/>
  <c r="K106" i="4"/>
  <c r="J106" i="4"/>
  <c r="I106" i="4"/>
  <c r="H106" i="4"/>
  <c r="L105" i="4"/>
  <c r="K105" i="4"/>
  <c r="J105" i="4"/>
  <c r="I105" i="4"/>
  <c r="H105" i="4"/>
  <c r="L104" i="4"/>
  <c r="K104" i="4"/>
  <c r="J104" i="4"/>
  <c r="I104" i="4"/>
  <c r="H104" i="4"/>
  <c r="L103" i="4"/>
  <c r="K103" i="4"/>
  <c r="J103" i="4"/>
  <c r="I103" i="4"/>
  <c r="H103" i="4"/>
  <c r="L102" i="4"/>
  <c r="K102" i="4"/>
  <c r="J102" i="4"/>
  <c r="I102" i="4"/>
  <c r="H102" i="4"/>
  <c r="L101" i="4"/>
  <c r="K101" i="4"/>
  <c r="J101" i="4"/>
  <c r="I101" i="4"/>
  <c r="H101" i="4"/>
  <c r="L100" i="4"/>
  <c r="K100" i="4"/>
  <c r="J100" i="4"/>
  <c r="I100" i="4"/>
  <c r="H100" i="4"/>
  <c r="L99" i="4"/>
  <c r="K99" i="4"/>
  <c r="J99" i="4"/>
  <c r="I99" i="4"/>
  <c r="H99" i="4"/>
  <c r="L98" i="4"/>
  <c r="K98" i="4"/>
  <c r="J98" i="4"/>
  <c r="I98" i="4"/>
  <c r="H98" i="4"/>
  <c r="L97" i="4"/>
  <c r="K97" i="4"/>
  <c r="J97" i="4"/>
  <c r="I97" i="4"/>
  <c r="H97" i="4"/>
  <c r="L96" i="4"/>
  <c r="K96" i="4"/>
  <c r="J96" i="4"/>
  <c r="I96" i="4"/>
  <c r="H96" i="4"/>
  <c r="L95" i="4"/>
  <c r="K95" i="4"/>
  <c r="J95" i="4"/>
  <c r="I95" i="4"/>
  <c r="H95" i="4"/>
  <c r="L94" i="4"/>
  <c r="K94" i="4"/>
  <c r="J94" i="4"/>
  <c r="I94" i="4"/>
  <c r="H94" i="4"/>
  <c r="L93" i="4"/>
  <c r="K93" i="4"/>
  <c r="J93" i="4"/>
  <c r="I93" i="4"/>
  <c r="H93" i="4"/>
  <c r="L92" i="4"/>
  <c r="K92" i="4"/>
  <c r="J92" i="4"/>
  <c r="I92" i="4"/>
  <c r="H92" i="4"/>
  <c r="L91" i="4"/>
  <c r="K91" i="4"/>
  <c r="J91" i="4"/>
  <c r="I91" i="4"/>
  <c r="H91" i="4"/>
  <c r="L90" i="4"/>
  <c r="K90" i="4"/>
  <c r="J90" i="4"/>
  <c r="I90" i="4"/>
  <c r="H90" i="4"/>
  <c r="L89" i="4"/>
  <c r="K89" i="4"/>
  <c r="J89" i="4"/>
  <c r="I89" i="4"/>
  <c r="H89" i="4"/>
  <c r="L88" i="4"/>
  <c r="K88" i="4"/>
  <c r="J88" i="4"/>
  <c r="I88" i="4"/>
  <c r="H88" i="4"/>
  <c r="L87" i="4"/>
  <c r="K87" i="4"/>
  <c r="J87" i="4"/>
  <c r="I87" i="4"/>
  <c r="H87" i="4"/>
  <c r="L86" i="4"/>
  <c r="K86" i="4"/>
  <c r="J86" i="4"/>
  <c r="I86" i="4"/>
  <c r="H86" i="4"/>
  <c r="L85" i="4"/>
  <c r="K85" i="4"/>
  <c r="J85" i="4"/>
  <c r="I85" i="4"/>
  <c r="H85" i="4"/>
  <c r="L84" i="4"/>
  <c r="K84" i="4"/>
  <c r="J84" i="4"/>
  <c r="I84" i="4"/>
  <c r="H84" i="4"/>
  <c r="L83" i="4"/>
  <c r="K83" i="4"/>
  <c r="J83" i="4"/>
  <c r="I83" i="4"/>
  <c r="H83" i="4"/>
  <c r="L82" i="4"/>
  <c r="K82" i="4"/>
  <c r="J82" i="4"/>
  <c r="I82" i="4"/>
  <c r="H82" i="4"/>
  <c r="L81" i="4"/>
  <c r="K81" i="4"/>
  <c r="J81" i="4"/>
  <c r="I81" i="4"/>
  <c r="H81" i="4"/>
  <c r="L80" i="4"/>
  <c r="K80" i="4"/>
  <c r="J80" i="4"/>
  <c r="I80" i="4"/>
  <c r="H80" i="4"/>
  <c r="L79" i="4"/>
  <c r="K79" i="4"/>
  <c r="J79" i="4"/>
  <c r="I79" i="4"/>
  <c r="H79" i="4"/>
  <c r="L78" i="4"/>
  <c r="K78" i="4"/>
  <c r="J78" i="4"/>
  <c r="I78" i="4"/>
  <c r="H78" i="4"/>
  <c r="L77" i="4"/>
  <c r="K77" i="4"/>
  <c r="J77" i="4"/>
  <c r="I77" i="4"/>
  <c r="H77" i="4"/>
  <c r="L76" i="4"/>
  <c r="K76" i="4"/>
  <c r="J76" i="4"/>
  <c r="I76" i="4"/>
  <c r="H76" i="4"/>
  <c r="L75" i="4"/>
  <c r="K75" i="4"/>
  <c r="J75" i="4"/>
  <c r="I75" i="4"/>
  <c r="H75" i="4"/>
  <c r="L74" i="4"/>
  <c r="K74" i="4"/>
  <c r="J74" i="4"/>
  <c r="I74" i="4"/>
  <c r="H74" i="4"/>
  <c r="L73" i="4"/>
  <c r="K73" i="4"/>
  <c r="J73" i="4"/>
  <c r="I73" i="4"/>
  <c r="H73" i="4"/>
  <c r="L72" i="4"/>
  <c r="K72" i="4"/>
  <c r="J72" i="4"/>
  <c r="I72" i="4"/>
  <c r="H72" i="4"/>
  <c r="L71" i="4"/>
  <c r="K71" i="4"/>
  <c r="J71" i="4"/>
  <c r="I71" i="4"/>
  <c r="H71" i="4"/>
  <c r="L70" i="4"/>
  <c r="K70" i="4"/>
  <c r="J70" i="4"/>
  <c r="I70" i="4"/>
  <c r="H70" i="4"/>
  <c r="L69" i="4"/>
  <c r="K69" i="4"/>
  <c r="J69" i="4"/>
  <c r="I69" i="4"/>
  <c r="H69" i="4"/>
  <c r="L68" i="4"/>
  <c r="K68" i="4"/>
  <c r="J68" i="4"/>
  <c r="I68" i="4"/>
  <c r="H68" i="4"/>
  <c r="L67" i="4"/>
  <c r="K67" i="4"/>
  <c r="J67" i="4"/>
  <c r="I67" i="4"/>
  <c r="H67" i="4"/>
  <c r="L66" i="4"/>
  <c r="K66" i="4"/>
  <c r="J66" i="4"/>
  <c r="I66" i="4"/>
  <c r="H66" i="4"/>
  <c r="L65" i="4"/>
  <c r="K65" i="4"/>
  <c r="J65" i="4"/>
  <c r="I65" i="4"/>
  <c r="H65" i="4"/>
  <c r="L64" i="4"/>
  <c r="K64" i="4"/>
  <c r="J64" i="4"/>
  <c r="I64" i="4"/>
  <c r="H64" i="4"/>
  <c r="L63" i="4"/>
  <c r="K63" i="4"/>
  <c r="J63" i="4"/>
  <c r="I63" i="4"/>
  <c r="H63" i="4"/>
  <c r="L62" i="4"/>
  <c r="K62" i="4"/>
  <c r="J62" i="4"/>
  <c r="I62" i="4"/>
  <c r="H62" i="4"/>
  <c r="L61" i="4"/>
  <c r="K61" i="4"/>
  <c r="J61" i="4"/>
  <c r="I61" i="4"/>
  <c r="H61" i="4"/>
  <c r="L60" i="4"/>
  <c r="K60" i="4"/>
  <c r="J60" i="4"/>
  <c r="I60" i="4"/>
  <c r="H60" i="4"/>
  <c r="L59" i="4"/>
  <c r="K59" i="4"/>
  <c r="J59" i="4"/>
  <c r="I59" i="4"/>
  <c r="H59" i="4"/>
  <c r="L58" i="4"/>
  <c r="K58" i="4"/>
  <c r="J58" i="4"/>
  <c r="I58" i="4"/>
  <c r="H58" i="4"/>
  <c r="L57" i="4"/>
  <c r="K57" i="4"/>
  <c r="J57" i="4"/>
  <c r="I57" i="4"/>
  <c r="H57" i="4"/>
  <c r="L56" i="4"/>
  <c r="K56" i="4"/>
  <c r="J56" i="4"/>
  <c r="I56" i="4"/>
  <c r="H56" i="4"/>
  <c r="L55" i="4"/>
  <c r="K55" i="4"/>
  <c r="J55" i="4"/>
  <c r="I55" i="4"/>
  <c r="H55" i="4"/>
  <c r="L54" i="4"/>
  <c r="K54" i="4"/>
  <c r="J54" i="4"/>
  <c r="I54" i="4"/>
  <c r="H54" i="4"/>
  <c r="L53" i="4"/>
  <c r="K53" i="4"/>
  <c r="J53" i="4"/>
  <c r="I53" i="4"/>
  <c r="H53" i="4"/>
  <c r="L52" i="4"/>
  <c r="K52" i="4"/>
  <c r="J52" i="4"/>
  <c r="I52" i="4"/>
  <c r="H52" i="4"/>
  <c r="L51" i="4"/>
  <c r="K51" i="4"/>
  <c r="J51" i="4"/>
  <c r="I51" i="4"/>
  <c r="H51" i="4"/>
  <c r="L50" i="4"/>
  <c r="K50" i="4"/>
  <c r="J50" i="4"/>
  <c r="I50" i="4"/>
  <c r="H50" i="4"/>
  <c r="L49" i="4"/>
  <c r="K49" i="4"/>
  <c r="J49" i="4"/>
  <c r="I49" i="4"/>
  <c r="H49" i="4"/>
  <c r="L48" i="4"/>
  <c r="K48" i="4"/>
  <c r="J48" i="4"/>
  <c r="I48" i="4"/>
  <c r="H48" i="4"/>
  <c r="L47" i="4"/>
  <c r="K47" i="4"/>
  <c r="J47" i="4"/>
  <c r="I47" i="4"/>
  <c r="H47" i="4"/>
  <c r="L46" i="4"/>
  <c r="K46" i="4"/>
  <c r="J46" i="4"/>
  <c r="I46" i="4"/>
  <c r="H46" i="4"/>
  <c r="L45" i="4"/>
  <c r="K45" i="4"/>
  <c r="J45" i="4"/>
  <c r="I45" i="4"/>
  <c r="H45" i="4"/>
  <c r="L44" i="4"/>
  <c r="K44" i="4"/>
  <c r="J44" i="4"/>
  <c r="I44" i="4"/>
  <c r="H44" i="4"/>
  <c r="L43" i="4"/>
  <c r="K43" i="4"/>
  <c r="J43" i="4"/>
  <c r="I43" i="4"/>
  <c r="H43" i="4"/>
  <c r="L42" i="4"/>
  <c r="K42" i="4"/>
  <c r="J42" i="4"/>
  <c r="I42" i="4"/>
  <c r="H42" i="4"/>
  <c r="L41" i="4"/>
  <c r="K41" i="4"/>
  <c r="J41" i="4"/>
  <c r="I41" i="4"/>
  <c r="H41" i="4"/>
  <c r="L40" i="4"/>
  <c r="K40" i="4"/>
  <c r="J40" i="4"/>
  <c r="I40" i="4"/>
  <c r="H40" i="4"/>
  <c r="L39" i="4"/>
  <c r="K39" i="4"/>
  <c r="J39" i="4"/>
  <c r="I39" i="4"/>
  <c r="H39" i="4"/>
  <c r="L38" i="4"/>
  <c r="K38" i="4"/>
  <c r="J38" i="4"/>
  <c r="I38" i="4"/>
  <c r="H38" i="4"/>
  <c r="L37" i="4"/>
  <c r="K37" i="4"/>
  <c r="J37" i="4"/>
  <c r="I37" i="4"/>
  <c r="H37" i="4"/>
  <c r="L36" i="4"/>
  <c r="K36" i="4"/>
  <c r="J36" i="4"/>
  <c r="I36" i="4"/>
  <c r="H36" i="4"/>
  <c r="L35" i="4"/>
  <c r="K35" i="4"/>
  <c r="J35" i="4"/>
  <c r="I35" i="4"/>
  <c r="H35" i="4"/>
  <c r="L34" i="4"/>
  <c r="K34" i="4"/>
  <c r="J34" i="4"/>
  <c r="I34" i="4"/>
  <c r="H34" i="4"/>
  <c r="L33" i="4"/>
  <c r="K33" i="4"/>
  <c r="J33" i="4"/>
  <c r="I33" i="4"/>
  <c r="H33" i="4"/>
  <c r="L32" i="4"/>
  <c r="K32" i="4"/>
  <c r="J32" i="4"/>
  <c r="I32" i="4"/>
  <c r="H32" i="4"/>
  <c r="L31" i="4"/>
  <c r="K31" i="4"/>
  <c r="J31" i="4"/>
  <c r="I31" i="4"/>
  <c r="H31" i="4"/>
  <c r="L30" i="4"/>
  <c r="K30" i="4"/>
  <c r="J30" i="4"/>
  <c r="I30" i="4"/>
  <c r="H30" i="4"/>
  <c r="L29" i="4"/>
  <c r="K29" i="4"/>
  <c r="J29" i="4"/>
  <c r="I29" i="4"/>
  <c r="H29" i="4"/>
  <c r="L28" i="4"/>
  <c r="K28" i="4"/>
  <c r="J28" i="4"/>
  <c r="I28" i="4"/>
  <c r="H28" i="4"/>
  <c r="L27" i="4"/>
  <c r="K27" i="4"/>
  <c r="J27" i="4"/>
  <c r="I27" i="4"/>
  <c r="H27" i="4"/>
  <c r="L26" i="4"/>
  <c r="K26" i="4"/>
  <c r="J26" i="4"/>
  <c r="I26" i="4"/>
  <c r="H26" i="4"/>
  <c r="L25" i="4"/>
  <c r="K25" i="4"/>
  <c r="J25" i="4"/>
  <c r="I25" i="4"/>
  <c r="H25" i="4"/>
  <c r="L24" i="4"/>
  <c r="K24" i="4"/>
  <c r="J24" i="4"/>
  <c r="I24" i="4"/>
  <c r="H24" i="4"/>
  <c r="L23" i="4"/>
  <c r="K23" i="4"/>
  <c r="J23" i="4"/>
  <c r="I23" i="4"/>
  <c r="H23" i="4"/>
  <c r="L22" i="4"/>
  <c r="K22" i="4"/>
  <c r="J22" i="4"/>
  <c r="I22" i="4"/>
  <c r="H22" i="4"/>
  <c r="L21" i="4"/>
  <c r="K21" i="4"/>
  <c r="J21" i="4"/>
  <c r="I21" i="4"/>
  <c r="H21" i="4"/>
  <c r="L20" i="4"/>
  <c r="K20" i="4"/>
  <c r="J20" i="4"/>
  <c r="I20" i="4"/>
  <c r="H20" i="4"/>
  <c r="L19" i="4"/>
  <c r="K19" i="4"/>
  <c r="J19" i="4"/>
  <c r="I19" i="4"/>
  <c r="H19" i="4"/>
  <c r="L18" i="4"/>
  <c r="K18" i="4"/>
  <c r="J18" i="4"/>
  <c r="I18" i="4"/>
  <c r="H18" i="4"/>
  <c r="L17" i="4"/>
  <c r="K17" i="4"/>
  <c r="J17" i="4"/>
  <c r="I17" i="4"/>
  <c r="H17" i="4"/>
  <c r="L16" i="4"/>
  <c r="K16" i="4"/>
  <c r="J16" i="4"/>
  <c r="I16" i="4"/>
  <c r="H16" i="4"/>
  <c r="L15" i="4"/>
  <c r="K15" i="4"/>
  <c r="J15" i="4"/>
  <c r="I15" i="4"/>
  <c r="H15" i="4"/>
  <c r="L14" i="4"/>
  <c r="K14" i="4"/>
  <c r="J14" i="4"/>
  <c r="I14" i="4"/>
  <c r="H14" i="4"/>
  <c r="L13" i="4"/>
  <c r="K13" i="4"/>
  <c r="J13" i="4"/>
  <c r="I13" i="4"/>
  <c r="H13" i="4"/>
  <c r="L12" i="4"/>
  <c r="K12" i="4"/>
  <c r="J12" i="4"/>
  <c r="I12" i="4"/>
  <c r="H12" i="4"/>
  <c r="L11" i="4"/>
  <c r="K11" i="4"/>
  <c r="J11" i="4"/>
  <c r="I11" i="4"/>
  <c r="H11" i="4"/>
  <c r="L10" i="4"/>
  <c r="K10" i="4"/>
  <c r="J10" i="4"/>
  <c r="I10" i="4"/>
  <c r="H10" i="4"/>
  <c r="L9" i="4"/>
  <c r="K9" i="4"/>
  <c r="J9" i="4"/>
  <c r="I9" i="4"/>
  <c r="H9" i="4"/>
  <c r="L8" i="4"/>
  <c r="K8" i="4"/>
  <c r="J8" i="4"/>
  <c r="I8" i="4"/>
  <c r="H8" i="4"/>
  <c r="L7" i="4"/>
  <c r="K7" i="4"/>
  <c r="J7" i="4"/>
  <c r="I7" i="4"/>
  <c r="H7" i="4"/>
  <c r="L6" i="4"/>
  <c r="K6" i="4"/>
  <c r="J6" i="4"/>
  <c r="I6" i="4"/>
  <c r="H6" i="4"/>
  <c r="L5" i="4"/>
  <c r="K5" i="4"/>
  <c r="J5" i="4"/>
  <c r="I5" i="4"/>
  <c r="H5" i="4"/>
  <c r="L4" i="4"/>
  <c r="K4" i="4"/>
  <c r="J4" i="4"/>
  <c r="I4" i="4"/>
  <c r="H4" i="4"/>
  <c r="L3" i="4"/>
  <c r="K3" i="4"/>
  <c r="J3" i="4"/>
  <c r="I3" i="4"/>
  <c r="H3" i="4"/>
  <c r="G512" i="4" l="1"/>
  <c r="D21" i="12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B21" i="12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E20" i="12"/>
  <c r="F20" i="12" s="1"/>
  <c r="E19" i="12"/>
  <c r="F19" i="12" s="1"/>
  <c r="E18" i="12"/>
  <c r="F18" i="12" s="1"/>
  <c r="E17" i="12"/>
  <c r="F17" i="12" s="1"/>
  <c r="E16" i="12"/>
  <c r="F16" i="12" s="1"/>
  <c r="E15" i="12"/>
  <c r="F15" i="12" s="1"/>
  <c r="F512" i="4" l="1"/>
  <c r="A79" i="4"/>
  <c r="A406" i="4"/>
  <c r="A185" i="4"/>
  <c r="A511" i="4"/>
  <c r="A410" i="4"/>
  <c r="A510" i="4"/>
  <c r="A509" i="4"/>
  <c r="A124" i="4" l="1"/>
  <c r="A316" i="4"/>
  <c r="A341" i="4"/>
  <c r="A93" i="4"/>
  <c r="A481" i="4"/>
  <c r="A480" i="4"/>
  <c r="A363" i="4"/>
  <c r="A403" i="4"/>
  <c r="A479" i="4"/>
  <c r="A477" i="4"/>
  <c r="A476" i="4"/>
  <c r="A371" i="4"/>
  <c r="A58" i="4"/>
  <c r="A301" i="4"/>
  <c r="A327" i="4"/>
  <c r="A56" i="4" l="1"/>
  <c r="A57" i="4"/>
  <c r="A31" i="4"/>
  <c r="A346" i="4"/>
  <c r="A61" i="4"/>
  <c r="A203" i="4"/>
  <c r="A373" i="4"/>
  <c r="A150" i="4"/>
  <c r="A401" i="4"/>
  <c r="A478" i="4"/>
  <c r="A369" i="4"/>
  <c r="A495" i="4"/>
  <c r="A404" i="4"/>
  <c r="A311" i="4"/>
  <c r="A294" i="4"/>
  <c r="A144" i="4"/>
  <c r="A295" i="4"/>
  <c r="A438" i="4"/>
  <c r="A232" i="4"/>
  <c r="A338" i="4"/>
  <c r="A374" i="4"/>
  <c r="A339" i="4"/>
  <c r="A261" i="4"/>
  <c r="A344" i="4"/>
  <c r="A372" i="4"/>
  <c r="A296" i="4"/>
  <c r="A297" i="4"/>
  <c r="A370" i="4"/>
  <c r="A198" i="4"/>
  <c r="A405" i="4"/>
  <c r="A298" i="4"/>
  <c r="A29" i="4"/>
  <c r="A255" i="4"/>
  <c r="A409" i="4"/>
  <c r="A381" i="4"/>
  <c r="A259" i="4" l="1"/>
  <c r="A258" i="4"/>
  <c r="A402" i="4"/>
  <c r="A231" i="4"/>
  <c r="A393" i="4"/>
  <c r="A354" i="4"/>
  <c r="A52" i="4"/>
  <c r="A20" i="4"/>
  <c r="A450" i="4"/>
  <c r="A357" i="4"/>
  <c r="A254" i="4"/>
  <c r="A28" i="4"/>
  <c r="A362" i="4"/>
  <c r="A257" i="4"/>
  <c r="A384" i="4"/>
  <c r="A353" i="4"/>
  <c r="A163" i="4"/>
  <c r="A212" i="4"/>
  <c r="A361" i="4" l="1"/>
  <c r="A253" i="4"/>
  <c r="A120" i="4"/>
  <c r="A126" i="4"/>
  <c r="A389" i="4"/>
  <c r="A171" i="4"/>
  <c r="A101" i="4"/>
  <c r="A100" i="4"/>
  <c r="A256" i="4"/>
  <c r="J36" i="10" l="1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I36" i="10"/>
  <c r="H36" i="10"/>
  <c r="G36" i="10"/>
  <c r="F36" i="10"/>
  <c r="E36" i="10"/>
  <c r="D36" i="10"/>
  <c r="Q3" i="10" l="1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K36" i="10"/>
  <c r="L36" i="10"/>
  <c r="M36" i="10"/>
  <c r="N36" i="10"/>
  <c r="O36" i="10"/>
  <c r="P36" i="10"/>
  <c r="A227" i="4" l="1"/>
  <c r="A238" i="4"/>
  <c r="A502" i="4"/>
  <c r="A433" i="4"/>
  <c r="A111" i="4"/>
  <c r="A380" i="4"/>
  <c r="A110" i="4"/>
  <c r="A465" i="4"/>
  <c r="A176" i="4"/>
  <c r="A173" i="4"/>
  <c r="A153" i="4"/>
  <c r="A98" i="4"/>
  <c r="A367" i="4"/>
  <c r="A439" i="4"/>
  <c r="A206" i="4" l="1"/>
  <c r="A215" i="4"/>
  <c r="A399" i="4"/>
  <c r="A119" i="4"/>
  <c r="A457" i="4" l="1"/>
  <c r="A460" i="4"/>
  <c r="A364" i="4"/>
  <c r="A350" i="4"/>
  <c r="A400" i="4" l="1"/>
  <c r="A6" i="4"/>
  <c r="A46" i="4"/>
  <c r="A47" i="4"/>
  <c r="A30" i="4"/>
  <c r="A25" i="4"/>
  <c r="A48" i="4"/>
  <c r="A3" i="4"/>
  <c r="A32" i="4"/>
  <c r="A33" i="4"/>
  <c r="A51" i="4"/>
  <c r="A17" i="4"/>
  <c r="A7" i="4"/>
  <c r="A34" i="4"/>
  <c r="A4" i="4"/>
  <c r="A49" i="4"/>
  <c r="A22" i="4"/>
  <c r="A23" i="4"/>
  <c r="A8" i="4"/>
  <c r="A59" i="4"/>
  <c r="A53" i="4"/>
  <c r="A50" i="4"/>
  <c r="A35" i="4"/>
  <c r="A60" i="4"/>
  <c r="A26" i="4"/>
  <c r="A70" i="4"/>
  <c r="A67" i="4"/>
  <c r="A11" i="4"/>
  <c r="A71" i="4"/>
  <c r="A72" i="4"/>
  <c r="A62" i="4"/>
  <c r="A12" i="4"/>
  <c r="A68" i="4"/>
  <c r="A63" i="4"/>
  <c r="A64" i="4"/>
  <c r="A13" i="4"/>
  <c r="A65" i="4"/>
  <c r="A36" i="4"/>
  <c r="A37" i="4"/>
  <c r="A80" i="4"/>
  <c r="A38" i="4"/>
  <c r="A81" i="4"/>
  <c r="A83" i="4"/>
  <c r="A14" i="4"/>
  <c r="A73" i="4"/>
  <c r="A18" i="4"/>
  <c r="A74" i="4"/>
  <c r="A69" i="4"/>
  <c r="A21" i="4"/>
  <c r="A84" i="4"/>
  <c r="A15" i="4"/>
  <c r="A39" i="4"/>
  <c r="A27" i="4"/>
  <c r="A24" i="4"/>
  <c r="A85" i="4"/>
  <c r="A75" i="4"/>
  <c r="A40" i="4"/>
  <c r="A19" i="4"/>
  <c r="A86" i="4"/>
  <c r="A41" i="4"/>
  <c r="A76" i="4"/>
  <c r="A82" i="4"/>
  <c r="A87" i="4"/>
  <c r="A88" i="4"/>
  <c r="A42" i="4"/>
  <c r="A89" i="4"/>
  <c r="A43" i="4"/>
  <c r="A66" i="4"/>
  <c r="A54" i="4"/>
  <c r="A44" i="4"/>
  <c r="A90" i="4"/>
  <c r="A9" i="4"/>
  <c r="A10" i="4"/>
  <c r="A92" i="4"/>
  <c r="A45" i="4"/>
  <c r="A91" i="4"/>
  <c r="A55" i="4"/>
  <c r="A77" i="4"/>
  <c r="A78" i="4"/>
  <c r="A105" i="4"/>
  <c r="A106" i="4"/>
  <c r="A107" i="4"/>
  <c r="A133" i="4"/>
  <c r="A114" i="4"/>
  <c r="A115" i="4"/>
  <c r="A112" i="4"/>
  <c r="A134" i="4"/>
  <c r="A135" i="4"/>
  <c r="A136" i="4"/>
  <c r="A137" i="4"/>
  <c r="A94" i="4"/>
  <c r="A95" i="4"/>
  <c r="A96" i="4"/>
  <c r="A127" i="4"/>
  <c r="A97" i="4"/>
  <c r="A108" i="4"/>
  <c r="A122" i="4"/>
  <c r="A138" i="4"/>
  <c r="A99" i="4"/>
  <c r="A131" i="4"/>
  <c r="A116" i="4"/>
  <c r="A113" i="4"/>
  <c r="A128" i="4"/>
  <c r="A129" i="4"/>
  <c r="A118" i="4"/>
  <c r="A125" i="4"/>
  <c r="A141" i="4"/>
  <c r="A142" i="4"/>
  <c r="A102" i="4"/>
  <c r="A139" i="4"/>
  <c r="A143" i="4"/>
  <c r="A132" i="4"/>
  <c r="A130" i="4"/>
  <c r="A123" i="4"/>
  <c r="A103" i="4"/>
  <c r="A104" i="4"/>
  <c r="A121" i="4"/>
  <c r="A140" i="4"/>
  <c r="A117" i="4"/>
  <c r="A109" i="4"/>
  <c r="A146" i="4"/>
  <c r="A152" i="4"/>
  <c r="A148" i="4"/>
  <c r="A149" i="4"/>
  <c r="A147" i="4"/>
  <c r="A154" i="4"/>
  <c r="A155" i="4"/>
  <c r="A145" i="4"/>
  <c r="A151" i="4"/>
  <c r="A264" i="4"/>
  <c r="A265" i="4"/>
  <c r="A266" i="4"/>
  <c r="A267" i="4"/>
  <c r="A268" i="4"/>
  <c r="A269" i="4"/>
  <c r="A270" i="4"/>
  <c r="A271" i="4"/>
  <c r="A211" i="4"/>
  <c r="A208" i="4"/>
  <c r="A304" i="4"/>
  <c r="A187" i="4"/>
  <c r="A299" i="4"/>
  <c r="A201" i="4"/>
  <c r="A272" i="4"/>
  <c r="A273" i="4"/>
  <c r="A188" i="4"/>
  <c r="A274" i="4"/>
  <c r="A213" i="4"/>
  <c r="A275" i="4"/>
  <c r="A276" i="4"/>
  <c r="A277" i="4"/>
  <c r="A181" i="4"/>
  <c r="A342" i="4"/>
  <c r="A223" i="4"/>
  <c r="A186" i="4"/>
  <c r="A278" i="4"/>
  <c r="A279" i="4"/>
  <c r="A182" i="4"/>
  <c r="A190" i="4"/>
  <c r="A280" i="4"/>
  <c r="A281" i="4"/>
  <c r="A183" i="4"/>
  <c r="A191" i="4"/>
  <c r="A199" i="4"/>
  <c r="A282" i="4"/>
  <c r="A202" i="4"/>
  <c r="A216" i="4"/>
  <c r="A233" i="4"/>
  <c r="A319" i="4"/>
  <c r="A320" i="4"/>
  <c r="A283" i="4"/>
  <c r="A345" i="4"/>
  <c r="A189" i="4"/>
  <c r="A217" i="4"/>
  <c r="A328" i="4"/>
  <c r="A347" i="4"/>
  <c r="A192" i="4"/>
  <c r="A318" i="4"/>
  <c r="A332" i="4"/>
  <c r="A284" i="4"/>
  <c r="A242" i="4"/>
  <c r="A348" i="4"/>
  <c r="A193" i="4"/>
  <c r="A300" i="4"/>
  <c r="A333" i="4"/>
  <c r="A218" i="4"/>
  <c r="A323" i="4"/>
  <c r="A285" i="4"/>
  <c r="A321" i="4"/>
  <c r="A322" i="4"/>
  <c r="A307" i="4"/>
  <c r="A340" i="4"/>
  <c r="A286" i="4"/>
  <c r="A287" i="4"/>
  <c r="A260" i="4"/>
  <c r="A194" i="4"/>
  <c r="A288" i="4"/>
  <c r="A343" i="4"/>
  <c r="A335" i="4"/>
  <c r="A324" i="4"/>
  <c r="A219" i="4"/>
  <c r="A308" i="4"/>
  <c r="A313" i="4"/>
  <c r="A329" i="4"/>
  <c r="A262" i="4"/>
  <c r="A330" i="4"/>
  <c r="A303" i="4"/>
  <c r="A317" i="4"/>
  <c r="A224" i="4"/>
  <c r="A309" i="4"/>
  <c r="A228" i="4"/>
  <c r="A200" i="4"/>
  <c r="A325" i="4"/>
  <c r="A236" i="4"/>
  <c r="A314" i="4"/>
  <c r="A326" i="4"/>
  <c r="A209" i="4"/>
  <c r="A315" i="4"/>
  <c r="A331" i="4"/>
  <c r="A222" i="4"/>
  <c r="A263" i="4"/>
  <c r="A229" i="4"/>
  <c r="A234" i="4"/>
  <c r="A205" i="4"/>
  <c r="A336" i="4"/>
  <c r="A239" i="4"/>
  <c r="A204" i="4"/>
  <c r="A220" i="4"/>
  <c r="A214" i="4"/>
  <c r="A351" i="4"/>
  <c r="A334" i="4"/>
  <c r="A310" i="4"/>
  <c r="A349" i="4"/>
  <c r="A355" i="4"/>
  <c r="A241" i="4"/>
  <c r="A358" i="4"/>
  <c r="A195" i="4"/>
  <c r="A210" i="4"/>
  <c r="A221" i="4"/>
  <c r="A289" i="4"/>
  <c r="A305" i="4"/>
  <c r="A337" i="4"/>
  <c r="A306" i="4"/>
  <c r="A196" i="4"/>
  <c r="A197" i="4"/>
  <c r="A365" i="4"/>
  <c r="A302" i="4"/>
  <c r="A240" i="4"/>
  <c r="A207" i="4"/>
  <c r="A245" i="4"/>
  <c r="A243" i="4"/>
  <c r="A356" i="4"/>
  <c r="A352" i="4"/>
  <c r="A226" i="4"/>
  <c r="A244" i="4"/>
  <c r="A235" i="4"/>
  <c r="A368" i="4"/>
  <c r="A246" i="4"/>
  <c r="A237" i="4"/>
  <c r="A359" i="4"/>
  <c r="A366" i="4"/>
  <c r="A290" i="4"/>
  <c r="A291" i="4"/>
  <c r="A247" i="4"/>
  <c r="A292" i="4"/>
  <c r="A248" i="4"/>
  <c r="A249" i="4"/>
  <c r="A293" i="4"/>
  <c r="A250" i="4"/>
  <c r="A251" i="4"/>
  <c r="A230" i="4"/>
  <c r="A360" i="4"/>
  <c r="A184" i="4"/>
  <c r="A225" i="4"/>
  <c r="A157" i="4"/>
  <c r="A158" i="4"/>
  <c r="A165" i="4"/>
  <c r="A160" i="4"/>
  <c r="A161" i="4"/>
  <c r="A177" i="4"/>
  <c r="A172" i="4"/>
  <c r="A166" i="4"/>
  <c r="A167" i="4"/>
  <c r="A162" i="4"/>
  <c r="A168" i="4"/>
  <c r="A169" i="4"/>
  <c r="A170" i="4"/>
  <c r="A175" i="4"/>
  <c r="A156" i="4"/>
  <c r="A174" i="4"/>
  <c r="A159" i="4"/>
  <c r="A178" i="4"/>
  <c r="A179" i="4"/>
  <c r="A164" i="4"/>
  <c r="A180" i="4"/>
  <c r="A376" i="4"/>
  <c r="A382" i="4"/>
  <c r="A383" i="4"/>
  <c r="A377" i="4"/>
  <c r="A394" i="4"/>
  <c r="A378" i="4"/>
  <c r="A375" i="4"/>
  <c r="A395" i="4"/>
  <c r="A396" i="4"/>
  <c r="A397" i="4"/>
  <c r="A407" i="4"/>
  <c r="A379" i="4"/>
  <c r="A385" i="4"/>
  <c r="A386" i="4"/>
  <c r="A387" i="4"/>
  <c r="A390" i="4"/>
  <c r="A392" i="4"/>
  <c r="A391" i="4"/>
  <c r="A388" i="4"/>
  <c r="A408" i="4"/>
  <c r="A398" i="4"/>
  <c r="A434" i="4"/>
  <c r="A489" i="4"/>
  <c r="A490" i="4"/>
  <c r="A435" i="4"/>
  <c r="A440" i="4"/>
  <c r="A441" i="4"/>
  <c r="A442" i="4"/>
  <c r="A443" i="4"/>
  <c r="A507" i="4"/>
  <c r="A444" i="4"/>
  <c r="A445" i="4"/>
  <c r="A436" i="4"/>
  <c r="A446" i="4"/>
  <c r="A447" i="4"/>
  <c r="A491" i="4"/>
  <c r="A437" i="4"/>
  <c r="A448" i="4"/>
  <c r="A449" i="4"/>
  <c r="A451" i="4"/>
  <c r="A482" i="4"/>
  <c r="A483" i="4"/>
  <c r="A429" i="4"/>
  <c r="A411" i="4"/>
  <c r="A453" i="4"/>
  <c r="A454" i="4"/>
  <c r="A455" i="4"/>
  <c r="A418" i="4"/>
  <c r="A456" i="4"/>
  <c r="A419" i="4"/>
  <c r="A412" i="4"/>
  <c r="A420" i="4"/>
  <c r="A484" i="4"/>
  <c r="A430" i="4"/>
  <c r="A421" i="4"/>
  <c r="A485" i="4"/>
  <c r="A503" i="4"/>
  <c r="A492" i="4"/>
  <c r="A505" i="4"/>
  <c r="A413" i="4"/>
  <c r="A422" i="4"/>
  <c r="A458" i="4"/>
  <c r="A486" i="4"/>
  <c r="A493" i="4"/>
  <c r="A423" i="4"/>
  <c r="A424" i="4"/>
  <c r="A459" i="4"/>
  <c r="A500" i="4"/>
  <c r="A431" i="4"/>
  <c r="A461" i="4"/>
  <c r="A462" i="4"/>
  <c r="A508" i="4"/>
  <c r="A496" i="4"/>
  <c r="A498" i="4"/>
  <c r="A497" i="4"/>
  <c r="A487" i="4"/>
  <c r="A414" i="4"/>
  <c r="A415" i="4"/>
  <c r="A416" i="4"/>
  <c r="A463" i="4"/>
  <c r="A506" i="4"/>
  <c r="A425" i="4"/>
  <c r="A426" i="4"/>
  <c r="A464" i="4"/>
  <c r="A432" i="4"/>
  <c r="A501" i="4"/>
  <c r="A427" i="4"/>
  <c r="A504" i="4"/>
  <c r="A488" i="4"/>
  <c r="A417" i="4"/>
  <c r="A494" i="4"/>
  <c r="A466" i="4"/>
  <c r="A467" i="4"/>
  <c r="A468" i="4"/>
  <c r="A469" i="4"/>
  <c r="A470" i="4"/>
  <c r="A471" i="4"/>
  <c r="A472" i="4"/>
  <c r="A428" i="4"/>
  <c r="A499" i="4"/>
  <c r="A473" i="4"/>
  <c r="A475" i="4"/>
  <c r="A474" i="4"/>
  <c r="A452" i="4"/>
  <c r="A252" i="4"/>
  <c r="A312" i="4"/>
  <c r="A16" i="4"/>
  <c r="A5" i="4" l="1"/>
</calcChain>
</file>

<file path=xl/sharedStrings.xml><?xml version="1.0" encoding="utf-8"?>
<sst xmlns="http://schemas.openxmlformats.org/spreadsheetml/2006/main" count="2852" uniqueCount="667">
  <si>
    <t>CHITTORGARH</t>
  </si>
  <si>
    <t>AJMER</t>
  </si>
  <si>
    <t>BHARATPUR</t>
  </si>
  <si>
    <t>JAIPUR</t>
  </si>
  <si>
    <t>YADAV BUILDING MATERIAL</t>
  </si>
  <si>
    <t>JODHPUR</t>
  </si>
  <si>
    <t>NAVEEN DISTRIBUTORS</t>
  </si>
  <si>
    <t>JAISALMER</t>
  </si>
  <si>
    <t>SRI GANGANAGAR</t>
  </si>
  <si>
    <t>GOYAL BUILDING MATERIAL</t>
  </si>
  <si>
    <t>SAWAI MADHOPUR</t>
  </si>
  <si>
    <t>NEW BAMANWAS KHAD BEEJ BHANDAR</t>
  </si>
  <si>
    <t>BANSWARA</t>
  </si>
  <si>
    <t>HANUMANGARH</t>
  </si>
  <si>
    <t>BARMER</t>
  </si>
  <si>
    <t>BIKANER</t>
  </si>
  <si>
    <t>JHALAWAR</t>
  </si>
  <si>
    <t>DUNGARPUR</t>
  </si>
  <si>
    <t>BALAJI CEMENT AGENCY</t>
  </si>
  <si>
    <t>GOLDEN TRADERS</t>
  </si>
  <si>
    <t>SIKAR</t>
  </si>
  <si>
    <t>LALLAMAL KANHYALAL &amp; SONS</t>
  </si>
  <si>
    <t>KOTA</t>
  </si>
  <si>
    <t>SAINI BUILDING MATERIAL SUPPLI</t>
  </si>
  <si>
    <t>SAINI TRADERS</t>
  </si>
  <si>
    <t>Kuntal Building Material</t>
  </si>
  <si>
    <t>ARTI BUILDING MATERIAL</t>
  </si>
  <si>
    <t>KARAULI</t>
  </si>
  <si>
    <t>SHRI BALAJI BUILDING MATERIAL</t>
  </si>
  <si>
    <t>PRATAPGARH</t>
  </si>
  <si>
    <t>RAJAWAL TRADERS</t>
  </si>
  <si>
    <t>KHUSHI BUILDING MATERIAL</t>
  </si>
  <si>
    <t>LAXMI BUILDING MATERIAL</t>
  </si>
  <si>
    <t>MITALI ALLOYS PVT LTD</t>
  </si>
  <si>
    <t>ALWAR</t>
  </si>
  <si>
    <t>AGARWAL AGENCIES</t>
  </si>
  <si>
    <t>NAGAUR</t>
  </si>
  <si>
    <t>GARG AGRO AGENCIES</t>
  </si>
  <si>
    <t>ASHWINI AND SONS</t>
  </si>
  <si>
    <t>SHYAM BUILDING MATERIAL</t>
  </si>
  <si>
    <t>SAINI BUILDING MATERIAL</t>
  </si>
  <si>
    <t>AGARWAL MACHINERY STORES</t>
  </si>
  <si>
    <t>SHRI GOMTI BM &amp; SUPPLIERS</t>
  </si>
  <si>
    <t>DHOLPUR</t>
  </si>
  <si>
    <t>SHARMA CEMENT AGENCY</t>
  </si>
  <si>
    <t>PAHARIA CHEMICALS</t>
  </si>
  <si>
    <t>POOJA TRADING COMPANY</t>
  </si>
  <si>
    <t>GANPATI BUILDING MATERIAL</t>
  </si>
  <si>
    <t>SANWARIA TRADING COMPANY</t>
  </si>
  <si>
    <t>JAI CHAMUNDA MAA BUILDING MATE</t>
  </si>
  <si>
    <t>BANSAL TRADING COMPANY</t>
  </si>
  <si>
    <t>AGARWAL CEMENT AGENCY</t>
  </si>
  <si>
    <t>INDIAN BUILDING MATERIAL</t>
  </si>
  <si>
    <t>PRINCE TRADING COMPANY</t>
  </si>
  <si>
    <t>TONK</t>
  </si>
  <si>
    <t>MAA BHAGWATI TRADERS</t>
  </si>
  <si>
    <t>JAI KOSHLESH TRADING COMPANY</t>
  </si>
  <si>
    <t>K D STONE</t>
  </si>
  <si>
    <t>BHILWARA</t>
  </si>
  <si>
    <t>MAHAVEER ASSOCIATES</t>
  </si>
  <si>
    <t>SHREE SHYAM TRADERS</t>
  </si>
  <si>
    <t>KHAJANCHI TRADING CO.</t>
  </si>
  <si>
    <t>MASTER CEMENT AGENCY</t>
  </si>
  <si>
    <t>SHARMA TRADERS</t>
  </si>
  <si>
    <t>CHURU</t>
  </si>
  <si>
    <t>BUNDI</t>
  </si>
  <si>
    <t>SHIV TRADERS</t>
  </si>
  <si>
    <t>JALORE</t>
  </si>
  <si>
    <t>RIDHI SIDHI TRADERS</t>
  </si>
  <si>
    <t>SATYA TRADERS</t>
  </si>
  <si>
    <t>FARIYAD TRADERS</t>
  </si>
  <si>
    <t>BARAN</t>
  </si>
  <si>
    <t>SHIKHA ENTERPRSIES</t>
  </si>
  <si>
    <t>SHAH TRADERS</t>
  </si>
  <si>
    <t>KASLIWAL KRISHI SEWA KENDRA</t>
  </si>
  <si>
    <t>YOGI TRADERS</t>
  </si>
  <si>
    <t>SHIV CHARAN LAL RAKESH KUMAR</t>
  </si>
  <si>
    <t>Goyal &amp; Co.</t>
  </si>
  <si>
    <t>SHREE BALAJI TRADERS</t>
  </si>
  <si>
    <t>PAWAN BUILDERS</t>
  </si>
  <si>
    <t>VED (MP) CEMENT AGENCY</t>
  </si>
  <si>
    <t>MINAXI TRADERS</t>
  </si>
  <si>
    <t>ARVIND BUILDING MATERIAL</t>
  </si>
  <si>
    <t>PRAHALAD KUMAR LABOUR SUPPLIER</t>
  </si>
  <si>
    <t>JAI BHAIRAV NATH BUILDING MATE</t>
  </si>
  <si>
    <t>R K TRADERS</t>
  </si>
  <si>
    <t>JHUNJHUNU</t>
  </si>
  <si>
    <t>DINESH TRADERS</t>
  </si>
  <si>
    <t>CHANDA STONE</t>
  </si>
  <si>
    <t>UMA IRON &amp; CEMENT AGENCY</t>
  </si>
  <si>
    <t>RIDHIMA ENTERPRISES</t>
  </si>
  <si>
    <t>SISODIYA TRADERS</t>
  </si>
  <si>
    <t>GARG TRADING COMPANY</t>
  </si>
  <si>
    <t>HAZI AND COMPANY</t>
  </si>
  <si>
    <t>GUPTA ENTERPRISES</t>
  </si>
  <si>
    <t>OM CEMENT HOUSE</t>
  </si>
  <si>
    <t>H S TRADERS</t>
  </si>
  <si>
    <t>KRISHNA TRADERS</t>
  </si>
  <si>
    <t>YADAV TRADING COMPANY</t>
  </si>
  <si>
    <t>YADAV CEMENT AGENCY</t>
  </si>
  <si>
    <t>SHREE JI BUILDING MATERIAL STO</t>
  </si>
  <si>
    <t>DEV BUILDING MATERIAL SUPPLIER</t>
  </si>
  <si>
    <t>CHECHI BUILDING MATERIAL</t>
  </si>
  <si>
    <t>UDAIPUR</t>
  </si>
  <si>
    <t>SHIV SHAKTI TRADERS</t>
  </si>
  <si>
    <t>RAJSAMAND</t>
  </si>
  <si>
    <t>SIROHI</t>
  </si>
  <si>
    <t>SANTOSHI BUILDING MATERIAL SUP</t>
  </si>
  <si>
    <t>VIKAS CONSTRUCTION</t>
  </si>
  <si>
    <t>SHARDUL CEMENT AGENCY</t>
  </si>
  <si>
    <t>PUSHPENDRA SINGH J K CEMENT AG</t>
  </si>
  <si>
    <t>KISHAN SINGH CEMENT AGENCY</t>
  </si>
  <si>
    <t>SHREE SHYAM CEMENT AGENCY</t>
  </si>
  <si>
    <t>DEEPAK TRADERS</t>
  </si>
  <si>
    <t>SARDAR BUILDING MATERIAL STORE</t>
  </si>
  <si>
    <t>GOVIND BUILDING MATERIAL</t>
  </si>
  <si>
    <t>LAXMI TRADERS</t>
  </si>
  <si>
    <t>SANTOSH KUMAR SATISH CHAND</t>
  </si>
  <si>
    <t>JINDAL KHAD BEEJ BHANDAR</t>
  </si>
  <si>
    <t>DEV BUILDING MATERIAL</t>
  </si>
  <si>
    <t>DEV TRADING COMPANY</t>
  </si>
  <si>
    <t>DAUSA</t>
  </si>
  <si>
    <t>BADAYA TRADERS</t>
  </si>
  <si>
    <t>GOKLENDRA BUILDING MATERIAL</t>
  </si>
  <si>
    <t>KRISHI SEWA KENDRA</t>
  </si>
  <si>
    <t>KHANDELWAL TRADERS</t>
  </si>
  <si>
    <t>SHRI BALAJI CEMENT AGENCY</t>
  </si>
  <si>
    <t>BALAJI TRADERS</t>
  </si>
  <si>
    <t>JAGDAMBA CEMENT AGENCY</t>
  </si>
  <si>
    <t>RAHUL BUILDING MATERIAL</t>
  </si>
  <si>
    <t>YOGESH TRADERS</t>
  </si>
  <si>
    <t>NIKHIL ASSOCIATE</t>
  </si>
  <si>
    <t>JAI SHREE GANESH BUILDING MATE</t>
  </si>
  <si>
    <t>RAMPRASAD FERTILIZERS</t>
  </si>
  <si>
    <t>DEV NARAYAN BUILDING MATERIAL</t>
  </si>
  <si>
    <t>GOURAV AGAENCY</t>
  </si>
  <si>
    <t>HARMAN SINGH AND SONS</t>
  </si>
  <si>
    <t>MOOL CHAND GURJAR</t>
  </si>
  <si>
    <t>JAI HANUMAN ENTERPRISES</t>
  </si>
  <si>
    <t>GUPTA HARDWARE STORE</t>
  </si>
  <si>
    <t>RAVINDRA SINGH PARMAR</t>
  </si>
  <si>
    <t>PARIDWAL TRADERS</t>
  </si>
  <si>
    <t>ASHOK TRADING  COMPANY</t>
  </si>
  <si>
    <t>SONAM KHAD BEEJ BHANDAR</t>
  </si>
  <si>
    <t>MONU KIRANA STORE</t>
  </si>
  <si>
    <t>ANKIT TRADERS</t>
  </si>
  <si>
    <t>HEMLATA CEMENT AGENCY</t>
  </si>
  <si>
    <t>BHOLE BUILDING MATERIAL</t>
  </si>
  <si>
    <t>KISAAN KHAD BEEJ BHANDAR</t>
  </si>
  <si>
    <t>GURUKRIPA BUILDING MATERIAL</t>
  </si>
  <si>
    <t>DEEPAK TRADING COMPANY</t>
  </si>
  <si>
    <t>SHRI KRISHNA TRADERS</t>
  </si>
  <si>
    <t>SURESH CHAND &amp; CO</t>
  </si>
  <si>
    <t>SHANKAR KHAD BHANDAR</t>
  </si>
  <si>
    <t>KUMAWAT CEMENT AGENCY</t>
  </si>
  <si>
    <t>SANJAY KUMAR SAINI</t>
  </si>
  <si>
    <t>GUPTA TRADERS</t>
  </si>
  <si>
    <t>YADHWANSHI BUILDING MATERIAL</t>
  </si>
  <si>
    <t>ANIL ENTERPRISES</t>
  </si>
  <si>
    <t>ANSHU CEMENT AGENCY</t>
  </si>
  <si>
    <t>ROHIT TRADERS</t>
  </si>
  <si>
    <t>PRIYA TRADERS</t>
  </si>
  <si>
    <t>RAJ RAJESHWARI PAINT HOUSE</t>
  </si>
  <si>
    <t>NARSINGH KHAAD BEEJ BHANDAR</t>
  </si>
  <si>
    <t>SWASTIK CEMENT AGENCIES</t>
  </si>
  <si>
    <t>SHREE KRISHNA CEMENT STORE</t>
  </si>
  <si>
    <t>GOVERDHAN ENTERPRISES</t>
  </si>
  <si>
    <t>JAGDAMBEY BUILDING MATERIAL SU</t>
  </si>
  <si>
    <t>JAI JASOL MAA BUILDING MATERIA</t>
  </si>
  <si>
    <t>BANSAL IRON &amp; CEMENT TRADERS</t>
  </si>
  <si>
    <t>HITA JK SUPER CEMENT</t>
  </si>
  <si>
    <t>NARAYAN TRADERS</t>
  </si>
  <si>
    <t>SHREE GOPAL TRADING CO</t>
  </si>
  <si>
    <t>NIRBHAY CEMENT AGENCY</t>
  </si>
  <si>
    <t>GOYAL ENTERPRISES</t>
  </si>
  <si>
    <t>JYOTI IRONS &amp; BUILDING MATERIA</t>
  </si>
  <si>
    <t>HARI OM TRADERS</t>
  </si>
  <si>
    <t>PALI</t>
  </si>
  <si>
    <t>VINAYAK TRADERS</t>
  </si>
  <si>
    <t>MANGAL BUILDING MATERIAL STORE</t>
  </si>
  <si>
    <t>KALYANI TRADERS</t>
  </si>
  <si>
    <t>JAIN KHAD BEEJ BHANDAR</t>
  </si>
  <si>
    <t>DEEPAK TRADING CO</t>
  </si>
  <si>
    <t>BANSAL MARBLES</t>
  </si>
  <si>
    <t>VIKAS TRADING COMPANY</t>
  </si>
  <si>
    <t>VIJAY TRADING COMPANY</t>
  </si>
  <si>
    <t>AGARWAL KHAD BEEJ BHANDAR</t>
  </si>
  <si>
    <t>FAUJDAR BUILDING MATERIAL</t>
  </si>
  <si>
    <t>SHRI RADHEY KRISHAN TRADERS</t>
  </si>
  <si>
    <t>RAJORIYA TRADING COMPANY</t>
  </si>
  <si>
    <t>SHREE KRISHNA TRADERS</t>
  </si>
  <si>
    <t>BALAJI BUILDING MATERIAL</t>
  </si>
  <si>
    <t>MISHRA TRADERS</t>
  </si>
  <si>
    <t>SHIVANSH TRADERS</t>
  </si>
  <si>
    <t>SUKHDEV JI GUPTA</t>
  </si>
  <si>
    <t>AMERIA BUILDING MATERIAL</t>
  </si>
  <si>
    <t>KUSHAL TRADING COMPANY</t>
  </si>
  <si>
    <t>AMISHA TRADING</t>
  </si>
  <si>
    <t>KRISHNA ENTERPRISES</t>
  </si>
  <si>
    <t>ARORA CEMENT AGENCY</t>
  </si>
  <si>
    <t>GAURAV BUILDING MATERIAL SUPPL</t>
  </si>
  <si>
    <t>SAINI CHIPS &amp; MARBLE</t>
  </si>
  <si>
    <t>BALAJI BUILDING MATERIAL STORE</t>
  </si>
  <si>
    <t>GOYAL TRADERS</t>
  </si>
  <si>
    <t>VISHNU TRADERS</t>
  </si>
  <si>
    <t>HEMANT TRADING COMPANY</t>
  </si>
  <si>
    <t>SHRI LAXMI MOTORS</t>
  </si>
  <si>
    <t>MATO SHRI TRADERS</t>
  </si>
  <si>
    <t>JAI SHRI RADHE RADHE TRADERS</t>
  </si>
  <si>
    <t>MAHAVEER BUILDING MATERIAL</t>
  </si>
  <si>
    <t>KHAN BUILDING MATERIAL</t>
  </si>
  <si>
    <t>ALFEJ TRADERS</t>
  </si>
  <si>
    <t>GURU KRIPA MINESH TRADERS</t>
  </si>
  <si>
    <t>PRABHU DAYAL HARISH CHAND</t>
  </si>
  <si>
    <t>KUMAWAT TRADERS</t>
  </si>
  <si>
    <t>NAITIK TRADERS</t>
  </si>
  <si>
    <t>TIWARI AGENCIES</t>
  </si>
  <si>
    <t>KASANA BUILDING MATERIAL</t>
  </si>
  <si>
    <t>KEDAR LAL RAMKISHAN LAL</t>
  </si>
  <si>
    <t>SARAS ENTERPRISES</t>
  </si>
  <si>
    <t>GHATVASAN BUILDING MATERIAL</t>
  </si>
  <si>
    <t>ANSUL TRADING COMPANY</t>
  </si>
  <si>
    <t>AGARWAL TRADERS</t>
  </si>
  <si>
    <t>DEV CEMENT AGENCY</t>
  </si>
  <si>
    <t>GOMTI BUILDING MATERIAL STORE</t>
  </si>
  <si>
    <t>BANKE BIHARI KHAD BEEJ BHANDAR</t>
  </si>
  <si>
    <t>B M TRADING &amp; CONSTRUCTION COM</t>
  </si>
  <si>
    <t>CHOUDHARY TRADERS</t>
  </si>
  <si>
    <t>MANISH CEMENT AGENCY</t>
  </si>
  <si>
    <t>SHIV SHANKAR BUILDING MATERIAL</t>
  </si>
  <si>
    <t>SONAM ENTERPRISES</t>
  </si>
  <si>
    <t>NARENDRA SUPPLIERS</t>
  </si>
  <si>
    <t>SAINI KHAD BEEJ BHANDAR</t>
  </si>
  <si>
    <t>AGGARWAL CEMENT STORE</t>
  </si>
  <si>
    <t>SHIV TRADING COMPANY</t>
  </si>
  <si>
    <t>NEW SAINI TRADING COMPANY</t>
  </si>
  <si>
    <t>BABA TRADING COMPANY</t>
  </si>
  <si>
    <t>KAILASH KHAD BEEJ BHANDAR</t>
  </si>
  <si>
    <t>S S AGRAWAL AND COMPANY</t>
  </si>
  <si>
    <t>GAURAV MARBLE</t>
  </si>
  <si>
    <t>SHRI GANESH BUILDING MATERIAL</t>
  </si>
  <si>
    <t>GD ASSOCIATES</t>
  </si>
  <si>
    <t>DURGESH ENTERPRISES</t>
  </si>
  <si>
    <t>GOYAL CONSTRUCTION &amp; CONSULTAN</t>
  </si>
  <si>
    <t>OM TRADERS</t>
  </si>
  <si>
    <t>RAM JI BUILDING MATERIAL SUPPL</t>
  </si>
  <si>
    <t>MAA TRADERS</t>
  </si>
  <si>
    <t>ADITYA ENTERPRISES</t>
  </si>
  <si>
    <t>SHARMA SALES CORPORATION</t>
  </si>
  <si>
    <t>SITARAM INFRA PROJECTS</t>
  </si>
  <si>
    <t>GHODELA BUILDING MATERIAL AND</t>
  </si>
  <si>
    <t>MANGLA STEELS AGENCY</t>
  </si>
  <si>
    <t>SARWAN KUMAR MAHESH KUMAR</t>
  </si>
  <si>
    <t>LAXMI BUILDING MATERIAL STORE</t>
  </si>
  <si>
    <t>GOVIND TRADERS</t>
  </si>
  <si>
    <t>KARTIK ENTERPRISES</t>
  </si>
  <si>
    <t>GANESH AGENCIES</t>
  </si>
  <si>
    <t>AGRAWAL TRADERS</t>
  </si>
  <si>
    <t>SHUBHAM KHAD BEEJ BHANDAR</t>
  </si>
  <si>
    <t>DIPESH STEEL AND BUILDING MATE</t>
  </si>
  <si>
    <t>SHRI BAJRANG STEEL &amp; CEMENT AG</t>
  </si>
  <si>
    <t>ASHISH SALES CORPORATION</t>
  </si>
  <si>
    <t>ANUPAM PAINTS AND HARDWARES</t>
  </si>
  <si>
    <t>KEDIA TRADING COMPANY</t>
  </si>
  <si>
    <t>SHREE SHYAM BUILDING MATERIAL</t>
  </si>
  <si>
    <t>JAI BAJRANG STEELS</t>
  </si>
  <si>
    <t>MAHA LAXMI SALES</t>
  </si>
  <si>
    <t>KUMAWAT CONSTRUTION AND SUPPLI</t>
  </si>
  <si>
    <t>VINAYAK TRADE HOME</t>
  </si>
  <si>
    <t>ABHAY CONSTRUCTION AND PROPERT</t>
  </si>
  <si>
    <t>SHRI LAXMI AGENCIES</t>
  </si>
  <si>
    <t>VIVEK ENTERPRISES</t>
  </si>
  <si>
    <t>M.N.ASSOCIATES</t>
  </si>
  <si>
    <t>R S TRADERS</t>
  </si>
  <si>
    <t>SAINI STONE SUPPLIERS</t>
  </si>
  <si>
    <t>SHARMA BUILDING MATERIAL SUPPL</t>
  </si>
  <si>
    <t>SATISH CHAND GUPTA</t>
  </si>
  <si>
    <t>BANWARI LAL KUMHAR</t>
  </si>
  <si>
    <t>ASHISH TRADERS</t>
  </si>
  <si>
    <t>SHRI MINESH CONSTRUCTION COMPA</t>
  </si>
  <si>
    <t>KHANDELWAL TRADING AND COMPANY</t>
  </si>
  <si>
    <t>AKHIL AGARWAL</t>
  </si>
  <si>
    <t>SHREE DEVNARAYAN BUILDING MATE</t>
  </si>
  <si>
    <t>RAHUL SALES</t>
  </si>
  <si>
    <t>ROSHAN SAINI</t>
  </si>
  <si>
    <t>HIMANI ASSOCIATES</t>
  </si>
  <si>
    <t>ARPIT TRADERS</t>
  </si>
  <si>
    <t>PRAJAPAT CEMENT AGENCY</t>
  </si>
  <si>
    <t>RUPESH KHANDELWAL BUILDERS</t>
  </si>
  <si>
    <t>KALPANA CEMENT AGENCY</t>
  </si>
  <si>
    <t>KANHA BUILDERS</t>
  </si>
  <si>
    <t>SHRI SHYAM TENT HOUSE</t>
  </si>
  <si>
    <t>RUCHI ENTERPRISES</t>
  </si>
  <si>
    <t>M K STEEL &amp; DÉCOR</t>
  </si>
  <si>
    <t>HARI BUILDING MATERIAL</t>
  </si>
  <si>
    <t>NEESHA BUILDING MATERIALS</t>
  </si>
  <si>
    <t>ROHIT STEEL AND BUILDING MATER</t>
  </si>
  <si>
    <t>DRASHTIKA ENTERPRISES</t>
  </si>
  <si>
    <t>SHIV CEMENT AGENCY</t>
  </si>
  <si>
    <t>KARTIK SANITARY &amp; BUILDING MAT</t>
  </si>
  <si>
    <t>MITTAL AGENCY</t>
  </si>
  <si>
    <t>CHHITAR MAL KUMAWAT</t>
  </si>
  <si>
    <t>VAIBHAV ENTERPRISES</t>
  </si>
  <si>
    <t>PUNJABI BUILDING MATERIALS</t>
  </si>
  <si>
    <t>GAURAV CONSTRUCTION</t>
  </si>
  <si>
    <t>BHAIRAV BUILDING MATERIAL SUPP</t>
  </si>
  <si>
    <t>M A TRADING COMPANY</t>
  </si>
  <si>
    <t>RAVITA TRADERS</t>
  </si>
  <si>
    <t>SHARDA TRADERS</t>
  </si>
  <si>
    <t>SHARDA ENTERPRISES</t>
  </si>
  <si>
    <t>SHREE GIRIRAJ TRADERS</t>
  </si>
  <si>
    <t>JAI MATADI  BUILDING MATERIAL</t>
  </si>
  <si>
    <t>RUDRA TRADERS</t>
  </si>
  <si>
    <t>S R TRADERS</t>
  </si>
  <si>
    <t>ANIL SALES</t>
  </si>
  <si>
    <t>AGRWAL TRADERS</t>
  </si>
  <si>
    <t>TAMBI TRADING CO</t>
  </si>
  <si>
    <t>GUPTA BUILDING MATERIAL SUPPLI</t>
  </si>
  <si>
    <t>SUMAN ENTERPRISES</t>
  </si>
  <si>
    <t>SUIWAL BROTHERS</t>
  </si>
  <si>
    <t>OM SHIV CEMENT SUPPLIERS</t>
  </si>
  <si>
    <t>SHRI RAM BUILDING MATERIAL</t>
  </si>
  <si>
    <t>J.K. CEMENT AGENCY</t>
  </si>
  <si>
    <t>NATIONAL BUILDERS</t>
  </si>
  <si>
    <t>ARVIND CEMENT &amp; KALI UDYOG</t>
  </si>
  <si>
    <t>SHREE RIDDHI SIDDHI TRADERS</t>
  </si>
  <si>
    <t>AGRAWAL PLYWOOD AND TIMBER</t>
  </si>
  <si>
    <t>VASUDA ASSOCIATES</t>
  </si>
  <si>
    <t>ANKIT AGENCIES</t>
  </si>
  <si>
    <t>JAI KARAULI MAA TRADERS</t>
  </si>
  <si>
    <t>TAK BROTHERS</t>
  </si>
  <si>
    <t>SARASWATI TRADERS</t>
  </si>
  <si>
    <t>BHUVAN AGENCIES</t>
  </si>
  <si>
    <t>SHREE OM TRADING COMPANY</t>
  </si>
  <si>
    <t>JAI SHREE SHYAM TRADERS</t>
  </si>
  <si>
    <t>R R CONSTRUCTION COMPANY</t>
  </si>
  <si>
    <t>MISHRA CEMENT AGENCIES</t>
  </si>
  <si>
    <t>KHANDELWAL TIMBER MART</t>
  </si>
  <si>
    <t>NETA ELECTRICALS</t>
  </si>
  <si>
    <t>JAGDAMBA SUPPLIERS</t>
  </si>
  <si>
    <t>SAINI BUILDER</t>
  </si>
  <si>
    <t>SHREE GANESH TRADING COMPANY</t>
  </si>
  <si>
    <t>SAPNA TRADERS</t>
  </si>
  <si>
    <t>TEENA BUILDING MATERIAL SUPPLI</t>
  </si>
  <si>
    <t>TIWARI BUILDERS</t>
  </si>
  <si>
    <t>NEERAJ ENTERPRISES</t>
  </si>
  <si>
    <t>SHREE JI HARDWARE &amp; SANITARY</t>
  </si>
  <si>
    <t>AGARWAL SANITATION</t>
  </si>
  <si>
    <t>SHREE RAM TRADERS</t>
  </si>
  <si>
    <t>NANDINI TIMBER &amp; BUILDING MATE</t>
  </si>
  <si>
    <t>JAIN BUILDING MATERIAL STORE</t>
  </si>
  <si>
    <t>SHEETAL BUILDING MATERIAL SUPP</t>
  </si>
  <si>
    <t>MARUTI ENTERPRISES</t>
  </si>
  <si>
    <t>SATTGURU BUILDING MATERIAL SUP</t>
  </si>
  <si>
    <t>GOTHAWAL CEMENT AGENCY</t>
  </si>
  <si>
    <t>SIDDHI ENTERPRISES</t>
  </si>
  <si>
    <t>RAMSWAROOP PRAKASHCHAND</t>
  </si>
  <si>
    <t>LATA CEMENT AGENCY</t>
  </si>
  <si>
    <t>CCC ASSOCIATES</t>
  </si>
  <si>
    <t>RADHAKRISHNA ENTERPRISES</t>
  </si>
  <si>
    <t>GUPTA CEMENT AGENCY</t>
  </si>
  <si>
    <t>MADHAV TRADERS</t>
  </si>
  <si>
    <t>BANWARI LAL PRAKESH CHAND</t>
  </si>
  <si>
    <t>MEHTA SANITARY HARDWARE</t>
  </si>
  <si>
    <t>SHRI RADHA SHYAM BUILDERS</t>
  </si>
  <si>
    <t>MAVAR CEMENT AGENCY</t>
  </si>
  <si>
    <t>FAIR TRADING CO</t>
  </si>
  <si>
    <t>LAXMI BANS BALLI UDYOG</t>
  </si>
  <si>
    <t>KAKA BUILDERS</t>
  </si>
  <si>
    <t>SRIRAM CEMENT AGENCY</t>
  </si>
  <si>
    <t>GOYAL BUILDERS</t>
  </si>
  <si>
    <t>BABA MOHANRAM BUILDING MATERIA</t>
  </si>
  <si>
    <t>AGARWAL BUILDING MATERIAL SUPP</t>
  </si>
  <si>
    <t>ABHISHEK CHODHARY &amp; COMPANY</t>
  </si>
  <si>
    <t>AGARWAL PROPERTIES AND BUILDIN</t>
  </si>
  <si>
    <t>SHREE RADHIKA TRADERS</t>
  </si>
  <si>
    <t>LAXMI BUILDING MATERIAL SUPPLI</t>
  </si>
  <si>
    <t>LOKESH BUILDING MATERIAL</t>
  </si>
  <si>
    <t>GANESH TRADERS</t>
  </si>
  <si>
    <t>DEEPENDRA SINGH CHOUHAN</t>
  </si>
  <si>
    <t>MAHALAXMI B M TRADERS</t>
  </si>
  <si>
    <t>NAGPAL BUILDERS</t>
  </si>
  <si>
    <t>SHUBHAM BUILDIERS</t>
  </si>
  <si>
    <t>AGARWAL AGRICULTURE AGENCIES</t>
  </si>
  <si>
    <t>SHREE BALAJI BUILDING MATERIAL</t>
  </si>
  <si>
    <t>TRILOK NATH AGARWAL</t>
  </si>
  <si>
    <t>MEENA BUILDING MATERIAL SUPPLI</t>
  </si>
  <si>
    <t>DILIP SAINI</t>
  </si>
  <si>
    <t>JAI  AMBE TRADERS</t>
  </si>
  <si>
    <t>SHREE SHYAM CONSTRUCTION COMPA</t>
  </si>
  <si>
    <t>VINOD KUMAR SAINI</t>
  </si>
  <si>
    <t>TANVI CEMENT AGENCY</t>
  </si>
  <si>
    <t>GURUKRIPA SUPPLIERS</t>
  </si>
  <si>
    <t>ABDUL BUILDING MATERIALS</t>
  </si>
  <si>
    <t>SHIV SANITARY &amp; HARDWARE STORE</t>
  </si>
  <si>
    <t>AAGRAWAL TRADING COMPANY</t>
  </si>
  <si>
    <t>RAKESH BUILDERS</t>
  </si>
  <si>
    <t>SURESH TRADING COMPANY</t>
  </si>
  <si>
    <t>RAJESH BUILDING MATERIAL AND S</t>
  </si>
  <si>
    <t>JAI KISHAN BUILDING MATERIAL S</t>
  </si>
  <si>
    <t>SHRINATH TRADERS</t>
  </si>
  <si>
    <t>RIYA TRADERS</t>
  </si>
  <si>
    <t>MADAN SANITATION</t>
  </si>
  <si>
    <t>BISHANLAL KHAD BEEJ BHANDAR</t>
  </si>
  <si>
    <t>SHREE TRADING COMPANY</t>
  </si>
  <si>
    <t>SHREE KALYAN BUILDING MATERIAL</t>
  </si>
  <si>
    <t>BHOLU SINGH CEMENT SUPPLIERS</t>
  </si>
  <si>
    <t>YOGESH AGENCY</t>
  </si>
  <si>
    <t>ANKIT TRADERS &amp; CONSTRUCTION</t>
  </si>
  <si>
    <t>PANKAJ KUMAR YADAV</t>
  </si>
  <si>
    <t>SHRI SHYAM STEEL</t>
  </si>
  <si>
    <t>BAJRANG BALI BUILDING MATERIAL</t>
  </si>
  <si>
    <t>MA KAILADEVI KHAD BEEJ BHANDAR</t>
  </si>
  <si>
    <t>JAY BAJRANG BALI BUILDING MATE</t>
  </si>
  <si>
    <t>DINESH KUMAR KUMAWAT</t>
  </si>
  <si>
    <t>TANU CEMENT AGENCY</t>
  </si>
  <si>
    <t>RAVI SHANKAR SAINI</t>
  </si>
  <si>
    <t>SAHIL BUILDERS TRADING COMPANY</t>
  </si>
  <si>
    <t>SHRI SHYAM TRADERS</t>
  </si>
  <si>
    <t>SAPNA BUILDING MATERIAL SUPPLI</t>
  </si>
  <si>
    <t>SHAKUN ENTERPRISES</t>
  </si>
  <si>
    <t>Retailer Code</t>
  </si>
  <si>
    <t>Retailer Desc.</t>
  </si>
  <si>
    <t>Grand Total</t>
  </si>
  <si>
    <t>Concerned Dealer code</t>
  </si>
  <si>
    <t>Concerned Dealer Name</t>
  </si>
  <si>
    <t>Dist</t>
  </si>
  <si>
    <t>AO</t>
  </si>
  <si>
    <t>State</t>
  </si>
  <si>
    <t>DOA</t>
  </si>
  <si>
    <t>RJ-UDAIPUR</t>
  </si>
  <si>
    <t>RJ-JODHPUR</t>
  </si>
  <si>
    <t>RJ-JAIPUR</t>
  </si>
  <si>
    <t>SHIV GANPATI MARBLE AND GRANIT</t>
  </si>
  <si>
    <t>J P TRADERS</t>
  </si>
  <si>
    <t>KAILASH CEMENT AGENCY</t>
  </si>
  <si>
    <t>ANKUR CEMENT AGENCY</t>
  </si>
  <si>
    <t>KANHA BUILDING MATERIAL</t>
  </si>
  <si>
    <t>Combined</t>
  </si>
  <si>
    <t>TOTAL</t>
  </si>
  <si>
    <t>MAHAKAL CONSTRUCTION COMPANY</t>
  </si>
  <si>
    <t>DEVENDRA BUILDING MATERIAL</t>
  </si>
  <si>
    <t>SHEOJI RAM NIRBHAY RAM KUMAWAT</t>
  </si>
  <si>
    <t>PRIYA ENTERPRISES</t>
  </si>
  <si>
    <t>ISRAIL CEMENT AGENCY</t>
  </si>
  <si>
    <t>TANU BUILDING MATERIAL</t>
  </si>
  <si>
    <t>YADAV CONSTRUCTION COMPANY</t>
  </si>
  <si>
    <t>SEEMA BUILDING MATERIAL SUPPLI</t>
  </si>
  <si>
    <t>SHRI GANESH TRADERS</t>
  </si>
  <si>
    <t>MANISH TRADERS</t>
  </si>
  <si>
    <t>VIKAS CEMENT AGENCY</t>
  </si>
  <si>
    <t>RAJENDRA SINGH DAGUR</t>
  </si>
  <si>
    <t>SHRI VISHWAKARMA BUILDING MATE</t>
  </si>
  <si>
    <t>HARI SINGH GURJAR</t>
  </si>
  <si>
    <t>SHIVANI BUILDING MATERIAL STOR</t>
  </si>
  <si>
    <t>SANTOSH BUILDING MATERIAL</t>
  </si>
  <si>
    <t>MAHALAXMI ENTERPRISES</t>
  </si>
  <si>
    <t>MEENA TRADING COMPANY</t>
  </si>
  <si>
    <t>AFSAR BUILDING MATERIAL</t>
  </si>
  <si>
    <t>JAI BALAJI CEMENT AGENCY</t>
  </si>
  <si>
    <t>KUMHER BUILDING MATERIAL</t>
  </si>
  <si>
    <t>SAINI BUILDERS</t>
  </si>
  <si>
    <t>HALDHAR KISHAN SEVA KENDRA</t>
  </si>
  <si>
    <t>SONU BUILDING MATERIAL &amp; SUPPL</t>
  </si>
  <si>
    <t>PRADEEP CHOUDHARY J K SUPER CE</t>
  </si>
  <si>
    <t>TANWAR TRADING CO</t>
  </si>
  <si>
    <t>A1 CEMENT AGENCY</t>
  </si>
  <si>
    <t>SAINI TRADING COMPANY</t>
  </si>
  <si>
    <t>BHARADWAJ BUILDERS</t>
  </si>
  <si>
    <t>GOPAL CEMENT SUPPLIERS</t>
  </si>
  <si>
    <t>PRAJAPATI TRADING COMPANY</t>
  </si>
  <si>
    <t>AAKASH TRADING COMPANY</t>
  </si>
  <si>
    <t>GAGAN TRADERS</t>
  </si>
  <si>
    <t>CHANDER TIMBER DEPOT</t>
  </si>
  <si>
    <t>YADHUVANSHI BUILDING MATERIAL</t>
  </si>
  <si>
    <t>NAKSHATRA TRADERS</t>
  </si>
  <si>
    <t>SAINI SINGODIYA STONE SUPPLIER</t>
  </si>
  <si>
    <t>GAYATRI BUILDING MATERIAL</t>
  </si>
  <si>
    <t>MODI BUILDERS</t>
  </si>
  <si>
    <t>GURUJI ENTERPRISE</t>
  </si>
  <si>
    <t>RAJA BUILDING MATERIAL</t>
  </si>
  <si>
    <t>AZAD BUILDING MATERIAL</t>
  </si>
  <si>
    <t>GOHIL TRADING COMPANY</t>
  </si>
  <si>
    <t>MADHU SHARMA</t>
  </si>
  <si>
    <t>MAHESH TRADERS</t>
  </si>
  <si>
    <t>KHAN BUILDING MATERIAL SUPPLIE</t>
  </si>
  <si>
    <t>SHASTRI BUILDING MATERIAL STOR</t>
  </si>
  <si>
    <t>GGC BUILDING MATERIAL</t>
  </si>
  <si>
    <t>KOMAL TRADERS</t>
  </si>
  <si>
    <t>BADIWAL TRADERS</t>
  </si>
  <si>
    <t>GURU KRIPA BUILDING MATERIAL</t>
  </si>
  <si>
    <t>SWASTIK ENTERPRISES</t>
  </si>
  <si>
    <t>SHISHRAM BUILDING MATERIAL</t>
  </si>
  <si>
    <t>BENIWAL TRADERS</t>
  </si>
  <si>
    <t>KUMAWAT SUPPLIERS</t>
  </si>
  <si>
    <t>JAI HANUMAN TRADERS</t>
  </si>
  <si>
    <t>NEW AMAN BUILDING MATERIAL</t>
  </si>
  <si>
    <t>BALAJI CEMENT MATERIALS SUPPLI</t>
  </si>
  <si>
    <t>JAI AMBE TRADERS</t>
  </si>
  <si>
    <t>SAINI TENT HOUSE</t>
  </si>
  <si>
    <t>SAINI FLOUR MEELS AND GENERAL</t>
  </si>
  <si>
    <t>GURUKRIPA CONSTRUCTION COMPANY</t>
  </si>
  <si>
    <t>NARESH TRADERS</t>
  </si>
  <si>
    <t>MORDHWAJ CEMENT AGENCY</t>
  </si>
  <si>
    <t>HARSHA CEMENT AGENCY</t>
  </si>
  <si>
    <t>LILA RAM GURJAR</t>
  </si>
  <si>
    <t>HANSRAJ DAGDI</t>
  </si>
  <si>
    <t>KAMAL SINGH GURJAR</t>
  </si>
  <si>
    <t>RUPESH CEMENT AGENCY</t>
  </si>
  <si>
    <t>MADHAV ENTERPRISES</t>
  </si>
  <si>
    <t>SHRI SHYAM CEMENT AGENCY</t>
  </si>
  <si>
    <t>HATHWALA CEMENT AGENCY</t>
  </si>
  <si>
    <t>JAI AMBEY TRADERS</t>
  </si>
  <si>
    <t>SHRI GOGA TRADING COMPANY</t>
  </si>
  <si>
    <t>LAVANIA CEMENT SALES CORPORATI</t>
  </si>
  <si>
    <t>KHANDELWAL AGENCY</t>
  </si>
  <si>
    <t>SHASHI ENTERPRISES</t>
  </si>
  <si>
    <t>J KUMAR &amp; COMPANY</t>
  </si>
  <si>
    <t>DHAWAN BUILDERS</t>
  </si>
  <si>
    <t>SAINI CEMENT AGENCY</t>
  </si>
  <si>
    <t>PRIYANKA BUILDERS</t>
  </si>
  <si>
    <t>BHUPENDRA CEMENT AGENCY</t>
  </si>
  <si>
    <t>SWASTIK BUILDING</t>
  </si>
  <si>
    <t>BABA STEEL AND BUILDING MATERI</t>
  </si>
  <si>
    <t>AJMERA TRANSPORTER</t>
  </si>
  <si>
    <t>KIRAN TRADERS</t>
  </si>
  <si>
    <t>ASHUTOSH CONSTRUCTION CO</t>
  </si>
  <si>
    <t>SAINI CEMENT SUPPLIER</t>
  </si>
  <si>
    <t>KISAN SEWA KENDRA</t>
  </si>
  <si>
    <t>KRISHNA CEMENT AGENCY</t>
  </si>
  <si>
    <t>CHOUHAN TRADERS</t>
  </si>
  <si>
    <t>JATIN CEMENT AGENCY</t>
  </si>
  <si>
    <t>SHRI BALAJI TRADERS</t>
  </si>
  <si>
    <t>GARG BUILDING MATERIAL</t>
  </si>
  <si>
    <t>PAWAN BUILDING MATERIAL</t>
  </si>
  <si>
    <t>SINGHAL SAINATARY &amp; HARDWARE</t>
  </si>
  <si>
    <t>AASTHA KRASHI KENDRA</t>
  </si>
  <si>
    <t>MUSKAN TRADING COMPANY</t>
  </si>
  <si>
    <t>SHREE NEELKHANT STEEL &amp; CEMENT</t>
  </si>
  <si>
    <t>VIKRAM TRADING COMPANY</t>
  </si>
  <si>
    <t>CHOUDHARY CEMENT AGENCY</t>
  </si>
  <si>
    <t>SWAMI CONSTRUCTION AND CEMENT</t>
  </si>
  <si>
    <t>PRIYANKA ENTERPRISES</t>
  </si>
  <si>
    <t>AHUJA CEMENT &amp; SANITARYWARE</t>
  </si>
  <si>
    <t>KRISHNA KUMAR RAGHUVEER SINGH</t>
  </si>
  <si>
    <t>SAGAR BUILDING MATERIAL</t>
  </si>
  <si>
    <t>DELIGHT MARKETING</t>
  </si>
  <si>
    <t>ANAND SALES (ARM AGRI TRADE LL</t>
  </si>
  <si>
    <t>Slab</t>
  </si>
  <si>
    <t>0-10 MT</t>
  </si>
  <si>
    <t>10-20 MT</t>
  </si>
  <si>
    <t>30-40 MT</t>
  </si>
  <si>
    <t>40-50 MT</t>
  </si>
  <si>
    <t>&gt;50 MT</t>
  </si>
  <si>
    <t>Row Labels</t>
  </si>
  <si>
    <t>Column Labels</t>
  </si>
  <si>
    <t>Average of Avg</t>
  </si>
  <si>
    <t>ANIL TRADING COMPANY</t>
  </si>
  <si>
    <t>BALAJI STONE &amp; BUILDING MATERI</t>
  </si>
  <si>
    <t>ADARSH BUILDING MATERIAL</t>
  </si>
  <si>
    <t>SATNAM CEMENT AGENCY</t>
  </si>
  <si>
    <t>PAYAL TRADERS</t>
  </si>
  <si>
    <t>LAVKUSH KHAD BEEJ BHANDAR</t>
  </si>
  <si>
    <t>YOGESH CONSTRUCTION</t>
  </si>
  <si>
    <t>AKHLESH TRADING COMPANY</t>
  </si>
  <si>
    <t>BRIJENDRA SINGH CHAUHAN</t>
  </si>
  <si>
    <t>MAA KAILADEVI BUILDING MATERIA</t>
  </si>
  <si>
    <t>SHRI KANHAIYA BUILDING MATERIA</t>
  </si>
  <si>
    <t>JAI GIRIRAJ DHARAN TRADERS</t>
  </si>
  <si>
    <t>RADHA RANI BUILDING MATERIAL</t>
  </si>
  <si>
    <t>AGARWAL BUILDING MATERIAL</t>
  </si>
  <si>
    <t>SITARAM SHARMA</t>
  </si>
  <si>
    <t>KUMAWAT STONE MERCHANT</t>
  </si>
  <si>
    <t>TRIVENI CEMENT SUPPLIERS</t>
  </si>
  <si>
    <t>SLAB</t>
  </si>
  <si>
    <t>20-00 MT</t>
  </si>
  <si>
    <t>Count of Retailer Desc.</t>
  </si>
  <si>
    <t>Sale (MT)</t>
  </si>
  <si>
    <t># ARS</t>
  </si>
  <si>
    <t>GOYAL TRADING COMPANY</t>
  </si>
  <si>
    <t>B L BUILDING MATERIAL</t>
  </si>
  <si>
    <t>CHHIRANJILAL OM PRAKASH</t>
  </si>
  <si>
    <t>ROHIT CEMENT AGENCY</t>
  </si>
  <si>
    <t>MITTAL FERTILIZERS</t>
  </si>
  <si>
    <t>UPADHYAY BUILDING MATERIAL</t>
  </si>
  <si>
    <t>GUPTA BUILDING MATERIAL STORE</t>
  </si>
  <si>
    <t>HARSH STEELS</t>
  </si>
  <si>
    <t>GHUSINGHA BUILDING MATERIAL</t>
  </si>
  <si>
    <t>RAJENDRA TRADERS</t>
  </si>
  <si>
    <t>JAI SHREE RAM AGENCY</t>
  </si>
  <si>
    <t>SHREE BALAJI STEELS TRADERS</t>
  </si>
  <si>
    <t>GAURAV KUMAWAT</t>
  </si>
  <si>
    <t>VAISHALI TRADING COMPANY</t>
  </si>
  <si>
    <t>JAIPUR RURAL</t>
  </si>
  <si>
    <t>JAIPUR URBAN</t>
  </si>
  <si>
    <t>SHREE MAHARANI BUILDING MATERI</t>
  </si>
  <si>
    <t>NEELKANTH SALES AGENCY</t>
  </si>
  <si>
    <t>SATYANAM CEMENT AGENCY</t>
  </si>
  <si>
    <t>DEVU KHAD BEEJ BHANDAR AND CEM</t>
  </si>
  <si>
    <t>RAMAVATAR BUILDING MATERIAL</t>
  </si>
  <si>
    <t>R R MATERIAL SUPPLIER</t>
  </si>
  <si>
    <t>BK CONSTRUCTION COMPANY</t>
  </si>
  <si>
    <t>NAMO ENTERPRISES</t>
  </si>
  <si>
    <t>20-30 MT</t>
  </si>
  <si>
    <t>ASHISH SUPPLIERS</t>
  </si>
  <si>
    <t>POOJA TRADERS</t>
  </si>
  <si>
    <t>MOHAN LAL SAINI</t>
  </si>
  <si>
    <t>SHRI OM TRADING COMPANY</t>
  </si>
  <si>
    <t>N R CEMENT AGENCY</t>
  </si>
  <si>
    <t>SHYAM BIHARI BUILDING MATERIAL</t>
  </si>
  <si>
    <t>SHREE VINAYAK AGENCIES</t>
  </si>
  <si>
    <t>MEENAKSHI BUILDING MATERIAL SU</t>
  </si>
  <si>
    <t>SATISH CHAND NARESH CHAND</t>
  </si>
  <si>
    <t>VINAYAK BUILDERS AND SUPPLIERS</t>
  </si>
  <si>
    <t>INDIRA GANDHI CONTRACTOR</t>
  </si>
  <si>
    <t>RAJ TRADERS</t>
  </si>
  <si>
    <t>ROHIT ENTERPRISES</t>
  </si>
  <si>
    <t>SHRI KRISHNA BUILDING MATERIAL</t>
  </si>
  <si>
    <t>MUNIRAJ MEENA</t>
  </si>
  <si>
    <t>KRISHNA CONSTRUCTION</t>
  </si>
  <si>
    <t>PARAS STEEL</t>
  </si>
  <si>
    <t>KHANDELWAL TRADING COMPANY</t>
  </si>
  <si>
    <t>BANDAWALA CEMENT AGENCY</t>
  </si>
  <si>
    <t>NISHA TRADERS</t>
  </si>
  <si>
    <t>GOMATI BUILDING MATERIAL</t>
  </si>
  <si>
    <t>JOSHI AGENCIES</t>
  </si>
  <si>
    <t>PRADEEP BUILDING MATERIAL SUPP</t>
  </si>
  <si>
    <t>HONEY CEMENT AGENCY</t>
  </si>
  <si>
    <t>SRIRAM INTERLOCKING BRICKS</t>
  </si>
  <si>
    <t>DEEPESH BUILDING MATERIAL</t>
  </si>
  <si>
    <t>RJ-Jaipur</t>
  </si>
  <si>
    <t>KAMLESH CEMENT AGENCY</t>
  </si>
  <si>
    <t>BAJRANG BALI TRADERS</t>
  </si>
  <si>
    <t>J S CONSTRUCTION COMPANY</t>
  </si>
  <si>
    <t>SIDDHI VINAYAK TRADERS</t>
  </si>
  <si>
    <t>LAXMI CEMENT AGENCY</t>
  </si>
  <si>
    <t>LOKESH TRADERS</t>
  </si>
  <si>
    <t>TULARA TRADERS</t>
  </si>
  <si>
    <t>BHAIRAV BUILDING MATERIAL</t>
  </si>
  <si>
    <t>POOJA STEEL</t>
  </si>
  <si>
    <t>SHIV SHAKTI WELDING WORKS</t>
  </si>
  <si>
    <t>SHRI KRISHNA ASSOCIATES</t>
  </si>
  <si>
    <t>SHRI KHANDAL CEMENT AGENCY</t>
  </si>
  <si>
    <t>R K ELECTRICALS AND HARDWARE</t>
  </si>
  <si>
    <t>MANGAL TRADERS</t>
  </si>
  <si>
    <t>LAXMIKANT BUILDING MATERIAL</t>
  </si>
  <si>
    <t>OM LAKSHY TRADING COMPANY</t>
  </si>
  <si>
    <t>BALAJI AGENCY</t>
  </si>
  <si>
    <t>DHANPAL LODHA</t>
  </si>
  <si>
    <t>GHANSHYAM AGRO AGENCY</t>
  </si>
  <si>
    <t>LALITA CEMENT STORE</t>
  </si>
  <si>
    <t>24-29 JAN</t>
  </si>
  <si>
    <t>Bucket-wise volume based payout</t>
  </si>
  <si>
    <t>Outgo (INR per bag) basis % of bucket's scheme target achievement</t>
  </si>
  <si>
    <t>Bucket Vol slab</t>
  </si>
  <si>
    <t>Silver (Grams)</t>
  </si>
  <si>
    <t>Equivalent Outgo (INR)</t>
  </si>
  <si>
    <t>Outgo per bag (INR)</t>
  </si>
  <si>
    <t>7.5 MT - 12.49 MT</t>
  </si>
  <si>
    <t>12.5 MT - 19.99 MT</t>
  </si>
  <si>
    <t>20 MT- 29.99 MT</t>
  </si>
  <si>
    <t>30 MT- 49.99 MT</t>
  </si>
  <si>
    <t>50 MT-74.99 MT</t>
  </si>
  <si>
    <t>On every incremental 10 MT</t>
  </si>
  <si>
    <t>5GM ON EVERY 10 MT</t>
  </si>
  <si>
    <t>Shortfall (Slab) (IN MT)</t>
  </si>
  <si>
    <t>Silver (in GMS)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</si>
</sst>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*\ #,##0_ ;_*\ \-#,##0_ ;_*\ &quot;-&quot;_ ;_ @_ "/>
    <numFmt numFmtId="165" formatCode="#,##0.0_ ;\-#,##0.0\ "/>
  </numFmts>
  <fonts count="14" x14ac:knownFonts="1">
    <font>
      <sz val="10"/>
      <name val="Arial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72 Condensed"/>
      <family val="2"/>
    </font>
    <font>
      <b/>
      <sz val="10"/>
      <name val="72 Condensed"/>
      <family val="2"/>
    </font>
    <font>
      <b/>
      <sz val="10"/>
      <color theme="1"/>
      <name val="72 Condensed"/>
      <family val="2"/>
    </font>
    <font>
      <sz val="10"/>
      <color theme="1"/>
      <name val="72 Condensed"/>
      <family val="2"/>
    </font>
    <font>
      <b/>
      <sz val="11"/>
      <color theme="1"/>
      <name val="72 Condensed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53">
    <xf numFmtId="0" fontId="0" fillId="0" borderId="0" xfId="0" applyAlignment="1">
      <alignment vertical="top"/>
    </xf>
    <xf numFmtId="0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NumberFormat="1" applyAlignment="1">
      <alignment vertical="top"/>
    </xf>
    <xf numFmtId="0" fontId="1" fillId="0" borderId="1" xfId="0" applyFont="1" applyBorder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  <xf numFmtId="0" fontId="6" fillId="0" borderId="1" xfId="0" applyFont="1" applyBorder="1" applyAlignment="1">
      <alignment vertical="top"/>
    </xf>
    <xf numFmtId="0" fontId="8" fillId="4" borderId="1" xfId="0" applyFont="1" applyFill="1" applyBorder="1" applyAlignment="1">
      <alignment vertical="top"/>
    </xf>
    <xf numFmtId="0" fontId="8" fillId="4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/>
    </xf>
    <xf numFmtId="164" fontId="6" fillId="0" borderId="1" xfId="0" applyNumberFormat="1" applyFont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top"/>
    </xf>
    <xf numFmtId="164" fontId="10" fillId="5" borderId="1" xfId="0" applyNumberFormat="1" applyFont="1" applyFill="1" applyBorder="1" applyAlignment="1">
      <alignment horizontal="center"/>
    </xf>
    <xf numFmtId="0" fontId="11" fillId="0" borderId="0" xfId="1"/>
    <xf numFmtId="0" fontId="12" fillId="0" borderId="0" xfId="1" applyFont="1"/>
    <xf numFmtId="0" fontId="13" fillId="0" borderId="2" xfId="1" applyFont="1" applyBorder="1" applyAlignment="1">
      <alignment horizontal="center"/>
    </xf>
    <xf numFmtId="9" fontId="13" fillId="0" borderId="1" xfId="1" applyNumberFormat="1" applyFont="1" applyBorder="1" applyAlignment="1">
      <alignment horizontal="center"/>
    </xf>
    <xf numFmtId="9" fontId="13" fillId="0" borderId="0" xfId="1" applyNumberFormat="1" applyFont="1" applyBorder="1" applyAlignment="1">
      <alignment horizontal="center"/>
    </xf>
    <xf numFmtId="0" fontId="11" fillId="0" borderId="1" xfId="1" applyBorder="1" applyAlignment="1">
      <alignment horizontal="center"/>
    </xf>
    <xf numFmtId="2" fontId="11" fillId="0" borderId="1" xfId="1" applyNumberFormat="1" applyBorder="1" applyAlignment="1">
      <alignment horizontal="center"/>
    </xf>
    <xf numFmtId="2" fontId="11" fillId="0" borderId="0" xfId="1" applyNumberFormat="1" applyBorder="1" applyAlignment="1">
      <alignment horizontal="center"/>
    </xf>
    <xf numFmtId="0" fontId="11" fillId="0" borderId="0" xfId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1" fillId="7" borderId="1" xfId="1" applyFill="1" applyBorder="1" applyAlignment="1">
      <alignment horizontal="center"/>
    </xf>
  </cellXfs>
  <cellStyles count="2">
    <cellStyle name="Normal" xfId="0" builtinId="0"/>
    <cellStyle name="Normal 2" xfId="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2D050"/>
      </font>
    </dxf>
    <dxf>
      <font>
        <color rgb="FF92D050"/>
      </font>
      <fill>
        <patternFill>
          <bgColor rgb="FF92D050"/>
        </patternFill>
      </fill>
    </dxf>
    <dxf>
      <fill>
        <patternFill>
          <bgColor theme="7" tint="0.79998168889431442"/>
        </patternFill>
      </fill>
    </dxf>
    <dxf>
      <alignment vertical="center" readingOrder="0"/>
    </dxf>
    <dxf>
      <alignment horizontal="center" readingOrder="0"/>
    </dxf>
    <dxf>
      <numFmt numFmtId="1" formatCode="0"/>
    </dxf>
    <dxf>
      <numFmt numFmtId="166" formatCode="0.0"/>
    </dxf>
    <dxf>
      <numFmt numFmtId="2" formatCode="0.00"/>
    </dxf>
    <dxf>
      <numFmt numFmtId="167" formatCode="0.000"/>
    </dxf>
    <dxf>
      <numFmt numFmtId="168" formatCode="0.0000"/>
    </dxf>
    <dxf>
      <numFmt numFmtId="169" formatCode="0.00000"/>
    </dxf>
    <dxf>
      <numFmt numFmtId="170" formatCode="0.000000"/>
    </dxf>
    <dxf>
      <numFmt numFmtId="171" formatCode="0.0000000"/>
    </dxf>
    <dxf>
      <numFmt numFmtId="172" formatCode="0.000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itendra Kumar Vyas" refreshedDate="44494.727972106484" createdVersion="6" refreshedVersion="6" minRefreshableVersion="3" recordCount="2083">
  <cacheSource type="worksheet">
    <worksheetSource ref="A1:O511" sheet="mtd sale"/>
  </cacheSource>
  <cacheFields count="18">
    <cacheField name="Combined" numFmtId="0">
      <sharedItems/>
    </cacheField>
    <cacheField name="Retailer Code" numFmtId="0">
      <sharedItems containsSemiMixedTypes="0" containsString="0" containsNumber="1" containsInteger="1" minValue="801582" maxValue="816736"/>
    </cacheField>
    <cacheField name="Retailer Desc." numFmtId="0">
      <sharedItems/>
    </cacheField>
    <cacheField name="Concerned Dealer code" numFmtId="0">
      <sharedItems containsSemiMixedTypes="0" containsString="0" containsNumber="1" containsInteger="1" minValue="119023" maxValue="209990"/>
    </cacheField>
    <cacheField name="Concerned Dealer Name" numFmtId="0">
      <sharedItems/>
    </cacheField>
    <cacheField name="Apr'21" numFmtId="164">
      <sharedItems containsSemiMixedTypes="0" containsString="0" containsNumber="1" minValue="0" maxValue="543"/>
    </cacheField>
    <cacheField name="May'21" numFmtId="164">
      <sharedItems containsSemiMixedTypes="0" containsString="0" containsNumber="1" minValue="0" maxValue="434.5"/>
    </cacheField>
    <cacheField name="Jun'21" numFmtId="164">
      <sharedItems containsSemiMixedTypes="0" containsString="0" containsNumber="1" minValue="0" maxValue="541.9"/>
    </cacheField>
    <cacheField name="Jul'21" numFmtId="164">
      <sharedItems containsSemiMixedTypes="0" containsString="0" containsNumber="1" minValue="0" maxValue="511.55"/>
    </cacheField>
    <cacheField name="Aug'21" numFmtId="164">
      <sharedItems containsSemiMixedTypes="0" containsString="0" containsNumber="1" minValue="0" maxValue="554.15"/>
    </cacheField>
    <cacheField name="Sep'21" numFmtId="164">
      <sharedItems containsSemiMixedTypes="0" containsString="0" containsNumber="1" minValue="0" maxValue="1008.2"/>
    </cacheField>
    <cacheField name="Oct'21 (till 24th)" numFmtId="164">
      <sharedItems containsSemiMixedTypes="0" containsString="0" containsNumber="1" minValue="0" maxValue="345.09999999999997"/>
    </cacheField>
    <cacheField name="Grand Total" numFmtId="164">
      <sharedItems containsSemiMixedTypes="0" containsString="0" containsNumber="1" minValue="1" maxValue="3250.9"/>
    </cacheField>
    <cacheField name="Avg" numFmtId="164">
      <sharedItems containsSemiMixedTypes="0" containsString="0" containsNumber="1" minValue="0.14285714285714285" maxValue="464.41428571428571"/>
    </cacheField>
    <cacheField name="Slab" numFmtId="164">
      <sharedItems count="6">
        <s v="20-00 MT"/>
        <s v="0-10 MT"/>
        <s v="10-20 MT"/>
        <s v="&gt;50 MT"/>
        <s v="30-40 MT"/>
        <s v="40-50 MT"/>
      </sharedItems>
    </cacheField>
    <cacheField name="Dist" numFmtId="0">
      <sharedItems count="33">
        <s v="ALWAR"/>
        <s v="BHARATPUR"/>
        <s v="DHOLPUR"/>
        <s v="JAIPUR"/>
        <s v="CHURU"/>
        <s v="JHUNJHUNU"/>
        <s v="SIKAR"/>
        <s v="DAUSA"/>
        <s v="KARAULI"/>
        <s v="SAWAI MADHOPUR"/>
        <s v="AJMER"/>
        <s v="NAGAUR"/>
        <s v="TONK"/>
        <s v="BARMER"/>
        <s v="JAISALMER"/>
        <s v="JODHPUR"/>
        <s v="JALORE"/>
        <s v="PALI"/>
        <s v="SIROHI"/>
        <s v="BIKANER"/>
        <s v="HANUMANGARH"/>
        <s v="SRI GANGANAGAR"/>
        <s v="BHILWARA"/>
        <s v="CHITTORGARH"/>
        <s v="PRATAPGARH"/>
        <s v="BANSWARA"/>
        <s v="DUNGARPUR"/>
        <s v="BARAN"/>
        <s v="BUNDI"/>
        <s v="JHALAWAR"/>
        <s v="KOTA"/>
        <s v="RAJSAMAND"/>
        <s v="UDAIPUR"/>
      </sharedItems>
    </cacheField>
    <cacheField name="AO" numFmtId="0">
      <sharedItems count="12">
        <s v="ALWAR"/>
        <s v="JAIPUR"/>
        <s v="JHUNJHUNU"/>
        <s v="SAWAI MADHOPUR"/>
        <s v="AJMER"/>
        <s v="JODHPUR"/>
        <s v="PALI"/>
        <s v="SRI GANGANAGAR"/>
        <s v="BHILWARA"/>
        <s v="DUNGARPUR"/>
        <s v="KOTA"/>
        <s v="UDAIPUR"/>
      </sharedItems>
    </cacheField>
    <cacheField name="State" numFmtId="0">
      <sharedItems count="3">
        <s v="RJ-JAIPUR"/>
        <s v="RJ-JODHPUR"/>
        <s v="RJ-UDAIPU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83">
  <r>
    <s v="806540119029"/>
    <n v="806540"/>
    <s v="CHANDA STONE"/>
    <n v="119029"/>
    <s v="LALLAMAL KANHYALAL &amp; SONS"/>
    <n v="42.5"/>
    <n v="13"/>
    <n v="20"/>
    <n v="50"/>
    <n v="31"/>
    <n v="19.5"/>
    <n v="10"/>
    <n v="186"/>
    <n v="26.571428571428573"/>
    <x v="0"/>
    <x v="0"/>
    <x v="0"/>
    <x v="0"/>
  </r>
  <r>
    <s v="807228119042"/>
    <n v="807228"/>
    <s v="HANSRAJ DAGDI"/>
    <n v="119042"/>
    <s v="SARAS ENTERPRISES"/>
    <n v="0"/>
    <n v="0"/>
    <n v="0"/>
    <n v="10"/>
    <n v="27.5"/>
    <n v="0"/>
    <n v="0"/>
    <n v="37.5"/>
    <n v="5.3571428571428568"/>
    <x v="1"/>
    <x v="0"/>
    <x v="0"/>
    <x v="0"/>
  </r>
  <r>
    <s v="804178119046"/>
    <n v="804178"/>
    <s v="SHIV TRADERS"/>
    <n v="119046"/>
    <s v="GARG AGRO AGENCIES"/>
    <n v="0"/>
    <n v="10"/>
    <n v="25"/>
    <n v="0"/>
    <n v="40"/>
    <n v="0"/>
    <n v="10"/>
    <n v="85"/>
    <n v="12.142857142857142"/>
    <x v="2"/>
    <x v="0"/>
    <x v="0"/>
    <x v="0"/>
  </r>
  <r>
    <s v="804286119046"/>
    <n v="804286"/>
    <s v="ASHWINI AND SONS"/>
    <n v="119046"/>
    <s v="GARG AGRO AGENCIES"/>
    <n v="52"/>
    <n v="72"/>
    <n v="86.5"/>
    <n v="106"/>
    <n v="65"/>
    <n v="94.5"/>
    <n v="40"/>
    <n v="516"/>
    <n v="73.714285714285708"/>
    <x v="3"/>
    <x v="0"/>
    <x v="0"/>
    <x v="0"/>
  </r>
  <r>
    <s v="806871119046"/>
    <n v="806871"/>
    <s v="KISAAN KHAD BEEJ BHANDAR"/>
    <n v="119046"/>
    <s v="GARG AGRO AGENCIES"/>
    <n v="10"/>
    <n v="51.5"/>
    <n v="81.5"/>
    <n v="50"/>
    <n v="62"/>
    <n v="20"/>
    <n v="0"/>
    <n v="275"/>
    <n v="39.285714285714285"/>
    <x v="4"/>
    <x v="0"/>
    <x v="0"/>
    <x v="0"/>
  </r>
  <r>
    <s v="809466119046"/>
    <n v="809466"/>
    <s v="SHIV SHAKTI TRADERS"/>
    <n v="119046"/>
    <s v="GARG AGRO AGENCIES"/>
    <n v="85"/>
    <n v="104.5"/>
    <n v="90"/>
    <n v="40"/>
    <n v="25"/>
    <n v="45"/>
    <n v="4"/>
    <n v="393.5"/>
    <n v="56.214285714285715"/>
    <x v="3"/>
    <x v="0"/>
    <x v="0"/>
    <x v="0"/>
  </r>
  <r>
    <s v="815643119046"/>
    <n v="815643"/>
    <s v="NARESH TRADERS"/>
    <n v="119046"/>
    <s v="GARG AGRO AGENCIES"/>
    <n v="0"/>
    <n v="0"/>
    <n v="0"/>
    <n v="10"/>
    <n v="60"/>
    <n v="30"/>
    <n v="12"/>
    <n v="112"/>
    <n v="16"/>
    <x v="2"/>
    <x v="0"/>
    <x v="0"/>
    <x v="0"/>
  </r>
  <r>
    <s v="815644119046"/>
    <n v="815644"/>
    <s v="MORDHWAJ CEMENT AGENCY"/>
    <n v="119046"/>
    <s v="GARG AGRO AGENCIES"/>
    <n v="0"/>
    <n v="0"/>
    <n v="0"/>
    <n v="10"/>
    <n v="55"/>
    <n v="60"/>
    <n v="10"/>
    <n v="135"/>
    <n v="19.285714285714285"/>
    <x v="2"/>
    <x v="0"/>
    <x v="0"/>
    <x v="0"/>
  </r>
  <r>
    <s v="810648140481"/>
    <n v="810648"/>
    <s v="JAI KISHAN BUILDING MATERIAL S"/>
    <n v="140481"/>
    <s v="Goyal &amp; Co."/>
    <n v="10"/>
    <n v="15"/>
    <n v="20"/>
    <n v="0"/>
    <n v="20"/>
    <n v="0"/>
    <n v="0"/>
    <n v="65"/>
    <n v="9.2857142857142865"/>
    <x v="1"/>
    <x v="0"/>
    <x v="0"/>
    <x v="0"/>
  </r>
  <r>
    <s v="811091140481"/>
    <n v="811091"/>
    <s v="SHRI SHYAM STEEL"/>
    <n v="140481"/>
    <s v="Goyal &amp; Co."/>
    <n v="0"/>
    <n v="10"/>
    <n v="0"/>
    <n v="20"/>
    <n v="0"/>
    <n v="0"/>
    <n v="0"/>
    <n v="30"/>
    <n v="4.2857142857142856"/>
    <x v="1"/>
    <x v="0"/>
    <x v="0"/>
    <x v="0"/>
  </r>
  <r>
    <s v="811630140481"/>
    <n v="811630"/>
    <s v="PANKAJ KUMAR YADAV"/>
    <n v="140481"/>
    <s v="Goyal &amp; Co."/>
    <n v="0"/>
    <n v="50"/>
    <n v="30"/>
    <n v="30"/>
    <n v="10"/>
    <n v="32"/>
    <n v="10"/>
    <n v="162"/>
    <n v="23.142857142857142"/>
    <x v="0"/>
    <x v="0"/>
    <x v="0"/>
    <x v="0"/>
  </r>
  <r>
    <s v="812969140481"/>
    <n v="812969"/>
    <s v="SHRI BALAJI CEMENT AGENCY"/>
    <n v="140481"/>
    <s v="Goyal &amp; Co."/>
    <n v="81.5"/>
    <n v="101.75"/>
    <n v="107"/>
    <n v="157"/>
    <n v="135"/>
    <n v="133.4"/>
    <n v="70.5"/>
    <n v="786.15"/>
    <n v="112.30714285714285"/>
    <x v="3"/>
    <x v="0"/>
    <x v="0"/>
    <x v="0"/>
  </r>
  <r>
    <s v="813729140481"/>
    <n v="813729"/>
    <s v="BABA MOHANRAM BUILDING MATERIA"/>
    <n v="140481"/>
    <s v="Goyal &amp; Co."/>
    <n v="35"/>
    <n v="35"/>
    <n v="50"/>
    <n v="75"/>
    <n v="35"/>
    <n v="162.5"/>
    <n v="99.4"/>
    <n v="491.9"/>
    <n v="70.271428571428572"/>
    <x v="3"/>
    <x v="0"/>
    <x v="0"/>
    <x v="0"/>
  </r>
  <r>
    <s v="816409140481"/>
    <n v="816409"/>
    <s v="KRISHNA KUMAR RAGHUVEER SINGH"/>
    <n v="140481"/>
    <s v="Goyal &amp; Co."/>
    <n v="0"/>
    <n v="0"/>
    <n v="0"/>
    <n v="0"/>
    <n v="0"/>
    <n v="31"/>
    <n v="22.85"/>
    <n v="53.85"/>
    <n v="7.6928571428571431"/>
    <x v="1"/>
    <x v="0"/>
    <x v="0"/>
    <x v="0"/>
  </r>
  <r>
    <s v="806721140927"/>
    <n v="806721"/>
    <s v="TANVI CEMENT AGENCY"/>
    <n v="140927"/>
    <s v="SHIV CHARAN LAL RAKESH KUMAR"/>
    <n v="10"/>
    <n v="23.5"/>
    <n v="15"/>
    <n v="68.55"/>
    <n v="50"/>
    <n v="24"/>
    <n v="10"/>
    <n v="201.05"/>
    <n v="28.721428571428572"/>
    <x v="0"/>
    <x v="0"/>
    <x v="0"/>
    <x v="0"/>
  </r>
  <r>
    <s v="813521140927"/>
    <n v="813521"/>
    <s v="KHANDELWAL TRADERS"/>
    <n v="140927"/>
    <s v="SHIV CHARAN LAL RAKESH KUMAR"/>
    <n v="55"/>
    <n v="15"/>
    <n v="76"/>
    <n v="70"/>
    <n v="93.75"/>
    <n v="109.5"/>
    <n v="58"/>
    <n v="477.25"/>
    <n v="68.178571428571431"/>
    <x v="3"/>
    <x v="0"/>
    <x v="0"/>
    <x v="0"/>
  </r>
  <r>
    <s v="814447140927"/>
    <n v="814447"/>
    <s v="YADAV CEMENT AGENCY"/>
    <n v="140927"/>
    <s v="SHIV CHARAN LAL RAKESH KUMAR"/>
    <n v="10"/>
    <n v="13"/>
    <n v="0"/>
    <n v="57"/>
    <n v="20"/>
    <n v="20"/>
    <n v="10"/>
    <n v="130"/>
    <n v="18.571428571428573"/>
    <x v="2"/>
    <x v="0"/>
    <x v="0"/>
    <x v="0"/>
  </r>
  <r>
    <s v="813692142984"/>
    <n v="813692"/>
    <s v="TIWARI BUILDERS"/>
    <n v="142984"/>
    <s v="JAGDAMBEY BUILDING MATERIAL SU"/>
    <n v="15"/>
    <n v="0"/>
    <n v="46.5"/>
    <n v="46"/>
    <n v="18"/>
    <n v="0"/>
    <n v="12"/>
    <n v="137.5"/>
    <n v="19.642857142857142"/>
    <x v="2"/>
    <x v="0"/>
    <x v="0"/>
    <x v="0"/>
  </r>
  <r>
    <s v="808275143509"/>
    <n v="808275"/>
    <s v="SAINI BUILDER"/>
    <n v="143509"/>
    <s v="PAWAN BUILDERS"/>
    <n v="58.85"/>
    <n v="70"/>
    <n v="98.85"/>
    <n v="95"/>
    <n v="95"/>
    <n v="83.65"/>
    <n v="10"/>
    <n v="511.35"/>
    <n v="73.05"/>
    <x v="3"/>
    <x v="0"/>
    <x v="0"/>
    <x v="0"/>
  </r>
  <r>
    <s v="808547143509"/>
    <n v="808547"/>
    <s v="SHIV SANITARY &amp; HARDWARE STORE"/>
    <n v="143509"/>
    <s v="PAWAN BUILDERS"/>
    <n v="20"/>
    <n v="30"/>
    <n v="58.25"/>
    <n v="35"/>
    <n v="50"/>
    <n v="33"/>
    <n v="10"/>
    <n v="236.25"/>
    <n v="33.75"/>
    <x v="4"/>
    <x v="0"/>
    <x v="0"/>
    <x v="0"/>
  </r>
  <r>
    <s v="814183147891"/>
    <n v="814183"/>
    <s v="BABA TRADING COMPANY"/>
    <n v="147891"/>
    <s v="NEW SAINI TRADING COMPANY"/>
    <n v="80"/>
    <n v="61.5"/>
    <n v="80"/>
    <n v="70"/>
    <n v="116"/>
    <n v="52.3"/>
    <n v="40"/>
    <n v="499.8"/>
    <n v="71.400000000000006"/>
    <x v="3"/>
    <x v="0"/>
    <x v="0"/>
    <x v="0"/>
  </r>
  <r>
    <s v="806484148557"/>
    <n v="806484"/>
    <s v="GUPTA CEMENT AGENCY"/>
    <n v="148557"/>
    <s v="MITALI ALLOYS PVT LTD"/>
    <n v="35"/>
    <n v="40"/>
    <n v="60"/>
    <n v="89.1"/>
    <n v="80"/>
    <n v="60"/>
    <n v="30"/>
    <n v="394.1"/>
    <n v="56.300000000000004"/>
    <x v="3"/>
    <x v="0"/>
    <x v="0"/>
    <x v="0"/>
  </r>
  <r>
    <s v="810120148557"/>
    <n v="810120"/>
    <s v="ANIL SALES"/>
    <n v="148557"/>
    <s v="MITALI ALLOYS PVT LTD"/>
    <n v="40"/>
    <n v="95"/>
    <n v="68.650000000000006"/>
    <n v="90"/>
    <n v="49.5"/>
    <n v="53"/>
    <n v="28.5"/>
    <n v="424.65"/>
    <n v="60.664285714285711"/>
    <x v="3"/>
    <x v="0"/>
    <x v="0"/>
    <x v="0"/>
  </r>
  <r>
    <s v="813909148557"/>
    <n v="813909"/>
    <s v="CCC ASSOCIATES"/>
    <n v="148557"/>
    <s v="MITALI ALLOYS PVT LTD"/>
    <n v="20"/>
    <n v="30"/>
    <n v="42"/>
    <n v="40"/>
    <n v="20"/>
    <n v="20"/>
    <n v="30"/>
    <n v="202"/>
    <n v="28.857142857142858"/>
    <x v="0"/>
    <x v="0"/>
    <x v="0"/>
    <x v="0"/>
  </r>
  <r>
    <s v="806431149765"/>
    <n v="806431"/>
    <s v="SISODIYA TRADERS"/>
    <n v="149765"/>
    <s v="ARORA CEMENT AGENCY"/>
    <n v="40"/>
    <n v="45"/>
    <n v="40"/>
    <n v="0"/>
    <n v="20"/>
    <n v="30"/>
    <n v="0"/>
    <n v="175"/>
    <n v="25"/>
    <x v="0"/>
    <x v="0"/>
    <x v="0"/>
    <x v="0"/>
  </r>
  <r>
    <s v="806615149765"/>
    <n v="806615"/>
    <s v="MAVAR CEMENT AGENCY"/>
    <n v="149765"/>
    <s v="ARORA CEMENT AGENCY"/>
    <n v="10"/>
    <n v="10"/>
    <n v="10"/>
    <n v="0"/>
    <n v="20"/>
    <n v="40"/>
    <n v="19"/>
    <n v="109"/>
    <n v="15.571428571428571"/>
    <x v="2"/>
    <x v="0"/>
    <x v="0"/>
    <x v="0"/>
  </r>
  <r>
    <s v="806689149765"/>
    <n v="806689"/>
    <s v="KAKA BUILDERS"/>
    <n v="149765"/>
    <s v="ARORA CEMENT AGENCY"/>
    <n v="5"/>
    <n v="0"/>
    <n v="0"/>
    <n v="0"/>
    <n v="0"/>
    <n v="0"/>
    <n v="0"/>
    <n v="5"/>
    <n v="0.7142857142857143"/>
    <x v="1"/>
    <x v="0"/>
    <x v="0"/>
    <x v="0"/>
  </r>
  <r>
    <s v="807201149765"/>
    <n v="807201"/>
    <s v="SHRI RADHA SHYAM BUILDERS"/>
    <n v="149765"/>
    <s v="ARORA CEMENT AGENCY"/>
    <n v="30"/>
    <n v="20"/>
    <n v="13"/>
    <n v="0"/>
    <n v="30"/>
    <n v="25"/>
    <n v="20"/>
    <n v="138"/>
    <n v="19.714285714285715"/>
    <x v="2"/>
    <x v="0"/>
    <x v="0"/>
    <x v="0"/>
  </r>
  <r>
    <s v="809785149765"/>
    <n v="809785"/>
    <s v="GAURAV BUILDING MATERIAL SUPPL"/>
    <n v="149765"/>
    <s v="ARORA CEMENT AGENCY"/>
    <n v="92"/>
    <n v="95"/>
    <n v="120"/>
    <n v="40"/>
    <n v="78"/>
    <n v="65"/>
    <n v="93"/>
    <n v="583"/>
    <n v="83.285714285714292"/>
    <x v="3"/>
    <x v="0"/>
    <x v="0"/>
    <x v="0"/>
  </r>
  <r>
    <s v="812291149765"/>
    <n v="812291"/>
    <s v="FAIR TRADING CO"/>
    <n v="149765"/>
    <s v="ARORA CEMENT AGENCY"/>
    <n v="45"/>
    <n v="20"/>
    <n v="30"/>
    <n v="0"/>
    <n v="30"/>
    <n v="30"/>
    <n v="10"/>
    <n v="165"/>
    <n v="23.571428571428573"/>
    <x v="0"/>
    <x v="0"/>
    <x v="0"/>
    <x v="0"/>
  </r>
  <r>
    <s v="812300149765"/>
    <n v="812300"/>
    <s v="LAXMI BANS BALLI UDYOG"/>
    <n v="149765"/>
    <s v="ARORA CEMENT AGENCY"/>
    <n v="60"/>
    <n v="20"/>
    <n v="50"/>
    <n v="0"/>
    <n v="60"/>
    <n v="40"/>
    <n v="78"/>
    <n v="308"/>
    <n v="44"/>
    <x v="5"/>
    <x v="0"/>
    <x v="0"/>
    <x v="0"/>
  </r>
  <r>
    <s v="812391149765"/>
    <n v="812391"/>
    <s v="SAINI CHIPS &amp; MARBLE"/>
    <n v="149765"/>
    <s v="ARORA CEMENT AGENCY"/>
    <n v="45"/>
    <n v="5"/>
    <n v="12"/>
    <n v="0"/>
    <n v="10"/>
    <n v="0"/>
    <n v="0"/>
    <n v="72"/>
    <n v="10.285714285714286"/>
    <x v="2"/>
    <x v="0"/>
    <x v="0"/>
    <x v="0"/>
  </r>
  <r>
    <s v="813896149765"/>
    <n v="813896"/>
    <s v="GOYAL BUILDERS"/>
    <n v="149765"/>
    <s v="ARORA CEMENT AGENCY"/>
    <n v="12"/>
    <n v="10"/>
    <n v="10"/>
    <n v="0"/>
    <n v="20"/>
    <n v="10"/>
    <n v="0"/>
    <n v="62"/>
    <n v="8.8571428571428577"/>
    <x v="1"/>
    <x v="0"/>
    <x v="0"/>
    <x v="0"/>
  </r>
  <r>
    <s v="814253149765"/>
    <n v="814253"/>
    <s v="KANHA BUILDERS"/>
    <n v="149765"/>
    <s v="ARORA CEMENT AGENCY"/>
    <n v="0"/>
    <n v="10"/>
    <n v="0"/>
    <n v="0"/>
    <n v="0"/>
    <n v="0"/>
    <n v="0"/>
    <n v="10"/>
    <n v="1.4285714285714286"/>
    <x v="1"/>
    <x v="0"/>
    <x v="0"/>
    <x v="0"/>
  </r>
  <r>
    <s v="814545149765"/>
    <n v="814545"/>
    <s v="SRIRAM CEMENT AGENCY"/>
    <n v="149765"/>
    <s v="ARORA CEMENT AGENCY"/>
    <n v="35"/>
    <n v="50"/>
    <n v="40"/>
    <n v="20"/>
    <n v="30"/>
    <n v="30"/>
    <n v="30"/>
    <n v="235"/>
    <n v="33.571428571428569"/>
    <x v="4"/>
    <x v="0"/>
    <x v="0"/>
    <x v="0"/>
  </r>
  <r>
    <s v="815104149765"/>
    <n v="815104"/>
    <s v="ISRAIL CEMENT AGENCY"/>
    <n v="149765"/>
    <s v="ARORA CEMENT AGENCY"/>
    <n v="0"/>
    <n v="0"/>
    <n v="120"/>
    <n v="20"/>
    <n v="17"/>
    <n v="30"/>
    <n v="0"/>
    <n v="187"/>
    <n v="26.714285714285715"/>
    <x v="0"/>
    <x v="0"/>
    <x v="0"/>
    <x v="0"/>
  </r>
  <r>
    <s v="815175149765"/>
    <n v="815175"/>
    <s v="SAINI BUILDERS"/>
    <n v="149765"/>
    <s v="ARORA CEMENT AGENCY"/>
    <n v="0"/>
    <n v="0"/>
    <n v="56.5"/>
    <n v="0"/>
    <n v="35"/>
    <n v="30"/>
    <n v="10"/>
    <n v="131.5"/>
    <n v="18.785714285714285"/>
    <x v="2"/>
    <x v="0"/>
    <x v="0"/>
    <x v="0"/>
  </r>
  <r>
    <s v="815421149765"/>
    <n v="815421"/>
    <s v="MODI BUILDERS"/>
    <n v="149765"/>
    <s v="ARORA CEMENT AGENCY"/>
    <n v="0"/>
    <n v="0"/>
    <n v="0"/>
    <n v="50"/>
    <n v="40"/>
    <n v="50"/>
    <n v="20"/>
    <n v="160"/>
    <n v="22.857142857142858"/>
    <x v="0"/>
    <x v="0"/>
    <x v="0"/>
    <x v="0"/>
  </r>
  <r>
    <s v="815774149765"/>
    <n v="815774"/>
    <s v="DHAWAN BUILDERS"/>
    <n v="149765"/>
    <s v="ARORA CEMENT AGENCY"/>
    <n v="0"/>
    <n v="0"/>
    <n v="0"/>
    <n v="0"/>
    <n v="20"/>
    <n v="30"/>
    <n v="22.5"/>
    <n v="72.5"/>
    <n v="10.357142857142858"/>
    <x v="2"/>
    <x v="0"/>
    <x v="0"/>
    <x v="0"/>
  </r>
  <r>
    <s v="804980171880"/>
    <n v="804980"/>
    <s v="SHREE OM TRADING COMPANY"/>
    <n v="171880"/>
    <s v="BHUVAN AGENCIES"/>
    <n v="70"/>
    <n v="120"/>
    <n v="170"/>
    <n v="170"/>
    <n v="120.5"/>
    <n v="150"/>
    <n v="197"/>
    <n v="997.5"/>
    <n v="142.5"/>
    <x v="3"/>
    <x v="0"/>
    <x v="0"/>
    <x v="0"/>
  </r>
  <r>
    <s v="806430171880"/>
    <n v="806430"/>
    <s v="SHUBHAM BUILDIERS"/>
    <n v="171880"/>
    <s v="BHUVAN AGENCIES"/>
    <n v="10"/>
    <n v="10"/>
    <n v="20"/>
    <n v="47"/>
    <n v="30"/>
    <n v="20"/>
    <n v="20"/>
    <n v="157"/>
    <n v="22.428571428571427"/>
    <x v="0"/>
    <x v="0"/>
    <x v="0"/>
    <x v="0"/>
  </r>
  <r>
    <s v="806487171880"/>
    <n v="806487"/>
    <s v="BANWARI LAL PRAKESH CHAND"/>
    <n v="171880"/>
    <s v="BHUVAN AGENCIES"/>
    <n v="43"/>
    <n v="75"/>
    <n v="80"/>
    <n v="60"/>
    <n v="65"/>
    <n v="50"/>
    <n v="30"/>
    <n v="403"/>
    <n v="57.571428571428569"/>
    <x v="3"/>
    <x v="0"/>
    <x v="0"/>
    <x v="0"/>
  </r>
  <r>
    <s v="807929171880"/>
    <n v="807929"/>
    <s v="AGARWAL AGRICULTURE AGENCIES"/>
    <n v="171880"/>
    <s v="BHUVAN AGENCIES"/>
    <n v="10"/>
    <n v="0"/>
    <n v="0"/>
    <n v="40"/>
    <n v="10"/>
    <n v="10"/>
    <n v="15"/>
    <n v="85"/>
    <n v="12.142857142857142"/>
    <x v="2"/>
    <x v="0"/>
    <x v="0"/>
    <x v="0"/>
  </r>
  <r>
    <s v="809569171880"/>
    <n v="809569"/>
    <s v="DEVENDRA BUILDING MATERIAL"/>
    <n v="171880"/>
    <s v="BHUVAN AGENCIES"/>
    <n v="0"/>
    <n v="10"/>
    <n v="0"/>
    <n v="10"/>
    <n v="0"/>
    <n v="25"/>
    <n v="0"/>
    <n v="45"/>
    <n v="6.4285714285714288"/>
    <x v="1"/>
    <x v="0"/>
    <x v="0"/>
    <x v="0"/>
  </r>
  <r>
    <s v="806720172252"/>
    <n v="806720"/>
    <s v="YADHWANSHI BUILDING MATERIAL"/>
    <n v="172252"/>
    <s v="GUPTA TRADERS"/>
    <n v="20"/>
    <n v="35"/>
    <n v="10"/>
    <n v="44"/>
    <n v="11"/>
    <n v="20"/>
    <n v="32"/>
    <n v="172"/>
    <n v="24.571428571428573"/>
    <x v="0"/>
    <x v="0"/>
    <x v="0"/>
    <x v="0"/>
  </r>
  <r>
    <s v="809507172712"/>
    <n v="809507"/>
    <s v="SHEETAL BUILDING MATERIAL SUPP"/>
    <n v="172712"/>
    <s v="JAIN BUILDING MATERIAL STORE"/>
    <n v="40"/>
    <n v="35"/>
    <n v="56"/>
    <n v="30.5"/>
    <n v="42.5"/>
    <n v="43.5"/>
    <n v="39"/>
    <n v="286.5"/>
    <n v="40.928571428571431"/>
    <x v="5"/>
    <x v="0"/>
    <x v="0"/>
    <x v="0"/>
  </r>
  <r>
    <s v="815237174176"/>
    <n v="815237"/>
    <s v="SONU BUILDING MATERIAL &amp; SUPPL"/>
    <n v="174176"/>
    <s v="PRADEEP CHOUDHARY J K SUPER CE"/>
    <n v="0"/>
    <n v="0"/>
    <n v="10"/>
    <n v="35.35"/>
    <n v="20"/>
    <n v="20"/>
    <n v="10"/>
    <n v="95.35"/>
    <n v="13.62142857142857"/>
    <x v="2"/>
    <x v="0"/>
    <x v="0"/>
    <x v="0"/>
  </r>
  <r>
    <s v="816128174176"/>
    <n v="816128"/>
    <s v="JATIN CEMENT AGENCY"/>
    <n v="174176"/>
    <s v="PRADEEP CHOUDHARY J K SUPER CE"/>
    <n v="0"/>
    <n v="0"/>
    <n v="0"/>
    <n v="0"/>
    <n v="10"/>
    <n v="20"/>
    <n v="39"/>
    <n v="69"/>
    <n v="9.8571428571428577"/>
    <x v="1"/>
    <x v="0"/>
    <x v="0"/>
    <x v="0"/>
  </r>
  <r>
    <s v="809467175288"/>
    <n v="809467"/>
    <s v="NATIONAL BUILDERS"/>
    <n v="175288"/>
    <s v="LAXMI TRADERS"/>
    <n v="30"/>
    <n v="0"/>
    <n v="0"/>
    <n v="0"/>
    <n v="0"/>
    <n v="0"/>
    <n v="0"/>
    <n v="30"/>
    <n v="4.2857142857142856"/>
    <x v="1"/>
    <x v="0"/>
    <x v="0"/>
    <x v="0"/>
  </r>
  <r>
    <s v="810055175288"/>
    <n v="810055"/>
    <s v="RUPESH KHANDELWAL BUILDERS"/>
    <n v="175288"/>
    <s v="LAXMI TRADERS"/>
    <n v="432"/>
    <n v="400"/>
    <n v="280.5"/>
    <n v="380"/>
    <n v="175"/>
    <n v="420"/>
    <n v="260"/>
    <n v="2347.5"/>
    <n v="335.35714285714283"/>
    <x v="3"/>
    <x v="0"/>
    <x v="0"/>
    <x v="0"/>
  </r>
  <r>
    <s v="810922175288"/>
    <n v="810922"/>
    <s v="KALPANA CEMENT AGENCY"/>
    <n v="175288"/>
    <s v="LAXMI TRADERS"/>
    <n v="90"/>
    <n v="60"/>
    <n v="55"/>
    <n v="60"/>
    <n v="30"/>
    <n v="60"/>
    <n v="40"/>
    <n v="395"/>
    <n v="56.428571428571431"/>
    <x v="3"/>
    <x v="0"/>
    <x v="0"/>
    <x v="0"/>
  </r>
  <r>
    <s v="811135175288"/>
    <n v="811135"/>
    <s v="KANHA BUILDERS"/>
    <n v="175288"/>
    <s v="LAXMI TRADERS"/>
    <n v="80"/>
    <n v="80"/>
    <n v="95"/>
    <n v="90"/>
    <n v="50"/>
    <n v="50"/>
    <n v="50"/>
    <n v="495"/>
    <n v="70.714285714285708"/>
    <x v="3"/>
    <x v="0"/>
    <x v="0"/>
    <x v="0"/>
  </r>
  <r>
    <s v="811422175288"/>
    <n v="811422"/>
    <s v="SHARMA TRADERS"/>
    <n v="175288"/>
    <s v="LAXMI TRADERS"/>
    <n v="60"/>
    <n v="60"/>
    <n v="60"/>
    <n v="20"/>
    <n v="20"/>
    <n v="0"/>
    <n v="20"/>
    <n v="240"/>
    <n v="34.285714285714285"/>
    <x v="4"/>
    <x v="0"/>
    <x v="0"/>
    <x v="0"/>
  </r>
  <r>
    <s v="812056175288"/>
    <n v="812056"/>
    <s v="RAKESH BUILDERS"/>
    <n v="175288"/>
    <s v="LAXMI TRADERS"/>
    <n v="20"/>
    <n v="0"/>
    <n v="0"/>
    <n v="0"/>
    <n v="0"/>
    <n v="0"/>
    <n v="0"/>
    <n v="20"/>
    <n v="2.8571428571428572"/>
    <x v="1"/>
    <x v="0"/>
    <x v="0"/>
    <x v="0"/>
  </r>
  <r>
    <s v="815176175288"/>
    <n v="815176"/>
    <s v="BHARADWAJ BUILDERS"/>
    <n v="175288"/>
    <s v="LAXMI TRADERS"/>
    <n v="0"/>
    <n v="0"/>
    <n v="0"/>
    <n v="110"/>
    <n v="70"/>
    <n v="90"/>
    <n v="130"/>
    <n v="400"/>
    <n v="57.142857142857146"/>
    <x v="3"/>
    <x v="0"/>
    <x v="0"/>
    <x v="0"/>
  </r>
  <r>
    <s v="810595176641"/>
    <n v="810595"/>
    <s v="NAGPAL BUILDERS"/>
    <n v="176641"/>
    <s v="UMA IRON &amp; CEMENT AGENCY"/>
    <n v="20"/>
    <n v="84.5"/>
    <n v="64"/>
    <n v="93.5"/>
    <n v="76.3"/>
    <n v="54"/>
    <n v="10"/>
    <n v="402.3"/>
    <n v="57.471428571428575"/>
    <x v="3"/>
    <x v="0"/>
    <x v="0"/>
    <x v="0"/>
  </r>
  <r>
    <s v="811092176641"/>
    <n v="811092"/>
    <s v="RIDHIMA ENTERPRISES"/>
    <n v="176641"/>
    <s v="UMA IRON &amp; CEMENT AGENCY"/>
    <n v="166"/>
    <n v="40.549999999999997"/>
    <n v="105"/>
    <n v="38.5"/>
    <n v="79"/>
    <n v="106.5"/>
    <n v="49"/>
    <n v="584.54999999999995"/>
    <n v="83.507142857142853"/>
    <x v="3"/>
    <x v="0"/>
    <x v="0"/>
    <x v="0"/>
  </r>
  <r>
    <s v="813672176641"/>
    <n v="813672"/>
    <s v="LATA CEMENT AGENCY"/>
    <n v="176641"/>
    <s v="UMA IRON &amp; CEMENT AGENCY"/>
    <n v="50"/>
    <n v="50"/>
    <n v="30"/>
    <n v="46"/>
    <n v="47.2"/>
    <n v="30"/>
    <n v="25"/>
    <n v="278.2"/>
    <n v="39.74285714285714"/>
    <x v="4"/>
    <x v="0"/>
    <x v="0"/>
    <x v="0"/>
  </r>
  <r>
    <s v="810435178661"/>
    <n v="810435"/>
    <s v="NARENDRA SUPPLIERS"/>
    <n v="178661"/>
    <s v="KHAJANCHI TRADING CO."/>
    <n v="0"/>
    <n v="15"/>
    <n v="20"/>
    <n v="12"/>
    <n v="45"/>
    <n v="25"/>
    <n v="25"/>
    <n v="142"/>
    <n v="20.285714285714285"/>
    <x v="0"/>
    <x v="0"/>
    <x v="0"/>
    <x v="0"/>
  </r>
  <r>
    <s v="810683178661"/>
    <n v="810683"/>
    <s v="AGGARWAL CEMENT STORE"/>
    <n v="178661"/>
    <s v="KHAJANCHI TRADING CO."/>
    <n v="20"/>
    <n v="25"/>
    <n v="46"/>
    <n v="78"/>
    <n v="60"/>
    <n v="85"/>
    <n v="30"/>
    <n v="344"/>
    <n v="49.142857142857146"/>
    <x v="5"/>
    <x v="0"/>
    <x v="0"/>
    <x v="0"/>
  </r>
  <r>
    <s v="810686178661"/>
    <n v="810686"/>
    <s v="SAINI KHAD BEEJ BHANDAR"/>
    <n v="178661"/>
    <s v="KHAJANCHI TRADING CO."/>
    <n v="25"/>
    <n v="55"/>
    <n v="45"/>
    <n v="70"/>
    <n v="109.6"/>
    <n v="54.5"/>
    <n v="30"/>
    <n v="389.1"/>
    <n v="55.585714285714289"/>
    <x v="3"/>
    <x v="0"/>
    <x v="0"/>
    <x v="0"/>
  </r>
  <r>
    <s v="813172178661"/>
    <n v="813172"/>
    <s v="PRABHU DAYAL HARISH CHAND"/>
    <n v="178661"/>
    <s v="KHAJANCHI TRADING CO."/>
    <n v="56"/>
    <n v="25"/>
    <n v="64"/>
    <n v="69"/>
    <n v="35"/>
    <n v="104.5"/>
    <n v="72.5"/>
    <n v="426"/>
    <n v="60.857142857142854"/>
    <x v="3"/>
    <x v="0"/>
    <x v="0"/>
    <x v="0"/>
  </r>
  <r>
    <s v="813636178661"/>
    <n v="813636"/>
    <s v="SWASTIK CEMENT AGENCIES"/>
    <n v="178661"/>
    <s v="KHAJANCHI TRADING CO."/>
    <n v="62"/>
    <n v="20"/>
    <n v="10"/>
    <n v="60.5"/>
    <n v="45"/>
    <n v="31"/>
    <n v="0"/>
    <n v="228.5"/>
    <n v="32.642857142857146"/>
    <x v="4"/>
    <x v="0"/>
    <x v="0"/>
    <x v="0"/>
  </r>
  <r>
    <s v="814227178661"/>
    <n v="814227"/>
    <s v="SHREE KRISHNA CEMENT STORE"/>
    <n v="178661"/>
    <s v="KHAJANCHI TRADING CO."/>
    <n v="40"/>
    <n v="10"/>
    <n v="25"/>
    <n v="50"/>
    <n v="44"/>
    <n v="20"/>
    <n v="20"/>
    <n v="209"/>
    <n v="29.857142857142858"/>
    <x v="0"/>
    <x v="0"/>
    <x v="0"/>
    <x v="0"/>
  </r>
  <r>
    <s v="814777178661"/>
    <n v="814777"/>
    <s v="MASTER CEMENT AGENCY"/>
    <n v="178661"/>
    <s v="KHAJANCHI TRADING CO."/>
    <n v="61.5"/>
    <n v="20"/>
    <n v="55"/>
    <n v="36"/>
    <n v="30"/>
    <n v="39.5"/>
    <n v="10"/>
    <n v="252"/>
    <n v="36"/>
    <x v="4"/>
    <x v="0"/>
    <x v="0"/>
    <x v="0"/>
  </r>
  <r>
    <s v="816249178661"/>
    <n v="816249"/>
    <s v="MUSKAN TRADING COMPANY"/>
    <n v="178661"/>
    <s v="KHAJANCHI TRADING CO."/>
    <n v="0"/>
    <n v="0"/>
    <n v="0"/>
    <n v="0"/>
    <n v="0"/>
    <n v="40"/>
    <n v="54.5"/>
    <n v="94.5"/>
    <n v="13.5"/>
    <x v="2"/>
    <x v="0"/>
    <x v="0"/>
    <x v="0"/>
  </r>
  <r>
    <s v="816270178661"/>
    <n v="816270"/>
    <s v="CHOUDHARY CEMENT AGENCY"/>
    <n v="178661"/>
    <s v="KHAJANCHI TRADING CO."/>
    <n v="0"/>
    <n v="0"/>
    <n v="0"/>
    <n v="0"/>
    <n v="0"/>
    <n v="52"/>
    <n v="62"/>
    <n v="114"/>
    <n v="16.285714285714285"/>
    <x v="2"/>
    <x v="0"/>
    <x v="0"/>
    <x v="0"/>
  </r>
  <r>
    <s v="812382179893"/>
    <n v="812382"/>
    <s v="NEERAJ ENTERPRISES"/>
    <n v="179893"/>
    <s v="AGRAWAL TRADERS"/>
    <n v="81"/>
    <n v="112"/>
    <n v="98.5"/>
    <n v="93.5"/>
    <n v="51.5"/>
    <n v="59"/>
    <n v="15"/>
    <n v="510.5"/>
    <n v="72.928571428571431"/>
    <x v="3"/>
    <x v="0"/>
    <x v="0"/>
    <x v="0"/>
  </r>
  <r>
    <s v="812461179893"/>
    <n v="812461"/>
    <s v="TANU CEMENT AGENCY"/>
    <n v="179893"/>
    <s v="AGRAWAL TRADERS"/>
    <n v="0"/>
    <n v="10"/>
    <n v="10"/>
    <n v="46"/>
    <n v="20"/>
    <n v="15"/>
    <n v="10"/>
    <n v="111"/>
    <n v="15.857142857142858"/>
    <x v="2"/>
    <x v="0"/>
    <x v="0"/>
    <x v="0"/>
  </r>
  <r>
    <s v="814907179893"/>
    <n v="814907"/>
    <s v="PRAJAPAT CEMENT AGENCY"/>
    <n v="179893"/>
    <s v="AGRAWAL TRADERS"/>
    <n v="10"/>
    <n v="39"/>
    <n v="77"/>
    <n v="30"/>
    <n v="20"/>
    <n v="10"/>
    <n v="5"/>
    <n v="191"/>
    <n v="27.285714285714285"/>
    <x v="0"/>
    <x v="0"/>
    <x v="0"/>
    <x v="0"/>
  </r>
  <r>
    <s v="812469201065"/>
    <n v="812469"/>
    <s v="SHREE KRISHNA TRADERS"/>
    <n v="201065"/>
    <s v="SHRI RADHEY KRISHAN TRADERS"/>
    <n v="20"/>
    <n v="39.5"/>
    <n v="60"/>
    <n v="37.5"/>
    <n v="43"/>
    <n v="37"/>
    <n v="0"/>
    <n v="237"/>
    <n v="33.857142857142854"/>
    <x v="4"/>
    <x v="0"/>
    <x v="0"/>
    <x v="0"/>
  </r>
  <r>
    <s v="813728201065"/>
    <n v="813728"/>
    <s v="SAHIL BUILDERS TRADING COMPANY"/>
    <n v="201065"/>
    <s v="SHRI RADHEY KRISHAN TRADERS"/>
    <n v="0"/>
    <n v="10"/>
    <n v="25"/>
    <n v="0"/>
    <n v="0"/>
    <n v="0"/>
    <n v="0"/>
    <n v="35"/>
    <n v="5"/>
    <x v="1"/>
    <x v="0"/>
    <x v="0"/>
    <x v="0"/>
  </r>
  <r>
    <s v="814184201065"/>
    <n v="814184"/>
    <s v="RAJORIYA TRADING COMPANY"/>
    <n v="201065"/>
    <s v="SHRI RADHEY KRISHAN TRADERS"/>
    <n v="10"/>
    <n v="40.5"/>
    <n v="0"/>
    <n v="0"/>
    <n v="0"/>
    <n v="0"/>
    <n v="0"/>
    <n v="50.5"/>
    <n v="7.2142857142857144"/>
    <x v="1"/>
    <x v="0"/>
    <x v="0"/>
    <x v="0"/>
  </r>
  <r>
    <s v="814540202479"/>
    <n v="814540"/>
    <s v="VED (MP) CEMENT AGENCY"/>
    <n v="202479"/>
    <s v="SHIKHA ENTERPRSIES"/>
    <n v="38"/>
    <n v="20"/>
    <n v="30"/>
    <n v="52.5"/>
    <n v="30"/>
    <n v="55"/>
    <n v="37"/>
    <n v="262.5"/>
    <n v="37.5"/>
    <x v="4"/>
    <x v="0"/>
    <x v="0"/>
    <x v="0"/>
  </r>
  <r>
    <s v="814934202479"/>
    <n v="814934"/>
    <s v="MANISH CEMENT AGENCY"/>
    <n v="202479"/>
    <s v="SHIKHA ENTERPRSIES"/>
    <n v="15"/>
    <n v="65"/>
    <n v="55"/>
    <n v="92"/>
    <n v="79"/>
    <n v="45"/>
    <n v="38"/>
    <n v="389"/>
    <n v="55.571428571428569"/>
    <x v="3"/>
    <x v="0"/>
    <x v="0"/>
    <x v="0"/>
  </r>
  <r>
    <s v="814939202479"/>
    <n v="814939"/>
    <s v="HEMLATA CEMENT AGENCY"/>
    <n v="202479"/>
    <s v="SHIKHA ENTERPRSIES"/>
    <n v="115"/>
    <n v="51"/>
    <n v="105"/>
    <n v="95"/>
    <n v="168.75"/>
    <n v="83.5"/>
    <n v="45"/>
    <n v="663.25"/>
    <n v="94.75"/>
    <x v="3"/>
    <x v="0"/>
    <x v="0"/>
    <x v="0"/>
  </r>
  <r>
    <s v="815105205650"/>
    <n v="815105"/>
    <s v="A1 CEMENT AGENCY"/>
    <n v="205650"/>
    <s v="SAINI TRADING COMPANY"/>
    <n v="0"/>
    <n v="0"/>
    <n v="0"/>
    <n v="63.5"/>
    <n v="15"/>
    <n v="20"/>
    <n v="0"/>
    <n v="98.5"/>
    <n v="14.071428571428571"/>
    <x v="2"/>
    <x v="0"/>
    <x v="0"/>
    <x v="0"/>
  </r>
  <r>
    <s v="815481205650"/>
    <n v="815481"/>
    <s v="BALAJI CEMENT AGENCY"/>
    <n v="205650"/>
    <s v="SAINI TRADING COMPANY"/>
    <n v="0"/>
    <n v="0"/>
    <n v="0"/>
    <n v="20"/>
    <n v="10"/>
    <n v="10"/>
    <n v="10"/>
    <n v="50"/>
    <n v="7.1428571428571432"/>
    <x v="1"/>
    <x v="0"/>
    <x v="0"/>
    <x v="0"/>
  </r>
  <r>
    <s v="815864205650"/>
    <n v="815864"/>
    <s v="SAINI CEMENT SUPPLIER"/>
    <n v="205650"/>
    <s v="SAINI TRADING COMPANY"/>
    <n v="0"/>
    <n v="0"/>
    <n v="0"/>
    <n v="0"/>
    <n v="15"/>
    <n v="37.5"/>
    <n v="38.25"/>
    <n v="90.75"/>
    <n v="12.964285714285714"/>
    <x v="2"/>
    <x v="0"/>
    <x v="0"/>
    <x v="0"/>
  </r>
  <r>
    <s v="815645208736"/>
    <n v="815645"/>
    <s v="HARSHA CEMENT AGENCY"/>
    <n v="208736"/>
    <s v="RAJORIYA TRADING COMPANY"/>
    <n v="0"/>
    <n v="0"/>
    <n v="0"/>
    <n v="14"/>
    <n v="24.6"/>
    <n v="20"/>
    <n v="20"/>
    <n v="78.599999999999994"/>
    <n v="11.228571428571428"/>
    <x v="2"/>
    <x v="0"/>
    <x v="0"/>
    <x v="0"/>
  </r>
  <r>
    <s v="806436119023"/>
    <n v="806436"/>
    <s v="SUKHDEV JI GUPTA"/>
    <n v="119023"/>
    <s v="AGARWAL MACHINERY STORES"/>
    <n v="101"/>
    <n v="41.5"/>
    <n v="170.5"/>
    <n v="103"/>
    <n v="0"/>
    <n v="162"/>
    <n v="172"/>
    <n v="750"/>
    <n v="107.14285714285714"/>
    <x v="3"/>
    <x v="1"/>
    <x v="0"/>
    <x v="0"/>
  </r>
  <r>
    <s v="806439119023"/>
    <n v="806439"/>
    <s v="BALAJI BUILDING MATERIAL STORE"/>
    <n v="119023"/>
    <s v="AGARWAL MACHINERY STORES"/>
    <n v="101"/>
    <n v="115.5"/>
    <n v="211"/>
    <n v="241"/>
    <n v="0"/>
    <n v="200.5"/>
    <n v="129"/>
    <n v="998"/>
    <n v="142.57142857142858"/>
    <x v="3"/>
    <x v="1"/>
    <x v="0"/>
    <x v="0"/>
  </r>
  <r>
    <s v="806440119023"/>
    <n v="806440"/>
    <s v="VIKAS CEMENT AGENCY"/>
    <n v="119023"/>
    <s v="AGARWAL MACHINERY STORES"/>
    <n v="0"/>
    <n v="0"/>
    <n v="23"/>
    <n v="0"/>
    <n v="0"/>
    <n v="51.5"/>
    <n v="43"/>
    <n v="117.5"/>
    <n v="16.785714285714285"/>
    <x v="2"/>
    <x v="1"/>
    <x v="0"/>
    <x v="0"/>
  </r>
  <r>
    <s v="806882119023"/>
    <n v="806882"/>
    <s v="GOMTI BUILDING MATERIAL STORE"/>
    <n v="119023"/>
    <s v="AGARWAL MACHINERY STORES"/>
    <n v="104"/>
    <n v="115"/>
    <n v="215"/>
    <n v="225"/>
    <n v="88.5"/>
    <n v="220"/>
    <n v="129"/>
    <n v="1096.5"/>
    <n v="156.64285714285714"/>
    <x v="3"/>
    <x v="1"/>
    <x v="0"/>
    <x v="0"/>
  </r>
  <r>
    <s v="808644119023"/>
    <n v="808644"/>
    <s v="NAITIK TRADERS"/>
    <n v="119023"/>
    <s v="AGARWAL MACHINERY STORES"/>
    <n v="100"/>
    <n v="116"/>
    <n v="222.5"/>
    <n v="214.5"/>
    <n v="105.5"/>
    <n v="182"/>
    <n v="128"/>
    <n v="1068.5"/>
    <n v="152.64285714285714"/>
    <x v="3"/>
    <x v="1"/>
    <x v="0"/>
    <x v="0"/>
  </r>
  <r>
    <s v="813877119023"/>
    <n v="813877"/>
    <s v="SHIVANI BUILDING MATERIAL STOR"/>
    <n v="119023"/>
    <s v="AGARWAL MACHINERY STORES"/>
    <n v="0"/>
    <n v="0"/>
    <n v="20"/>
    <n v="0"/>
    <n v="0"/>
    <n v="0"/>
    <n v="0"/>
    <n v="20"/>
    <n v="2.8571428571428572"/>
    <x v="1"/>
    <x v="1"/>
    <x v="0"/>
    <x v="0"/>
  </r>
  <r>
    <s v="814671119023"/>
    <n v="814671"/>
    <s v="SHRI GOMTI BM &amp; SUPPLIERS"/>
    <n v="119023"/>
    <s v="AGARWAL MACHINERY STORES"/>
    <n v="100.5"/>
    <n v="116"/>
    <n v="211"/>
    <n v="130"/>
    <n v="139"/>
    <n v="167.5"/>
    <n v="149"/>
    <n v="1013"/>
    <n v="144.71428571428572"/>
    <x v="3"/>
    <x v="1"/>
    <x v="0"/>
    <x v="0"/>
  </r>
  <r>
    <s v="814733119023"/>
    <n v="814733"/>
    <s v="NIRBHAY CEMENT AGENCY"/>
    <n v="119023"/>
    <s v="AGARWAL MACHINERY STORES"/>
    <n v="102"/>
    <n v="125"/>
    <n v="149"/>
    <n v="193.5"/>
    <n v="107"/>
    <n v="152"/>
    <n v="43"/>
    <n v="871.5"/>
    <n v="124.5"/>
    <x v="3"/>
    <x v="1"/>
    <x v="0"/>
    <x v="0"/>
  </r>
  <r>
    <s v="801588119047"/>
    <n v="801588"/>
    <s v="AGARWAL CEMENT AGENCY"/>
    <n v="119047"/>
    <s v="BANSAL TRADING COMPANY"/>
    <n v="194"/>
    <n v="174.5"/>
    <n v="221.5"/>
    <n v="175.3"/>
    <n v="187"/>
    <n v="139"/>
    <n v="127"/>
    <n v="1218.3"/>
    <n v="174.04285714285714"/>
    <x v="3"/>
    <x v="1"/>
    <x v="0"/>
    <x v="0"/>
  </r>
  <r>
    <s v="801589119047"/>
    <n v="801589"/>
    <s v="MAA BHAGWATI TRADERS"/>
    <n v="119047"/>
    <s v="BANSAL TRADING COMPANY"/>
    <n v="41.5"/>
    <n v="20"/>
    <n v="35"/>
    <n v="21.5"/>
    <n v="27"/>
    <n v="20"/>
    <n v="42"/>
    <n v="207"/>
    <n v="29.571428571428573"/>
    <x v="0"/>
    <x v="1"/>
    <x v="0"/>
    <x v="0"/>
  </r>
  <r>
    <s v="801590119047"/>
    <n v="801590"/>
    <s v="MANGAL BUILDING MATERIAL STORE"/>
    <n v="119047"/>
    <s v="BANSAL TRADING COMPANY"/>
    <n v="41.5"/>
    <n v="41.5"/>
    <n v="99.5"/>
    <n v="72"/>
    <n v="20"/>
    <n v="42"/>
    <n v="64"/>
    <n v="380.5"/>
    <n v="54.357142857142854"/>
    <x v="3"/>
    <x v="1"/>
    <x v="0"/>
    <x v="0"/>
  </r>
  <r>
    <s v="806926119047"/>
    <n v="806926"/>
    <s v="AGARWAL KHAD BEEJ BHANDAR"/>
    <n v="119047"/>
    <s v="BANSAL TRADING COMPANY"/>
    <n v="34"/>
    <n v="33.5"/>
    <n v="21.5"/>
    <n v="91.5"/>
    <n v="42"/>
    <n v="57"/>
    <n v="20"/>
    <n v="299.5"/>
    <n v="42.785714285714285"/>
    <x v="5"/>
    <x v="1"/>
    <x v="0"/>
    <x v="0"/>
  </r>
  <r>
    <s v="815576119047"/>
    <n v="815576"/>
    <s v="SHISHRAM BUILDING MATERIAL"/>
    <n v="119047"/>
    <s v="BANSAL TRADING COMPANY"/>
    <n v="0"/>
    <n v="0"/>
    <n v="0"/>
    <n v="59.5"/>
    <n v="93"/>
    <n v="90"/>
    <n v="62"/>
    <n v="304.5"/>
    <n v="43.5"/>
    <x v="5"/>
    <x v="1"/>
    <x v="0"/>
    <x v="0"/>
  </r>
  <r>
    <s v="803820129599"/>
    <n v="803820"/>
    <s v="ARTI BUILDING MATERIAL"/>
    <n v="129599"/>
    <s v="Kuntal Building Material"/>
    <n v="41.5"/>
    <n v="50"/>
    <n v="62"/>
    <n v="42"/>
    <n v="39.75"/>
    <n v="56.5"/>
    <n v="24.25"/>
    <n v="316"/>
    <n v="45.142857142857146"/>
    <x v="5"/>
    <x v="1"/>
    <x v="0"/>
    <x v="0"/>
  </r>
  <r>
    <s v="812741129599"/>
    <n v="812741"/>
    <s v="LAXMI BUILDING MATERIAL"/>
    <n v="129599"/>
    <s v="Kuntal Building Material"/>
    <n v="41"/>
    <n v="40.5"/>
    <n v="41.5"/>
    <n v="0"/>
    <n v="22.25"/>
    <n v="42.5"/>
    <n v="45"/>
    <n v="232.75"/>
    <n v="33.25"/>
    <x v="4"/>
    <x v="1"/>
    <x v="0"/>
    <x v="0"/>
  </r>
  <r>
    <s v="802165143531"/>
    <n v="802165"/>
    <s v="DEEPAK TRADING CO"/>
    <n v="143531"/>
    <s v="JAIN KHAD BEEJ BHANDAR"/>
    <n v="42"/>
    <n v="61.5"/>
    <n v="124.5"/>
    <n v="42"/>
    <n v="46.5"/>
    <n v="12.5"/>
    <n v="12.5"/>
    <n v="341.5"/>
    <n v="48.785714285714285"/>
    <x v="5"/>
    <x v="1"/>
    <x v="0"/>
    <x v="0"/>
  </r>
  <r>
    <s v="802918143531"/>
    <n v="802918"/>
    <s v="BANKE BIHARI KHAD BEEJ BHANDAR"/>
    <n v="143531"/>
    <s v="JAIN KHAD BEEJ BHANDAR"/>
    <n v="15"/>
    <n v="20"/>
    <n v="38"/>
    <n v="20.5"/>
    <n v="15"/>
    <n v="0"/>
    <n v="0"/>
    <n v="108.5"/>
    <n v="15.5"/>
    <x v="2"/>
    <x v="1"/>
    <x v="0"/>
    <x v="0"/>
  </r>
  <r>
    <s v="812299143531"/>
    <n v="812299"/>
    <s v="VIJAY TRADING COMPANY"/>
    <n v="143531"/>
    <s v="JAIN KHAD BEEJ BHANDAR"/>
    <n v="20"/>
    <n v="0"/>
    <n v="49"/>
    <n v="21"/>
    <n v="26.5"/>
    <n v="0"/>
    <n v="0"/>
    <n v="116.5"/>
    <n v="16.642857142857142"/>
    <x v="2"/>
    <x v="1"/>
    <x v="0"/>
    <x v="0"/>
  </r>
  <r>
    <s v="815440144996"/>
    <n v="815440"/>
    <s v="KHAN BUILDING MATERIAL SUPPLIE"/>
    <n v="144996"/>
    <s v="SHASTRI BUILDING MATERIAL STOR"/>
    <n v="0"/>
    <n v="0"/>
    <n v="0"/>
    <n v="32.5"/>
    <n v="22"/>
    <n v="54"/>
    <n v="21"/>
    <n v="129.5"/>
    <n v="18.5"/>
    <x v="2"/>
    <x v="1"/>
    <x v="0"/>
    <x v="0"/>
  </r>
  <r>
    <s v="813154170708"/>
    <n v="813154"/>
    <s v="TIWARI AGENCIES"/>
    <n v="170708"/>
    <s v="BANSAL MARBLES"/>
    <n v="34"/>
    <n v="76.5"/>
    <n v="175"/>
    <n v="110"/>
    <n v="60"/>
    <n v="10"/>
    <n v="10"/>
    <n v="475.5"/>
    <n v="67.928571428571431"/>
    <x v="3"/>
    <x v="1"/>
    <x v="0"/>
    <x v="0"/>
  </r>
  <r>
    <s v="814749171469"/>
    <n v="814749"/>
    <s v="H S TRADERS"/>
    <n v="171469"/>
    <s v="OM CEMENT HOUSE"/>
    <n v="43"/>
    <n v="172"/>
    <n v="127"/>
    <n v="126"/>
    <n v="126.5"/>
    <n v="129"/>
    <n v="132"/>
    <n v="855.5"/>
    <n v="122.21428571428571"/>
    <x v="3"/>
    <x v="1"/>
    <x v="0"/>
    <x v="0"/>
  </r>
  <r>
    <s v="807002171479"/>
    <n v="807002"/>
    <s v="SHREE JI BUILDING MATERIAL STO"/>
    <n v="171479"/>
    <s v="YADAV TRADING COMPANY"/>
    <n v="113"/>
    <n v="116.6"/>
    <n v="99"/>
    <n v="167.5"/>
    <n v="171.5"/>
    <n v="153"/>
    <n v="39"/>
    <n v="859.6"/>
    <n v="122.8"/>
    <x v="3"/>
    <x v="1"/>
    <x v="0"/>
    <x v="0"/>
  </r>
  <r>
    <s v="814499171479"/>
    <n v="814499"/>
    <s v="YADAV CEMENT AGENCY"/>
    <n v="171479"/>
    <s v="YADAV TRADING COMPANY"/>
    <n v="137.5"/>
    <n v="203"/>
    <n v="205.5"/>
    <n v="218"/>
    <n v="207.5"/>
    <n v="140"/>
    <n v="93"/>
    <n v="1204.5"/>
    <n v="172.07142857142858"/>
    <x v="3"/>
    <x v="1"/>
    <x v="0"/>
    <x v="0"/>
  </r>
  <r>
    <s v="813385175392"/>
    <n v="813385"/>
    <s v="JINDAL KHAD BEEJ BHANDAR"/>
    <n v="175392"/>
    <s v="SANTOSH KUMAR SATISH CHAND"/>
    <n v="38.5"/>
    <n v="52.5"/>
    <n v="50"/>
    <n v="57"/>
    <n v="30"/>
    <n v="66.5"/>
    <n v="20"/>
    <n v="314.5"/>
    <n v="44.928571428571431"/>
    <x v="5"/>
    <x v="1"/>
    <x v="0"/>
    <x v="0"/>
  </r>
  <r>
    <s v="806754177450"/>
    <n v="806754"/>
    <s v="KHANDELWAL TIMBER MART"/>
    <n v="177450"/>
    <s v="J.K. CEMENT AGENCY"/>
    <n v="60"/>
    <n v="5"/>
    <n v="22.599999999999998"/>
    <n v="50"/>
    <n v="65.75"/>
    <n v="28"/>
    <n v="30"/>
    <n v="261.35000000000002"/>
    <n v="37.335714285714289"/>
    <x v="4"/>
    <x v="1"/>
    <x v="0"/>
    <x v="0"/>
  </r>
  <r>
    <s v="812944177829"/>
    <n v="812944"/>
    <s v="HITA JK SUPER CEMENT"/>
    <n v="177829"/>
    <s v="GARG TRADING COMPANY"/>
    <n v="13"/>
    <n v="41"/>
    <n v="42"/>
    <n v="56.5"/>
    <n v="25.5"/>
    <n v="56"/>
    <n v="74"/>
    <n v="308"/>
    <n v="44"/>
    <x v="5"/>
    <x v="1"/>
    <x v="0"/>
    <x v="0"/>
  </r>
  <r>
    <s v="812967177829"/>
    <n v="812967"/>
    <s v="BANSAL IRON &amp; CEMENT TRADERS"/>
    <n v="177829"/>
    <s v="GARG TRADING COMPANY"/>
    <n v="58.5"/>
    <n v="62.5"/>
    <n v="81"/>
    <n v="106.5"/>
    <n v="72.5"/>
    <n v="97"/>
    <n v="26"/>
    <n v="504"/>
    <n v="72"/>
    <x v="3"/>
    <x v="1"/>
    <x v="0"/>
    <x v="0"/>
  </r>
  <r>
    <s v="814416177829"/>
    <n v="814416"/>
    <s v="SHRI BALAJI BUILDING MATERIAL"/>
    <n v="177829"/>
    <s v="GARG TRADING COMPANY"/>
    <n v="0"/>
    <n v="0"/>
    <n v="22"/>
    <n v="25.5"/>
    <n v="20"/>
    <n v="0"/>
    <n v="0"/>
    <n v="67.5"/>
    <n v="9.6428571428571423"/>
    <x v="1"/>
    <x v="1"/>
    <x v="0"/>
    <x v="0"/>
  </r>
  <r>
    <s v="811475178844"/>
    <n v="811475"/>
    <s v="SAINI TRADERS"/>
    <n v="178844"/>
    <s v="SAINI BUILDING MATERIAL SUPPLI"/>
    <n v="17"/>
    <n v="0"/>
    <n v="7"/>
    <n v="0"/>
    <n v="0"/>
    <n v="0"/>
    <n v="0"/>
    <n v="24"/>
    <n v="3.4285714285714284"/>
    <x v="1"/>
    <x v="1"/>
    <x v="0"/>
    <x v="0"/>
  </r>
  <r>
    <s v="814096179473"/>
    <n v="814096"/>
    <s v="ROHIT TRADERS"/>
    <n v="179473"/>
    <s v="ANSHU CEMENT AGENCY"/>
    <n v="16.5"/>
    <n v="0"/>
    <n v="6.5"/>
    <n v="10"/>
    <n v="5"/>
    <n v="2.5"/>
    <n v="0"/>
    <n v="40.5"/>
    <n v="5.7857142857142856"/>
    <x v="1"/>
    <x v="1"/>
    <x v="0"/>
    <x v="0"/>
  </r>
  <r>
    <s v="801627202865"/>
    <n v="801627"/>
    <s v="SHREE GOPAL TRADING CO"/>
    <n v="202865"/>
    <s v="DEEPAK TRADERS"/>
    <n v="84"/>
    <n v="131"/>
    <n v="110"/>
    <n v="86.5"/>
    <n v="83"/>
    <n v="84"/>
    <n v="22"/>
    <n v="600.5"/>
    <n v="85.785714285714292"/>
    <x v="3"/>
    <x v="1"/>
    <x v="0"/>
    <x v="0"/>
  </r>
  <r>
    <s v="805151202865"/>
    <n v="805151"/>
    <s v="RAHUL BUILDING MATERIAL"/>
    <n v="202865"/>
    <s v="DEEPAK TRADERS"/>
    <n v="105.5"/>
    <n v="165.5"/>
    <n v="335.5"/>
    <n v="217"/>
    <n v="148.5"/>
    <n v="137.5"/>
    <n v="20"/>
    <n v="1129.5"/>
    <n v="161.35714285714286"/>
    <x v="3"/>
    <x v="1"/>
    <x v="0"/>
    <x v="0"/>
  </r>
  <r>
    <s v="805158202865"/>
    <n v="805158"/>
    <s v="FAUJDAR BUILDING MATERIAL"/>
    <n v="202865"/>
    <s v="DEEPAK TRADERS"/>
    <n v="54.5"/>
    <n v="41.5"/>
    <n v="126"/>
    <n v="81.5"/>
    <n v="97"/>
    <n v="32.5"/>
    <n v="37.5"/>
    <n v="470.5"/>
    <n v="67.214285714285708"/>
    <x v="3"/>
    <x v="1"/>
    <x v="0"/>
    <x v="0"/>
  </r>
  <r>
    <s v="805811202865"/>
    <n v="805811"/>
    <s v="YOGESH TRADERS"/>
    <n v="202865"/>
    <s v="DEEPAK TRADERS"/>
    <n v="30"/>
    <n v="94"/>
    <n v="207.5"/>
    <n v="181.5"/>
    <n v="116"/>
    <n v="192"/>
    <n v="43"/>
    <n v="864"/>
    <n v="123.42857142857143"/>
    <x v="3"/>
    <x v="1"/>
    <x v="0"/>
    <x v="0"/>
  </r>
  <r>
    <s v="806234202865"/>
    <n v="806234"/>
    <s v="JAI SHREE GANESH BUILDING MATE"/>
    <n v="202865"/>
    <s v="DEEPAK TRADERS"/>
    <n v="42"/>
    <n v="0"/>
    <n v="0"/>
    <n v="0"/>
    <n v="0"/>
    <n v="0"/>
    <n v="0"/>
    <n v="42"/>
    <n v="6"/>
    <x v="1"/>
    <x v="1"/>
    <x v="0"/>
    <x v="0"/>
  </r>
  <r>
    <s v="807779202865"/>
    <n v="807779"/>
    <s v="MAHAVEER BUILDING MATERIAL"/>
    <n v="202865"/>
    <s v="DEEPAK TRADERS"/>
    <n v="0"/>
    <n v="0"/>
    <n v="13"/>
    <n v="0"/>
    <n v="0"/>
    <n v="0"/>
    <n v="0"/>
    <n v="13"/>
    <n v="1.8571428571428572"/>
    <x v="1"/>
    <x v="1"/>
    <x v="0"/>
    <x v="0"/>
  </r>
  <r>
    <s v="813894202865"/>
    <n v="813894"/>
    <s v="SARDAR BUILDING MATERIAL STORE"/>
    <n v="202865"/>
    <s v="DEEPAK TRADERS"/>
    <n v="79"/>
    <n v="95.5"/>
    <n v="114"/>
    <n v="85.5"/>
    <n v="85"/>
    <n v="83.5"/>
    <n v="54"/>
    <n v="596.5"/>
    <n v="85.214285714285708"/>
    <x v="3"/>
    <x v="1"/>
    <x v="0"/>
    <x v="0"/>
  </r>
  <r>
    <s v="814776202865"/>
    <n v="814776"/>
    <s v="GOVIND BUILDING MATERIAL"/>
    <n v="202865"/>
    <s v="DEEPAK TRADERS"/>
    <n v="48.5"/>
    <n v="88.5"/>
    <n v="170.5"/>
    <n v="98"/>
    <n v="121"/>
    <n v="84"/>
    <n v="20"/>
    <n v="630.5"/>
    <n v="90.071428571428569"/>
    <x v="3"/>
    <x v="1"/>
    <x v="0"/>
    <x v="0"/>
  </r>
  <r>
    <s v="813746204013"/>
    <n v="813746"/>
    <s v="KISHAN SINGH CEMENT AGENCY"/>
    <n v="204013"/>
    <s v="SHARDUL CEMENT AGENCY"/>
    <n v="40"/>
    <n v="67.5"/>
    <n v="83.5"/>
    <n v="75"/>
    <n v="0"/>
    <n v="0"/>
    <n v="0"/>
    <n v="266"/>
    <n v="38"/>
    <x v="4"/>
    <x v="1"/>
    <x v="0"/>
    <x v="0"/>
  </r>
  <r>
    <s v="813876204013"/>
    <n v="813876"/>
    <s v="SHREE SHYAM CEMENT AGENCY"/>
    <n v="204013"/>
    <s v="SHARDUL CEMENT AGENCY"/>
    <n v="28.5"/>
    <n v="38"/>
    <n v="57"/>
    <n v="37.5"/>
    <n v="0"/>
    <n v="10"/>
    <n v="0"/>
    <n v="171"/>
    <n v="24.428571428571427"/>
    <x v="0"/>
    <x v="1"/>
    <x v="0"/>
    <x v="0"/>
  </r>
  <r>
    <s v="813895204013"/>
    <n v="813895"/>
    <s v="PUSHPENDRA SINGH J K CEMENT AG"/>
    <n v="204013"/>
    <s v="SHARDUL CEMENT AGENCY"/>
    <n v="72"/>
    <n v="65.5"/>
    <n v="58"/>
    <n v="69"/>
    <n v="30"/>
    <n v="48"/>
    <n v="51.5"/>
    <n v="394"/>
    <n v="56.285714285714285"/>
    <x v="3"/>
    <x v="1"/>
    <x v="0"/>
    <x v="0"/>
  </r>
  <r>
    <s v="816555170708"/>
    <n v="816555"/>
    <s v="SATNAM CEMENT AGENCY"/>
    <n v="170708"/>
    <s v="BANSAL MARBLES"/>
    <n v="0"/>
    <n v="0"/>
    <n v="0"/>
    <n v="0"/>
    <n v="0"/>
    <n v="10"/>
    <n v="75"/>
    <n v="85"/>
    <n v="12.142857142857142"/>
    <x v="2"/>
    <x v="1"/>
    <x v="0"/>
    <x v="0"/>
  </r>
  <r>
    <s v="807143119023"/>
    <n v="807143"/>
    <s v="LAVKUSH KHAD BEEJ BHANDAR"/>
    <n v="119023"/>
    <s v="AGARWAL MACHINERY STORES"/>
    <n v="0"/>
    <n v="0"/>
    <n v="0"/>
    <n v="0"/>
    <n v="0"/>
    <n v="0"/>
    <n v="43"/>
    <n v="43"/>
    <n v="6.1428571428571432"/>
    <x v="1"/>
    <x v="1"/>
    <x v="0"/>
    <x v="0"/>
  </r>
  <r>
    <s v="816352119047"/>
    <n v="816352"/>
    <s v="FAUJDAR BUILDING MATERIAL"/>
    <n v="119047"/>
    <s v="BANSAL TRADING COMPANY"/>
    <n v="0"/>
    <n v="0"/>
    <n v="0"/>
    <n v="0"/>
    <n v="0"/>
    <n v="0"/>
    <n v="22"/>
    <n v="22"/>
    <n v="3.1428571428571428"/>
    <x v="1"/>
    <x v="1"/>
    <x v="0"/>
    <x v="0"/>
  </r>
  <r>
    <s v="816534119047"/>
    <n v="816534"/>
    <s v="SHRI KANHAIYA BUILDING MATERIA"/>
    <n v="119047"/>
    <s v="BANSAL TRADING COMPANY"/>
    <n v="0"/>
    <n v="0"/>
    <n v="0"/>
    <n v="0"/>
    <n v="0"/>
    <n v="0"/>
    <n v="63"/>
    <n v="63"/>
    <n v="9"/>
    <x v="1"/>
    <x v="1"/>
    <x v="0"/>
    <x v="0"/>
  </r>
  <r>
    <s v="815101119074"/>
    <n v="815101"/>
    <s v="DEV CEMENT AGENCY"/>
    <n v="119074"/>
    <s v="LAVANIA CEMENT SALES CORPORATI"/>
    <n v="0"/>
    <n v="0"/>
    <n v="0"/>
    <n v="0"/>
    <n v="10"/>
    <n v="0"/>
    <n v="0"/>
    <n v="10"/>
    <n v="1.4285714285714286"/>
    <x v="1"/>
    <x v="2"/>
    <x v="0"/>
    <x v="0"/>
  </r>
  <r>
    <s v="807200174713"/>
    <n v="807200"/>
    <s v="SHIV GANPATI MARBLE AND GRANIT"/>
    <n v="174713"/>
    <s v="KANHA BUILDING MATERIAL"/>
    <n v="0"/>
    <n v="17"/>
    <n v="26"/>
    <n v="0"/>
    <n v="22"/>
    <n v="21.5"/>
    <n v="30"/>
    <n v="116.5"/>
    <n v="16.642857142857142"/>
    <x v="2"/>
    <x v="2"/>
    <x v="0"/>
    <x v="0"/>
  </r>
  <r>
    <s v="813151179892"/>
    <n v="813151"/>
    <s v="RUPESH CEMENT AGENCY"/>
    <n v="179892"/>
    <s v="MADHAV ENTERPRISES"/>
    <n v="0"/>
    <n v="0"/>
    <n v="0"/>
    <n v="51"/>
    <n v="0"/>
    <n v="51"/>
    <n v="0"/>
    <n v="102"/>
    <n v="14.571428571428571"/>
    <x v="2"/>
    <x v="2"/>
    <x v="0"/>
    <x v="0"/>
  </r>
  <r>
    <s v="811944179894"/>
    <n v="811944"/>
    <s v="RAVINDRA SINGH PARMAR"/>
    <n v="179894"/>
    <s v="SHARMA CEMENT AGENCY"/>
    <n v="94.5"/>
    <n v="72.5"/>
    <n v="95"/>
    <n v="60"/>
    <n v="37.5"/>
    <n v="13.5"/>
    <n v="0"/>
    <n v="373"/>
    <n v="53.285714285714285"/>
    <x v="3"/>
    <x v="2"/>
    <x v="0"/>
    <x v="0"/>
  </r>
  <r>
    <s v="812404179894"/>
    <n v="812404"/>
    <s v="GUPTA HARDWARE STORE"/>
    <n v="179894"/>
    <s v="SHARMA CEMENT AGENCY"/>
    <n v="42"/>
    <n v="72"/>
    <n v="62.5"/>
    <n v="50"/>
    <n v="50"/>
    <n v="60"/>
    <n v="15"/>
    <n v="351.5"/>
    <n v="50.214285714285715"/>
    <x v="3"/>
    <x v="2"/>
    <x v="0"/>
    <x v="0"/>
  </r>
  <r>
    <s v="816037179894"/>
    <n v="816037"/>
    <s v="BHUPENDRA CEMENT AGENCY"/>
    <n v="179894"/>
    <s v="SHARMA CEMENT AGENCY"/>
    <n v="0"/>
    <n v="0"/>
    <n v="0"/>
    <n v="0"/>
    <n v="119"/>
    <n v="164.5"/>
    <n v="15"/>
    <n v="298.5"/>
    <n v="42.642857142857146"/>
    <x v="5"/>
    <x v="2"/>
    <x v="0"/>
    <x v="0"/>
  </r>
  <r>
    <s v="811848202758"/>
    <n v="811848"/>
    <s v="R R CONSTRUCTION COMPANY"/>
    <n v="202758"/>
    <s v="B M TRADING &amp; CONSTRUCTION COM"/>
    <n v="25"/>
    <n v="0"/>
    <n v="79"/>
    <n v="58.5"/>
    <n v="68.5"/>
    <n v="70.5"/>
    <n v="34"/>
    <n v="335.5"/>
    <n v="47.928571428571431"/>
    <x v="5"/>
    <x v="2"/>
    <x v="0"/>
    <x v="0"/>
  </r>
  <r>
    <s v="813299202947"/>
    <n v="813299"/>
    <s v="KRISHNA ENTERPRISES"/>
    <n v="202947"/>
    <s v="SHRI LAXMI MOTORS"/>
    <n v="20"/>
    <n v="0"/>
    <n v="0"/>
    <n v="12.5"/>
    <n v="0"/>
    <n v="0"/>
    <n v="0"/>
    <n v="32.5"/>
    <n v="4.6428571428571432"/>
    <x v="1"/>
    <x v="2"/>
    <x v="0"/>
    <x v="0"/>
  </r>
  <r>
    <s v="815101208026"/>
    <n v="815101"/>
    <s v="DEV CEMENT AGENCY"/>
    <n v="208026"/>
    <s v="PRIYA ENTERPRISES"/>
    <n v="0"/>
    <n v="0"/>
    <n v="79.5"/>
    <n v="44.5"/>
    <n v="91.5"/>
    <n v="107.5"/>
    <n v="28.25"/>
    <n v="351.25"/>
    <n v="50.178571428571431"/>
    <x v="3"/>
    <x v="2"/>
    <x v="0"/>
    <x v="0"/>
  </r>
  <r>
    <s v="812372202849"/>
    <n v="812372"/>
    <s v="YOGESH CONSTRUCTION"/>
    <n v="202849"/>
    <s v="AKHLESH TRADING COMPANY"/>
    <n v="0"/>
    <n v="0"/>
    <n v="0"/>
    <n v="0"/>
    <n v="0"/>
    <n v="0"/>
    <n v="32"/>
    <n v="32"/>
    <n v="4.5714285714285712"/>
    <x v="1"/>
    <x v="2"/>
    <x v="0"/>
    <x v="0"/>
  </r>
  <r>
    <s v="806283119038"/>
    <n v="806283"/>
    <s v="JAI JASOL MAA BUILDING MATERIA"/>
    <n v="119038"/>
    <s v="NAVEEN DISTRIBUTORS"/>
    <n v="15"/>
    <n v="0"/>
    <n v="20"/>
    <n v="0"/>
    <n v="20"/>
    <n v="15"/>
    <n v="0"/>
    <n v="70"/>
    <n v="10"/>
    <x v="2"/>
    <x v="3"/>
    <x v="1"/>
    <x v="0"/>
  </r>
  <r>
    <s v="810734119065"/>
    <n v="810734"/>
    <s v="BABA STEEL AND BUILDING MATERI"/>
    <n v="119065"/>
    <s v="AJMERA TRANSPORTER"/>
    <n v="0"/>
    <n v="0"/>
    <n v="0"/>
    <n v="0"/>
    <n v="67.5"/>
    <n v="42.5"/>
    <n v="40"/>
    <n v="150"/>
    <n v="21.428571428571427"/>
    <x v="0"/>
    <x v="3"/>
    <x v="1"/>
    <x v="0"/>
  </r>
  <r>
    <s v="806511119071"/>
    <n v="806511"/>
    <s v="GAURAV CONSTRUCTION"/>
    <n v="119071"/>
    <s v="GANESH AGENCIES"/>
    <n v="26.5"/>
    <n v="30"/>
    <n v="28.75"/>
    <n v="26"/>
    <n v="0"/>
    <n v="0"/>
    <n v="0"/>
    <n v="111.25"/>
    <n v="15.892857142857142"/>
    <x v="2"/>
    <x v="3"/>
    <x v="1"/>
    <x v="0"/>
  </r>
  <r>
    <s v="806887119071"/>
    <n v="806887"/>
    <s v="RADHAKRISHNA ENTERPRISES"/>
    <n v="119071"/>
    <s v="GANESH AGENCIES"/>
    <n v="50"/>
    <n v="76.5"/>
    <n v="163.80000000000001"/>
    <n v="104.25"/>
    <n v="92.5"/>
    <n v="103.75"/>
    <n v="40"/>
    <n v="630.79999999999995"/>
    <n v="90.114285714285714"/>
    <x v="3"/>
    <x v="3"/>
    <x v="1"/>
    <x v="0"/>
  </r>
  <r>
    <s v="811480119071"/>
    <n v="811480"/>
    <s v="GAURAV BUILDING MATERIAL SUPPL"/>
    <n v="119071"/>
    <s v="GANESH AGENCIES"/>
    <n v="30"/>
    <n v="10"/>
    <n v="94"/>
    <n v="62.75"/>
    <n v="86"/>
    <n v="55"/>
    <n v="10"/>
    <n v="347.75"/>
    <n v="49.678571428571431"/>
    <x v="5"/>
    <x v="3"/>
    <x v="1"/>
    <x v="0"/>
  </r>
  <r>
    <s v="812658119071"/>
    <n v="812658"/>
    <s v="SHREE SHYAM CONSTRUCTION COMPA"/>
    <n v="119071"/>
    <s v="GANESH AGENCIES"/>
    <n v="31"/>
    <n v="30"/>
    <n v="0"/>
    <n v="15"/>
    <n v="22.5"/>
    <n v="0"/>
    <n v="10"/>
    <n v="108.5"/>
    <n v="15.5"/>
    <x v="2"/>
    <x v="3"/>
    <x v="1"/>
    <x v="0"/>
  </r>
  <r>
    <s v="816272119071"/>
    <n v="816272"/>
    <s v="BALAJI TRADERS"/>
    <n v="119071"/>
    <s v="GANESH AGENCIES"/>
    <n v="0"/>
    <n v="0"/>
    <n v="0"/>
    <n v="0"/>
    <n v="0"/>
    <n v="40"/>
    <n v="10"/>
    <n v="50"/>
    <n v="7.1428571428571432"/>
    <x v="1"/>
    <x v="3"/>
    <x v="1"/>
    <x v="0"/>
  </r>
  <r>
    <s v="806307119160"/>
    <n v="806307"/>
    <s v="HARI BUILDING MATERIAL"/>
    <n v="119160"/>
    <s v="NIKHIL ASSOCIATE"/>
    <n v="42.5"/>
    <n v="45"/>
    <n v="51"/>
    <n v="0"/>
    <n v="15"/>
    <n v="26.5"/>
    <n v="14"/>
    <n v="194"/>
    <n v="27.714285714285715"/>
    <x v="0"/>
    <x v="3"/>
    <x v="1"/>
    <x v="0"/>
  </r>
  <r>
    <s v="801716119261"/>
    <n v="801716"/>
    <s v="RIDHI SIDHI TRADERS"/>
    <n v="119261"/>
    <s v="DURGESH ENTERPRISES"/>
    <n v="50"/>
    <n v="50"/>
    <n v="31"/>
    <n v="83"/>
    <n v="21"/>
    <n v="1"/>
    <n v="49"/>
    <n v="285"/>
    <n v="40.714285714285715"/>
    <x v="5"/>
    <x v="3"/>
    <x v="1"/>
    <x v="0"/>
  </r>
  <r>
    <s v="801729119261"/>
    <n v="801729"/>
    <s v="AGARWAL BUILDING MATERIAL SUPP"/>
    <n v="119261"/>
    <s v="DURGESH ENTERPRISES"/>
    <n v="30"/>
    <n v="0"/>
    <n v="50"/>
    <n v="22"/>
    <n v="50"/>
    <n v="0"/>
    <n v="0"/>
    <n v="152"/>
    <n v="21.714285714285715"/>
    <x v="0"/>
    <x v="3"/>
    <x v="1"/>
    <x v="0"/>
  </r>
  <r>
    <s v="801876119261"/>
    <n v="801876"/>
    <s v="BHAIRAV BUILDING MATERIAL SUPP"/>
    <n v="119261"/>
    <s v="DURGESH ENTERPRISES"/>
    <n v="51"/>
    <n v="0"/>
    <n v="30"/>
    <n v="22"/>
    <n v="10"/>
    <n v="0"/>
    <n v="51"/>
    <n v="164"/>
    <n v="23.428571428571427"/>
    <x v="0"/>
    <x v="3"/>
    <x v="1"/>
    <x v="0"/>
  </r>
  <r>
    <s v="801965119261"/>
    <n v="801965"/>
    <s v="AGARWAL AGENCIES"/>
    <n v="119261"/>
    <s v="DURGESH ENTERPRISES"/>
    <n v="0"/>
    <n v="0"/>
    <n v="0"/>
    <n v="50.75"/>
    <n v="52.5"/>
    <n v="21"/>
    <n v="20"/>
    <n v="144.25"/>
    <n v="20.607142857142858"/>
    <x v="0"/>
    <x v="3"/>
    <x v="1"/>
    <x v="0"/>
  </r>
  <r>
    <s v="801966119261"/>
    <n v="801966"/>
    <s v="TANWAR TRADING CO"/>
    <n v="119261"/>
    <s v="DURGESH ENTERPRISES"/>
    <n v="0"/>
    <n v="0"/>
    <n v="0"/>
    <n v="20"/>
    <n v="12"/>
    <n v="20.5"/>
    <n v="30"/>
    <n v="82.5"/>
    <n v="11.785714285714286"/>
    <x v="2"/>
    <x v="3"/>
    <x v="1"/>
    <x v="0"/>
  </r>
  <r>
    <s v="801967119261"/>
    <n v="801967"/>
    <s v="SHIV TRADERS"/>
    <n v="119261"/>
    <s v="DURGESH ENTERPRISES"/>
    <n v="0"/>
    <n v="0"/>
    <n v="0"/>
    <n v="32"/>
    <n v="20.5"/>
    <n v="0"/>
    <n v="0"/>
    <n v="52.5"/>
    <n v="7.5"/>
    <x v="1"/>
    <x v="3"/>
    <x v="1"/>
    <x v="0"/>
  </r>
  <r>
    <s v="802073119261"/>
    <n v="802073"/>
    <s v="ABHISHEK CHODHARY &amp; COMPANY"/>
    <n v="119261"/>
    <s v="DURGESH ENTERPRISES"/>
    <n v="30"/>
    <n v="0"/>
    <n v="30"/>
    <n v="22"/>
    <n v="0"/>
    <n v="13.95"/>
    <n v="20"/>
    <n v="115.95"/>
    <n v="16.564285714285713"/>
    <x v="2"/>
    <x v="3"/>
    <x v="1"/>
    <x v="0"/>
  </r>
  <r>
    <s v="802948119261"/>
    <n v="802948"/>
    <s v="AGARWAL AGENCIES"/>
    <n v="119261"/>
    <s v="DURGESH ENTERPRISES"/>
    <n v="51"/>
    <n v="0"/>
    <n v="102"/>
    <n v="59.5"/>
    <n v="31"/>
    <n v="52.5"/>
    <n v="0"/>
    <n v="296"/>
    <n v="42.285714285714285"/>
    <x v="5"/>
    <x v="3"/>
    <x v="1"/>
    <x v="0"/>
  </r>
  <r>
    <s v="804818119261"/>
    <n v="804818"/>
    <s v="JAGDAMBA SUPPLIERS"/>
    <n v="119261"/>
    <s v="DURGESH ENTERPRISES"/>
    <n v="50"/>
    <n v="0"/>
    <n v="103"/>
    <n v="53"/>
    <n v="22"/>
    <n v="100"/>
    <n v="53"/>
    <n v="381"/>
    <n v="54.428571428571431"/>
    <x v="3"/>
    <x v="3"/>
    <x v="1"/>
    <x v="0"/>
  </r>
  <r>
    <s v="805095119261"/>
    <n v="805095"/>
    <s v="SHRI KRISHNA TRADERS"/>
    <n v="119261"/>
    <s v="DURGESH ENTERPRISES"/>
    <n v="25"/>
    <n v="0"/>
    <n v="101"/>
    <n v="53"/>
    <n v="22"/>
    <n v="0"/>
    <n v="105"/>
    <n v="306"/>
    <n v="43.714285714285715"/>
    <x v="5"/>
    <x v="3"/>
    <x v="1"/>
    <x v="0"/>
  </r>
  <r>
    <s v="805255119261"/>
    <n v="805255"/>
    <s v="SWASTIK BUILDING"/>
    <n v="119261"/>
    <s v="DURGESH ENTERPRISES"/>
    <n v="0"/>
    <n v="0"/>
    <n v="0"/>
    <n v="0"/>
    <n v="10"/>
    <n v="0"/>
    <n v="0"/>
    <n v="10"/>
    <n v="1.4285714285714286"/>
    <x v="1"/>
    <x v="3"/>
    <x v="1"/>
    <x v="0"/>
  </r>
  <r>
    <s v="805375119261"/>
    <n v="805375"/>
    <s v="SHREE RAM TRADERS"/>
    <n v="119261"/>
    <s v="DURGESH ENTERPRISES"/>
    <n v="30"/>
    <n v="0"/>
    <n v="51"/>
    <n v="1"/>
    <n v="50"/>
    <n v="23"/>
    <n v="50.5"/>
    <n v="205.5"/>
    <n v="29.357142857142858"/>
    <x v="0"/>
    <x v="3"/>
    <x v="1"/>
    <x v="0"/>
  </r>
  <r>
    <s v="805377119261"/>
    <n v="805377"/>
    <s v="MANISH TRADERS"/>
    <n v="119261"/>
    <s v="DURGESH ENTERPRISES"/>
    <n v="0"/>
    <n v="0"/>
    <n v="76"/>
    <n v="89.75"/>
    <n v="30.5"/>
    <n v="51.3"/>
    <n v="51"/>
    <n v="298.55"/>
    <n v="42.65"/>
    <x v="5"/>
    <x v="3"/>
    <x v="1"/>
    <x v="0"/>
  </r>
  <r>
    <s v="805406119261"/>
    <n v="805406"/>
    <s v="PRIYANKA BUILDERS"/>
    <n v="119261"/>
    <s v="DURGESH ENTERPRISES"/>
    <n v="0"/>
    <n v="0"/>
    <n v="0"/>
    <n v="0"/>
    <n v="10"/>
    <n v="0"/>
    <n v="31"/>
    <n v="41"/>
    <n v="5.8571428571428568"/>
    <x v="1"/>
    <x v="3"/>
    <x v="1"/>
    <x v="0"/>
  </r>
  <r>
    <s v="805419119261"/>
    <n v="805419"/>
    <s v="SHEOJI RAM NIRBHAY RAM KUMAWAT"/>
    <n v="119261"/>
    <s v="DURGESH ENTERPRISES"/>
    <n v="0"/>
    <n v="0"/>
    <n v="100.5"/>
    <n v="56"/>
    <n v="30"/>
    <n v="40"/>
    <n v="51"/>
    <n v="277.5"/>
    <n v="39.642857142857146"/>
    <x v="4"/>
    <x v="3"/>
    <x v="1"/>
    <x v="0"/>
  </r>
  <r>
    <s v="805453119261"/>
    <n v="805453"/>
    <s v="SHREE GANESH TRADING COMPANY"/>
    <n v="119261"/>
    <s v="DURGESH ENTERPRISES"/>
    <n v="100"/>
    <n v="0"/>
    <n v="102"/>
    <n v="105.95"/>
    <n v="2"/>
    <n v="100"/>
    <n v="73"/>
    <n v="482.95"/>
    <n v="68.992857142857147"/>
    <x v="3"/>
    <x v="3"/>
    <x v="1"/>
    <x v="0"/>
  </r>
  <r>
    <s v="806433119261"/>
    <n v="806433"/>
    <s v="GOYAL CONSTRUCTION &amp; CONSULTAN"/>
    <n v="119261"/>
    <s v="DURGESH ENTERPRISES"/>
    <n v="508.75"/>
    <n v="197.95"/>
    <n v="517.75"/>
    <n v="511.55"/>
    <n v="554.15"/>
    <n v="634.25"/>
    <n v="326.5"/>
    <n v="3250.9"/>
    <n v="464.41428571428571"/>
    <x v="3"/>
    <x v="3"/>
    <x v="1"/>
    <x v="0"/>
  </r>
  <r>
    <s v="806510119261"/>
    <n v="806510"/>
    <s v="GOVIND TRADERS"/>
    <n v="119261"/>
    <s v="DURGESH ENTERPRISES"/>
    <n v="0"/>
    <n v="0"/>
    <n v="30"/>
    <n v="53"/>
    <n v="21"/>
    <n v="0"/>
    <n v="0"/>
    <n v="104"/>
    <n v="14.857142857142858"/>
    <x v="2"/>
    <x v="3"/>
    <x v="1"/>
    <x v="0"/>
  </r>
  <r>
    <s v="806722119261"/>
    <n v="806722"/>
    <s v="AGARWAL PROPERTIES AND BUILDIN"/>
    <n v="119261"/>
    <s v="DURGESH ENTERPRISES"/>
    <n v="30"/>
    <n v="0"/>
    <n v="0"/>
    <n v="23"/>
    <n v="10"/>
    <n v="34.5"/>
    <n v="50"/>
    <n v="147.5"/>
    <n v="21.071428571428573"/>
    <x v="0"/>
    <x v="3"/>
    <x v="1"/>
    <x v="0"/>
  </r>
  <r>
    <s v="806723119261"/>
    <n v="806723"/>
    <s v="LAXMI BUILDING MATERIAL SUPPLI"/>
    <n v="119261"/>
    <s v="DURGESH ENTERPRISES"/>
    <n v="50"/>
    <n v="0"/>
    <n v="53.5"/>
    <n v="53.5"/>
    <n v="51"/>
    <n v="51"/>
    <n v="76"/>
    <n v="335"/>
    <n v="47.857142857142854"/>
    <x v="5"/>
    <x v="3"/>
    <x v="1"/>
    <x v="0"/>
  </r>
  <r>
    <s v="807120119261"/>
    <n v="807120"/>
    <s v="AGARWAL SANITATION"/>
    <n v="119261"/>
    <s v="DURGESH ENTERPRISES"/>
    <n v="100.75"/>
    <n v="0"/>
    <n v="0"/>
    <n v="107"/>
    <n v="100"/>
    <n v="102"/>
    <n v="107.8"/>
    <n v="517.54999999999995"/>
    <n v="73.935714285714283"/>
    <x v="3"/>
    <x v="3"/>
    <x v="1"/>
    <x v="0"/>
  </r>
  <r>
    <s v="807203119261"/>
    <n v="807203"/>
    <s v="GAGAN TRADERS"/>
    <n v="119261"/>
    <s v="DURGESH ENTERPRISES"/>
    <n v="0"/>
    <n v="0"/>
    <n v="0"/>
    <n v="14"/>
    <n v="1"/>
    <n v="1"/>
    <n v="0"/>
    <n v="16"/>
    <n v="2.2857142857142856"/>
    <x v="1"/>
    <x v="3"/>
    <x v="1"/>
    <x v="0"/>
  </r>
  <r>
    <s v="807353119261"/>
    <n v="807353"/>
    <s v="AGRWAL TRADERS"/>
    <n v="119261"/>
    <s v="DURGESH ENTERPRISES"/>
    <n v="101.15"/>
    <n v="0"/>
    <n v="101"/>
    <n v="102"/>
    <n v="52.5"/>
    <n v="50"/>
    <n v="100"/>
    <n v="506.65"/>
    <n v="72.378571428571419"/>
    <x v="3"/>
    <x v="3"/>
    <x v="1"/>
    <x v="0"/>
  </r>
  <r>
    <s v="807889119261"/>
    <n v="807889"/>
    <s v="GUPTA BUILDING MATERIAL SUPPLI"/>
    <n v="119261"/>
    <s v="DURGESH ENTERPRISES"/>
    <n v="50"/>
    <n v="0"/>
    <n v="51"/>
    <n v="77"/>
    <n v="51.25"/>
    <n v="60"/>
    <n v="83"/>
    <n v="372.25"/>
    <n v="53.178571428571431"/>
    <x v="3"/>
    <x v="3"/>
    <x v="1"/>
    <x v="0"/>
  </r>
  <r>
    <s v="809579119261"/>
    <n v="809579"/>
    <s v="TAMBI TRADING CO"/>
    <n v="119261"/>
    <s v="DURGESH ENTERPRISES"/>
    <n v="100"/>
    <n v="58"/>
    <n v="101"/>
    <n v="142"/>
    <n v="58.5"/>
    <n v="102"/>
    <n v="111"/>
    <n v="672.5"/>
    <n v="96.071428571428569"/>
    <x v="3"/>
    <x v="3"/>
    <x v="1"/>
    <x v="0"/>
  </r>
  <r>
    <s v="810242119261"/>
    <n v="810242"/>
    <s v="GOYAL TRADERS"/>
    <n v="119261"/>
    <s v="DURGESH ENTERPRISES"/>
    <n v="343.75"/>
    <n v="117.25"/>
    <n v="141.25"/>
    <n v="255.75"/>
    <n v="542"/>
    <n v="1008.2"/>
    <n v="290"/>
    <n v="2698.2"/>
    <n v="385.45714285714286"/>
    <x v="3"/>
    <x v="3"/>
    <x v="1"/>
    <x v="0"/>
  </r>
  <r>
    <s v="810684119261"/>
    <n v="810684"/>
    <s v="CHANDER TIMBER DEPOT"/>
    <n v="119261"/>
    <s v="DURGESH ENTERPRISES"/>
    <n v="0"/>
    <n v="0"/>
    <n v="0"/>
    <n v="11"/>
    <n v="0"/>
    <n v="0"/>
    <n v="26"/>
    <n v="37"/>
    <n v="5.2857142857142856"/>
    <x v="1"/>
    <x v="3"/>
    <x v="1"/>
    <x v="0"/>
  </r>
  <r>
    <s v="810830119261"/>
    <n v="810830"/>
    <s v="SUMAN ENTERPRISES"/>
    <n v="119261"/>
    <s v="DURGESH ENTERPRISES"/>
    <n v="30"/>
    <n v="0"/>
    <n v="0"/>
    <n v="16.5"/>
    <n v="21"/>
    <n v="22.5"/>
    <n v="0"/>
    <n v="90"/>
    <n v="12.857142857142858"/>
    <x v="2"/>
    <x v="3"/>
    <x v="1"/>
    <x v="0"/>
  </r>
  <r>
    <s v="814290119261"/>
    <n v="814290"/>
    <s v="SUIWAL BROTHERS"/>
    <n v="119261"/>
    <s v="DURGESH ENTERPRISES"/>
    <n v="100"/>
    <n v="105"/>
    <n v="50"/>
    <n v="137"/>
    <n v="121.5"/>
    <n v="113.5"/>
    <n v="77.75"/>
    <n v="704.75"/>
    <n v="100.67857142857143"/>
    <x v="3"/>
    <x v="3"/>
    <x v="1"/>
    <x v="0"/>
  </r>
  <r>
    <s v="815646119261"/>
    <n v="815646"/>
    <s v="KHANDELWAL TRADERS"/>
    <n v="119261"/>
    <s v="DURGESH ENTERPRISES"/>
    <n v="0"/>
    <n v="0"/>
    <n v="0"/>
    <n v="0"/>
    <n v="51"/>
    <n v="0"/>
    <n v="42"/>
    <n v="93"/>
    <n v="13.285714285714286"/>
    <x v="2"/>
    <x v="3"/>
    <x v="1"/>
    <x v="0"/>
  </r>
  <r>
    <s v="815647119261"/>
    <n v="815647"/>
    <s v="KHANDELWAL AGENCY"/>
    <n v="119261"/>
    <s v="DURGESH ENTERPRISES"/>
    <n v="0"/>
    <n v="0"/>
    <n v="0"/>
    <n v="0"/>
    <n v="22.75"/>
    <n v="0"/>
    <n v="10"/>
    <n v="32.75"/>
    <n v="4.6785714285714288"/>
    <x v="1"/>
    <x v="3"/>
    <x v="1"/>
    <x v="0"/>
  </r>
  <r>
    <s v="815658119261"/>
    <n v="815658"/>
    <s v="SHASHI ENTERPRISES"/>
    <n v="119261"/>
    <s v="DURGESH ENTERPRISES"/>
    <n v="0"/>
    <n v="0"/>
    <n v="0"/>
    <n v="0"/>
    <n v="57.75"/>
    <n v="75"/>
    <n v="51"/>
    <n v="183.75"/>
    <n v="26.25"/>
    <x v="0"/>
    <x v="3"/>
    <x v="1"/>
    <x v="0"/>
  </r>
  <r>
    <s v="815672119261"/>
    <n v="815672"/>
    <s v="J KUMAR &amp; COMPANY"/>
    <n v="119261"/>
    <s v="DURGESH ENTERPRISES"/>
    <n v="0"/>
    <n v="0"/>
    <n v="0"/>
    <n v="0"/>
    <n v="51"/>
    <n v="0"/>
    <n v="51"/>
    <n v="102"/>
    <n v="14.571428571428571"/>
    <x v="2"/>
    <x v="3"/>
    <x v="1"/>
    <x v="0"/>
  </r>
  <r>
    <s v="804935122537"/>
    <n v="804935"/>
    <s v="SHREE SHYAM TRADERS"/>
    <n v="122537"/>
    <s v="SARASWATI TRADERS"/>
    <n v="38.450000000000003"/>
    <n v="5"/>
    <n v="56.25"/>
    <n v="84.75"/>
    <n v="137.5"/>
    <n v="85.25"/>
    <n v="72.5"/>
    <n v="479.7"/>
    <n v="68.528571428571425"/>
    <x v="3"/>
    <x v="3"/>
    <x v="1"/>
    <x v="0"/>
  </r>
  <r>
    <s v="808937125022"/>
    <n v="808937"/>
    <s v="R K TRADERS"/>
    <n v="125022"/>
    <s v="SHIV CEMENT AGENCY"/>
    <n v="10"/>
    <n v="28.5"/>
    <n v="63"/>
    <n v="47.5"/>
    <n v="55"/>
    <n v="34"/>
    <n v="40"/>
    <n v="278"/>
    <n v="39.714285714285715"/>
    <x v="4"/>
    <x v="3"/>
    <x v="1"/>
    <x v="0"/>
  </r>
  <r>
    <s v="814651141146"/>
    <n v="814651"/>
    <s v="SHREE SHYAM BUILDING MATERIAL"/>
    <n v="141146"/>
    <s v="KEDIA TRADING COMPANY"/>
    <n v="77.25"/>
    <n v="78.5"/>
    <n v="101.25"/>
    <n v="58"/>
    <n v="73"/>
    <n v="55.25"/>
    <n v="32"/>
    <n v="475.25"/>
    <n v="67.892857142857139"/>
    <x v="3"/>
    <x v="3"/>
    <x v="1"/>
    <x v="0"/>
  </r>
  <r>
    <s v="806616141512"/>
    <n v="806616"/>
    <s v="SHRI SHYAM TENT HOUSE"/>
    <n v="141512"/>
    <s v="MISHRA TRADERS"/>
    <n v="28.5"/>
    <n v="74.5"/>
    <n v="101"/>
    <n v="58.55"/>
    <n v="103.5"/>
    <n v="30"/>
    <n v="46.5"/>
    <n v="442.55"/>
    <n v="63.221428571428575"/>
    <x v="3"/>
    <x v="3"/>
    <x v="1"/>
    <x v="0"/>
  </r>
  <r>
    <s v="806898141512"/>
    <n v="806898"/>
    <s v="SHIV SHANKAR BUILDING MATERIAL"/>
    <n v="141512"/>
    <s v="MISHRA TRADERS"/>
    <n v="81.5"/>
    <n v="131.44999999999999"/>
    <n v="153"/>
    <n v="118"/>
    <n v="50.75"/>
    <n v="20"/>
    <n v="54.55"/>
    <n v="609.25"/>
    <n v="87.035714285714292"/>
    <x v="3"/>
    <x v="3"/>
    <x v="1"/>
    <x v="0"/>
  </r>
  <r>
    <s v="807690141512"/>
    <n v="807690"/>
    <s v="SAPNA BUILDING MATERIAL SUPPLI"/>
    <n v="141512"/>
    <s v="MISHRA TRADERS"/>
    <n v="0"/>
    <n v="9.9499999999999993"/>
    <n v="0"/>
    <n v="0"/>
    <n v="0"/>
    <n v="2.5"/>
    <n v="0"/>
    <n v="12.45"/>
    <n v="1.7785714285714285"/>
    <x v="1"/>
    <x v="3"/>
    <x v="1"/>
    <x v="0"/>
  </r>
  <r>
    <s v="808731141512"/>
    <n v="808731"/>
    <s v="GANESH TRADERS"/>
    <n v="141512"/>
    <s v="MISHRA TRADERS"/>
    <n v="48"/>
    <n v="31"/>
    <n v="50"/>
    <n v="51"/>
    <n v="75.5"/>
    <n v="10"/>
    <n v="40.5"/>
    <n v="306"/>
    <n v="43.714285714285715"/>
    <x v="5"/>
    <x v="3"/>
    <x v="1"/>
    <x v="0"/>
  </r>
  <r>
    <s v="810821141512"/>
    <n v="810821"/>
    <s v="S R TRADERS"/>
    <n v="141512"/>
    <s v="MISHRA TRADERS"/>
    <n v="10"/>
    <n v="3"/>
    <n v="50"/>
    <n v="51"/>
    <n v="22.5"/>
    <n v="25"/>
    <n v="25"/>
    <n v="186.5"/>
    <n v="26.642857142857142"/>
    <x v="0"/>
    <x v="3"/>
    <x v="1"/>
    <x v="0"/>
  </r>
  <r>
    <s v="811639141512"/>
    <n v="811639"/>
    <s v="SAPNA TRADERS"/>
    <n v="141512"/>
    <s v="MISHRA TRADERS"/>
    <n v="30"/>
    <n v="5"/>
    <n v="25"/>
    <n v="33"/>
    <n v="67.699999999999989"/>
    <n v="51.75"/>
    <n v="33.049999999999997"/>
    <n v="245.5"/>
    <n v="35.071428571428569"/>
    <x v="4"/>
    <x v="3"/>
    <x v="1"/>
    <x v="0"/>
  </r>
  <r>
    <s v="814097141512"/>
    <n v="814097"/>
    <s v="HARI OM TRADERS"/>
    <n v="141512"/>
    <s v="MISHRA TRADERS"/>
    <n v="34"/>
    <n v="40.5"/>
    <n v="75"/>
    <n v="51"/>
    <n v="47.5"/>
    <n v="24.75"/>
    <n v="42"/>
    <n v="314.75"/>
    <n v="44.964285714285715"/>
    <x v="5"/>
    <x v="3"/>
    <x v="1"/>
    <x v="0"/>
  </r>
  <r>
    <s v="814528141512"/>
    <n v="814528"/>
    <s v="SHIVANSH TRADERS"/>
    <n v="141512"/>
    <s v="MISHRA TRADERS"/>
    <n v="186"/>
    <n v="156"/>
    <n v="180"/>
    <n v="162.44999999999999"/>
    <n v="90.5"/>
    <n v="32.35"/>
    <n v="130"/>
    <n v="937.30000000000007"/>
    <n v="133.9"/>
    <x v="3"/>
    <x v="3"/>
    <x v="1"/>
    <x v="0"/>
  </r>
  <r>
    <s v="814541141512"/>
    <n v="814541"/>
    <s v="RUDRA TRADERS"/>
    <n v="141512"/>
    <s v="MISHRA TRADERS"/>
    <n v="30"/>
    <n v="4.75"/>
    <n v="20"/>
    <n v="0"/>
    <n v="13.8"/>
    <n v="5"/>
    <n v="30"/>
    <n v="103.55"/>
    <n v="14.792857142857143"/>
    <x v="2"/>
    <x v="3"/>
    <x v="1"/>
    <x v="0"/>
  </r>
  <r>
    <s v="807065143301"/>
    <n v="807065"/>
    <s v="KUMAWAT CEMENT AGENCY"/>
    <n v="143301"/>
    <s v="LAXMI TRADERS"/>
    <n v="51.95"/>
    <n v="0"/>
    <n v="75.349999999999994"/>
    <n v="64.5"/>
    <n v="10"/>
    <n v="84.5"/>
    <n v="20"/>
    <n v="306.3"/>
    <n v="43.75714285714286"/>
    <x v="5"/>
    <x v="3"/>
    <x v="1"/>
    <x v="0"/>
  </r>
  <r>
    <s v="803877143416"/>
    <n v="803877"/>
    <s v="LOKESH BUILDING MATERIAL"/>
    <n v="143416"/>
    <s v="ANKIT AGENCIES"/>
    <n v="5"/>
    <n v="6.75"/>
    <n v="12.25"/>
    <n v="22.5"/>
    <n v="0"/>
    <n v="0"/>
    <n v="0"/>
    <n v="46.5"/>
    <n v="6.6428571428571432"/>
    <x v="1"/>
    <x v="3"/>
    <x v="1"/>
    <x v="0"/>
  </r>
  <r>
    <s v="814503143416"/>
    <n v="814503"/>
    <s v="CHHITAR MAL KUMAWAT"/>
    <n v="143416"/>
    <s v="ANKIT AGENCIES"/>
    <n v="0"/>
    <n v="0"/>
    <n v="0"/>
    <n v="10"/>
    <n v="0"/>
    <n v="0"/>
    <n v="0"/>
    <n v="10"/>
    <n v="1.4285714285714286"/>
    <x v="1"/>
    <x v="3"/>
    <x v="1"/>
    <x v="0"/>
  </r>
  <r>
    <s v="814521143416"/>
    <n v="814521"/>
    <s v="TEENA BUILDING MATERIAL SUPPLI"/>
    <n v="143416"/>
    <s v="ANKIT AGENCIES"/>
    <n v="93.35"/>
    <n v="62.75"/>
    <n v="71.75"/>
    <n v="109.5"/>
    <n v="128.5"/>
    <n v="116.5"/>
    <n v="38"/>
    <n v="620.35"/>
    <n v="88.621428571428581"/>
    <x v="3"/>
    <x v="3"/>
    <x v="1"/>
    <x v="0"/>
  </r>
  <r>
    <s v="809918144868"/>
    <n v="809918"/>
    <s v="SHRI LAXMI AGENCIES"/>
    <n v="144868"/>
    <s v="ASHISH SALES CORPORATION"/>
    <n v="81"/>
    <n v="15"/>
    <n v="62"/>
    <n v="149.25"/>
    <n v="100.5"/>
    <n v="34"/>
    <n v="88.25"/>
    <n v="530"/>
    <n v="75.714285714285708"/>
    <x v="3"/>
    <x v="3"/>
    <x v="1"/>
    <x v="0"/>
  </r>
  <r>
    <s v="811251144868"/>
    <n v="811251"/>
    <s v="VIVEK ENTERPRISES"/>
    <n v="144868"/>
    <s v="ASHISH SALES CORPORATION"/>
    <n v="8"/>
    <n v="0"/>
    <n v="5"/>
    <n v="5"/>
    <n v="10"/>
    <n v="0"/>
    <n v="5"/>
    <n v="33"/>
    <n v="4.7142857142857144"/>
    <x v="1"/>
    <x v="3"/>
    <x v="1"/>
    <x v="0"/>
  </r>
  <r>
    <s v="812072144868"/>
    <n v="812072"/>
    <s v="ANUPAM PAINTS AND HARDWARES"/>
    <n v="144868"/>
    <s v="ASHISH SALES CORPORATION"/>
    <n v="5"/>
    <n v="2.5"/>
    <n v="0"/>
    <n v="5"/>
    <n v="15"/>
    <n v="0"/>
    <n v="0"/>
    <n v="27.5"/>
    <n v="3.9285714285714284"/>
    <x v="1"/>
    <x v="3"/>
    <x v="1"/>
    <x v="0"/>
  </r>
  <r>
    <s v="813800144868"/>
    <n v="813800"/>
    <s v="SHAKUN ENTERPRISES"/>
    <n v="144868"/>
    <s v="ASHISH SALES CORPORATION"/>
    <n v="0"/>
    <n v="7.5"/>
    <n v="27"/>
    <n v="5"/>
    <n v="12.5"/>
    <n v="12.5"/>
    <n v="0"/>
    <n v="64.5"/>
    <n v="9.2142857142857135"/>
    <x v="1"/>
    <x v="3"/>
    <x v="1"/>
    <x v="0"/>
  </r>
  <r>
    <s v="816351145135"/>
    <n v="816351"/>
    <s v="PRIYANKA ENTERPRISES"/>
    <n v="145135"/>
    <s v="AHUJA CEMENT &amp; SANITARYWARE"/>
    <n v="0"/>
    <n v="0"/>
    <n v="0"/>
    <n v="0"/>
    <n v="0"/>
    <n v="41"/>
    <n v="70.400000000000006"/>
    <n v="111.4"/>
    <n v="15.914285714285715"/>
    <x v="2"/>
    <x v="3"/>
    <x v="1"/>
    <x v="0"/>
  </r>
  <r>
    <s v="811401145639"/>
    <n v="811401"/>
    <s v="KAMAL SINGH GURJAR"/>
    <n v="145639"/>
    <s v="GOVIND TRADERS"/>
    <n v="0"/>
    <n v="0"/>
    <n v="0"/>
    <n v="4"/>
    <n v="21"/>
    <n v="9"/>
    <n v="0"/>
    <n v="34"/>
    <n v="4.8571428571428568"/>
    <x v="1"/>
    <x v="3"/>
    <x v="1"/>
    <x v="0"/>
  </r>
  <r>
    <s v="812102145639"/>
    <n v="812102"/>
    <s v="RIYA TRADERS"/>
    <n v="145639"/>
    <s v="GOVIND TRADERS"/>
    <n v="10"/>
    <n v="10.5"/>
    <n v="27.75"/>
    <n v="12"/>
    <n v="21"/>
    <n v="19"/>
    <n v="9.5"/>
    <n v="109.75"/>
    <n v="15.678571428571429"/>
    <x v="2"/>
    <x v="3"/>
    <x v="1"/>
    <x v="0"/>
  </r>
  <r>
    <s v="812161145639"/>
    <n v="812161"/>
    <s v="ARPIT TRADERS"/>
    <n v="145639"/>
    <s v="GOVIND TRADERS"/>
    <n v="68"/>
    <n v="50"/>
    <n v="114.5"/>
    <n v="93.5"/>
    <n v="127.75"/>
    <n v="110.5"/>
    <n v="41"/>
    <n v="605.25"/>
    <n v="86.464285714285708"/>
    <x v="3"/>
    <x v="3"/>
    <x v="1"/>
    <x v="0"/>
  </r>
  <r>
    <s v="805005146845"/>
    <n v="805005"/>
    <s v="NETA ELECTRICALS"/>
    <n v="146845"/>
    <s v="SHARDA TRADERS"/>
    <n v="52"/>
    <n v="32.5"/>
    <n v="40"/>
    <n v="73.099999999999994"/>
    <n v="58.25"/>
    <n v="44.45"/>
    <n v="25"/>
    <n v="325.3"/>
    <n v="46.471428571428575"/>
    <x v="5"/>
    <x v="3"/>
    <x v="1"/>
    <x v="0"/>
  </r>
  <r>
    <s v="807121146845"/>
    <n v="807121"/>
    <s v="SHARDA ENTERPRISES"/>
    <n v="146845"/>
    <s v="SHARDA TRADERS"/>
    <n v="98"/>
    <n v="107.25"/>
    <n v="138.5"/>
    <n v="82.4"/>
    <n v="77.05"/>
    <n v="92.75"/>
    <n v="45"/>
    <n v="640.95000000000005"/>
    <n v="91.564285714285717"/>
    <x v="3"/>
    <x v="3"/>
    <x v="1"/>
    <x v="0"/>
  </r>
  <r>
    <s v="812425146909"/>
    <n v="812425"/>
    <s v="KUSHAL TRADING COMPANY"/>
    <n v="146909"/>
    <s v="AMERIA BUILDING MATERIAL"/>
    <n v="129.44999999999999"/>
    <n v="35"/>
    <n v="170.5"/>
    <n v="186"/>
    <n v="190"/>
    <n v="110.5"/>
    <n v="11.25"/>
    <n v="832.7"/>
    <n v="118.95714285714287"/>
    <x v="3"/>
    <x v="3"/>
    <x v="1"/>
    <x v="0"/>
  </r>
  <r>
    <s v="813149149583"/>
    <n v="813149"/>
    <s v="RAVITA TRADERS"/>
    <n v="149583"/>
    <s v="M A TRADING COMPANY"/>
    <n v="50.5"/>
    <n v="50"/>
    <n v="66"/>
    <n v="42"/>
    <n v="31.5"/>
    <n v="20"/>
    <n v="19"/>
    <n v="279"/>
    <n v="39.857142857142854"/>
    <x v="4"/>
    <x v="3"/>
    <x v="1"/>
    <x v="0"/>
  </r>
  <r>
    <s v="812883149825"/>
    <n v="812883"/>
    <s v="MARUTI ENTERPRISES"/>
    <n v="149825"/>
    <s v="MISHRA CEMENT AGENCIES"/>
    <n v="26"/>
    <n v="10"/>
    <n v="35"/>
    <n v="40"/>
    <n v="63.5"/>
    <n v="20"/>
    <n v="15"/>
    <n v="209.5"/>
    <n v="29.928571428571427"/>
    <x v="0"/>
    <x v="3"/>
    <x v="1"/>
    <x v="0"/>
  </r>
  <r>
    <s v="811862149872"/>
    <n v="811862"/>
    <s v="AKHIL AGARWAL"/>
    <n v="149872"/>
    <s v="GD ASSOCIATES"/>
    <n v="77"/>
    <n v="35"/>
    <n v="126"/>
    <n v="160"/>
    <n v="181.75"/>
    <n v="150.5"/>
    <n v="25.4"/>
    <n v="755.65"/>
    <n v="107.95"/>
    <x v="3"/>
    <x v="3"/>
    <x v="1"/>
    <x v="0"/>
  </r>
  <r>
    <s v="807780149893"/>
    <n v="807780"/>
    <s v="BALAJI TRADERS"/>
    <n v="149893"/>
    <s v="DRASHTIKA ENTERPRISES"/>
    <n v="33.5"/>
    <n v="22.5"/>
    <n v="49.75"/>
    <n v="35"/>
    <n v="56.5"/>
    <n v="78.75"/>
    <n v="41"/>
    <n v="317"/>
    <n v="45.285714285714285"/>
    <x v="5"/>
    <x v="3"/>
    <x v="1"/>
    <x v="0"/>
  </r>
  <r>
    <s v="807142171947"/>
    <n v="807142"/>
    <s v="R S TRADERS"/>
    <n v="171947"/>
    <s v="M.N.ASSOCIATES"/>
    <n v="61.5"/>
    <n v="76.75"/>
    <n v="62.5"/>
    <n v="109.65"/>
    <n v="116.5"/>
    <n v="130"/>
    <n v="48.75"/>
    <n v="605.65"/>
    <n v="86.521428571428572"/>
    <x v="3"/>
    <x v="3"/>
    <x v="1"/>
    <x v="0"/>
  </r>
  <r>
    <s v="807202171947"/>
    <n v="807202"/>
    <s v="SHREE RADHIKA TRADERS"/>
    <n v="171947"/>
    <s v="M.N.ASSOCIATES"/>
    <n v="40"/>
    <n v="0"/>
    <n v="5"/>
    <n v="20"/>
    <n v="27.5"/>
    <n v="20.5"/>
    <n v="12.5"/>
    <n v="125.5"/>
    <n v="17.928571428571427"/>
    <x v="2"/>
    <x v="3"/>
    <x v="1"/>
    <x v="0"/>
  </r>
  <r>
    <s v="809618171947"/>
    <n v="809618"/>
    <s v="PUNJABI BUILDING MATERIALS"/>
    <n v="171947"/>
    <s v="M.N.ASSOCIATES"/>
    <n v="55"/>
    <n v="23.5"/>
    <n v="37.5"/>
    <n v="82.5"/>
    <n v="107.5"/>
    <n v="93"/>
    <n v="35.25"/>
    <n v="434.25"/>
    <n v="62.035714285714285"/>
    <x v="3"/>
    <x v="3"/>
    <x v="1"/>
    <x v="0"/>
  </r>
  <r>
    <s v="809917172150"/>
    <n v="809917"/>
    <s v="HIMANI ASSOCIATES"/>
    <n v="172150"/>
    <s v="GHODELA BUILDING MATERIAL AND"/>
    <n v="51.8"/>
    <n v="33.25"/>
    <n v="65"/>
    <n v="94"/>
    <n v="117.75"/>
    <n v="148.5"/>
    <n v="75.75"/>
    <n v="586.04999999999995"/>
    <n v="83.721428571428561"/>
    <x v="3"/>
    <x v="3"/>
    <x v="1"/>
    <x v="0"/>
  </r>
  <r>
    <s v="814942172150"/>
    <n v="814942"/>
    <s v="RAJESH BUILDING MATERIAL AND S"/>
    <n v="172150"/>
    <s v="GHODELA BUILDING MATERIAL AND"/>
    <n v="17.75"/>
    <n v="30"/>
    <n v="35.75"/>
    <n v="65"/>
    <n v="57"/>
    <n v="40.5"/>
    <n v="17"/>
    <n v="263"/>
    <n v="37.571428571428569"/>
    <x v="4"/>
    <x v="3"/>
    <x v="1"/>
    <x v="0"/>
  </r>
  <r>
    <s v="803698172976"/>
    <n v="803698"/>
    <s v="RAVI SHANKAR SAINI"/>
    <n v="172976"/>
    <s v="SHRI RAM BUILDING MATERIAL"/>
    <n v="0"/>
    <n v="5"/>
    <n v="21"/>
    <n v="17.5"/>
    <n v="53"/>
    <n v="1"/>
    <n v="32.5"/>
    <n v="130"/>
    <n v="18.571428571428573"/>
    <x v="2"/>
    <x v="3"/>
    <x v="1"/>
    <x v="0"/>
  </r>
  <r>
    <s v="809534174445"/>
    <n v="809534"/>
    <s v="SATTGURU BUILDING MATERIAL SUP"/>
    <n v="174445"/>
    <s v="RAM JI BUILDING MATERIAL SUPPL"/>
    <n v="14.5"/>
    <n v="26.25"/>
    <n v="22.5"/>
    <n v="39.200000000000003"/>
    <n v="15"/>
    <n v="51.5"/>
    <n v="20"/>
    <n v="188.95"/>
    <n v="26.99285714285714"/>
    <x v="0"/>
    <x v="3"/>
    <x v="1"/>
    <x v="0"/>
  </r>
  <r>
    <s v="811183174445"/>
    <n v="811183"/>
    <s v="SHARMA BUILDING MATERIAL SUPPL"/>
    <n v="174445"/>
    <s v="RAM JI BUILDING MATERIAL SUPPL"/>
    <n v="16"/>
    <n v="22.5"/>
    <n v="15"/>
    <n v="54"/>
    <n v="20"/>
    <n v="19"/>
    <n v="10"/>
    <n v="156.5"/>
    <n v="22.357142857142858"/>
    <x v="0"/>
    <x v="3"/>
    <x v="1"/>
    <x v="0"/>
  </r>
  <r>
    <s v="812142174445"/>
    <n v="812142"/>
    <s v="GURUKRIPA SUPPLIERS"/>
    <n v="174445"/>
    <s v="RAM JI BUILDING MATERIAL SUPPL"/>
    <n v="14.5"/>
    <n v="15"/>
    <n v="20.5"/>
    <n v="38"/>
    <n v="15"/>
    <n v="19"/>
    <n v="10"/>
    <n v="132"/>
    <n v="18.857142857142858"/>
    <x v="2"/>
    <x v="3"/>
    <x v="1"/>
    <x v="0"/>
  </r>
  <r>
    <s v="812196174445"/>
    <n v="812196"/>
    <s v="SHREE KALYAN BUILDING MATERIAL"/>
    <n v="174445"/>
    <s v="RAM JI BUILDING MATERIAL SUPPL"/>
    <n v="0"/>
    <n v="15"/>
    <n v="20"/>
    <n v="42.5"/>
    <n v="20"/>
    <n v="19"/>
    <n v="10"/>
    <n v="126.5"/>
    <n v="18.071428571428573"/>
    <x v="2"/>
    <x v="3"/>
    <x v="1"/>
    <x v="0"/>
  </r>
  <r>
    <s v="812237174445"/>
    <n v="812237"/>
    <s v="MEENA BUILDING MATERIAL SUPPLI"/>
    <n v="174445"/>
    <s v="RAM JI BUILDING MATERIAL SUPPL"/>
    <n v="15.6"/>
    <n v="23.75"/>
    <n v="27.5"/>
    <n v="40"/>
    <n v="20.5"/>
    <n v="74.5"/>
    <n v="10"/>
    <n v="211.85"/>
    <n v="30.264285714285712"/>
    <x v="4"/>
    <x v="3"/>
    <x v="1"/>
    <x v="0"/>
  </r>
  <r>
    <s v="814248174693"/>
    <n v="814248"/>
    <s v="SITARAM INFRA PROJECTS"/>
    <n v="174693"/>
    <s v="SHARMA SALES CORPORATION"/>
    <n v="39"/>
    <n v="0"/>
    <n v="0"/>
    <n v="0"/>
    <n v="0"/>
    <n v="0"/>
    <n v="0"/>
    <n v="39"/>
    <n v="5.5714285714285712"/>
    <x v="1"/>
    <x v="3"/>
    <x v="1"/>
    <x v="0"/>
  </r>
  <r>
    <s v="803018176276"/>
    <n v="803018"/>
    <s v="SHARMA BUILDING MATERIAL SUPPL"/>
    <n v="176276"/>
    <s v="LAXMI BUILDING MATERIAL STORE"/>
    <n v="25"/>
    <n v="10"/>
    <n v="5"/>
    <n v="17.5"/>
    <n v="10"/>
    <n v="5"/>
    <n v="5"/>
    <n v="77.5"/>
    <n v="11.071428571428571"/>
    <x v="2"/>
    <x v="3"/>
    <x v="1"/>
    <x v="0"/>
  </r>
  <r>
    <s v="805378176276"/>
    <n v="805378"/>
    <s v="BANWARI LAL KUMHAR"/>
    <n v="176276"/>
    <s v="LAXMI BUILDING MATERIAL STORE"/>
    <n v="47.5"/>
    <n v="50"/>
    <n v="66"/>
    <n v="80.5"/>
    <n v="100"/>
    <n v="100"/>
    <n v="31"/>
    <n v="475"/>
    <n v="67.857142857142861"/>
    <x v="3"/>
    <x v="3"/>
    <x v="1"/>
    <x v="0"/>
  </r>
  <r>
    <s v="813271176276"/>
    <n v="813271"/>
    <s v="PRAJAPAT CEMENT AGENCY"/>
    <n v="176276"/>
    <s v="LAXMI BUILDING MATERIAL STORE"/>
    <n v="35"/>
    <n v="50"/>
    <n v="45"/>
    <n v="66.5"/>
    <n v="70"/>
    <n v="43"/>
    <n v="10"/>
    <n v="319.5"/>
    <n v="45.642857142857146"/>
    <x v="5"/>
    <x v="3"/>
    <x v="1"/>
    <x v="0"/>
  </r>
  <r>
    <s v="807416176279"/>
    <n v="807416"/>
    <s v="JAI SHREE SHYAM TRADERS"/>
    <n v="176279"/>
    <s v="ADITYA ENTERPRISES"/>
    <n v="57.85"/>
    <n v="9"/>
    <n v="55.5"/>
    <n v="70"/>
    <n v="117.5"/>
    <n v="83.5"/>
    <n v="33.5"/>
    <n v="426.85"/>
    <n v="60.978571428571435"/>
    <x v="3"/>
    <x v="3"/>
    <x v="1"/>
    <x v="0"/>
  </r>
  <r>
    <s v="811455176279"/>
    <n v="811455"/>
    <s v="MADAN SANITATION"/>
    <n v="176279"/>
    <s v="ADITYA ENTERPRISES"/>
    <n v="5"/>
    <n v="10"/>
    <n v="31.25"/>
    <n v="27.5"/>
    <n v="50"/>
    <n v="50.5"/>
    <n v="5"/>
    <n v="179.25"/>
    <n v="25.607142857142858"/>
    <x v="0"/>
    <x v="3"/>
    <x v="1"/>
    <x v="0"/>
  </r>
  <r>
    <s v="811535176279"/>
    <n v="811535"/>
    <s v="SHREE BALAJI BUILDING MATERIAL"/>
    <n v="176279"/>
    <s v="ADITYA ENTERPRISES"/>
    <n v="0"/>
    <n v="11"/>
    <n v="5"/>
    <n v="38.5"/>
    <n v="17.5"/>
    <n v="10"/>
    <n v="0"/>
    <n v="82"/>
    <n v="11.714285714285714"/>
    <x v="2"/>
    <x v="3"/>
    <x v="1"/>
    <x v="0"/>
  </r>
  <r>
    <s v="812428176279"/>
    <n v="812428"/>
    <s v="SHREE JI HARDWARE &amp; SANITARY"/>
    <n v="176279"/>
    <s v="ADITYA ENTERPRISES"/>
    <n v="30.25"/>
    <n v="14.3"/>
    <n v="32.450000000000003"/>
    <n v="17.5"/>
    <n v="20"/>
    <n v="0"/>
    <n v="0"/>
    <n v="114.5"/>
    <n v="16.357142857142858"/>
    <x v="2"/>
    <x v="3"/>
    <x v="1"/>
    <x v="0"/>
  </r>
  <r>
    <s v="807122176303"/>
    <n v="807122"/>
    <s v="NANDINI TIMBER &amp; BUILDING MATE"/>
    <n v="176303"/>
    <s v="ASHISH TRADERS"/>
    <n v="13.5"/>
    <n v="20"/>
    <n v="15.75"/>
    <n v="8.5"/>
    <n v="25"/>
    <n v="35"/>
    <n v="15"/>
    <n v="132.75"/>
    <n v="18.964285714285715"/>
    <x v="2"/>
    <x v="3"/>
    <x v="1"/>
    <x v="0"/>
  </r>
  <r>
    <s v="807368176303"/>
    <n v="807368"/>
    <s v="SHRI SHYAM TRADERS"/>
    <n v="176303"/>
    <s v="ASHISH TRADERS"/>
    <n v="0"/>
    <n v="15"/>
    <n v="0"/>
    <n v="0"/>
    <n v="7.5"/>
    <n v="16"/>
    <n v="0"/>
    <n v="38.5"/>
    <n v="5.5"/>
    <x v="1"/>
    <x v="3"/>
    <x v="1"/>
    <x v="0"/>
  </r>
  <r>
    <s v="809479176303"/>
    <n v="809479"/>
    <s v="SHRI MINESH CONSTRUCTION COMPA"/>
    <n v="176303"/>
    <s v="ASHISH TRADERS"/>
    <n v="17.5"/>
    <n v="25.5"/>
    <n v="43.75"/>
    <n v="53.5"/>
    <n v="47.5"/>
    <n v="30"/>
    <n v="31.25"/>
    <n v="249"/>
    <n v="35.571428571428569"/>
    <x v="4"/>
    <x v="3"/>
    <x v="1"/>
    <x v="0"/>
  </r>
  <r>
    <s v="811243176303"/>
    <n v="811243"/>
    <s v="ANKIT TRADERS &amp; CONSTRUCTION"/>
    <n v="176303"/>
    <s v="ASHISH TRADERS"/>
    <n v="0"/>
    <n v="40"/>
    <n v="0"/>
    <n v="0"/>
    <n v="0"/>
    <n v="0"/>
    <n v="2.5"/>
    <n v="42.5"/>
    <n v="6.0714285714285712"/>
    <x v="1"/>
    <x v="3"/>
    <x v="1"/>
    <x v="0"/>
  </r>
  <r>
    <s v="813195176303"/>
    <n v="813195"/>
    <s v="YOGESH AGENCY"/>
    <n v="176303"/>
    <s v="ASHISH TRADERS"/>
    <n v="0"/>
    <n v="25"/>
    <n v="0"/>
    <n v="2.5"/>
    <n v="2.5"/>
    <n v="16"/>
    <n v="0"/>
    <n v="46"/>
    <n v="6.5714285714285712"/>
    <x v="1"/>
    <x v="3"/>
    <x v="1"/>
    <x v="0"/>
  </r>
  <r>
    <s v="814284176303"/>
    <n v="814284"/>
    <s v="SHREE TRADING COMPANY"/>
    <n v="176303"/>
    <s v="ASHISH TRADERS"/>
    <n v="0"/>
    <n v="20"/>
    <n v="62.5"/>
    <n v="43"/>
    <n v="32.5"/>
    <n v="23.5"/>
    <n v="19.5"/>
    <n v="201"/>
    <n v="28.714285714285715"/>
    <x v="0"/>
    <x v="3"/>
    <x v="1"/>
    <x v="0"/>
  </r>
  <r>
    <s v="812546176388"/>
    <n v="812546"/>
    <s v="MADHAV TRADERS"/>
    <n v="176388"/>
    <s v="KUMAWAT TRADERS"/>
    <n v="25"/>
    <n v="5"/>
    <n v="15"/>
    <n v="15"/>
    <n v="20"/>
    <n v="22.5"/>
    <n v="15"/>
    <n v="117.5"/>
    <n v="16.785714285714285"/>
    <x v="2"/>
    <x v="3"/>
    <x v="1"/>
    <x v="0"/>
  </r>
  <r>
    <s v="807781176647"/>
    <n v="807781"/>
    <s v="BALAJI TRADERS"/>
    <n v="176647"/>
    <s v="SHREE RIDDHI SIDDHI TRADERS"/>
    <n v="45.5"/>
    <n v="21"/>
    <n v="35"/>
    <n v="73"/>
    <n v="65.5"/>
    <n v="94.5"/>
    <n v="0"/>
    <n v="334.5"/>
    <n v="47.785714285714285"/>
    <x v="5"/>
    <x v="3"/>
    <x v="1"/>
    <x v="0"/>
  </r>
  <r>
    <s v="809330176647"/>
    <n v="809330"/>
    <s v="AGRAWAL PLYWOOD AND TIMBER"/>
    <n v="176647"/>
    <s v="SHREE RIDDHI SIDDHI TRADERS"/>
    <n v="2"/>
    <n v="25.5"/>
    <n v="164"/>
    <n v="168.5"/>
    <n v="142.9"/>
    <n v="122.85"/>
    <n v="37.5"/>
    <n v="663.25"/>
    <n v="94.75"/>
    <x v="3"/>
    <x v="3"/>
    <x v="1"/>
    <x v="0"/>
  </r>
  <r>
    <s v="813602177603"/>
    <n v="813602"/>
    <s v="YADAV CONSTRUCTION COMPANY"/>
    <n v="177603"/>
    <s v="SEEMA BUILDING MATERIAL SUPPLI"/>
    <n v="0"/>
    <n v="0"/>
    <n v="17"/>
    <n v="1"/>
    <n v="42.5"/>
    <n v="28"/>
    <n v="14"/>
    <n v="102.5"/>
    <n v="14.642857142857142"/>
    <x v="2"/>
    <x v="3"/>
    <x v="1"/>
    <x v="0"/>
  </r>
  <r>
    <s v="811137177957"/>
    <n v="811137"/>
    <s v="AGARWAL TRADERS"/>
    <n v="177957"/>
    <s v="MITTAL AGENCY"/>
    <n v="33.5"/>
    <n v="33.75"/>
    <n v="91.75"/>
    <n v="83.5"/>
    <n v="85.5"/>
    <n v="85.5"/>
    <n v="36.9"/>
    <n v="450.4"/>
    <n v="64.342857142857142"/>
    <x v="3"/>
    <x v="3"/>
    <x v="1"/>
    <x v="0"/>
  </r>
  <r>
    <s v="813074177957"/>
    <n v="813074"/>
    <s v="JAI KARAULI MAA TRADERS"/>
    <n v="177957"/>
    <s v="MITTAL AGENCY"/>
    <n v="5"/>
    <n v="0"/>
    <n v="33"/>
    <n v="22.5"/>
    <n v="17"/>
    <n v="31.5"/>
    <n v="5.65"/>
    <n v="114.65"/>
    <n v="16.37857142857143"/>
    <x v="2"/>
    <x v="3"/>
    <x v="1"/>
    <x v="0"/>
  </r>
  <r>
    <s v="814503177957"/>
    <n v="814503"/>
    <s v="CHHITAR MAL KUMAWAT"/>
    <n v="177957"/>
    <s v="MITTAL AGENCY"/>
    <n v="26.25"/>
    <n v="0"/>
    <n v="23.5"/>
    <n v="26.6"/>
    <n v="20"/>
    <n v="30.5"/>
    <n v="0"/>
    <n v="126.85"/>
    <n v="18.12142857142857"/>
    <x v="2"/>
    <x v="3"/>
    <x v="1"/>
    <x v="0"/>
  </r>
  <r>
    <s v="810127178137"/>
    <n v="810127"/>
    <s v="KHANDELWAL TRADERS"/>
    <n v="178137"/>
    <s v="KHANDELWAL TRADING AND COMPANY"/>
    <n v="15.5"/>
    <n v="28"/>
    <n v="54.4"/>
    <n v="27.5"/>
    <n v="90.35"/>
    <n v="93.5"/>
    <n v="27.75"/>
    <n v="337"/>
    <n v="48.142857142857146"/>
    <x v="5"/>
    <x v="3"/>
    <x v="1"/>
    <x v="0"/>
  </r>
  <r>
    <s v="806289179796"/>
    <n v="806289"/>
    <s v="ABHAY CONSTRUCTION AND PROPERT"/>
    <n v="179796"/>
    <s v="VINAYAK TRADE HOME"/>
    <n v="62.5"/>
    <n v="30"/>
    <n v="61.5"/>
    <n v="33"/>
    <n v="48.25"/>
    <n v="30"/>
    <n v="36"/>
    <n v="301.25"/>
    <n v="43.035714285714285"/>
    <x v="5"/>
    <x v="3"/>
    <x v="1"/>
    <x v="0"/>
  </r>
  <r>
    <s v="806296179796"/>
    <n v="806296"/>
    <s v="MEHTA SANITARY HARDWARE"/>
    <n v="179796"/>
    <s v="VINAYAK TRADE HOME"/>
    <n v="25"/>
    <n v="23.95"/>
    <n v="27"/>
    <n v="20"/>
    <n v="32"/>
    <n v="1"/>
    <n v="15"/>
    <n v="143.94999999999999"/>
    <n v="20.564285714285713"/>
    <x v="0"/>
    <x v="3"/>
    <x v="1"/>
    <x v="0"/>
  </r>
  <r>
    <s v="810852179911"/>
    <n v="810852"/>
    <s v="ROHIT STEEL AND BUILDING MATER"/>
    <n v="179911"/>
    <s v="DIPESH STEEL AND BUILDING MATE"/>
    <n v="4"/>
    <n v="13.75"/>
    <n v="11.5"/>
    <n v="2.5"/>
    <n v="7.5"/>
    <n v="2.5"/>
    <n v="0"/>
    <n v="41.75"/>
    <n v="5.9642857142857144"/>
    <x v="1"/>
    <x v="3"/>
    <x v="1"/>
    <x v="0"/>
  </r>
  <r>
    <s v="812071179911"/>
    <n v="812071"/>
    <s v="SHRI BAJRANG STEEL &amp; CEMENT AG"/>
    <n v="179911"/>
    <s v="DIPESH STEEL AND BUILDING MATE"/>
    <n v="57.5"/>
    <n v="84.25"/>
    <n v="89.5"/>
    <n v="46.25"/>
    <n v="68"/>
    <n v="65.5"/>
    <n v="62.5"/>
    <n v="473.5"/>
    <n v="67.642857142857139"/>
    <x v="3"/>
    <x v="3"/>
    <x v="1"/>
    <x v="0"/>
  </r>
  <r>
    <s v="816314179911"/>
    <n v="816314"/>
    <s v="SHREE NEELKHANT STEEL &amp; CEMENT"/>
    <n v="179911"/>
    <s v="DIPESH STEEL AND BUILDING MATE"/>
    <n v="0"/>
    <n v="0"/>
    <n v="0"/>
    <n v="0"/>
    <n v="0"/>
    <n v="24.75"/>
    <n v="0"/>
    <n v="24.75"/>
    <n v="3.5357142857142856"/>
    <x v="1"/>
    <x v="3"/>
    <x v="1"/>
    <x v="0"/>
  </r>
  <r>
    <s v="807244201172"/>
    <n v="807244"/>
    <s v="ADITYA ENTERPRISES"/>
    <n v="201172"/>
    <s v="MAA TRADERS"/>
    <n v="96"/>
    <n v="78.5"/>
    <n v="63.3"/>
    <n v="62"/>
    <n v="39"/>
    <n v="42"/>
    <n v="100"/>
    <n v="480.8"/>
    <n v="68.685714285714283"/>
    <x v="3"/>
    <x v="3"/>
    <x v="1"/>
    <x v="0"/>
  </r>
  <r>
    <s v="807576201172"/>
    <n v="807576"/>
    <s v="SHARMA BUILDING MATERIAL SUPPL"/>
    <n v="201172"/>
    <s v="MAA TRADERS"/>
    <n v="30"/>
    <n v="5"/>
    <n v="54.5"/>
    <n v="36"/>
    <n v="28.5"/>
    <n v="5"/>
    <n v="7.5"/>
    <n v="166.5"/>
    <n v="23.785714285714285"/>
    <x v="0"/>
    <x v="3"/>
    <x v="1"/>
    <x v="0"/>
  </r>
  <r>
    <s v="808730201172"/>
    <n v="808730"/>
    <s v="NEESHA BUILDING MATERIALS"/>
    <n v="201172"/>
    <s v="MAA TRADERS"/>
    <n v="96.5"/>
    <n v="42.5"/>
    <n v="121"/>
    <n v="98"/>
    <n v="85.5"/>
    <n v="54.5"/>
    <n v="29.5"/>
    <n v="527.5"/>
    <n v="75.357142857142861"/>
    <x v="3"/>
    <x v="3"/>
    <x v="1"/>
    <x v="0"/>
  </r>
  <r>
    <s v="813820201172"/>
    <n v="813820"/>
    <s v="M K STEEL &amp; DÉCOR"/>
    <n v="201172"/>
    <s v="MAA TRADERS"/>
    <n v="18.5"/>
    <n v="29"/>
    <n v="7.5"/>
    <n v="11.25"/>
    <n v="51"/>
    <n v="33.5"/>
    <n v="2.5"/>
    <n v="153.25"/>
    <n v="21.892857142857142"/>
    <x v="0"/>
    <x v="3"/>
    <x v="1"/>
    <x v="0"/>
  </r>
  <r>
    <s v="815408201172"/>
    <n v="815408"/>
    <s v="SAINI SINGODIYA STONE SUPPLIER"/>
    <n v="201172"/>
    <s v="MAA TRADERS"/>
    <n v="0"/>
    <n v="0"/>
    <n v="0"/>
    <n v="47.5"/>
    <n v="46"/>
    <n v="17.5"/>
    <n v="10"/>
    <n v="121"/>
    <n v="17.285714285714285"/>
    <x v="2"/>
    <x v="3"/>
    <x v="1"/>
    <x v="0"/>
  </r>
  <r>
    <s v="816253201172"/>
    <n v="816253"/>
    <s v="ANAND SALES (ARM AGRI TRADE LL"/>
    <n v="201172"/>
    <s v="MAA TRADERS"/>
    <n v="0"/>
    <n v="0"/>
    <n v="0"/>
    <n v="0"/>
    <n v="0"/>
    <n v="7.5"/>
    <n v="0"/>
    <n v="7.5"/>
    <n v="1.0714285714285714"/>
    <x v="1"/>
    <x v="3"/>
    <x v="1"/>
    <x v="0"/>
  </r>
  <r>
    <s v="812077202452"/>
    <n v="812077"/>
    <s v="SARWAN KUMAR MAHESH KUMAR"/>
    <n v="202452"/>
    <s v="MANGLA STEELS AGENCY"/>
    <n v="40"/>
    <n v="10"/>
    <n v="37"/>
    <n v="17"/>
    <n v="44.25"/>
    <n v="15"/>
    <n v="16.25"/>
    <n v="179.5"/>
    <n v="25.642857142857142"/>
    <x v="0"/>
    <x v="3"/>
    <x v="1"/>
    <x v="0"/>
  </r>
  <r>
    <s v="812793202452"/>
    <n v="812793"/>
    <s v="GOTHAWAL CEMENT AGENCY"/>
    <n v="202452"/>
    <s v="MANGLA STEELS AGENCY"/>
    <n v="17.5"/>
    <n v="43.5"/>
    <n v="39"/>
    <n v="17.5"/>
    <n v="11"/>
    <n v="35"/>
    <n v="5"/>
    <n v="168.5"/>
    <n v="24.071428571428573"/>
    <x v="0"/>
    <x v="3"/>
    <x v="1"/>
    <x v="0"/>
  </r>
  <r>
    <s v="815929202870"/>
    <n v="815929"/>
    <s v="KIRAN TRADERS"/>
    <n v="202870"/>
    <s v="ASHUTOSH CONSTRUCTION CO"/>
    <n v="0"/>
    <n v="0"/>
    <n v="0"/>
    <n v="0"/>
    <n v="20"/>
    <n v="91"/>
    <n v="73"/>
    <n v="184"/>
    <n v="26.285714285714285"/>
    <x v="0"/>
    <x v="3"/>
    <x v="1"/>
    <x v="0"/>
  </r>
  <r>
    <s v="807141202994"/>
    <n v="807141"/>
    <s v="DILIP SAINI"/>
    <n v="202994"/>
    <s v="ARVIND CEMENT &amp; KALI UDYOG"/>
    <n v="8"/>
    <n v="35"/>
    <n v="25"/>
    <n v="17"/>
    <n v="8.5"/>
    <n v="0"/>
    <n v="18"/>
    <n v="111.5"/>
    <n v="15.928571428571429"/>
    <x v="2"/>
    <x v="3"/>
    <x v="1"/>
    <x v="0"/>
  </r>
  <r>
    <s v="812794202994"/>
    <n v="812794"/>
    <s v="DINESH KUMAR KUMAWAT"/>
    <n v="202994"/>
    <s v="ARVIND CEMENT &amp; KALI UDYOG"/>
    <n v="0"/>
    <n v="20"/>
    <n v="15"/>
    <n v="17.5"/>
    <n v="12"/>
    <n v="18"/>
    <n v="9"/>
    <n v="91.5"/>
    <n v="13.071428571428571"/>
    <x v="2"/>
    <x v="3"/>
    <x v="1"/>
    <x v="0"/>
  </r>
  <r>
    <s v="815426202994"/>
    <n v="815426"/>
    <s v="JAI AMBE TRADERS"/>
    <n v="202994"/>
    <s v="ARVIND CEMENT &amp; KALI UDYOG"/>
    <n v="0"/>
    <n v="0"/>
    <n v="0"/>
    <n v="16.5"/>
    <n v="24.85"/>
    <n v="28"/>
    <n v="19.5"/>
    <n v="88.85"/>
    <n v="12.692857142857141"/>
    <x v="2"/>
    <x v="3"/>
    <x v="1"/>
    <x v="0"/>
  </r>
  <r>
    <s v="812160203154"/>
    <n v="812160"/>
    <s v="SHIV TRADERS"/>
    <n v="203154"/>
    <s v="OM SHIV CEMENT SUPPLIERS"/>
    <n v="81"/>
    <n v="52.35"/>
    <n v="242.55"/>
    <n v="133.5"/>
    <n v="8.25"/>
    <n v="101"/>
    <n v="45.5"/>
    <n v="664.15"/>
    <n v="94.878571428571419"/>
    <x v="3"/>
    <x v="3"/>
    <x v="1"/>
    <x v="0"/>
  </r>
  <r>
    <s v="815593203154"/>
    <n v="815593"/>
    <s v="SAINI BUILDING MATERIAL SUPPLI"/>
    <n v="203154"/>
    <s v="OM SHIV CEMENT SUPPLIERS"/>
    <n v="0"/>
    <n v="0"/>
    <n v="0"/>
    <n v="15"/>
    <n v="0"/>
    <n v="23"/>
    <n v="0"/>
    <n v="38"/>
    <n v="5.4285714285714288"/>
    <x v="1"/>
    <x v="3"/>
    <x v="1"/>
    <x v="0"/>
  </r>
  <r>
    <s v="813147204307"/>
    <n v="813147"/>
    <s v="RUCHI ENTERPRISES"/>
    <n v="204307"/>
    <s v="JAI BAJRANG STEELS"/>
    <n v="136.65"/>
    <n v="88"/>
    <n v="174.60000000000002"/>
    <n v="143.75"/>
    <n v="81"/>
    <n v="58.5"/>
    <n v="33"/>
    <n v="715.5"/>
    <n v="102.21428571428571"/>
    <x v="3"/>
    <x v="3"/>
    <x v="1"/>
    <x v="0"/>
  </r>
  <r>
    <s v="813327204307"/>
    <n v="813327"/>
    <s v="MAHA LAXMI SALES"/>
    <n v="204307"/>
    <s v="JAI BAJRANG STEELS"/>
    <n v="104.5"/>
    <n v="87.75"/>
    <n v="165"/>
    <n v="117"/>
    <n v="144.5"/>
    <n v="134.5"/>
    <n v="87.5"/>
    <n v="840.75"/>
    <n v="120.10714285714286"/>
    <x v="3"/>
    <x v="3"/>
    <x v="1"/>
    <x v="0"/>
  </r>
  <r>
    <s v="815401204307"/>
    <n v="815401"/>
    <s v="PRAJAPATI TRADING COMPANY"/>
    <n v="204307"/>
    <s v="JAI BAJRANG STEELS"/>
    <n v="0"/>
    <n v="0"/>
    <n v="0"/>
    <n v="80"/>
    <n v="113.75"/>
    <n v="67.5"/>
    <n v="33"/>
    <n v="294.25"/>
    <n v="42.035714285714285"/>
    <x v="5"/>
    <x v="3"/>
    <x v="1"/>
    <x v="0"/>
  </r>
  <r>
    <s v="813897205225"/>
    <n v="813897"/>
    <s v="SHREE BALAJI TRADERS"/>
    <n v="205225"/>
    <s v="MAHAVEER ASSOCIATES"/>
    <n v="37.5"/>
    <n v="80.650000000000006"/>
    <n v="51.35"/>
    <n v="92.25"/>
    <n v="123"/>
    <n v="120.5"/>
    <n v="24"/>
    <n v="529.25"/>
    <n v="75.607142857142861"/>
    <x v="3"/>
    <x v="3"/>
    <x v="1"/>
    <x v="0"/>
  </r>
  <r>
    <s v="815393205225"/>
    <n v="815393"/>
    <s v="SWASTIK ENTERPRISES"/>
    <n v="205225"/>
    <s v="MAHAVEER ASSOCIATES"/>
    <n v="0"/>
    <n v="0"/>
    <n v="0"/>
    <n v="5"/>
    <n v="23.5"/>
    <n v="54.5"/>
    <n v="0"/>
    <n v="83"/>
    <n v="11.857142857142858"/>
    <x v="2"/>
    <x v="3"/>
    <x v="1"/>
    <x v="0"/>
  </r>
  <r>
    <s v="814711205266"/>
    <n v="814711"/>
    <s v="JAI  AMBE TRADERS"/>
    <n v="205266"/>
    <s v="TAK BROTHERS"/>
    <n v="10"/>
    <n v="19"/>
    <n v="10"/>
    <n v="3"/>
    <n v="0"/>
    <n v="9"/>
    <n v="0"/>
    <n v="51"/>
    <n v="7.2857142857142856"/>
    <x v="1"/>
    <x v="3"/>
    <x v="1"/>
    <x v="0"/>
  </r>
  <r>
    <s v="813946205270"/>
    <n v="813946"/>
    <s v="KUMAWAT CONSTRUTION AND SUPPLI"/>
    <n v="205270"/>
    <s v="KARTIK ENTERPRISES"/>
    <n v="17.5"/>
    <n v="22.5"/>
    <n v="19"/>
    <n v="30.5"/>
    <n v="63.05"/>
    <n v="91.5"/>
    <n v="60.8"/>
    <n v="304.85000000000002"/>
    <n v="43.550000000000004"/>
    <x v="5"/>
    <x v="3"/>
    <x v="1"/>
    <x v="0"/>
  </r>
  <r>
    <s v="808419206011"/>
    <n v="808419"/>
    <s v="POOJA TRADING COMPANY"/>
    <n v="206011"/>
    <s v="PAHARIA CHEMICALS"/>
    <n v="381.5"/>
    <n v="373"/>
    <n v="541.9"/>
    <n v="487.55"/>
    <n v="312.45"/>
    <n v="132.25"/>
    <n v="345.09999999999997"/>
    <n v="2573.75"/>
    <n v="367.67857142857144"/>
    <x v="3"/>
    <x v="3"/>
    <x v="1"/>
    <x v="0"/>
  </r>
  <r>
    <s v="814050206049"/>
    <n v="814050"/>
    <s v="VASUDA ASSOCIATES"/>
    <n v="206049"/>
    <s v="VAIBHAV ENTERPRISES"/>
    <n v="15"/>
    <n v="70.75"/>
    <n v="273.25"/>
    <n v="328"/>
    <n v="358.8"/>
    <n v="446.2"/>
    <n v="62.75"/>
    <n v="1554.75"/>
    <n v="222.10714285714286"/>
    <x v="3"/>
    <x v="3"/>
    <x v="1"/>
    <x v="0"/>
  </r>
  <r>
    <s v="815594206049"/>
    <n v="815594"/>
    <s v="BENIWAL TRADERS"/>
    <n v="206049"/>
    <s v="VAIBHAV ENTERPRISES"/>
    <n v="0"/>
    <n v="0"/>
    <n v="0"/>
    <n v="27.5"/>
    <n v="28.5"/>
    <n v="64"/>
    <n v="14"/>
    <n v="134"/>
    <n v="19.142857142857142"/>
    <x v="2"/>
    <x v="3"/>
    <x v="1"/>
    <x v="0"/>
  </r>
  <r>
    <s v="816116206049"/>
    <n v="816116"/>
    <s v="CHOUHAN TRADERS"/>
    <n v="206049"/>
    <s v="VAIBHAV ENTERPRISES"/>
    <n v="0"/>
    <n v="0"/>
    <n v="0"/>
    <n v="0"/>
    <n v="5"/>
    <n v="33"/>
    <n v="0"/>
    <n v="38"/>
    <n v="5.4285714285714288"/>
    <x v="1"/>
    <x v="3"/>
    <x v="1"/>
    <x v="0"/>
  </r>
  <r>
    <s v="815231206681"/>
    <n v="815231"/>
    <s v="JAI BALAJI CEMENT AGENCY"/>
    <n v="206681"/>
    <s v="CHOUDHARY TRADERS"/>
    <n v="0"/>
    <n v="0"/>
    <n v="42"/>
    <n v="44.5"/>
    <n v="29.5"/>
    <n v="36"/>
    <n v="18"/>
    <n v="170"/>
    <n v="24.285714285714285"/>
    <x v="0"/>
    <x v="3"/>
    <x v="1"/>
    <x v="0"/>
  </r>
  <r>
    <s v="814935206807"/>
    <n v="814935"/>
    <s v="SIDDHI ENTERPRISES"/>
    <n v="206807"/>
    <s v="DELIGHT MARKETING"/>
    <n v="0"/>
    <n v="0"/>
    <n v="0"/>
    <n v="0"/>
    <n v="0"/>
    <n v="2.5"/>
    <n v="0"/>
    <n v="2.5"/>
    <n v="0.35714285714285715"/>
    <x v="1"/>
    <x v="3"/>
    <x v="1"/>
    <x v="0"/>
  </r>
  <r>
    <s v="814602206933"/>
    <n v="814602"/>
    <s v="ROSHAN SAINI"/>
    <n v="206933"/>
    <s v="RAHUL SALES"/>
    <n v="49"/>
    <n v="56"/>
    <n v="70"/>
    <n v="105"/>
    <n v="85"/>
    <n v="90.5"/>
    <n v="71"/>
    <n v="526.5"/>
    <n v="75.214285714285708"/>
    <x v="3"/>
    <x v="3"/>
    <x v="1"/>
    <x v="0"/>
  </r>
  <r>
    <s v="815417207787"/>
    <n v="815417"/>
    <s v="LAXMI BUILDING MATERIAL"/>
    <n v="207787"/>
    <s v="BALAJI CEMENT MATERIALS SUPPLI"/>
    <n v="0"/>
    <n v="0"/>
    <n v="0"/>
    <n v="3"/>
    <n v="17"/>
    <n v="18"/>
    <n v="11.5"/>
    <n v="49.5"/>
    <n v="7.0714285714285712"/>
    <x v="1"/>
    <x v="3"/>
    <x v="1"/>
    <x v="0"/>
  </r>
  <r>
    <s v="815057207857"/>
    <n v="815057"/>
    <s v="ANKUR CEMENT AGENCY"/>
    <n v="207857"/>
    <s v="YADAV BUILDING MATERIAL"/>
    <n v="0"/>
    <n v="80"/>
    <n v="215"/>
    <n v="125.5"/>
    <n v="82.4"/>
    <n v="224"/>
    <n v="70"/>
    <n v="796.9"/>
    <n v="113.84285714285714"/>
    <x v="3"/>
    <x v="3"/>
    <x v="1"/>
    <x v="0"/>
  </r>
  <r>
    <s v="815514207857"/>
    <n v="815514"/>
    <s v="KRISHNA ENTERPRISES"/>
    <n v="207857"/>
    <s v="YADAV BUILDING MATERIAL"/>
    <n v="0"/>
    <n v="0"/>
    <n v="0"/>
    <n v="30.95"/>
    <n v="35"/>
    <n v="42.5"/>
    <n v="35"/>
    <n v="143.44999999999999"/>
    <n v="20.49285714285714"/>
    <x v="0"/>
    <x v="3"/>
    <x v="1"/>
    <x v="0"/>
  </r>
  <r>
    <s v="815657207857"/>
    <n v="815657"/>
    <s v="LILA RAM GURJAR"/>
    <n v="207857"/>
    <s v="YADAV BUILDING MATERIAL"/>
    <n v="0"/>
    <n v="0"/>
    <n v="0"/>
    <n v="20"/>
    <n v="79"/>
    <n v="47.5"/>
    <n v="27.5"/>
    <n v="174"/>
    <n v="24.857142857142858"/>
    <x v="0"/>
    <x v="3"/>
    <x v="1"/>
    <x v="0"/>
  </r>
  <r>
    <s v="815663207857"/>
    <n v="815663"/>
    <s v="SHRI SHYAM CEMENT AGENCY"/>
    <n v="207857"/>
    <s v="YADAV BUILDING MATERIAL"/>
    <n v="0"/>
    <n v="0"/>
    <n v="0"/>
    <n v="20"/>
    <n v="20"/>
    <n v="20"/>
    <n v="10"/>
    <n v="70"/>
    <n v="10"/>
    <x v="2"/>
    <x v="3"/>
    <x v="1"/>
    <x v="0"/>
  </r>
  <r>
    <s v="815664207857"/>
    <n v="815664"/>
    <s v="HATHWALA CEMENT AGENCY"/>
    <n v="207857"/>
    <s v="YADAV BUILDING MATERIAL"/>
    <n v="0"/>
    <n v="0"/>
    <n v="0"/>
    <n v="10"/>
    <n v="20"/>
    <n v="25.5"/>
    <n v="35"/>
    <n v="90.5"/>
    <n v="12.928571428571429"/>
    <x v="2"/>
    <x v="3"/>
    <x v="1"/>
    <x v="0"/>
  </r>
  <r>
    <s v="815719207857"/>
    <n v="815719"/>
    <s v="JAI AMBEY TRADERS"/>
    <n v="207857"/>
    <s v="YADAV BUILDING MATERIAL"/>
    <n v="0"/>
    <n v="0"/>
    <n v="0"/>
    <n v="10"/>
    <n v="16"/>
    <n v="38.5"/>
    <n v="37.5"/>
    <n v="102"/>
    <n v="14.571428571428571"/>
    <x v="2"/>
    <x v="3"/>
    <x v="1"/>
    <x v="0"/>
  </r>
  <r>
    <s v="815720207857"/>
    <n v="815720"/>
    <s v="SHRI GOGA TRADING COMPANY"/>
    <n v="207857"/>
    <s v="YADAV BUILDING MATERIAL"/>
    <n v="0"/>
    <n v="0"/>
    <n v="0"/>
    <n v="7"/>
    <n v="27.5"/>
    <n v="45"/>
    <n v="45"/>
    <n v="124.5"/>
    <n v="17.785714285714285"/>
    <x v="2"/>
    <x v="3"/>
    <x v="1"/>
    <x v="0"/>
  </r>
  <r>
    <s v="816348207857"/>
    <n v="816348"/>
    <s v="SWAMI CONSTRUCTION AND CEMENT"/>
    <n v="207857"/>
    <s v="YADAV BUILDING MATERIAL"/>
    <n v="0"/>
    <n v="0"/>
    <n v="0"/>
    <n v="0"/>
    <n v="0"/>
    <n v="40"/>
    <n v="52"/>
    <n v="92"/>
    <n v="13.142857142857142"/>
    <x v="2"/>
    <x v="3"/>
    <x v="1"/>
    <x v="0"/>
  </r>
  <r>
    <s v="815595208184"/>
    <n v="815595"/>
    <s v="GOPAL CEMENT SUPPLIERS"/>
    <n v="208184"/>
    <s v="KUMAWAT SUPPLIERS"/>
    <n v="0"/>
    <n v="0"/>
    <n v="0"/>
    <n v="32"/>
    <n v="71.25"/>
    <n v="52.5"/>
    <n v="25"/>
    <n v="180.75"/>
    <n v="25.821428571428573"/>
    <x v="0"/>
    <x v="3"/>
    <x v="1"/>
    <x v="0"/>
  </r>
  <r>
    <s v="815502208268"/>
    <n v="815502"/>
    <s v="KOMAL TRADERS"/>
    <n v="208268"/>
    <s v="BADIWAL TRADERS"/>
    <n v="0"/>
    <n v="0"/>
    <n v="0"/>
    <n v="80.5"/>
    <n v="227"/>
    <n v="195.45"/>
    <n v="140.05000000000001"/>
    <n v="643"/>
    <n v="91.857142857142861"/>
    <x v="3"/>
    <x v="3"/>
    <x v="1"/>
    <x v="0"/>
  </r>
  <r>
    <s v="816261149825"/>
    <n v="816261"/>
    <s v="ANIL TRADING COMPANY"/>
    <n v="149825"/>
    <s v="MISHRA CEMENT AGENCIES"/>
    <n v="0"/>
    <n v="0"/>
    <n v="0"/>
    <n v="0"/>
    <n v="0"/>
    <n v="20"/>
    <n v="10"/>
    <n v="30"/>
    <n v="4.2857142857142856"/>
    <x v="1"/>
    <x v="3"/>
    <x v="1"/>
    <x v="0"/>
  </r>
  <r>
    <s v="816262176276"/>
    <n v="816262"/>
    <s v="BALAJI STONE &amp; BUILDING MATERI"/>
    <n v="176276"/>
    <s v="LAXMI BUILDING MATERIAL STORE"/>
    <n v="0"/>
    <n v="0"/>
    <n v="0"/>
    <n v="0"/>
    <n v="0"/>
    <n v="10"/>
    <n v="0"/>
    <n v="10"/>
    <n v="1.4285714285714286"/>
    <x v="1"/>
    <x v="3"/>
    <x v="1"/>
    <x v="0"/>
  </r>
  <r>
    <s v="805796208268"/>
    <n v="805796"/>
    <s v="PAYAL TRADERS"/>
    <n v="208268"/>
    <s v="BADIWAL TRADERS"/>
    <n v="0"/>
    <n v="0"/>
    <n v="0"/>
    <n v="0"/>
    <n v="0"/>
    <n v="0"/>
    <n v="28"/>
    <n v="28"/>
    <n v="4"/>
    <x v="1"/>
    <x v="3"/>
    <x v="1"/>
    <x v="0"/>
  </r>
  <r>
    <s v="816639203971"/>
    <n v="816639"/>
    <s v="SITARAM SHARMA"/>
    <n v="203971"/>
    <s v="KUMAWAT STONE MERCHANT"/>
    <n v="0"/>
    <n v="0"/>
    <n v="0"/>
    <n v="0"/>
    <n v="0"/>
    <n v="0"/>
    <n v="30"/>
    <n v="30"/>
    <n v="4.2857142857142856"/>
    <x v="1"/>
    <x v="3"/>
    <x v="1"/>
    <x v="0"/>
  </r>
  <r>
    <s v="816685201172"/>
    <n v="816685"/>
    <s v="TRIVENI CEMENT SUPPLIERS"/>
    <n v="201172"/>
    <s v="MAA TRADERS"/>
    <n v="0"/>
    <n v="0"/>
    <n v="0"/>
    <n v="0"/>
    <n v="0"/>
    <n v="0"/>
    <n v="91.5"/>
    <n v="91.5"/>
    <n v="13.071428571428571"/>
    <x v="2"/>
    <x v="3"/>
    <x v="1"/>
    <x v="0"/>
  </r>
  <r>
    <s v="806922170847"/>
    <n v="806922"/>
    <s v="MAHALA ENTERPRISES"/>
    <n v="170847"/>
    <s v="SHREE BALAJI TRADING COMPANY"/>
    <n v="22"/>
    <n v="15"/>
    <n v="10"/>
    <n v="35"/>
    <n v="0"/>
    <n v="26"/>
    <n v="10"/>
    <n v="118"/>
    <n v="16.857142857142858"/>
    <x v="2"/>
    <x v="4"/>
    <x v="2"/>
    <x v="0"/>
  </r>
  <r>
    <s v="806923170847"/>
    <n v="806923"/>
    <s v="CHOUDHARY CEMENT SUPPLIERS"/>
    <n v="170847"/>
    <s v="SHREE BALAJI TRADING COMPANY"/>
    <n v="11"/>
    <n v="3.8"/>
    <n v="30"/>
    <n v="24"/>
    <n v="40"/>
    <n v="10"/>
    <n v="20"/>
    <n v="138.80000000000001"/>
    <n v="19.828571428571429"/>
    <x v="2"/>
    <x v="4"/>
    <x v="2"/>
    <x v="0"/>
  </r>
  <r>
    <s v="809577170847"/>
    <n v="809577"/>
    <s v="TAWANIYA CEMENT SUPPLIER"/>
    <n v="170847"/>
    <s v="SHREE BALAJI TRADING COMPANY"/>
    <n v="102"/>
    <n v="99.2"/>
    <n v="120"/>
    <n v="110"/>
    <n v="110"/>
    <n v="65"/>
    <n v="10"/>
    <n v="616.20000000000005"/>
    <n v="88.028571428571439"/>
    <x v="3"/>
    <x v="4"/>
    <x v="2"/>
    <x v="0"/>
  </r>
  <r>
    <s v="813642173257"/>
    <n v="813642"/>
    <s v="CHOUDHARY BUILDING MATERIAL AN"/>
    <n v="173257"/>
    <s v="CHOUDHARY CEMENT &amp; BUILDING MA"/>
    <n v="19.5"/>
    <n v="36.5"/>
    <n v="37.5"/>
    <n v="28.5"/>
    <n v="36.5"/>
    <n v="11.5"/>
    <n v="40.75"/>
    <n v="210.75"/>
    <n v="30.107142857142858"/>
    <x v="4"/>
    <x v="4"/>
    <x v="2"/>
    <x v="0"/>
  </r>
  <r>
    <s v="813816173257"/>
    <n v="813816"/>
    <s v="ANOP CHAND MAHIYA"/>
    <n v="173257"/>
    <s v="CHOUDHARY CEMENT &amp; BUILDING MA"/>
    <n v="15"/>
    <n v="24"/>
    <n v="0"/>
    <n v="26.5"/>
    <n v="21"/>
    <n v="9"/>
    <n v="30"/>
    <n v="125.5"/>
    <n v="17.928571428571427"/>
    <x v="2"/>
    <x v="4"/>
    <x v="2"/>
    <x v="0"/>
  </r>
  <r>
    <s v="810596176693"/>
    <n v="810596"/>
    <s v="GULAM NABI BHATI"/>
    <n v="176693"/>
    <s v="SUBHAM AGENCIES"/>
    <n v="0"/>
    <n v="0"/>
    <n v="65"/>
    <n v="55"/>
    <n v="23.75"/>
    <n v="75"/>
    <n v="31"/>
    <n v="249.75"/>
    <n v="35.678571428571431"/>
    <x v="4"/>
    <x v="4"/>
    <x v="2"/>
    <x v="0"/>
  </r>
  <r>
    <s v="810597176693"/>
    <n v="810597"/>
    <s v="BABU LAL SWAMI"/>
    <n v="176693"/>
    <s v="SUBHAM AGENCIES"/>
    <n v="0"/>
    <n v="10"/>
    <n v="30"/>
    <n v="1"/>
    <n v="16"/>
    <n v="10"/>
    <n v="0"/>
    <n v="67"/>
    <n v="9.5714285714285712"/>
    <x v="1"/>
    <x v="4"/>
    <x v="2"/>
    <x v="0"/>
  </r>
  <r>
    <s v="812393176693"/>
    <n v="812393"/>
    <s v="MUNNI DEVI"/>
    <n v="176693"/>
    <s v="SUBHAM AGENCIES"/>
    <n v="0"/>
    <n v="0"/>
    <n v="0"/>
    <n v="10"/>
    <n v="0"/>
    <n v="0"/>
    <n v="0"/>
    <n v="10"/>
    <n v="1.4285714285714286"/>
    <x v="1"/>
    <x v="4"/>
    <x v="2"/>
    <x v="0"/>
  </r>
  <r>
    <s v="813971176693"/>
    <n v="813971"/>
    <s v="SHIMBHU SINGH"/>
    <n v="176693"/>
    <s v="SUBHAM AGENCIES"/>
    <n v="40"/>
    <n v="127"/>
    <n v="105"/>
    <n v="26"/>
    <n v="29.5"/>
    <n v="10"/>
    <n v="25"/>
    <n v="362.5"/>
    <n v="51.785714285714285"/>
    <x v="3"/>
    <x v="4"/>
    <x v="2"/>
    <x v="0"/>
  </r>
  <r>
    <s v="813997176693"/>
    <n v="813997"/>
    <s v="IMRAN LILGHAR"/>
    <n v="176693"/>
    <s v="SUBHAM AGENCIES"/>
    <n v="53"/>
    <n v="220"/>
    <n v="70"/>
    <n v="11.05"/>
    <n v="118"/>
    <n v="50"/>
    <n v="10"/>
    <n v="532.04999999999995"/>
    <n v="76.007142857142853"/>
    <x v="3"/>
    <x v="4"/>
    <x v="2"/>
    <x v="0"/>
  </r>
  <r>
    <s v="814867176693"/>
    <n v="814867"/>
    <s v="RAJU KHAN"/>
    <n v="176693"/>
    <s v="SUBHAM AGENCIES"/>
    <n v="266.5"/>
    <n v="12"/>
    <n v="85"/>
    <n v="44"/>
    <n v="10"/>
    <n v="53"/>
    <n v="0"/>
    <n v="470.5"/>
    <n v="67.214285714285708"/>
    <x v="3"/>
    <x v="4"/>
    <x v="2"/>
    <x v="0"/>
  </r>
  <r>
    <s v="815254176693"/>
    <n v="815254"/>
    <s v="SANTOSH KUMAR"/>
    <n v="176693"/>
    <s v="SUBHAM AGENCIES"/>
    <n v="0"/>
    <n v="0"/>
    <n v="35"/>
    <n v="144.94999999999999"/>
    <n v="50"/>
    <n v="20"/>
    <n v="0"/>
    <n v="249.95"/>
    <n v="35.707142857142856"/>
    <x v="4"/>
    <x v="4"/>
    <x v="2"/>
    <x v="0"/>
  </r>
  <r>
    <s v="815507176693"/>
    <n v="815507"/>
    <s v="GURUKRIPA ENTERPRISES"/>
    <n v="176693"/>
    <s v="SUBHAM AGENCIES"/>
    <n v="0"/>
    <n v="0"/>
    <n v="0"/>
    <n v="90"/>
    <n v="20"/>
    <n v="58"/>
    <n v="17"/>
    <n v="185"/>
    <n v="26.428571428571427"/>
    <x v="0"/>
    <x v="4"/>
    <x v="2"/>
    <x v="0"/>
  </r>
  <r>
    <s v="816366176693"/>
    <n v="816366"/>
    <s v="LAXMAN RAM"/>
    <n v="176693"/>
    <s v="SUBHAM AGENCIES"/>
    <n v="0"/>
    <n v="0"/>
    <n v="0"/>
    <n v="0"/>
    <n v="0"/>
    <n v="53"/>
    <n v="20"/>
    <n v="73"/>
    <n v="10.428571428571429"/>
    <x v="2"/>
    <x v="4"/>
    <x v="2"/>
    <x v="0"/>
  </r>
  <r>
    <s v="807733176869"/>
    <n v="807733"/>
    <s v="LADOIA STONE"/>
    <n v="176869"/>
    <s v="CHHABRA CEMENT SUPPLIERS"/>
    <n v="146"/>
    <n v="15"/>
    <n v="134.5"/>
    <n v="162.5"/>
    <n v="75.5"/>
    <n v="86"/>
    <n v="30"/>
    <n v="649.5"/>
    <n v="92.785714285714292"/>
    <x v="3"/>
    <x v="4"/>
    <x v="2"/>
    <x v="0"/>
  </r>
  <r>
    <s v="807734176869"/>
    <n v="807734"/>
    <s v="CHHABRA STONE MERCHANT"/>
    <n v="176869"/>
    <s v="CHHABRA CEMENT SUPPLIERS"/>
    <n v="543"/>
    <n v="422"/>
    <n v="104"/>
    <n v="226.4"/>
    <n v="158.5"/>
    <n v="161"/>
    <n v="57.5"/>
    <n v="1672.4"/>
    <n v="238.91428571428574"/>
    <x v="3"/>
    <x v="4"/>
    <x v="2"/>
    <x v="0"/>
  </r>
  <r>
    <s v="811402176869"/>
    <n v="811402"/>
    <s v="ASHA RAM"/>
    <n v="176869"/>
    <s v="CHHABRA CEMENT SUPPLIERS"/>
    <n v="44"/>
    <n v="72"/>
    <n v="252.5"/>
    <n v="157"/>
    <n v="108.5"/>
    <n v="150"/>
    <n v="55.5"/>
    <n v="839.5"/>
    <n v="119.92857142857143"/>
    <x v="3"/>
    <x v="4"/>
    <x v="2"/>
    <x v="0"/>
  </r>
  <r>
    <s v="816500176869"/>
    <n v="816500"/>
    <s v="KISHAN GAR"/>
    <n v="176869"/>
    <s v="CHHABRA CEMENT SUPPLIERS"/>
    <n v="0"/>
    <n v="0"/>
    <n v="0"/>
    <n v="0"/>
    <n v="0"/>
    <n v="81"/>
    <n v="0"/>
    <n v="81"/>
    <n v="11.571428571428571"/>
    <x v="2"/>
    <x v="4"/>
    <x v="2"/>
    <x v="0"/>
  </r>
  <r>
    <s v="809361177016"/>
    <n v="809361"/>
    <s v="GORISHANKAR SHARMA"/>
    <n v="177016"/>
    <s v="KHANDELWAL STONE"/>
    <n v="62"/>
    <n v="50"/>
    <n v="40"/>
    <n v="35.5"/>
    <n v="30.5"/>
    <n v="35"/>
    <n v="30"/>
    <n v="283"/>
    <n v="40.428571428571431"/>
    <x v="5"/>
    <x v="4"/>
    <x v="2"/>
    <x v="0"/>
  </r>
  <r>
    <s v="809438177016"/>
    <n v="809438"/>
    <s v="ISHAR RAM PRAJAPAT"/>
    <n v="177016"/>
    <s v="KHANDELWAL STONE"/>
    <n v="20"/>
    <n v="20"/>
    <n v="20"/>
    <n v="20"/>
    <n v="8"/>
    <n v="20"/>
    <n v="18"/>
    <n v="126"/>
    <n v="18"/>
    <x v="2"/>
    <x v="4"/>
    <x v="2"/>
    <x v="0"/>
  </r>
  <r>
    <s v="811679177016"/>
    <n v="811679"/>
    <s v="SHREE KRISHNA GRANITE AND MARB"/>
    <n v="177016"/>
    <s v="KHANDELWAL STONE"/>
    <n v="20"/>
    <n v="50"/>
    <n v="20"/>
    <n v="35"/>
    <n v="8"/>
    <n v="24"/>
    <n v="0"/>
    <n v="157"/>
    <n v="22.428571428571427"/>
    <x v="0"/>
    <x v="4"/>
    <x v="2"/>
    <x v="0"/>
  </r>
  <r>
    <s v="813003177016"/>
    <n v="813003"/>
    <s v="MOHAMMED AAMIR BHATI"/>
    <n v="177016"/>
    <s v="KHANDELWAL STONE"/>
    <n v="50"/>
    <n v="60"/>
    <n v="75"/>
    <n v="67.5"/>
    <n v="76"/>
    <n v="61"/>
    <n v="50"/>
    <n v="439.5"/>
    <n v="62.785714285714285"/>
    <x v="3"/>
    <x v="4"/>
    <x v="2"/>
    <x v="0"/>
  </r>
  <r>
    <s v="813050177016"/>
    <n v="813050"/>
    <s v="SUNIL SOMANI"/>
    <n v="177016"/>
    <s v="KHANDELWAL STONE"/>
    <n v="30"/>
    <n v="19"/>
    <n v="20"/>
    <n v="35"/>
    <n v="10"/>
    <n v="40"/>
    <n v="0"/>
    <n v="154"/>
    <n v="22"/>
    <x v="0"/>
    <x v="4"/>
    <x v="2"/>
    <x v="0"/>
  </r>
  <r>
    <s v="813173177068"/>
    <n v="813173"/>
    <s v="RADHE SHYAM"/>
    <n v="177068"/>
    <s v="MAHALAXMI ENTERPRISES"/>
    <n v="0"/>
    <n v="0"/>
    <n v="10"/>
    <n v="0"/>
    <n v="0"/>
    <n v="0"/>
    <n v="0"/>
    <n v="10"/>
    <n v="1.4285714285714286"/>
    <x v="1"/>
    <x v="4"/>
    <x v="2"/>
    <x v="0"/>
  </r>
  <r>
    <s v="816129177068"/>
    <n v="816129"/>
    <s v="BHUVAN KISHOR"/>
    <n v="177068"/>
    <s v="MAHALAXMI ENTERPRISES"/>
    <n v="0"/>
    <n v="0"/>
    <n v="0"/>
    <n v="0"/>
    <n v="0"/>
    <n v="65"/>
    <n v="0"/>
    <n v="65"/>
    <n v="9.2857142857142865"/>
    <x v="1"/>
    <x v="4"/>
    <x v="2"/>
    <x v="0"/>
  </r>
  <r>
    <s v="813174177301"/>
    <n v="813174"/>
    <s v="JODHA RAM"/>
    <n v="177301"/>
    <s v="BALAJI CEMENT SUPPLIERS"/>
    <n v="39.5"/>
    <n v="0"/>
    <n v="27.5"/>
    <n v="46"/>
    <n v="29"/>
    <n v="11.5"/>
    <n v="0"/>
    <n v="153.5"/>
    <n v="21.928571428571427"/>
    <x v="0"/>
    <x v="4"/>
    <x v="2"/>
    <x v="0"/>
  </r>
  <r>
    <s v="813998177301"/>
    <n v="813998"/>
    <s v="SHIV BHAGWAN"/>
    <n v="177301"/>
    <s v="BALAJI CEMENT SUPPLIERS"/>
    <n v="45.5"/>
    <n v="70"/>
    <n v="40"/>
    <n v="39"/>
    <n v="20"/>
    <n v="35"/>
    <n v="0"/>
    <n v="249.5"/>
    <n v="35.642857142857146"/>
    <x v="4"/>
    <x v="4"/>
    <x v="2"/>
    <x v="0"/>
  </r>
  <r>
    <s v="811119177662"/>
    <n v="811119"/>
    <s v="RUPA RAM"/>
    <n v="177662"/>
    <s v="MANOJ KUMAR S/0 BHERA RAM"/>
    <n v="31.5"/>
    <n v="20"/>
    <n v="7.5"/>
    <n v="56.5"/>
    <n v="42"/>
    <n v="49"/>
    <n v="17.5"/>
    <n v="224"/>
    <n v="32"/>
    <x v="4"/>
    <x v="4"/>
    <x v="2"/>
    <x v="0"/>
  </r>
  <r>
    <s v="813020177662"/>
    <n v="813020"/>
    <s v="RAM CHANDRA"/>
    <n v="177662"/>
    <s v="MANOJ KUMAR S/0 BHERA RAM"/>
    <n v="47"/>
    <n v="56"/>
    <n v="51.5"/>
    <n v="52.5"/>
    <n v="53"/>
    <n v="47"/>
    <n v="17.5"/>
    <n v="324.5"/>
    <n v="46.357142857142854"/>
    <x v="5"/>
    <x v="4"/>
    <x v="2"/>
    <x v="0"/>
  </r>
  <r>
    <s v="811922177787"/>
    <n v="811922"/>
    <s v="MAHESH KUMAR"/>
    <n v="177787"/>
    <s v="S M TILES UDYOG"/>
    <n v="12"/>
    <n v="24"/>
    <n v="57"/>
    <n v="15"/>
    <n v="15"/>
    <n v="15"/>
    <n v="0"/>
    <n v="138"/>
    <n v="19.714285714285715"/>
    <x v="2"/>
    <x v="4"/>
    <x v="2"/>
    <x v="0"/>
  </r>
  <r>
    <s v="812389177787"/>
    <n v="812389"/>
    <s v="SHARMA TRADING COMPANY"/>
    <n v="177787"/>
    <s v="S M TILES UDYOG"/>
    <n v="0"/>
    <n v="0"/>
    <n v="12"/>
    <n v="15"/>
    <n v="13"/>
    <n v="15"/>
    <n v="20"/>
    <n v="75"/>
    <n v="10.714285714285714"/>
    <x v="2"/>
    <x v="4"/>
    <x v="2"/>
    <x v="0"/>
  </r>
  <r>
    <s v="814936177787"/>
    <n v="814936"/>
    <s v="GIRDHARI"/>
    <n v="177787"/>
    <s v="S M TILES UDYOG"/>
    <n v="21"/>
    <n v="80"/>
    <n v="0"/>
    <n v="0"/>
    <n v="0"/>
    <n v="0"/>
    <n v="0"/>
    <n v="101"/>
    <n v="14.428571428571429"/>
    <x v="2"/>
    <x v="4"/>
    <x v="2"/>
    <x v="0"/>
  </r>
  <r>
    <s v="814000202956"/>
    <n v="814000"/>
    <s v="BRIJ LAL BANWARI LAL"/>
    <n v="202956"/>
    <s v="SHRI SHYAM CEMENT BHANDAR"/>
    <n v="11.5"/>
    <n v="45"/>
    <n v="43"/>
    <n v="49"/>
    <n v="0"/>
    <n v="55"/>
    <n v="43"/>
    <n v="246.5"/>
    <n v="35.214285714285715"/>
    <x v="4"/>
    <x v="4"/>
    <x v="2"/>
    <x v="0"/>
  </r>
  <r>
    <s v="814794202956"/>
    <n v="814794"/>
    <s v="VAHID ALI"/>
    <n v="202956"/>
    <s v="SHRI SHYAM CEMENT BHANDAR"/>
    <n v="42"/>
    <n v="0"/>
    <n v="20"/>
    <n v="25.5"/>
    <n v="0"/>
    <n v="23.5"/>
    <n v="20"/>
    <n v="131"/>
    <n v="18.714285714285715"/>
    <x v="2"/>
    <x v="4"/>
    <x v="2"/>
    <x v="0"/>
  </r>
  <r>
    <s v="807734205004"/>
    <n v="807734"/>
    <s v="CHHABRA STONE MERCHANT"/>
    <n v="205004"/>
    <s v="MORCHHARI TRADE LINK"/>
    <n v="10"/>
    <n v="0"/>
    <n v="0"/>
    <n v="0"/>
    <n v="0"/>
    <n v="0"/>
    <n v="0"/>
    <n v="10"/>
    <n v="1.4285714285714286"/>
    <x v="1"/>
    <x v="4"/>
    <x v="2"/>
    <x v="0"/>
  </r>
  <r>
    <s v="813926205004"/>
    <n v="813926"/>
    <s v="LAKSHMAN PRASAD"/>
    <n v="205004"/>
    <s v="MORCHHARI TRADE LINK"/>
    <n v="50"/>
    <n v="20"/>
    <n v="10"/>
    <n v="16"/>
    <n v="39.5"/>
    <n v="46.5"/>
    <n v="0"/>
    <n v="182"/>
    <n v="26"/>
    <x v="0"/>
    <x v="4"/>
    <x v="2"/>
    <x v="0"/>
  </r>
  <r>
    <s v="814376205004"/>
    <n v="814376"/>
    <s v="MAHENDRA SINGH TANWAR"/>
    <n v="205004"/>
    <s v="MORCHHARI TRADE LINK"/>
    <n v="95"/>
    <n v="50.4"/>
    <n v="91"/>
    <n v="48"/>
    <n v="57.5"/>
    <n v="65"/>
    <n v="35"/>
    <n v="441.9"/>
    <n v="63.128571428571426"/>
    <x v="3"/>
    <x v="4"/>
    <x v="2"/>
    <x v="0"/>
  </r>
  <r>
    <s v="814793205004"/>
    <n v="814793"/>
    <s v="MAIN PAL SINGH"/>
    <n v="205004"/>
    <s v="MORCHHARI TRADE LINK"/>
    <n v="33"/>
    <n v="0"/>
    <n v="0"/>
    <n v="0"/>
    <n v="0"/>
    <n v="0"/>
    <n v="0"/>
    <n v="33"/>
    <n v="4.7142857142857144"/>
    <x v="1"/>
    <x v="4"/>
    <x v="2"/>
    <x v="0"/>
  </r>
  <r>
    <s v="811921208156"/>
    <n v="811921"/>
    <s v="RAMZAN KHAN"/>
    <n v="208156"/>
    <s v="SHRI BAJRANG TRADERS"/>
    <n v="34.5"/>
    <n v="35"/>
    <n v="51.5"/>
    <n v="46"/>
    <n v="30.5"/>
    <n v="45"/>
    <n v="10"/>
    <n v="252.5"/>
    <n v="36.071428571428569"/>
    <x v="4"/>
    <x v="4"/>
    <x v="2"/>
    <x v="0"/>
  </r>
  <r>
    <s v="812396208156"/>
    <n v="812396"/>
    <s v="SHIVBHAGAWAN SHARMA"/>
    <n v="208156"/>
    <s v="SHRI BAJRANG TRADERS"/>
    <n v="0"/>
    <n v="12"/>
    <n v="0"/>
    <n v="2"/>
    <n v="0"/>
    <n v="0"/>
    <n v="0"/>
    <n v="14"/>
    <n v="2"/>
    <x v="1"/>
    <x v="4"/>
    <x v="2"/>
    <x v="0"/>
  </r>
  <r>
    <s v="812433208156"/>
    <n v="812433"/>
    <s v="GANESHARAM"/>
    <n v="208156"/>
    <s v="SHRI BAJRANG TRADERS"/>
    <n v="0"/>
    <n v="0"/>
    <n v="0"/>
    <n v="25.5"/>
    <n v="0"/>
    <n v="0"/>
    <n v="0"/>
    <n v="25.5"/>
    <n v="3.6428571428571428"/>
    <x v="1"/>
    <x v="4"/>
    <x v="2"/>
    <x v="0"/>
  </r>
  <r>
    <s v="813055208156"/>
    <n v="813055"/>
    <s v="SOHANLAL JOSHI"/>
    <n v="208156"/>
    <s v="SHRI BAJRANG TRADERS"/>
    <n v="0"/>
    <n v="0"/>
    <n v="10"/>
    <n v="2"/>
    <n v="0"/>
    <n v="0"/>
    <n v="0"/>
    <n v="12"/>
    <n v="1.7142857142857142"/>
    <x v="1"/>
    <x v="4"/>
    <x v="2"/>
    <x v="0"/>
  </r>
  <r>
    <s v="813155208156"/>
    <n v="813155"/>
    <s v="AMBEY BUILDING MATERIAL"/>
    <n v="208156"/>
    <s v="SHRI BAJRANG TRADERS"/>
    <n v="43"/>
    <n v="12"/>
    <n v="5"/>
    <n v="81"/>
    <n v="32"/>
    <n v="10"/>
    <n v="10"/>
    <n v="193"/>
    <n v="27.571428571428573"/>
    <x v="0"/>
    <x v="4"/>
    <x v="2"/>
    <x v="0"/>
  </r>
  <r>
    <s v="813173208156"/>
    <n v="813173"/>
    <s v="RADHE SHYAM"/>
    <n v="208156"/>
    <s v="SHRI BAJRANG TRADERS"/>
    <n v="17.5"/>
    <n v="112"/>
    <n v="70"/>
    <n v="12"/>
    <n v="8"/>
    <n v="0"/>
    <n v="10"/>
    <n v="229.5"/>
    <n v="32.785714285714285"/>
    <x v="4"/>
    <x v="4"/>
    <x v="2"/>
    <x v="0"/>
  </r>
  <r>
    <s v="815572208156"/>
    <n v="815572"/>
    <s v="DALIP KUMAR JOSHI"/>
    <n v="208156"/>
    <s v="SHRI BAJRANG TRADERS"/>
    <n v="0"/>
    <n v="0"/>
    <n v="0"/>
    <n v="0"/>
    <n v="0"/>
    <n v="23"/>
    <n v="10"/>
    <n v="33"/>
    <n v="4.7142857142857144"/>
    <x v="1"/>
    <x v="4"/>
    <x v="2"/>
    <x v="0"/>
  </r>
  <r>
    <s v="815573208156"/>
    <n v="815573"/>
    <s v="PREM CHAND"/>
    <n v="208156"/>
    <s v="SHRI BAJRANG TRADERS"/>
    <n v="0"/>
    <n v="0"/>
    <n v="0"/>
    <n v="0"/>
    <n v="43"/>
    <n v="9"/>
    <n v="0"/>
    <n v="52"/>
    <n v="7.4285714285714288"/>
    <x v="1"/>
    <x v="4"/>
    <x v="2"/>
    <x v="0"/>
  </r>
  <r>
    <s v="812848147936"/>
    <n v="812848"/>
    <s v="ADIL SAYED"/>
    <n v="147936"/>
    <s v="VKR CEMENT SUPPLIERS"/>
    <n v="50"/>
    <n v="10"/>
    <n v="50"/>
    <n v="44"/>
    <n v="39.099999999999994"/>
    <n v="41"/>
    <n v="10"/>
    <n v="244.1"/>
    <n v="34.871428571428574"/>
    <x v="4"/>
    <x v="5"/>
    <x v="2"/>
    <x v="0"/>
  </r>
  <r>
    <s v="813613170555"/>
    <n v="813613"/>
    <s v="ABDUL SALAM"/>
    <n v="170555"/>
    <s v="KHATRI ENTERPRISES"/>
    <n v="10"/>
    <n v="10"/>
    <n v="10"/>
    <n v="10"/>
    <n v="10.25"/>
    <n v="10"/>
    <n v="10"/>
    <n v="70.25"/>
    <n v="10.035714285714286"/>
    <x v="2"/>
    <x v="5"/>
    <x v="2"/>
    <x v="0"/>
  </r>
  <r>
    <s v="812236179486"/>
    <n v="812236"/>
    <s v="BHATERI"/>
    <n v="179486"/>
    <s v="MOROLIA TRADERS"/>
    <n v="20"/>
    <n v="40"/>
    <n v="25"/>
    <n v="20"/>
    <n v="30"/>
    <n v="45"/>
    <n v="0"/>
    <n v="180"/>
    <n v="25.714285714285715"/>
    <x v="0"/>
    <x v="5"/>
    <x v="2"/>
    <x v="0"/>
  </r>
  <r>
    <s v="813005179486"/>
    <n v="813005"/>
    <s v="MAHALAXMI STONE SUPPLIERS"/>
    <n v="179486"/>
    <s v="MOROLIA TRADERS"/>
    <n v="10"/>
    <n v="30"/>
    <n v="0"/>
    <n v="37.5"/>
    <n v="30"/>
    <n v="50"/>
    <n v="0"/>
    <n v="157.5"/>
    <n v="22.5"/>
    <x v="0"/>
    <x v="5"/>
    <x v="2"/>
    <x v="0"/>
  </r>
  <r>
    <s v="815844179486"/>
    <n v="815844"/>
    <s v="ANIL KUMAR"/>
    <n v="179486"/>
    <s v="MOROLIA TRADERS"/>
    <n v="0"/>
    <n v="0"/>
    <n v="0"/>
    <n v="0"/>
    <n v="40"/>
    <n v="40"/>
    <n v="0"/>
    <n v="80"/>
    <n v="11.428571428571429"/>
    <x v="2"/>
    <x v="5"/>
    <x v="2"/>
    <x v="0"/>
  </r>
  <r>
    <s v="815988179486"/>
    <n v="815988"/>
    <s v="PRAKASH CHAND"/>
    <n v="179486"/>
    <s v="MOROLIA TRADERS"/>
    <n v="0"/>
    <n v="0"/>
    <n v="0"/>
    <n v="0"/>
    <n v="20"/>
    <n v="15"/>
    <n v="0"/>
    <n v="35"/>
    <n v="5"/>
    <x v="1"/>
    <x v="5"/>
    <x v="2"/>
    <x v="0"/>
  </r>
  <r>
    <s v="814866179925"/>
    <n v="814866"/>
    <s v="MAHAVEER PRASAD"/>
    <n v="179925"/>
    <s v="SHRIRAM DHARM KANTA"/>
    <n v="0"/>
    <n v="0"/>
    <n v="0"/>
    <n v="10"/>
    <n v="20"/>
    <n v="0"/>
    <n v="0"/>
    <n v="30"/>
    <n v="4.2857142857142856"/>
    <x v="1"/>
    <x v="5"/>
    <x v="2"/>
    <x v="0"/>
  </r>
  <r>
    <s v="812536119212"/>
    <n v="812536"/>
    <s v="LAKSHITA SALES"/>
    <n v="119212"/>
    <s v="SURENDRA KUMAR &amp; CO"/>
    <n v="133.55000000000001"/>
    <n v="149"/>
    <n v="137"/>
    <n v="135"/>
    <n v="50"/>
    <n v="131.5"/>
    <n v="32.5"/>
    <n v="768.55"/>
    <n v="109.79285714285713"/>
    <x v="3"/>
    <x v="6"/>
    <x v="2"/>
    <x v="0"/>
  </r>
  <r>
    <s v="812891119212"/>
    <n v="812891"/>
    <s v="QURESHI MARBEL &amp; TILES SUPPLIE"/>
    <n v="119212"/>
    <s v="SURENDRA KUMAR &amp; CO"/>
    <n v="59"/>
    <n v="10"/>
    <n v="88"/>
    <n v="129.30000000000001"/>
    <n v="72.75"/>
    <n v="35"/>
    <n v="25"/>
    <n v="419.05"/>
    <n v="59.864285714285714"/>
    <x v="3"/>
    <x v="6"/>
    <x v="2"/>
    <x v="0"/>
  </r>
  <r>
    <s v="812983119212"/>
    <n v="812983"/>
    <s v="SHRI SHYAM TRADING COMPANY"/>
    <n v="119212"/>
    <s v="SURENDRA KUMAR &amp; CO"/>
    <n v="62.5"/>
    <n v="42"/>
    <n v="42.25"/>
    <n v="37.5"/>
    <n v="99.45"/>
    <n v="77.5"/>
    <n v="47"/>
    <n v="408.2"/>
    <n v="58.31428571428571"/>
    <x v="3"/>
    <x v="6"/>
    <x v="2"/>
    <x v="0"/>
  </r>
  <r>
    <s v="813288119212"/>
    <n v="813288"/>
    <s v="KAMAL CEMENT"/>
    <n v="119212"/>
    <s v="SURENDRA KUMAR &amp; CO"/>
    <n v="102.5"/>
    <n v="142.5"/>
    <n v="41.65"/>
    <n v="35.450000000000003"/>
    <n v="60.45"/>
    <n v="87.5"/>
    <n v="18"/>
    <n v="488.04999999999995"/>
    <n v="69.721428571428561"/>
    <x v="3"/>
    <x v="6"/>
    <x v="2"/>
    <x v="0"/>
  </r>
  <r>
    <s v="814850119212"/>
    <n v="814850"/>
    <s v="KRISHNA HARDWARE"/>
    <n v="119212"/>
    <s v="SURENDRA KUMAR &amp; CO"/>
    <n v="45"/>
    <n v="42.85"/>
    <n v="70"/>
    <n v="48"/>
    <n v="32"/>
    <n v="5"/>
    <n v="38.5"/>
    <n v="281.35000000000002"/>
    <n v="40.192857142857143"/>
    <x v="5"/>
    <x v="6"/>
    <x v="2"/>
    <x v="0"/>
  </r>
  <r>
    <s v="815092119212"/>
    <n v="815092"/>
    <s v="RITIKA ELECTRICAL"/>
    <n v="119212"/>
    <s v="SURENDRA KUMAR &amp; CO"/>
    <n v="0"/>
    <n v="20"/>
    <n v="32"/>
    <n v="30"/>
    <n v="68.5"/>
    <n v="0"/>
    <n v="23"/>
    <n v="173.5"/>
    <n v="24.785714285714285"/>
    <x v="0"/>
    <x v="6"/>
    <x v="2"/>
    <x v="0"/>
  </r>
  <r>
    <s v="815096119212"/>
    <n v="815096"/>
    <s v="KHANDELWAL CEMENT AGENCY"/>
    <n v="119212"/>
    <s v="SURENDRA KUMAR &amp; CO"/>
    <n v="0"/>
    <n v="25"/>
    <n v="101.5"/>
    <n v="89.25"/>
    <n v="34.5"/>
    <n v="25"/>
    <n v="18"/>
    <n v="293.25"/>
    <n v="41.892857142857146"/>
    <x v="5"/>
    <x v="6"/>
    <x v="2"/>
    <x v="0"/>
  </r>
  <r>
    <s v="814018141118"/>
    <n v="814018"/>
    <s v="MAHESH TRADING COMPANY"/>
    <n v="141118"/>
    <s v="SHREE LAXMI NATH STONE COMPANY"/>
    <n v="85"/>
    <n v="83"/>
    <n v="105"/>
    <n v="66"/>
    <n v="99.5"/>
    <n v="68"/>
    <n v="0"/>
    <n v="506.5"/>
    <n v="72.357142857142861"/>
    <x v="3"/>
    <x v="6"/>
    <x v="2"/>
    <x v="0"/>
  </r>
  <r>
    <s v="807054143301"/>
    <n v="807054"/>
    <s v="SHRI TIRUPATI BALAJI CEMENT AG"/>
    <n v="143301"/>
    <s v="LAXMI TRADERS"/>
    <n v="30.5"/>
    <n v="0"/>
    <n v="10"/>
    <n v="47"/>
    <n v="10"/>
    <n v="17.5"/>
    <n v="0"/>
    <n v="115"/>
    <n v="16.428571428571427"/>
    <x v="2"/>
    <x v="6"/>
    <x v="2"/>
    <x v="0"/>
  </r>
  <r>
    <s v="807360143301"/>
    <n v="807360"/>
    <s v="KRISHNA FABRICATION WORKS"/>
    <n v="143301"/>
    <s v="LAXMI TRADERS"/>
    <n v="32.5"/>
    <n v="0"/>
    <n v="10"/>
    <n v="10"/>
    <n v="10"/>
    <n v="17.5"/>
    <n v="0"/>
    <n v="80"/>
    <n v="11.428571428571429"/>
    <x v="2"/>
    <x v="6"/>
    <x v="2"/>
    <x v="0"/>
  </r>
  <r>
    <s v="809223143301"/>
    <n v="809223"/>
    <s v="J K BUILDING MATERIAL SUPPLIER"/>
    <n v="143301"/>
    <s v="LAXMI TRADERS"/>
    <n v="45"/>
    <n v="0"/>
    <n v="2.5"/>
    <n v="40"/>
    <n v="10"/>
    <n v="17.5"/>
    <n v="0"/>
    <n v="115"/>
    <n v="16.428571428571427"/>
    <x v="2"/>
    <x v="6"/>
    <x v="2"/>
    <x v="0"/>
  </r>
  <r>
    <s v="811219143301"/>
    <n v="811219"/>
    <s v="HIMANSHU CEMENT AGENCY"/>
    <n v="143301"/>
    <s v="LAXMI TRADERS"/>
    <n v="0"/>
    <n v="0"/>
    <n v="0"/>
    <n v="17.5"/>
    <n v="4"/>
    <n v="26.5"/>
    <n v="0"/>
    <n v="48"/>
    <n v="6.8571428571428568"/>
    <x v="1"/>
    <x v="6"/>
    <x v="2"/>
    <x v="0"/>
  </r>
  <r>
    <s v="815097143301"/>
    <n v="815097"/>
    <s v="MAA KAILASH KRIPA COATINGS"/>
    <n v="143301"/>
    <s v="LAXMI TRADERS"/>
    <n v="0"/>
    <n v="0"/>
    <n v="65.25"/>
    <n v="67"/>
    <n v="0"/>
    <n v="76.5"/>
    <n v="10"/>
    <n v="218.75"/>
    <n v="31.25"/>
    <x v="4"/>
    <x v="6"/>
    <x v="2"/>
    <x v="0"/>
  </r>
  <r>
    <s v="816367143301"/>
    <n v="816367"/>
    <s v="LAXMI PAINT"/>
    <n v="143301"/>
    <s v="LAXMI TRADERS"/>
    <n v="0"/>
    <n v="0"/>
    <n v="0"/>
    <n v="0"/>
    <n v="0"/>
    <n v="20"/>
    <n v="15"/>
    <n v="35"/>
    <n v="5"/>
    <x v="1"/>
    <x v="6"/>
    <x v="2"/>
    <x v="0"/>
  </r>
  <r>
    <s v="805597144243"/>
    <n v="805597"/>
    <s v="SHEKHAWAT TRADING COMPANY"/>
    <n v="144243"/>
    <s v="SHRI SHYAM TRADING COMPANY"/>
    <n v="93"/>
    <n v="32"/>
    <n v="27.5"/>
    <n v="64.05"/>
    <n v="22.5"/>
    <n v="62"/>
    <n v="27"/>
    <n v="328.05"/>
    <n v="46.864285714285714"/>
    <x v="5"/>
    <x v="6"/>
    <x v="2"/>
    <x v="0"/>
  </r>
  <r>
    <s v="811454144243"/>
    <n v="811454"/>
    <s v="BALAJI TRADERS"/>
    <n v="144243"/>
    <s v="SHRI SHYAM TRADING COMPANY"/>
    <n v="48.6"/>
    <n v="82"/>
    <n v="52.5"/>
    <n v="15"/>
    <n v="14.5"/>
    <n v="40"/>
    <n v="20"/>
    <n v="272.60000000000002"/>
    <n v="38.942857142857143"/>
    <x v="4"/>
    <x v="6"/>
    <x v="2"/>
    <x v="0"/>
  </r>
  <r>
    <s v="812043144243"/>
    <n v="812043"/>
    <s v="SHRI GURUKRIPA TILES PLAZA"/>
    <n v="144243"/>
    <s v="SHRI SHYAM TRADING COMPANY"/>
    <n v="0"/>
    <n v="40"/>
    <n v="10"/>
    <n v="27.5"/>
    <n v="7.5"/>
    <n v="20"/>
    <n v="15"/>
    <n v="120"/>
    <n v="17.142857142857142"/>
    <x v="2"/>
    <x v="6"/>
    <x v="2"/>
    <x v="0"/>
  </r>
  <r>
    <s v="812099144243"/>
    <n v="812099"/>
    <s v="MAA VAISHNO DEVI BUILDING MATE"/>
    <n v="144243"/>
    <s v="SHRI SHYAM TRADING COMPANY"/>
    <n v="52.5"/>
    <n v="48"/>
    <n v="39"/>
    <n v="30"/>
    <n v="12.5"/>
    <n v="55"/>
    <n v="15"/>
    <n v="252"/>
    <n v="36"/>
    <x v="4"/>
    <x v="6"/>
    <x v="2"/>
    <x v="0"/>
  </r>
  <r>
    <s v="814681144243"/>
    <n v="814681"/>
    <s v="JAI BHAWANI BUILDING MATERIAL"/>
    <n v="144243"/>
    <s v="SHRI SHYAM TRADING COMPANY"/>
    <n v="22.5"/>
    <n v="5"/>
    <n v="30"/>
    <n v="38.5"/>
    <n v="13"/>
    <n v="3.5"/>
    <n v="10"/>
    <n v="122.5"/>
    <n v="17.5"/>
    <x v="2"/>
    <x v="6"/>
    <x v="2"/>
    <x v="0"/>
  </r>
  <r>
    <s v="812537144343"/>
    <n v="812537"/>
    <s v="YADAV CEMENT AGENCY"/>
    <n v="144343"/>
    <s v="SHREE BALAJI CEMENT AGENCY"/>
    <n v="0"/>
    <n v="7.5"/>
    <n v="20"/>
    <n v="7.5"/>
    <n v="24"/>
    <n v="15"/>
    <n v="30"/>
    <n v="104"/>
    <n v="14.857142857142858"/>
    <x v="2"/>
    <x v="6"/>
    <x v="2"/>
    <x v="0"/>
  </r>
  <r>
    <s v="814846144343"/>
    <n v="814846"/>
    <s v="AKSH TRADING COMPANY"/>
    <n v="144343"/>
    <s v="SHREE BALAJI CEMENT AGENCY"/>
    <n v="72.5"/>
    <n v="90"/>
    <n v="46"/>
    <n v="35"/>
    <n v="72.5"/>
    <n v="23"/>
    <n v="20"/>
    <n v="359"/>
    <n v="51.285714285714285"/>
    <x v="3"/>
    <x v="6"/>
    <x v="2"/>
    <x v="0"/>
  </r>
  <r>
    <s v="807608149582"/>
    <n v="807608"/>
    <s v="MUNDHRA CEMENT AGENCY"/>
    <n v="149582"/>
    <s v="SHRI BALAJI BUILDING MATERIAL"/>
    <n v="72"/>
    <n v="56"/>
    <n v="94.5"/>
    <n v="54.25"/>
    <n v="79.5"/>
    <n v="79.2"/>
    <n v="40.5"/>
    <n v="475.95"/>
    <n v="67.992857142857147"/>
    <x v="3"/>
    <x v="6"/>
    <x v="2"/>
    <x v="0"/>
  </r>
  <r>
    <s v="806371149885"/>
    <n v="806371"/>
    <s v="MANMOHAN TRADING COMPANY"/>
    <n v="149885"/>
    <s v="LUHANI CEMENT SUPPLIERS"/>
    <n v="0"/>
    <n v="15"/>
    <n v="33.5"/>
    <n v="22.5"/>
    <n v="10"/>
    <n v="30"/>
    <n v="0"/>
    <n v="111"/>
    <n v="15.857142857142858"/>
    <x v="2"/>
    <x v="6"/>
    <x v="2"/>
    <x v="0"/>
  </r>
  <r>
    <s v="806539149885"/>
    <n v="806539"/>
    <s v="VIJAY CEMENT AGENCY"/>
    <n v="149885"/>
    <s v="LUHANI CEMENT SUPPLIERS"/>
    <n v="7.5"/>
    <n v="25"/>
    <n v="22.5"/>
    <n v="40"/>
    <n v="11"/>
    <n v="0"/>
    <n v="20"/>
    <n v="126"/>
    <n v="18"/>
    <x v="2"/>
    <x v="6"/>
    <x v="2"/>
    <x v="0"/>
  </r>
  <r>
    <s v="806670149885"/>
    <n v="806670"/>
    <s v="DEV TRADERS"/>
    <n v="149885"/>
    <s v="LUHANI CEMENT SUPPLIERS"/>
    <n v="55"/>
    <n v="10"/>
    <n v="43"/>
    <n v="39.5"/>
    <n v="17.75"/>
    <n v="60"/>
    <n v="26"/>
    <n v="251.25"/>
    <n v="35.892857142857146"/>
    <x v="4"/>
    <x v="6"/>
    <x v="2"/>
    <x v="0"/>
  </r>
  <r>
    <s v="807055149885"/>
    <n v="807055"/>
    <s v="LAXMI TRADING COMPANY"/>
    <n v="149885"/>
    <s v="LUHANI CEMENT SUPPLIERS"/>
    <n v="70.5"/>
    <n v="14.5"/>
    <n v="2.5"/>
    <n v="40"/>
    <n v="17.5"/>
    <n v="0"/>
    <n v="30.35"/>
    <n v="175.35"/>
    <n v="25.05"/>
    <x v="0"/>
    <x v="6"/>
    <x v="2"/>
    <x v="0"/>
  </r>
  <r>
    <s v="807056149885"/>
    <n v="807056"/>
    <s v="JAI BHAWANI TRADING COMPANY"/>
    <n v="149885"/>
    <s v="LUHANI CEMENT SUPPLIERS"/>
    <n v="0"/>
    <n v="15"/>
    <n v="0"/>
    <n v="15"/>
    <n v="17.2"/>
    <n v="0"/>
    <n v="7.5"/>
    <n v="54.7"/>
    <n v="7.8142857142857149"/>
    <x v="1"/>
    <x v="6"/>
    <x v="2"/>
    <x v="0"/>
  </r>
  <r>
    <s v="808733149885"/>
    <n v="808733"/>
    <s v="DEV TRADING COMPANY"/>
    <n v="149885"/>
    <s v="LUHANI CEMENT SUPPLIERS"/>
    <n v="74.5"/>
    <n v="121.80000000000001"/>
    <n v="110.45"/>
    <n v="88.949999999999989"/>
    <n v="86"/>
    <n v="81"/>
    <n v="49.05"/>
    <n v="611.75"/>
    <n v="87.392857142857139"/>
    <x v="3"/>
    <x v="6"/>
    <x v="2"/>
    <x v="0"/>
  </r>
  <r>
    <s v="809133149885"/>
    <n v="809133"/>
    <s v="ASHA ENTERPRISES"/>
    <n v="149885"/>
    <s v="LUHANI CEMENT SUPPLIERS"/>
    <n v="0"/>
    <n v="19"/>
    <n v="13"/>
    <n v="27.5"/>
    <n v="12.5"/>
    <n v="27.5"/>
    <n v="0"/>
    <n v="99.5"/>
    <n v="14.214285714285714"/>
    <x v="2"/>
    <x v="6"/>
    <x v="2"/>
    <x v="0"/>
  </r>
  <r>
    <s v="809506149885"/>
    <n v="809506"/>
    <s v="MIHIR BHOJ CONSTRUCTION &amp; SUPP"/>
    <n v="149885"/>
    <s v="LUHANI CEMENT SUPPLIERS"/>
    <n v="15"/>
    <n v="36.25"/>
    <n v="61.5"/>
    <n v="93"/>
    <n v="41.5"/>
    <n v="55"/>
    <n v="44.65"/>
    <n v="346.9"/>
    <n v="49.557142857142857"/>
    <x v="5"/>
    <x v="6"/>
    <x v="2"/>
    <x v="0"/>
  </r>
  <r>
    <s v="812535149885"/>
    <n v="812535"/>
    <s v="KISHORE KUMAR KUMAWAT"/>
    <n v="149885"/>
    <s v="LUHANI CEMENT SUPPLIERS"/>
    <n v="20"/>
    <n v="43"/>
    <n v="47"/>
    <n v="40"/>
    <n v="50.5"/>
    <n v="20"/>
    <n v="17.5"/>
    <n v="238"/>
    <n v="34"/>
    <x v="4"/>
    <x v="6"/>
    <x v="2"/>
    <x v="0"/>
  </r>
  <r>
    <s v="812920149885"/>
    <n v="812920"/>
    <s v="BALAJI TRADING COMPANY"/>
    <n v="149885"/>
    <s v="LUHANI CEMENT SUPPLIERS"/>
    <n v="0"/>
    <n v="10"/>
    <n v="15"/>
    <n v="35"/>
    <n v="0"/>
    <n v="12.5"/>
    <n v="0"/>
    <n v="72.5"/>
    <n v="10.357142857142858"/>
    <x v="2"/>
    <x v="6"/>
    <x v="2"/>
    <x v="0"/>
  </r>
  <r>
    <s v="813036149885"/>
    <n v="813036"/>
    <s v="DIVYA SALES"/>
    <n v="149885"/>
    <s v="LUHANI CEMENT SUPPLIERS"/>
    <n v="64.5"/>
    <n v="144.65"/>
    <n v="135"/>
    <n v="112.5"/>
    <n v="118.75"/>
    <n v="62"/>
    <n v="16.75"/>
    <n v="654.15"/>
    <n v="93.45"/>
    <x v="3"/>
    <x v="6"/>
    <x v="2"/>
    <x v="0"/>
  </r>
  <r>
    <s v="813690149885"/>
    <n v="813690"/>
    <s v="VISHAL BRICKS UDYOG &amp; BUILDING"/>
    <n v="149885"/>
    <s v="LUHANI CEMENT SUPPLIERS"/>
    <n v="17.5"/>
    <n v="17"/>
    <n v="0"/>
    <n v="3"/>
    <n v="0"/>
    <n v="7.5"/>
    <n v="15"/>
    <n v="60"/>
    <n v="8.5714285714285712"/>
    <x v="1"/>
    <x v="6"/>
    <x v="2"/>
    <x v="0"/>
  </r>
  <r>
    <s v="815091149885"/>
    <n v="815091"/>
    <s v="SHRI KRISHNA ENTERPRISES"/>
    <n v="149885"/>
    <s v="LUHANI CEMENT SUPPLIERS"/>
    <n v="0"/>
    <n v="10"/>
    <n v="15"/>
    <n v="7.5"/>
    <n v="23.25"/>
    <n v="20.5"/>
    <n v="7.5"/>
    <n v="83.75"/>
    <n v="11.964285714285714"/>
    <x v="2"/>
    <x v="6"/>
    <x v="2"/>
    <x v="0"/>
  </r>
  <r>
    <s v="815136149885"/>
    <n v="815136"/>
    <s v="VISHWAKARMA MARBLE"/>
    <n v="149885"/>
    <s v="LUHANI CEMENT SUPPLIERS"/>
    <n v="0"/>
    <n v="0"/>
    <n v="133"/>
    <n v="126.1"/>
    <n v="51"/>
    <n v="47.5"/>
    <n v="69.5"/>
    <n v="427.1"/>
    <n v="61.01428571428572"/>
    <x v="3"/>
    <x v="6"/>
    <x v="2"/>
    <x v="0"/>
  </r>
  <r>
    <s v="815422149885"/>
    <n v="815422"/>
    <s v="MARUTI CEMENT AGENCY"/>
    <n v="149885"/>
    <s v="LUHANI CEMENT SUPPLIERS"/>
    <n v="0"/>
    <n v="0"/>
    <n v="0"/>
    <n v="122.5"/>
    <n v="123.25"/>
    <n v="82"/>
    <n v="39"/>
    <n v="366.75"/>
    <n v="52.392857142857146"/>
    <x v="3"/>
    <x v="6"/>
    <x v="2"/>
    <x v="0"/>
  </r>
  <r>
    <s v="815423149885"/>
    <n v="815423"/>
    <s v="DEV NARAYAN TRADING COMPANY"/>
    <n v="149885"/>
    <s v="LUHANI CEMENT SUPPLIERS"/>
    <n v="0"/>
    <n v="0"/>
    <n v="0"/>
    <n v="60"/>
    <n v="61"/>
    <n v="7.5"/>
    <n v="33.65"/>
    <n v="162.15"/>
    <n v="23.164285714285715"/>
    <x v="0"/>
    <x v="6"/>
    <x v="2"/>
    <x v="0"/>
  </r>
  <r>
    <s v="815427149885"/>
    <n v="815427"/>
    <s v="GOPAL DHARM KANTA"/>
    <n v="149885"/>
    <s v="LUHANI CEMENT SUPPLIERS"/>
    <n v="0"/>
    <n v="0"/>
    <n v="0"/>
    <n v="52.5"/>
    <n v="107.5"/>
    <n v="59.5"/>
    <n v="38.5"/>
    <n v="258"/>
    <n v="36.857142857142854"/>
    <x v="4"/>
    <x v="6"/>
    <x v="2"/>
    <x v="0"/>
  </r>
  <r>
    <s v="805385149971"/>
    <n v="805385"/>
    <s v="SHARMA BUILDING MATERIAL"/>
    <n v="149971"/>
    <s v="PRADHAN CEMENT SUPPLIERS"/>
    <n v="115"/>
    <n v="0"/>
    <n v="100.5"/>
    <n v="14"/>
    <n v="12.5"/>
    <n v="25"/>
    <n v="20"/>
    <n v="287"/>
    <n v="41"/>
    <x v="5"/>
    <x v="6"/>
    <x v="2"/>
    <x v="0"/>
  </r>
  <r>
    <s v="813962149971"/>
    <n v="813962"/>
    <s v="ZAHID CEMENT SUPPLIERS"/>
    <n v="149971"/>
    <s v="PRADHAN CEMENT SUPPLIERS"/>
    <n v="35"/>
    <n v="0"/>
    <n v="20"/>
    <n v="13.5"/>
    <n v="36.5"/>
    <n v="17.5"/>
    <n v="20"/>
    <n v="142.5"/>
    <n v="20.357142857142858"/>
    <x v="0"/>
    <x v="6"/>
    <x v="2"/>
    <x v="0"/>
  </r>
  <r>
    <s v="815183149971"/>
    <n v="815183"/>
    <s v="SHIFA TILES AND BUILDING MATER"/>
    <n v="149971"/>
    <s v="PRADHAN CEMENT SUPPLIERS"/>
    <n v="0"/>
    <n v="0"/>
    <n v="0"/>
    <n v="54.15"/>
    <n v="27"/>
    <n v="17.5"/>
    <n v="0"/>
    <n v="98.65"/>
    <n v="14.092857142857143"/>
    <x v="2"/>
    <x v="6"/>
    <x v="2"/>
    <x v="0"/>
  </r>
  <r>
    <s v="808787149991"/>
    <n v="808787"/>
    <s v="SIDDHI VINAYAK COMPUTERISED DH"/>
    <n v="149991"/>
    <s v="BALAJI STONE COMPANY"/>
    <n v="92"/>
    <n v="155"/>
    <n v="149.5"/>
    <n v="156"/>
    <n v="127.5"/>
    <n v="162.5"/>
    <n v="92"/>
    <n v="934.5"/>
    <n v="133.5"/>
    <x v="3"/>
    <x v="6"/>
    <x v="2"/>
    <x v="0"/>
  </r>
  <r>
    <s v="807053170617"/>
    <n v="807053"/>
    <s v="TANWAR TRADING COMPANY"/>
    <n v="170617"/>
    <s v="MANGALAM TRADING COMPANY"/>
    <n v="0"/>
    <n v="0"/>
    <n v="0"/>
    <n v="0"/>
    <n v="10"/>
    <n v="2.5"/>
    <n v="7.5"/>
    <n v="20"/>
    <n v="2.8571428571428572"/>
    <x v="1"/>
    <x v="6"/>
    <x v="2"/>
    <x v="0"/>
  </r>
  <r>
    <s v="809411170617"/>
    <n v="809411"/>
    <s v="SUNDRAM  CEMENT SUPPLIERS"/>
    <n v="170617"/>
    <s v="MANGALAM TRADING COMPANY"/>
    <n v="0"/>
    <n v="50"/>
    <n v="44.5"/>
    <n v="78.5"/>
    <n v="70.5"/>
    <n v="101.45"/>
    <n v="65.5"/>
    <n v="410.45"/>
    <n v="58.635714285714286"/>
    <x v="3"/>
    <x v="6"/>
    <x v="2"/>
    <x v="0"/>
  </r>
  <r>
    <s v="810647170617"/>
    <n v="810647"/>
    <s v="SANJAY TRADING COMPANY"/>
    <n v="170617"/>
    <s v="MANGALAM TRADING COMPANY"/>
    <n v="67"/>
    <n v="70"/>
    <n v="73.599999999999994"/>
    <n v="129"/>
    <n v="187.65"/>
    <n v="109.1"/>
    <n v="82"/>
    <n v="718.35"/>
    <n v="102.62142857142858"/>
    <x v="3"/>
    <x v="6"/>
    <x v="2"/>
    <x v="0"/>
  </r>
  <r>
    <s v="811633170617"/>
    <n v="811633"/>
    <s v="SHREE SHYAM DHARAMKANTA"/>
    <n v="170617"/>
    <s v="MANGALAM TRADING COMPANY"/>
    <n v="0"/>
    <n v="0"/>
    <n v="0"/>
    <n v="0"/>
    <n v="0"/>
    <n v="67.5"/>
    <n v="46.25"/>
    <n v="113.75"/>
    <n v="16.25"/>
    <x v="2"/>
    <x v="6"/>
    <x v="2"/>
    <x v="0"/>
  </r>
  <r>
    <s v="811634170617"/>
    <n v="811634"/>
    <s v="SHRI TANOT MATAJI DHARAMKANTA"/>
    <n v="170617"/>
    <s v="MANGALAM TRADING COMPANY"/>
    <n v="117"/>
    <n v="80.5"/>
    <n v="110.75"/>
    <n v="66"/>
    <n v="134.5"/>
    <n v="80"/>
    <n v="114.15"/>
    <n v="702.9"/>
    <n v="100.41428571428571"/>
    <x v="3"/>
    <x v="6"/>
    <x v="2"/>
    <x v="0"/>
  </r>
  <r>
    <s v="811677170617"/>
    <n v="811677"/>
    <s v="ASHVINI ENTERPRISES"/>
    <n v="170617"/>
    <s v="MANGALAM TRADING COMPANY"/>
    <n v="8"/>
    <n v="0"/>
    <n v="64"/>
    <n v="67"/>
    <n v="39.5"/>
    <n v="21"/>
    <n v="70"/>
    <n v="269.5"/>
    <n v="38.5"/>
    <x v="4"/>
    <x v="6"/>
    <x v="2"/>
    <x v="0"/>
  </r>
  <r>
    <s v="813007170617"/>
    <n v="813007"/>
    <s v="SHEETAL TRADING COMPANY"/>
    <n v="170617"/>
    <s v="MANGALAM TRADING COMPANY"/>
    <n v="15"/>
    <n v="45"/>
    <n v="0"/>
    <n v="64.75"/>
    <n v="139.75"/>
    <n v="53.85"/>
    <n v="24.5"/>
    <n v="342.85"/>
    <n v="48.978571428571435"/>
    <x v="5"/>
    <x v="6"/>
    <x v="2"/>
    <x v="0"/>
  </r>
  <r>
    <s v="813284170617"/>
    <n v="813284"/>
    <s v="SURYA CONSTRUCTION AND TRADING"/>
    <n v="170617"/>
    <s v="MANGALAM TRADING COMPANY"/>
    <n v="10"/>
    <n v="0"/>
    <n v="53.5"/>
    <n v="67"/>
    <n v="27.5"/>
    <n v="21.25"/>
    <n v="32.5"/>
    <n v="211.75"/>
    <n v="30.25"/>
    <x v="4"/>
    <x v="6"/>
    <x v="2"/>
    <x v="0"/>
  </r>
  <r>
    <s v="813974170617"/>
    <n v="813974"/>
    <s v="KRISHNA TRADING COMPANY"/>
    <n v="170617"/>
    <s v="MANGALAM TRADING COMPANY"/>
    <n v="34"/>
    <n v="33"/>
    <n v="30"/>
    <n v="71.400000000000006"/>
    <n v="60"/>
    <n v="103"/>
    <n v="39.25"/>
    <n v="370.65"/>
    <n v="52.949999999999996"/>
    <x v="3"/>
    <x v="6"/>
    <x v="2"/>
    <x v="0"/>
  </r>
  <r>
    <s v="814281170617"/>
    <n v="814281"/>
    <s v="DEVNARAYAN BUILDING MATERIAL S"/>
    <n v="170617"/>
    <s v="MANGALAM TRADING COMPANY"/>
    <n v="0"/>
    <n v="20"/>
    <n v="0"/>
    <n v="0"/>
    <n v="0"/>
    <n v="22.5"/>
    <n v="15"/>
    <n v="57.5"/>
    <n v="8.2142857142857135"/>
    <x v="1"/>
    <x v="6"/>
    <x v="2"/>
    <x v="0"/>
  </r>
  <r>
    <s v="814750170617"/>
    <n v="814750"/>
    <s v="TEJAL BUILDING MATERIAL SUPPLI"/>
    <n v="170617"/>
    <s v="MANGALAM TRADING COMPANY"/>
    <n v="89"/>
    <n v="74.45"/>
    <n v="108.5"/>
    <n v="114"/>
    <n v="40"/>
    <n v="75"/>
    <n v="55.5"/>
    <n v="556.45000000000005"/>
    <n v="79.492857142857147"/>
    <x v="3"/>
    <x v="6"/>
    <x v="2"/>
    <x v="0"/>
  </r>
  <r>
    <s v="815567170617"/>
    <n v="815567"/>
    <s v="RIDHI SIDDHI BUILDING MATERIAL"/>
    <n v="170617"/>
    <s v="MANGALAM TRADING COMPANY"/>
    <n v="0"/>
    <n v="0"/>
    <n v="0"/>
    <n v="7.5"/>
    <n v="5"/>
    <n v="13"/>
    <n v="12.5"/>
    <n v="38"/>
    <n v="5.4285714285714288"/>
    <x v="1"/>
    <x v="6"/>
    <x v="2"/>
    <x v="0"/>
  </r>
  <r>
    <s v="814955171591"/>
    <n v="814955"/>
    <s v="BALAJI CEMENT SUPPLIERS"/>
    <n v="171591"/>
    <s v="RULANIYA CEMENT AGENCY"/>
    <n v="39"/>
    <n v="90.5"/>
    <n v="57.5"/>
    <n v="97.5"/>
    <n v="90"/>
    <n v="70.25"/>
    <n v="40"/>
    <n v="484.75"/>
    <n v="69.25"/>
    <x v="3"/>
    <x v="6"/>
    <x v="2"/>
    <x v="0"/>
  </r>
  <r>
    <s v="808210171834"/>
    <n v="808210"/>
    <s v="JORO MORU BROTHERS"/>
    <n v="171834"/>
    <s v="BABA RAMDEV TRADING COMPANY"/>
    <n v="39"/>
    <n v="124.5"/>
    <n v="141.94999999999999"/>
    <n v="166"/>
    <n v="137.5"/>
    <n v="82.5"/>
    <n v="0"/>
    <n v="691.45"/>
    <n v="98.778571428571439"/>
    <x v="3"/>
    <x v="6"/>
    <x v="2"/>
    <x v="0"/>
  </r>
  <r>
    <s v="805385177426"/>
    <n v="805385"/>
    <s v="SHARMA BUILDING MATERIAL"/>
    <n v="177426"/>
    <s v="THALOR ENTERPRISES"/>
    <n v="0"/>
    <n v="0"/>
    <n v="3.5"/>
    <n v="0"/>
    <n v="0"/>
    <n v="0"/>
    <n v="0"/>
    <n v="3.5"/>
    <n v="0.5"/>
    <x v="1"/>
    <x v="6"/>
    <x v="2"/>
    <x v="0"/>
  </r>
  <r>
    <s v="806396177426"/>
    <n v="806396"/>
    <s v="BALAJI BUILDING MATERIAL"/>
    <n v="177426"/>
    <s v="THALOR ENTERPRISES"/>
    <n v="10"/>
    <n v="82.5"/>
    <n v="37.5"/>
    <n v="0"/>
    <n v="0"/>
    <n v="0"/>
    <n v="0"/>
    <n v="130"/>
    <n v="18.571428571428573"/>
    <x v="2"/>
    <x v="6"/>
    <x v="2"/>
    <x v="0"/>
  </r>
  <r>
    <s v="807359177426"/>
    <n v="807359"/>
    <s v="MUMTAJ TRADING COMPANY"/>
    <n v="177426"/>
    <s v="THALOR ENTERPRISES"/>
    <n v="23.75"/>
    <n v="0"/>
    <n v="25"/>
    <n v="12.5"/>
    <n v="34"/>
    <n v="50.5"/>
    <n v="81"/>
    <n v="226.75"/>
    <n v="32.392857142857146"/>
    <x v="4"/>
    <x v="6"/>
    <x v="2"/>
    <x v="0"/>
  </r>
  <r>
    <s v="808786177426"/>
    <n v="808786"/>
    <s v="LAMORIYA DHARM KANTA"/>
    <n v="177426"/>
    <s v="THALOR ENTERPRISES"/>
    <n v="35"/>
    <n v="51"/>
    <n v="92.5"/>
    <n v="40"/>
    <n v="107.5"/>
    <n v="77.5"/>
    <n v="27.5"/>
    <n v="431"/>
    <n v="61.571428571428569"/>
    <x v="3"/>
    <x v="6"/>
    <x v="2"/>
    <x v="0"/>
  </r>
  <r>
    <s v="809532177426"/>
    <n v="809532"/>
    <s v="ANJANI TRADING  COMPANY"/>
    <n v="177426"/>
    <s v="THALOR ENTERPRISES"/>
    <n v="28.5"/>
    <n v="41.5"/>
    <n v="20"/>
    <n v="28.5"/>
    <n v="10"/>
    <n v="40"/>
    <n v="12.5"/>
    <n v="181"/>
    <n v="25.857142857142858"/>
    <x v="0"/>
    <x v="6"/>
    <x v="2"/>
    <x v="0"/>
  </r>
  <r>
    <s v="812064177426"/>
    <n v="812064"/>
    <s v="SHRI BALAJI DHARMKANTA &amp; BUILD"/>
    <n v="177426"/>
    <s v="THALOR ENTERPRISES"/>
    <n v="0"/>
    <n v="5"/>
    <n v="58"/>
    <n v="7.5"/>
    <n v="0"/>
    <n v="0"/>
    <n v="0"/>
    <n v="70.5"/>
    <n v="10.071428571428571"/>
    <x v="2"/>
    <x v="6"/>
    <x v="2"/>
    <x v="0"/>
  </r>
  <r>
    <s v="815634177426"/>
    <n v="815634"/>
    <s v="SHRI BALAJI KRISHI YANTRALYA"/>
    <n v="177426"/>
    <s v="THALOR ENTERPRISES"/>
    <n v="0"/>
    <n v="0"/>
    <n v="0"/>
    <n v="15"/>
    <n v="80"/>
    <n v="139"/>
    <n v="66.5"/>
    <n v="300.5"/>
    <n v="42.928571428571431"/>
    <x v="5"/>
    <x v="6"/>
    <x v="2"/>
    <x v="0"/>
  </r>
  <r>
    <s v="811218178236"/>
    <n v="811218"/>
    <s v="DEEPAK TRADING COMPANY"/>
    <n v="178236"/>
    <s v="BHORIWAL CEMENT UDYOG"/>
    <n v="66.8"/>
    <n v="198"/>
    <n v="45.5"/>
    <n v="131.25"/>
    <n v="54.75"/>
    <n v="73"/>
    <n v="15"/>
    <n v="584.29999999999995"/>
    <n v="83.471428571428561"/>
    <x v="3"/>
    <x v="6"/>
    <x v="2"/>
    <x v="0"/>
  </r>
  <r>
    <s v="815425178236"/>
    <n v="815425"/>
    <s v="CHOUDHARY AGENCY"/>
    <n v="178236"/>
    <s v="BHORIWAL CEMENT UDYOG"/>
    <n v="0"/>
    <n v="0"/>
    <n v="0"/>
    <n v="155"/>
    <n v="162.25"/>
    <n v="124.75"/>
    <n v="15"/>
    <n v="457"/>
    <n v="65.285714285714292"/>
    <x v="3"/>
    <x v="6"/>
    <x v="2"/>
    <x v="0"/>
  </r>
  <r>
    <s v="814218179490"/>
    <n v="814218"/>
    <s v="S S BUILDING MATERIAL SUPPLIER"/>
    <n v="179490"/>
    <s v="KHATRI TRADING COMPANY"/>
    <n v="52.5"/>
    <n v="20"/>
    <n v="17.5"/>
    <n v="151"/>
    <n v="98.5"/>
    <n v="40"/>
    <n v="0"/>
    <n v="379.5"/>
    <n v="54.214285714285715"/>
    <x v="3"/>
    <x v="6"/>
    <x v="2"/>
    <x v="0"/>
  </r>
  <r>
    <s v="815422202855"/>
    <n v="815422"/>
    <s v="MARUTI CEMENT AGENCY"/>
    <n v="202855"/>
    <s v="SHREE BALAJI CONSTRUCTION SUPP"/>
    <n v="0"/>
    <n v="0"/>
    <n v="0"/>
    <n v="5"/>
    <n v="0"/>
    <n v="0"/>
    <n v="0"/>
    <n v="5"/>
    <n v="0.7142857142857143"/>
    <x v="1"/>
    <x v="6"/>
    <x v="2"/>
    <x v="0"/>
  </r>
  <r>
    <s v="815427202855"/>
    <n v="815427"/>
    <s v="GOPAL DHARM KANTA"/>
    <n v="202855"/>
    <s v="SHREE BALAJI CONSTRUCTION SUPP"/>
    <n v="0"/>
    <n v="0"/>
    <n v="0"/>
    <n v="5"/>
    <n v="0"/>
    <n v="0"/>
    <n v="0"/>
    <n v="5"/>
    <n v="0.7142857142857143"/>
    <x v="1"/>
    <x v="6"/>
    <x v="2"/>
    <x v="0"/>
  </r>
  <r>
    <s v="808786203407"/>
    <n v="808786"/>
    <s v="LAMORIYA DHARM KANTA"/>
    <n v="203407"/>
    <s v="HANUMANGARH INT SUPPLIER"/>
    <n v="10"/>
    <n v="0"/>
    <n v="0"/>
    <n v="0"/>
    <n v="0"/>
    <n v="0"/>
    <n v="0"/>
    <n v="10"/>
    <n v="1.4285714285714286"/>
    <x v="1"/>
    <x v="6"/>
    <x v="2"/>
    <x v="0"/>
  </r>
  <r>
    <s v="814168205826"/>
    <n v="814168"/>
    <s v="RUCHIKA TRADING COMPANY"/>
    <n v="205826"/>
    <s v="SHEKHAWAT BUILDING MATERIAL"/>
    <n v="35"/>
    <n v="0"/>
    <n v="0"/>
    <n v="0"/>
    <n v="0"/>
    <n v="0"/>
    <n v="0"/>
    <n v="35"/>
    <n v="5"/>
    <x v="1"/>
    <x v="6"/>
    <x v="2"/>
    <x v="0"/>
  </r>
  <r>
    <s v="815577207291"/>
    <n v="815577"/>
    <s v="BHANDORIYA CERAMICS"/>
    <n v="207291"/>
    <s v="BALAJI TRADERS"/>
    <n v="0"/>
    <n v="0"/>
    <n v="0"/>
    <n v="12.5"/>
    <n v="5"/>
    <n v="7.5"/>
    <n v="10"/>
    <n v="35"/>
    <n v="5"/>
    <x v="1"/>
    <x v="6"/>
    <x v="2"/>
    <x v="0"/>
  </r>
  <r>
    <s v="815963207713"/>
    <n v="815963"/>
    <s v="MOHAMMED SAMEER TAGALA"/>
    <n v="207713"/>
    <s v="TAGALA BROTHERS"/>
    <n v="0"/>
    <n v="0"/>
    <n v="0"/>
    <n v="0"/>
    <n v="148.5"/>
    <n v="193.75"/>
    <n v="101.5"/>
    <n v="443.75"/>
    <n v="63.392857142857146"/>
    <x v="3"/>
    <x v="6"/>
    <x v="2"/>
    <x v="0"/>
  </r>
  <r>
    <s v="814168208770"/>
    <n v="814168"/>
    <s v="RUCHIKA TRADING COMPANY"/>
    <n v="208770"/>
    <s v="SHEKHAWAT BUILDING MATERIAL"/>
    <n v="0"/>
    <n v="0"/>
    <n v="0"/>
    <n v="92.5"/>
    <n v="25"/>
    <n v="30.5"/>
    <n v="0"/>
    <n v="148"/>
    <n v="21.142857142857142"/>
    <x v="0"/>
    <x v="6"/>
    <x v="2"/>
    <x v="0"/>
  </r>
  <r>
    <s v="815909209146"/>
    <n v="815909"/>
    <s v="SAINI CEMENT AGENCY"/>
    <n v="209146"/>
    <s v="KUMAWAT TRADING CO."/>
    <n v="0"/>
    <n v="0"/>
    <n v="0"/>
    <n v="0"/>
    <n v="79.25"/>
    <n v="82"/>
    <n v="0"/>
    <n v="161.25"/>
    <n v="23.035714285714285"/>
    <x v="0"/>
    <x v="6"/>
    <x v="2"/>
    <x v="0"/>
  </r>
  <r>
    <s v="816430209146"/>
    <n v="816430"/>
    <s v="SHRI SHYAM SALES"/>
    <n v="209146"/>
    <s v="KUMAWAT TRADING CO."/>
    <n v="0"/>
    <n v="0"/>
    <n v="0"/>
    <n v="0"/>
    <n v="0"/>
    <n v="28"/>
    <n v="27.5"/>
    <n v="55.5"/>
    <n v="7.9285714285714288"/>
    <x v="1"/>
    <x v="6"/>
    <x v="2"/>
    <x v="0"/>
  </r>
  <r>
    <s v="815962149971"/>
    <n v="815962"/>
    <s v="ASHOKA BUILDING MATERIAL"/>
    <n v="149971"/>
    <s v="PRADHAN CEMENT SUPPLIERS"/>
    <n v="0"/>
    <n v="0"/>
    <n v="0"/>
    <n v="0"/>
    <n v="0"/>
    <n v="0"/>
    <n v="20"/>
    <n v="20"/>
    <n v="2.8571428571428572"/>
    <x v="1"/>
    <x v="6"/>
    <x v="2"/>
    <x v="0"/>
  </r>
  <r>
    <s v="816426149885"/>
    <n v="816426"/>
    <s v="DETWAL CEMENT SUPPLIERS"/>
    <n v="149885"/>
    <s v="LUHANI CEMENT SUPPLIERS"/>
    <n v="0"/>
    <n v="0"/>
    <n v="0"/>
    <n v="0"/>
    <n v="0"/>
    <n v="0"/>
    <n v="64.5"/>
    <n v="64.5"/>
    <n v="9.2142857142857135"/>
    <x v="1"/>
    <x v="6"/>
    <x v="2"/>
    <x v="0"/>
  </r>
  <r>
    <s v="816435143301"/>
    <n v="816435"/>
    <s v="HARI OM ELECTRICAL SANITARY &amp;"/>
    <n v="143301"/>
    <s v="LAXMI TRADERS"/>
    <n v="0"/>
    <n v="0"/>
    <n v="0"/>
    <n v="0"/>
    <n v="0"/>
    <n v="0"/>
    <n v="15"/>
    <n v="15"/>
    <n v="2.1428571428571428"/>
    <x v="1"/>
    <x v="6"/>
    <x v="2"/>
    <x v="0"/>
  </r>
  <r>
    <s v="816705170617"/>
    <n v="816705"/>
    <s v="JMG CONSTRUCTION COMPANY"/>
    <n v="170617"/>
    <s v="MANGALAM TRADING COMPANY"/>
    <n v="0"/>
    <n v="0"/>
    <n v="0"/>
    <n v="0"/>
    <n v="0"/>
    <n v="0"/>
    <n v="5"/>
    <n v="5"/>
    <n v="0.7142857142857143"/>
    <x v="1"/>
    <x v="6"/>
    <x v="2"/>
    <x v="0"/>
  </r>
  <r>
    <s v="816716207713"/>
    <n v="816716"/>
    <s v="BAGRODIA SALES"/>
    <n v="207713"/>
    <s v="TAGALA BROTHERS"/>
    <n v="0"/>
    <n v="0"/>
    <n v="0"/>
    <n v="0"/>
    <n v="0"/>
    <n v="0"/>
    <n v="10"/>
    <n v="10"/>
    <n v="1.4285714285714286"/>
    <x v="1"/>
    <x v="6"/>
    <x v="2"/>
    <x v="0"/>
  </r>
  <r>
    <s v="816718170617"/>
    <n v="816718"/>
    <s v="SHRI BALAJI CEMENT SUPPLIERS"/>
    <n v="170617"/>
    <s v="MANGALAM TRADING COMPANY"/>
    <n v="0"/>
    <n v="0"/>
    <n v="0"/>
    <n v="0"/>
    <n v="0"/>
    <n v="0"/>
    <n v="58"/>
    <n v="58"/>
    <n v="8.2857142857142865"/>
    <x v="1"/>
    <x v="6"/>
    <x v="2"/>
    <x v="0"/>
  </r>
  <r>
    <s v="814109119052"/>
    <n v="814109"/>
    <s v="SHANKAR KHAD BHANDAR"/>
    <n v="119052"/>
    <s v="SURESH CHAND &amp; CO"/>
    <n v="84"/>
    <n v="53"/>
    <n v="96.5"/>
    <n v="104"/>
    <n v="60"/>
    <n v="93"/>
    <n v="66"/>
    <n v="556.5"/>
    <n v="79.5"/>
    <x v="3"/>
    <x v="7"/>
    <x v="3"/>
    <x v="0"/>
  </r>
  <r>
    <s v="804079174756"/>
    <n v="804079"/>
    <s v="HARI OM TRADERS"/>
    <n v="174756"/>
    <s v="SHAH TRADERS"/>
    <n v="10"/>
    <n v="10"/>
    <n v="0"/>
    <n v="41"/>
    <n v="10"/>
    <n v="2"/>
    <n v="0"/>
    <n v="73"/>
    <n v="10.428571428571429"/>
    <x v="2"/>
    <x v="7"/>
    <x v="3"/>
    <x v="0"/>
  </r>
  <r>
    <s v="808980175717"/>
    <n v="808980"/>
    <s v="TRILOK NATH AGARWAL"/>
    <n v="175717"/>
    <s v="S S AGRAWAL AND COMPANY"/>
    <n v="10"/>
    <n v="7"/>
    <n v="15"/>
    <n v="29.5"/>
    <n v="0"/>
    <n v="0"/>
    <n v="19"/>
    <n v="80.5"/>
    <n v="11.5"/>
    <x v="2"/>
    <x v="7"/>
    <x v="3"/>
    <x v="0"/>
  </r>
  <r>
    <s v="814350175717"/>
    <n v="814350"/>
    <s v="GAURAV MARBLE"/>
    <n v="175717"/>
    <s v="S S AGRAWAL AND COMPANY"/>
    <n v="10"/>
    <n v="77"/>
    <n v="69"/>
    <n v="121.5"/>
    <n v="32"/>
    <n v="42"/>
    <n v="27"/>
    <n v="378.5"/>
    <n v="54.071428571428569"/>
    <x v="3"/>
    <x v="7"/>
    <x v="3"/>
    <x v="0"/>
  </r>
  <r>
    <s v="812076178234"/>
    <n v="812076"/>
    <s v="SHRINATH TRADERS"/>
    <n v="178234"/>
    <s v="SHREE GIRIRAJ TRADERS"/>
    <n v="15"/>
    <n v="15"/>
    <n v="40"/>
    <n v="60"/>
    <n v="15"/>
    <n v="37.5"/>
    <n v="60"/>
    <n v="242.5"/>
    <n v="34.642857142857146"/>
    <x v="4"/>
    <x v="7"/>
    <x v="3"/>
    <x v="0"/>
  </r>
  <r>
    <s v="812100178234"/>
    <n v="812100"/>
    <s v="MAHALAXMI B M TRADERS"/>
    <n v="178234"/>
    <s v="SHREE GIRIRAJ TRADERS"/>
    <n v="0"/>
    <n v="10"/>
    <n v="0"/>
    <n v="10"/>
    <n v="0"/>
    <n v="0"/>
    <n v="0"/>
    <n v="20"/>
    <n v="2.8571428571428572"/>
    <x v="1"/>
    <x v="7"/>
    <x v="3"/>
    <x v="0"/>
  </r>
  <r>
    <s v="812474178234"/>
    <n v="812474"/>
    <s v="DEEPENDRA SINGH CHOUHAN"/>
    <n v="178234"/>
    <s v="SHREE GIRIRAJ TRADERS"/>
    <n v="35"/>
    <n v="30"/>
    <n v="93"/>
    <n v="100.5"/>
    <n v="65"/>
    <n v="48.5"/>
    <n v="34"/>
    <n v="406"/>
    <n v="58"/>
    <x v="3"/>
    <x v="7"/>
    <x v="3"/>
    <x v="0"/>
  </r>
  <r>
    <s v="815468178234"/>
    <n v="815468"/>
    <s v="SAINI FLOUR MEELS AND GENERAL"/>
    <n v="178234"/>
    <s v="SHREE GIRIRAJ TRADERS"/>
    <n v="0"/>
    <n v="0"/>
    <n v="0"/>
    <n v="0"/>
    <n v="15"/>
    <n v="20"/>
    <n v="0"/>
    <n v="35"/>
    <n v="5"/>
    <x v="1"/>
    <x v="7"/>
    <x v="3"/>
    <x v="0"/>
  </r>
  <r>
    <s v="811106178237"/>
    <n v="811106"/>
    <s v="SATISH CHAND GUPTA"/>
    <n v="178237"/>
    <s v="BADAYA TRADERS"/>
    <n v="196"/>
    <n v="182.5"/>
    <n v="196.25"/>
    <n v="149"/>
    <n v="130.5"/>
    <n v="194"/>
    <n v="139.5"/>
    <n v="1187.75"/>
    <n v="169.67857142857142"/>
    <x v="3"/>
    <x v="7"/>
    <x v="3"/>
    <x v="0"/>
  </r>
  <r>
    <s v="812392178237"/>
    <n v="812392"/>
    <s v="JAI MATADI  BUILDING MATERIAL"/>
    <n v="178237"/>
    <s v="BADAYA TRADERS"/>
    <n v="12"/>
    <n v="15"/>
    <n v="29"/>
    <n v="35"/>
    <n v="20"/>
    <n v="34"/>
    <n v="0"/>
    <n v="145"/>
    <n v="20.714285714285715"/>
    <x v="0"/>
    <x v="7"/>
    <x v="3"/>
    <x v="0"/>
  </r>
  <r>
    <s v="812407178237"/>
    <n v="812407"/>
    <s v="HARI SINGH GURJAR"/>
    <n v="178237"/>
    <s v="BADAYA TRADERS"/>
    <n v="0"/>
    <n v="0"/>
    <n v="10"/>
    <n v="0"/>
    <n v="0"/>
    <n v="0"/>
    <n v="0"/>
    <n v="10"/>
    <n v="1.4285714285714286"/>
    <x v="1"/>
    <x v="7"/>
    <x v="3"/>
    <x v="0"/>
  </r>
  <r>
    <s v="812751178237"/>
    <n v="812751"/>
    <s v="KARTIK SANITARY &amp; BUILDING MAT"/>
    <n v="178237"/>
    <s v="BADAYA TRADERS"/>
    <n v="18.25"/>
    <n v="26"/>
    <n v="0"/>
    <n v="0"/>
    <n v="0"/>
    <n v="0"/>
    <n v="15"/>
    <n v="59.25"/>
    <n v="8.4642857142857135"/>
    <x v="1"/>
    <x v="7"/>
    <x v="3"/>
    <x v="0"/>
  </r>
  <r>
    <s v="812811178237"/>
    <n v="812811"/>
    <s v="MADHU SHARMA"/>
    <n v="178237"/>
    <s v="BADAYA TRADERS"/>
    <n v="0"/>
    <n v="0"/>
    <n v="0"/>
    <n v="20"/>
    <n v="0"/>
    <n v="0"/>
    <n v="0"/>
    <n v="20"/>
    <n v="2.8571428571428572"/>
    <x v="1"/>
    <x v="7"/>
    <x v="3"/>
    <x v="0"/>
  </r>
  <r>
    <s v="813821178237"/>
    <n v="813821"/>
    <s v="SHARMA BUILDING MATERIAL SUPPL"/>
    <n v="178237"/>
    <s v="BADAYA TRADERS"/>
    <n v="57.5"/>
    <n v="27"/>
    <n v="109"/>
    <n v="47.1"/>
    <n v="40"/>
    <n v="38"/>
    <n v="0"/>
    <n v="318.60000000000002"/>
    <n v="45.51428571428572"/>
    <x v="5"/>
    <x v="7"/>
    <x v="3"/>
    <x v="0"/>
  </r>
  <r>
    <s v="812384178298"/>
    <n v="812384"/>
    <s v="GURUKRIPA BUILDING MATERIAL"/>
    <n v="178298"/>
    <s v="SAINI BUILDING MATERIAL"/>
    <n v="206"/>
    <n v="238.5"/>
    <n v="201.5"/>
    <n v="235"/>
    <n v="147"/>
    <n v="247.25"/>
    <n v="96"/>
    <n v="1371.25"/>
    <n v="195.89285714285714"/>
    <x v="3"/>
    <x v="7"/>
    <x v="3"/>
    <x v="0"/>
  </r>
  <r>
    <s v="814116178298"/>
    <n v="814116"/>
    <s v="SANJAY KUMAR SAINI"/>
    <n v="178298"/>
    <s v="SAINI BUILDING MATERIAL"/>
    <n v="68"/>
    <n v="96"/>
    <n v="93"/>
    <n v="124"/>
    <n v="87"/>
    <n v="75"/>
    <n v="42"/>
    <n v="585"/>
    <n v="83.571428571428569"/>
    <x v="3"/>
    <x v="7"/>
    <x v="3"/>
    <x v="0"/>
  </r>
  <r>
    <s v="813842202478"/>
    <n v="813842"/>
    <s v="VINOD KUMAR SAINI"/>
    <n v="202478"/>
    <s v="RAMSWAROOP PRAKASHCHAND"/>
    <n v="20"/>
    <n v="0"/>
    <n v="0"/>
    <n v="50"/>
    <n v="0"/>
    <n v="15"/>
    <n v="0"/>
    <n v="85"/>
    <n v="12.142857142857142"/>
    <x v="2"/>
    <x v="7"/>
    <x v="3"/>
    <x v="0"/>
  </r>
  <r>
    <s v="812100203236"/>
    <n v="812100"/>
    <s v="MAHALAXMI B M TRADERS"/>
    <n v="203236"/>
    <s v="SAINI STONE SUPPLIERS"/>
    <n v="37.5"/>
    <n v="54"/>
    <n v="60"/>
    <n v="0"/>
    <n v="30"/>
    <n v="15"/>
    <n v="25"/>
    <n v="221.5"/>
    <n v="31.642857142857142"/>
    <x v="4"/>
    <x v="7"/>
    <x v="3"/>
    <x v="0"/>
  </r>
  <r>
    <s v="815467203236"/>
    <n v="815467"/>
    <s v="SAINI TENT HOUSE"/>
    <n v="203236"/>
    <s v="SAINI STONE SUPPLIERS"/>
    <n v="0"/>
    <n v="0"/>
    <n v="0"/>
    <n v="44"/>
    <n v="65"/>
    <n v="30"/>
    <n v="30"/>
    <n v="169"/>
    <n v="24.142857142857142"/>
    <x v="0"/>
    <x v="7"/>
    <x v="3"/>
    <x v="0"/>
  </r>
  <r>
    <s v="815468203236"/>
    <n v="815468"/>
    <s v="SAINI FLOUR MEELS AND GENERAL"/>
    <n v="203236"/>
    <s v="SAINI STONE SUPPLIERS"/>
    <n v="0"/>
    <n v="0"/>
    <n v="0"/>
    <n v="10"/>
    <n v="0"/>
    <n v="0"/>
    <n v="0"/>
    <n v="10"/>
    <n v="1.4285714285714286"/>
    <x v="1"/>
    <x v="7"/>
    <x v="3"/>
    <x v="0"/>
  </r>
  <r>
    <s v="815479203236"/>
    <n v="815479"/>
    <s v="GURUKRIPA CONSTRUCTION COMPANY"/>
    <n v="203236"/>
    <s v="SAINI STONE SUPPLIERS"/>
    <n v="0"/>
    <n v="0"/>
    <n v="0"/>
    <n v="10"/>
    <n v="0"/>
    <n v="0"/>
    <n v="0"/>
    <n v="10"/>
    <n v="1.4285714285714286"/>
    <x v="1"/>
    <x v="7"/>
    <x v="3"/>
    <x v="0"/>
  </r>
  <r>
    <s v="813378178298"/>
    <n v="813378"/>
    <s v="BRIJENDRA SINGH CHAUHAN"/>
    <n v="178298"/>
    <s v="SAINI BUILDING MATERIAL"/>
    <n v="0"/>
    <n v="0"/>
    <n v="0"/>
    <n v="0"/>
    <n v="0"/>
    <n v="0"/>
    <n v="20"/>
    <n v="20"/>
    <n v="2.8571428571428572"/>
    <x v="1"/>
    <x v="7"/>
    <x v="3"/>
    <x v="0"/>
  </r>
  <r>
    <s v="814116202478"/>
    <n v="814116"/>
    <s v="SANJAY KUMAR SAINI"/>
    <n v="202478"/>
    <s v="RAMSWAROOP PRAKASHCHAND"/>
    <n v="0"/>
    <n v="0"/>
    <n v="0"/>
    <n v="0"/>
    <n v="0"/>
    <n v="0"/>
    <n v="20"/>
    <n v="20"/>
    <n v="2.8571428571428572"/>
    <x v="1"/>
    <x v="7"/>
    <x v="3"/>
    <x v="0"/>
  </r>
  <r>
    <s v="808979149996"/>
    <n v="808979"/>
    <s v="GOVERDHAN ENTERPRISES"/>
    <n v="149996"/>
    <s v="GOKLENDRA BUILDING MATERIAL"/>
    <n v="10"/>
    <n v="0"/>
    <n v="20"/>
    <n v="10"/>
    <n v="17"/>
    <n v="0"/>
    <n v="0"/>
    <n v="57"/>
    <n v="8.1428571428571423"/>
    <x v="1"/>
    <x v="8"/>
    <x v="3"/>
    <x v="0"/>
  </r>
  <r>
    <s v="805468170197"/>
    <n v="805468"/>
    <s v="KEDAR LAL RAMKISHAN LAL"/>
    <n v="170197"/>
    <s v="ARVIND BUILDING MATERIAL"/>
    <n v="20"/>
    <n v="35"/>
    <n v="40"/>
    <n v="90"/>
    <n v="15"/>
    <n v="15"/>
    <n v="30"/>
    <n v="245"/>
    <n v="35"/>
    <x v="4"/>
    <x v="8"/>
    <x v="3"/>
    <x v="0"/>
  </r>
  <r>
    <s v="807164170197"/>
    <n v="807164"/>
    <s v="RAJENDRA SINGH DAGUR"/>
    <n v="170197"/>
    <s v="ARVIND BUILDING MATERIAL"/>
    <n v="0"/>
    <n v="0"/>
    <n v="10"/>
    <n v="0"/>
    <n v="0"/>
    <n v="0"/>
    <n v="0"/>
    <n v="10"/>
    <n v="1.4285714285714286"/>
    <x v="1"/>
    <x v="8"/>
    <x v="3"/>
    <x v="0"/>
  </r>
  <r>
    <s v="808713170197"/>
    <n v="808713"/>
    <s v="JAGDAMBA CEMENT AGENCY"/>
    <n v="170197"/>
    <s v="ARVIND BUILDING MATERIAL"/>
    <n v="50"/>
    <n v="62"/>
    <n v="91.5"/>
    <n v="145"/>
    <n v="0"/>
    <n v="0"/>
    <n v="40"/>
    <n v="388.5"/>
    <n v="55.5"/>
    <x v="3"/>
    <x v="8"/>
    <x v="3"/>
    <x v="0"/>
  </r>
  <r>
    <s v="811694170197"/>
    <n v="811694"/>
    <s v="JAI HANUMAN ENTERPRISES"/>
    <n v="170197"/>
    <s v="ARVIND BUILDING MATERIAL"/>
    <n v="171"/>
    <n v="140"/>
    <n v="164"/>
    <n v="453"/>
    <n v="234"/>
    <n v="90"/>
    <n v="54"/>
    <n v="1306"/>
    <n v="186.57142857142858"/>
    <x v="3"/>
    <x v="8"/>
    <x v="3"/>
    <x v="0"/>
  </r>
  <r>
    <s v="805995170892"/>
    <n v="805995"/>
    <s v="HARMAN SINGH AND SONS"/>
    <n v="170892"/>
    <s v="GOURAV AGAENCY"/>
    <n v="15"/>
    <n v="20"/>
    <n v="10"/>
    <n v="0"/>
    <n v="17"/>
    <n v="0"/>
    <n v="13"/>
    <n v="75"/>
    <n v="10.714285714285714"/>
    <x v="2"/>
    <x v="8"/>
    <x v="3"/>
    <x v="0"/>
  </r>
  <r>
    <s v="806024170892"/>
    <n v="806024"/>
    <s v="MOOL CHAND GURJAR"/>
    <n v="170892"/>
    <s v="GOURAV AGAENCY"/>
    <n v="30"/>
    <n v="66.5"/>
    <n v="59"/>
    <n v="30"/>
    <n v="44"/>
    <n v="28"/>
    <n v="54"/>
    <n v="311.5"/>
    <n v="44.5"/>
    <x v="5"/>
    <x v="8"/>
    <x v="3"/>
    <x v="0"/>
  </r>
  <r>
    <s v="812336178109"/>
    <n v="812336"/>
    <s v="SHIV TRADING COMPANY"/>
    <n v="178109"/>
    <s v="KRISHI SEWA KENDRA"/>
    <n v="52.5"/>
    <n v="75.5"/>
    <n v="77.5"/>
    <n v="32.5"/>
    <n v="55"/>
    <n v="56.5"/>
    <n v="0"/>
    <n v="349.5"/>
    <n v="49.928571428571431"/>
    <x v="5"/>
    <x v="8"/>
    <x v="3"/>
    <x v="0"/>
  </r>
  <r>
    <s v="812426178109"/>
    <n v="812426"/>
    <s v="DEV TRADING COMPANY"/>
    <n v="178109"/>
    <s v="KRISHI SEWA KENDRA"/>
    <n v="47.5"/>
    <n v="0"/>
    <n v="35"/>
    <n v="0"/>
    <n v="0"/>
    <n v="0"/>
    <n v="0"/>
    <n v="82.5"/>
    <n v="11.785714285714286"/>
    <x v="2"/>
    <x v="8"/>
    <x v="3"/>
    <x v="0"/>
  </r>
  <r>
    <s v="812854178109"/>
    <n v="812854"/>
    <s v="GHATVASAN BUILDING MATERIAL"/>
    <n v="178109"/>
    <s v="KRISHI SEWA KENDRA"/>
    <n v="65"/>
    <n v="30"/>
    <n v="22.5"/>
    <n v="30"/>
    <n v="50"/>
    <n v="40"/>
    <n v="23.5"/>
    <n v="261"/>
    <n v="37.285714285714285"/>
    <x v="4"/>
    <x v="8"/>
    <x v="3"/>
    <x v="0"/>
  </r>
  <r>
    <s v="815982178109"/>
    <n v="815982"/>
    <s v="KRISHNA CEMENT AGENCY"/>
    <n v="178109"/>
    <s v="KRISHI SEWA KENDRA"/>
    <n v="0"/>
    <n v="0"/>
    <n v="0"/>
    <n v="0"/>
    <n v="50"/>
    <n v="35"/>
    <n v="0"/>
    <n v="85"/>
    <n v="12.142857142857142"/>
    <x v="2"/>
    <x v="8"/>
    <x v="3"/>
    <x v="0"/>
  </r>
  <r>
    <s v="813122205183"/>
    <n v="813122"/>
    <s v="YADHUVANSHI BUILDING MATERIAL"/>
    <n v="205183"/>
    <s v="SANWARIA TRADING COMPANY"/>
    <n v="0"/>
    <n v="0"/>
    <n v="0"/>
    <n v="20"/>
    <n v="27"/>
    <n v="10"/>
    <n v="0"/>
    <n v="57"/>
    <n v="8.1428571428571423"/>
    <x v="1"/>
    <x v="8"/>
    <x v="3"/>
    <x v="0"/>
  </r>
  <r>
    <s v="814827205183"/>
    <n v="814827"/>
    <s v="JAI CHAMUNDA MAA BUILDING MATE"/>
    <n v="205183"/>
    <s v="SANWARIA TRADING COMPANY"/>
    <n v="51.5"/>
    <n v="0"/>
    <n v="0"/>
    <n v="42"/>
    <n v="0"/>
    <n v="0"/>
    <n v="0"/>
    <n v="93.5"/>
    <n v="13.357142857142858"/>
    <x v="2"/>
    <x v="8"/>
    <x v="3"/>
    <x v="0"/>
  </r>
  <r>
    <s v="814593207907"/>
    <n v="814593"/>
    <s v="BHOLU SINGH CEMENT SUPPLIERS"/>
    <n v="207907"/>
    <s v="NARSINGH KHAAD BEEJ BHANDAR"/>
    <n v="0"/>
    <n v="50"/>
    <n v="47.5"/>
    <n v="20"/>
    <n v="20"/>
    <n v="10"/>
    <n v="0"/>
    <n v="147.5"/>
    <n v="21.071428571428573"/>
    <x v="0"/>
    <x v="8"/>
    <x v="3"/>
    <x v="0"/>
  </r>
  <r>
    <s v="807164208183"/>
    <n v="807164"/>
    <s v="RAJENDRA SINGH DAGUR"/>
    <n v="208183"/>
    <s v="AAGRAWAL TRADING COMPANY"/>
    <n v="0"/>
    <n v="0"/>
    <n v="73"/>
    <n v="31.5"/>
    <n v="84.5"/>
    <n v="150.5"/>
    <n v="10"/>
    <n v="349.5"/>
    <n v="49.928571428571431"/>
    <x v="5"/>
    <x v="8"/>
    <x v="3"/>
    <x v="0"/>
  </r>
  <r>
    <s v="809120208183"/>
    <n v="809120"/>
    <s v="JAY BAJRANG BALI BUILDING MATE"/>
    <n v="208183"/>
    <s v="AAGRAWAL TRADING COMPANY"/>
    <n v="0"/>
    <n v="30"/>
    <n v="96.1"/>
    <n v="41.25"/>
    <n v="70.5"/>
    <n v="0"/>
    <n v="0"/>
    <n v="237.85"/>
    <n v="33.978571428571428"/>
    <x v="4"/>
    <x v="8"/>
    <x v="3"/>
    <x v="0"/>
  </r>
  <r>
    <s v="809439208183"/>
    <n v="809439"/>
    <s v="SHRI VISHWAKARMA BUILDING MATE"/>
    <n v="208183"/>
    <s v="AAGRAWAL TRADING COMPANY"/>
    <n v="0"/>
    <n v="0"/>
    <n v="45"/>
    <n v="28.75"/>
    <n v="30"/>
    <n v="0"/>
    <n v="0"/>
    <n v="103.75"/>
    <n v="14.821428571428571"/>
    <x v="2"/>
    <x v="8"/>
    <x v="3"/>
    <x v="0"/>
  </r>
  <r>
    <s v="809736208183"/>
    <n v="809736"/>
    <s v="MA KAILADEVI KHAD BEEJ BHANDAR"/>
    <n v="208183"/>
    <s v="AAGRAWAL TRADING COMPANY"/>
    <n v="0"/>
    <n v="15"/>
    <n v="76.5"/>
    <n v="128.5"/>
    <n v="55"/>
    <n v="0"/>
    <n v="0"/>
    <n v="275"/>
    <n v="39.285714285714285"/>
    <x v="4"/>
    <x v="8"/>
    <x v="3"/>
    <x v="0"/>
  </r>
  <r>
    <s v="816241208183"/>
    <n v="816241"/>
    <s v="AASTHA KRASHI KENDRA"/>
    <n v="208183"/>
    <s v="AAGRAWAL TRADING COMPANY"/>
    <n v="0"/>
    <n v="0"/>
    <n v="0"/>
    <n v="0"/>
    <n v="0"/>
    <n v="214.5"/>
    <n v="9"/>
    <n v="223.5"/>
    <n v="31.928571428571427"/>
    <x v="4"/>
    <x v="8"/>
    <x v="3"/>
    <x v="0"/>
  </r>
  <r>
    <s v="816425208183"/>
    <n v="816425"/>
    <s v="SAGAR BUILDING MATERIAL"/>
    <n v="208183"/>
    <s v="AAGRAWAL TRADING COMPANY"/>
    <n v="0"/>
    <n v="0"/>
    <n v="0"/>
    <n v="0"/>
    <n v="0"/>
    <n v="91.5"/>
    <n v="8"/>
    <n v="99.5"/>
    <n v="14.214285714285714"/>
    <x v="2"/>
    <x v="8"/>
    <x v="3"/>
    <x v="0"/>
  </r>
  <r>
    <s v="810756208329"/>
    <n v="810756"/>
    <s v="SANTOSH BUILDING MATERIAL"/>
    <n v="208329"/>
    <s v="MAHALAXMI ENTERPRISES"/>
    <n v="0"/>
    <n v="0"/>
    <n v="24.9"/>
    <n v="41"/>
    <n v="31.3"/>
    <n v="0"/>
    <n v="0"/>
    <n v="97.2"/>
    <n v="13.885714285714286"/>
    <x v="2"/>
    <x v="8"/>
    <x v="3"/>
    <x v="0"/>
  </r>
  <r>
    <s v="816240208874"/>
    <n v="816240"/>
    <s v="PAWAN BUILDING MATERIAL"/>
    <n v="208874"/>
    <s v="SINGHAL SAINATARY &amp; HARDWARE"/>
    <n v="0"/>
    <n v="0"/>
    <n v="0"/>
    <n v="0"/>
    <n v="0"/>
    <n v="33"/>
    <n v="25"/>
    <n v="58"/>
    <n v="8.2857142857142865"/>
    <x v="1"/>
    <x v="8"/>
    <x v="3"/>
    <x v="0"/>
  </r>
  <r>
    <s v="816315208183"/>
    <n v="816315"/>
    <s v="ADARSH BUILDING MATERIAL"/>
    <n v="208183"/>
    <s v="AAGRAWAL TRADING COMPANY"/>
    <n v="0"/>
    <n v="0"/>
    <n v="0"/>
    <n v="0"/>
    <n v="0"/>
    <n v="82"/>
    <n v="0"/>
    <n v="82"/>
    <n v="11.714285714285714"/>
    <x v="2"/>
    <x v="8"/>
    <x v="3"/>
    <x v="0"/>
  </r>
  <r>
    <s v="816496170197"/>
    <n v="816496"/>
    <s v="MAA KAILADEVI BUILDING MATERIA"/>
    <n v="170197"/>
    <s v="ARVIND BUILDING MATERIAL"/>
    <n v="0"/>
    <n v="0"/>
    <n v="0"/>
    <n v="0"/>
    <n v="0"/>
    <n v="0"/>
    <n v="70"/>
    <n v="70"/>
    <n v="10"/>
    <x v="2"/>
    <x v="8"/>
    <x v="3"/>
    <x v="0"/>
  </r>
  <r>
    <s v="809191170132"/>
    <n v="809191"/>
    <s v="PARIDWAL TRADERS"/>
    <n v="170132"/>
    <s v="JAI KOSHLESH TRADING COMPANY"/>
    <n v="154"/>
    <n v="80"/>
    <n v="122"/>
    <n v="72.5"/>
    <n v="75"/>
    <n v="0"/>
    <n v="0"/>
    <n v="503.5"/>
    <n v="71.928571428571431"/>
    <x v="3"/>
    <x v="9"/>
    <x v="3"/>
    <x v="0"/>
  </r>
  <r>
    <s v="811357170132"/>
    <n v="811357"/>
    <s v="MEENA TRADING COMPANY"/>
    <n v="170132"/>
    <s v="JAI KOSHLESH TRADING COMPANY"/>
    <n v="0"/>
    <n v="0"/>
    <n v="21"/>
    <n v="0"/>
    <n v="0"/>
    <n v="0"/>
    <n v="0"/>
    <n v="21"/>
    <n v="3"/>
    <x v="1"/>
    <x v="9"/>
    <x v="3"/>
    <x v="0"/>
  </r>
  <r>
    <s v="812964170132"/>
    <n v="812964"/>
    <s v="MATO SHRI TRADERS"/>
    <n v="170132"/>
    <s v="JAI KOSHLESH TRADING COMPANY"/>
    <n v="0"/>
    <n v="0"/>
    <n v="21"/>
    <n v="0"/>
    <n v="0"/>
    <n v="0"/>
    <n v="0"/>
    <n v="21"/>
    <n v="3"/>
    <x v="1"/>
    <x v="9"/>
    <x v="3"/>
    <x v="0"/>
  </r>
  <r>
    <s v="814390170132"/>
    <n v="814390"/>
    <s v="K D STONE"/>
    <n v="170132"/>
    <s v="JAI KOSHLESH TRADING COMPANY"/>
    <n v="107.5"/>
    <n v="83"/>
    <n v="95"/>
    <n v="52.5"/>
    <n v="35"/>
    <n v="0"/>
    <n v="10"/>
    <n v="383"/>
    <n v="54.714285714285715"/>
    <x v="3"/>
    <x v="9"/>
    <x v="3"/>
    <x v="0"/>
  </r>
  <r>
    <s v="814431170132"/>
    <n v="814431"/>
    <s v="MONU KIRANA STORE"/>
    <n v="170132"/>
    <s v="JAI KOSHLESH TRADING COMPANY"/>
    <n v="147.5"/>
    <n v="45"/>
    <n v="100"/>
    <n v="0"/>
    <n v="30"/>
    <n v="14"/>
    <n v="0"/>
    <n v="336.5"/>
    <n v="48.071428571428569"/>
    <x v="5"/>
    <x v="9"/>
    <x v="3"/>
    <x v="0"/>
  </r>
  <r>
    <s v="814441170132"/>
    <n v="814441"/>
    <s v="SONAM KHAD BEEJ BHANDAR"/>
    <n v="170132"/>
    <s v="JAI KOSHLESH TRADING COMPANY"/>
    <n v="30"/>
    <n v="42"/>
    <n v="77"/>
    <n v="20"/>
    <n v="15"/>
    <n v="0"/>
    <n v="0"/>
    <n v="184"/>
    <n v="26.285714285714285"/>
    <x v="0"/>
    <x v="9"/>
    <x v="3"/>
    <x v="0"/>
  </r>
  <r>
    <s v="815211170132"/>
    <n v="815211"/>
    <s v="NAKSHATRA TRADERS"/>
    <n v="170132"/>
    <s v="JAI KOSHLESH TRADING COMPANY"/>
    <n v="0"/>
    <n v="0"/>
    <n v="0"/>
    <n v="51.5"/>
    <n v="40"/>
    <n v="42.9"/>
    <n v="174"/>
    <n v="308.39999999999998"/>
    <n v="44.057142857142857"/>
    <x v="5"/>
    <x v="9"/>
    <x v="3"/>
    <x v="0"/>
  </r>
  <r>
    <s v="811241170146"/>
    <n v="811241"/>
    <s v="GOHIL TRADING COMPANY"/>
    <n v="170146"/>
    <s v="KASLIWAL KRISHI SEWA KENDRA"/>
    <n v="0"/>
    <n v="0"/>
    <n v="0"/>
    <n v="10"/>
    <n v="0"/>
    <n v="0"/>
    <n v="0"/>
    <n v="10"/>
    <n v="1.4285714285714286"/>
    <x v="1"/>
    <x v="9"/>
    <x v="3"/>
    <x v="0"/>
  </r>
  <r>
    <s v="811356170146"/>
    <n v="811356"/>
    <s v="DINESH TRADERS"/>
    <n v="170146"/>
    <s v="KASLIWAL KRISHI SEWA KENDRA"/>
    <n v="15"/>
    <n v="20"/>
    <n v="73"/>
    <n v="30"/>
    <n v="62"/>
    <n v="0"/>
    <n v="50"/>
    <n v="250"/>
    <n v="35.714285714285715"/>
    <x v="4"/>
    <x v="9"/>
    <x v="3"/>
    <x v="0"/>
  </r>
  <r>
    <s v="811357170146"/>
    <n v="811357"/>
    <s v="MEENA TRADING COMPANY"/>
    <n v="170146"/>
    <s v="KASLIWAL KRISHI SEWA KENDRA"/>
    <n v="0"/>
    <n v="0"/>
    <n v="0"/>
    <n v="21"/>
    <n v="20"/>
    <n v="0"/>
    <n v="10"/>
    <n v="51"/>
    <n v="7.2857142857142856"/>
    <x v="1"/>
    <x v="9"/>
    <x v="3"/>
    <x v="0"/>
  </r>
  <r>
    <s v="812134170146"/>
    <n v="812134"/>
    <s v="YOGI TRADERS"/>
    <n v="170146"/>
    <s v="KASLIWAL KRISHI SEWA KENDRA"/>
    <n v="104"/>
    <n v="129.5"/>
    <n v="110"/>
    <n v="92"/>
    <n v="5"/>
    <n v="55"/>
    <n v="87"/>
    <n v="582.5"/>
    <n v="83.214285714285708"/>
    <x v="3"/>
    <x v="9"/>
    <x v="3"/>
    <x v="0"/>
  </r>
  <r>
    <s v="812964170146"/>
    <n v="812964"/>
    <s v="MATO SHRI TRADERS"/>
    <n v="170146"/>
    <s v="KASLIWAL KRISHI SEWA KENDRA"/>
    <n v="10"/>
    <n v="20"/>
    <n v="60"/>
    <n v="86"/>
    <n v="25"/>
    <n v="77"/>
    <n v="30"/>
    <n v="308"/>
    <n v="44"/>
    <x v="5"/>
    <x v="9"/>
    <x v="3"/>
    <x v="0"/>
  </r>
  <r>
    <s v="813409170146"/>
    <n v="813409"/>
    <s v="VIKAS TRADING COMPANY"/>
    <n v="170146"/>
    <s v="KASLIWAL KRISHI SEWA KENDRA"/>
    <n v="40"/>
    <n v="56"/>
    <n v="70"/>
    <n v="21"/>
    <n v="30"/>
    <n v="60"/>
    <n v="35"/>
    <n v="312"/>
    <n v="44.571428571428569"/>
    <x v="5"/>
    <x v="9"/>
    <x v="3"/>
    <x v="0"/>
  </r>
  <r>
    <s v="813539170146"/>
    <n v="813539"/>
    <s v="NARAYAN TRADERS"/>
    <n v="170146"/>
    <s v="KASLIWAL KRISHI SEWA KENDRA"/>
    <n v="60"/>
    <n v="87"/>
    <n v="20"/>
    <n v="89"/>
    <n v="75"/>
    <n v="45"/>
    <n v="65"/>
    <n v="441"/>
    <n v="63"/>
    <x v="3"/>
    <x v="9"/>
    <x v="3"/>
    <x v="0"/>
  </r>
  <r>
    <s v="814496170146"/>
    <n v="814496"/>
    <s v="MINAXI TRADERS"/>
    <n v="170146"/>
    <s v="KASLIWAL KRISHI SEWA KENDRA"/>
    <n v="105"/>
    <n v="25"/>
    <n v="144.5"/>
    <n v="0"/>
    <n v="0"/>
    <n v="14"/>
    <n v="27"/>
    <n v="315.5"/>
    <n v="45.071428571428569"/>
    <x v="5"/>
    <x v="9"/>
    <x v="3"/>
    <x v="0"/>
  </r>
  <r>
    <s v="814497170146"/>
    <n v="814497"/>
    <s v="SHRI GANESH BUILDING MATERIAL"/>
    <n v="170146"/>
    <s v="KASLIWAL KRISHI SEWA KENDRA"/>
    <n v="0"/>
    <n v="56"/>
    <n v="40"/>
    <n v="15"/>
    <n v="15"/>
    <n v="0"/>
    <n v="15"/>
    <n v="141"/>
    <n v="20.142857142857142"/>
    <x v="0"/>
    <x v="9"/>
    <x v="3"/>
    <x v="0"/>
  </r>
  <r>
    <s v="815093170146"/>
    <n v="815093"/>
    <s v="MAHAKAL CONSTRUCTION COMPANY"/>
    <n v="170146"/>
    <s v="KASLIWAL KRISHI SEWA KENDRA"/>
    <n v="0"/>
    <n v="70"/>
    <n v="25"/>
    <n v="10"/>
    <n v="30"/>
    <n v="0"/>
    <n v="35"/>
    <n v="170"/>
    <n v="24.285714285714285"/>
    <x v="0"/>
    <x v="9"/>
    <x v="3"/>
    <x v="0"/>
  </r>
  <r>
    <s v="815501170147"/>
    <n v="815501"/>
    <s v="BALAJI BUILDING MATERIAL"/>
    <n v="170147"/>
    <s v="DINESH TRADERS"/>
    <n v="0"/>
    <n v="0"/>
    <n v="0"/>
    <n v="25"/>
    <n v="20"/>
    <n v="14"/>
    <n v="0"/>
    <n v="59"/>
    <n v="8.4285714285714288"/>
    <x v="1"/>
    <x v="9"/>
    <x v="3"/>
    <x v="0"/>
  </r>
  <r>
    <s v="808791170149"/>
    <n v="808791"/>
    <s v="HEMANT TRADING COMPANY"/>
    <n v="170149"/>
    <s v="ASHOK TRADING  COMPANY"/>
    <n v="25"/>
    <n v="50"/>
    <n v="92"/>
    <n v="70"/>
    <n v="0"/>
    <n v="146.9"/>
    <n v="75"/>
    <n v="458.9"/>
    <n v="65.55714285714285"/>
    <x v="3"/>
    <x v="9"/>
    <x v="3"/>
    <x v="0"/>
  </r>
  <r>
    <s v="812066170149"/>
    <n v="812066"/>
    <s v="SAINI BUILDING MATERIAL"/>
    <n v="170149"/>
    <s v="ASHOK TRADING  COMPANY"/>
    <n v="0"/>
    <n v="67"/>
    <n v="77"/>
    <n v="129"/>
    <n v="20"/>
    <n v="67.5"/>
    <n v="30"/>
    <n v="390.5"/>
    <n v="55.785714285714285"/>
    <x v="3"/>
    <x v="9"/>
    <x v="3"/>
    <x v="0"/>
  </r>
  <r>
    <s v="813763170149"/>
    <n v="813763"/>
    <s v="GURU KRIPA MINESH TRADERS"/>
    <n v="170149"/>
    <s v="ASHOK TRADING  COMPANY"/>
    <n v="17.5"/>
    <n v="65.5"/>
    <n v="113.5"/>
    <n v="74"/>
    <n v="0"/>
    <n v="75"/>
    <n v="0"/>
    <n v="345.5"/>
    <n v="49.357142857142854"/>
    <x v="5"/>
    <x v="9"/>
    <x v="3"/>
    <x v="0"/>
  </r>
  <r>
    <s v="814670170149"/>
    <n v="814670"/>
    <s v="JAI SHRI RADHE RADHE TRADERS"/>
    <n v="170149"/>
    <s v="ASHOK TRADING  COMPANY"/>
    <n v="37.5"/>
    <n v="27.5"/>
    <n v="71"/>
    <n v="70"/>
    <n v="15"/>
    <n v="10"/>
    <n v="10"/>
    <n v="241"/>
    <n v="34.428571428571431"/>
    <x v="4"/>
    <x v="9"/>
    <x v="3"/>
    <x v="0"/>
  </r>
  <r>
    <s v="803017170200"/>
    <n v="803017"/>
    <s v="HAZI AND COMPANY"/>
    <n v="170200"/>
    <s v="GARG TRADING COMPANY"/>
    <n v="81"/>
    <n v="91"/>
    <n v="96"/>
    <n v="47"/>
    <n v="75"/>
    <n v="96"/>
    <n v="35"/>
    <n v="521"/>
    <n v="74.428571428571431"/>
    <x v="3"/>
    <x v="9"/>
    <x v="3"/>
    <x v="0"/>
  </r>
  <r>
    <s v="803251170200"/>
    <n v="803251"/>
    <s v="ANSUL TRADING COMPANY"/>
    <n v="170200"/>
    <s v="GARG TRADING COMPANY"/>
    <n v="15"/>
    <n v="20"/>
    <n v="15"/>
    <n v="20"/>
    <n v="10"/>
    <n v="10"/>
    <n v="0"/>
    <n v="90"/>
    <n v="12.857142857142858"/>
    <x v="2"/>
    <x v="9"/>
    <x v="3"/>
    <x v="0"/>
  </r>
  <r>
    <s v="806327170200"/>
    <n v="806327"/>
    <s v="GUPTA ENTERPRISES"/>
    <n v="170200"/>
    <s v="GARG TRADING COMPANY"/>
    <n v="51"/>
    <n v="59.5"/>
    <n v="192.5"/>
    <n v="20"/>
    <n v="15"/>
    <n v="120"/>
    <n v="55"/>
    <n v="513"/>
    <n v="73.285714285714292"/>
    <x v="3"/>
    <x v="9"/>
    <x v="3"/>
    <x v="0"/>
  </r>
  <r>
    <s v="806968170200"/>
    <n v="806968"/>
    <s v="AMISHA TRADING"/>
    <n v="170200"/>
    <s v="GARG TRADING COMPANY"/>
    <n v="35"/>
    <n v="0"/>
    <n v="102.5"/>
    <n v="0"/>
    <n v="20"/>
    <n v="25"/>
    <n v="15"/>
    <n v="197.5"/>
    <n v="28.214285714285715"/>
    <x v="0"/>
    <x v="9"/>
    <x v="3"/>
    <x v="0"/>
  </r>
  <r>
    <s v="803256170204"/>
    <n v="803256"/>
    <s v="NEW BAMANWAS KHAD BEEJ BHANDAR"/>
    <n v="170204"/>
    <s v="GOYAL BUILDING MATERIAL"/>
    <n v="423.5"/>
    <n v="124.5"/>
    <n v="368"/>
    <n v="182"/>
    <n v="20"/>
    <n v="252"/>
    <n v="135"/>
    <n v="1505"/>
    <n v="215"/>
    <x v="3"/>
    <x v="9"/>
    <x v="3"/>
    <x v="0"/>
  </r>
  <r>
    <s v="803364170204"/>
    <n v="803364"/>
    <s v="JAI HANUMAN TRADERS"/>
    <n v="170204"/>
    <s v="GOYAL BUILDING MATERIAL"/>
    <n v="0"/>
    <n v="0"/>
    <n v="0"/>
    <n v="47"/>
    <n v="0"/>
    <n v="0"/>
    <n v="0"/>
    <n v="47"/>
    <n v="6.7142857142857144"/>
    <x v="1"/>
    <x v="9"/>
    <x v="3"/>
    <x v="0"/>
  </r>
  <r>
    <s v="805574170204"/>
    <n v="805574"/>
    <s v="JAI BHAIRAV NATH BUILDING MATE"/>
    <n v="170204"/>
    <s v="GOYAL BUILDING MATERIAL"/>
    <n v="288.5"/>
    <n v="163.5"/>
    <n v="229"/>
    <n v="50"/>
    <n v="42"/>
    <n v="258.5"/>
    <n v="158"/>
    <n v="1189.5"/>
    <n v="169.92857142857142"/>
    <x v="3"/>
    <x v="9"/>
    <x v="3"/>
    <x v="0"/>
  </r>
  <r>
    <s v="806051170204"/>
    <n v="806051"/>
    <s v="KHUSHI BUILDING MATERIAL"/>
    <n v="170204"/>
    <s v="GOYAL BUILDING MATERIAL"/>
    <n v="133"/>
    <n v="52.5"/>
    <n v="230"/>
    <n v="75"/>
    <n v="22"/>
    <n v="92"/>
    <n v="80"/>
    <n v="684.5"/>
    <n v="97.785714285714292"/>
    <x v="3"/>
    <x v="9"/>
    <x v="3"/>
    <x v="0"/>
  </r>
  <r>
    <s v="806322170204"/>
    <n v="806322"/>
    <s v="INDIAN BUILDING MATERIAL"/>
    <n v="170204"/>
    <s v="GOYAL BUILDING MATERIAL"/>
    <n v="107"/>
    <n v="77"/>
    <n v="202.5"/>
    <n v="15"/>
    <n v="20"/>
    <n v="94"/>
    <n v="0"/>
    <n v="515.5"/>
    <n v="73.642857142857139"/>
    <x v="3"/>
    <x v="9"/>
    <x v="3"/>
    <x v="0"/>
  </r>
  <r>
    <s v="806323170204"/>
    <n v="806323"/>
    <s v="RAJAWAL TRADERS"/>
    <n v="170204"/>
    <s v="GOYAL BUILDING MATERIAL"/>
    <n v="93.5"/>
    <n v="46"/>
    <n v="52.5"/>
    <n v="89"/>
    <n v="15"/>
    <n v="37"/>
    <n v="0"/>
    <n v="333"/>
    <n v="47.571428571428569"/>
    <x v="5"/>
    <x v="9"/>
    <x v="3"/>
    <x v="0"/>
  </r>
  <r>
    <s v="806346170204"/>
    <n v="806346"/>
    <s v="SHYAM BUILDING MATERIAL"/>
    <n v="170204"/>
    <s v="GOYAL BUILDING MATERIAL"/>
    <n v="105"/>
    <n v="52.5"/>
    <n v="231.75"/>
    <n v="146.5"/>
    <n v="0"/>
    <n v="96.5"/>
    <n v="0"/>
    <n v="632.25"/>
    <n v="90.321428571428569"/>
    <x v="3"/>
    <x v="9"/>
    <x v="3"/>
    <x v="0"/>
  </r>
  <r>
    <s v="806748170204"/>
    <n v="806748"/>
    <s v="CHECHI BUILDING MATERIAL"/>
    <n v="170204"/>
    <s v="GOYAL BUILDING MATERIAL"/>
    <n v="35"/>
    <n v="46"/>
    <n v="87.5"/>
    <n v="35"/>
    <n v="15"/>
    <n v="13"/>
    <n v="0"/>
    <n v="231.5"/>
    <n v="33.071428571428569"/>
    <x v="4"/>
    <x v="9"/>
    <x v="3"/>
    <x v="0"/>
  </r>
  <r>
    <s v="807017170204"/>
    <n v="807017"/>
    <s v="SHREE DEVNARAYAN BUILDING MATE"/>
    <n v="170204"/>
    <s v="GOYAL BUILDING MATERIAL"/>
    <n v="70"/>
    <n v="94"/>
    <n v="65"/>
    <n v="35"/>
    <n v="10"/>
    <n v="37.5"/>
    <n v="0"/>
    <n v="311.5"/>
    <n v="44.5"/>
    <x v="5"/>
    <x v="9"/>
    <x v="3"/>
    <x v="0"/>
  </r>
  <r>
    <s v="807988170204"/>
    <n v="807988"/>
    <s v="BHOLE BUILDING MATERIAL"/>
    <n v="170204"/>
    <s v="GOYAL BUILDING MATERIAL"/>
    <n v="38.5"/>
    <n v="43.5"/>
    <n v="52.5"/>
    <n v="40"/>
    <n v="0"/>
    <n v="0"/>
    <n v="0"/>
    <n v="174.5"/>
    <n v="24.928571428571427"/>
    <x v="0"/>
    <x v="9"/>
    <x v="3"/>
    <x v="0"/>
  </r>
  <r>
    <s v="808259170204"/>
    <n v="808259"/>
    <s v="SHRI KRISHNA TRADERS"/>
    <n v="170204"/>
    <s v="GOYAL BUILDING MATERIAL"/>
    <n v="52.5"/>
    <n v="38"/>
    <n v="17.5"/>
    <n v="7"/>
    <n v="0"/>
    <n v="0"/>
    <n v="0"/>
    <n v="115"/>
    <n v="16.428571428571427"/>
    <x v="2"/>
    <x v="9"/>
    <x v="3"/>
    <x v="0"/>
  </r>
  <r>
    <s v="808791170204"/>
    <n v="808791"/>
    <s v="HEMANT TRADING COMPANY"/>
    <n v="170204"/>
    <s v="GOYAL BUILDING MATERIAL"/>
    <n v="0"/>
    <n v="0"/>
    <n v="0"/>
    <n v="0"/>
    <n v="0"/>
    <n v="42"/>
    <n v="0"/>
    <n v="42"/>
    <n v="6"/>
    <x v="1"/>
    <x v="9"/>
    <x v="3"/>
    <x v="0"/>
  </r>
  <r>
    <s v="809580170204"/>
    <n v="809580"/>
    <s v="TANU BUILDING MATERIAL"/>
    <n v="170204"/>
    <s v="GOYAL BUILDING MATERIAL"/>
    <n v="0"/>
    <n v="0"/>
    <n v="212"/>
    <n v="67"/>
    <n v="0"/>
    <n v="0"/>
    <n v="0"/>
    <n v="279"/>
    <n v="39.857142857142854"/>
    <x v="4"/>
    <x v="9"/>
    <x v="3"/>
    <x v="0"/>
  </r>
  <r>
    <s v="811032170204"/>
    <n v="811032"/>
    <s v="ABDUL BUILDING MATERIALS"/>
    <n v="170204"/>
    <s v="GOYAL BUILDING MATERIAL"/>
    <n v="21"/>
    <n v="70"/>
    <n v="112"/>
    <n v="154"/>
    <n v="0"/>
    <n v="20"/>
    <n v="0"/>
    <n v="377"/>
    <n v="53.857142857142854"/>
    <x v="3"/>
    <x v="9"/>
    <x v="3"/>
    <x v="0"/>
  </r>
  <r>
    <s v="811107170204"/>
    <n v="811107"/>
    <s v="GURU KRIPA BUILDING MATERIAL"/>
    <n v="170204"/>
    <s v="GOYAL BUILDING MATERIAL"/>
    <n v="0"/>
    <n v="0"/>
    <n v="0"/>
    <n v="3"/>
    <n v="0"/>
    <n v="0"/>
    <n v="0"/>
    <n v="3"/>
    <n v="0.42857142857142855"/>
    <x v="1"/>
    <x v="9"/>
    <x v="3"/>
    <x v="0"/>
  </r>
  <r>
    <s v="811324170204"/>
    <n v="811324"/>
    <s v="SAINI BUILDING MATERIAL"/>
    <n v="170204"/>
    <s v="GOYAL BUILDING MATERIAL"/>
    <n v="17.5"/>
    <n v="62.5"/>
    <n v="144"/>
    <n v="30"/>
    <n v="0"/>
    <n v="17.5"/>
    <n v="0"/>
    <n v="271.5"/>
    <n v="38.785714285714285"/>
    <x v="4"/>
    <x v="9"/>
    <x v="3"/>
    <x v="0"/>
  </r>
  <r>
    <s v="812066170204"/>
    <n v="812066"/>
    <s v="SAINI BUILDING MATERIAL"/>
    <n v="170204"/>
    <s v="GOYAL BUILDING MATERIAL"/>
    <n v="0"/>
    <n v="0"/>
    <n v="0"/>
    <n v="0"/>
    <n v="0"/>
    <n v="15"/>
    <n v="0"/>
    <n v="15"/>
    <n v="2.1428571428571428"/>
    <x v="1"/>
    <x v="9"/>
    <x v="3"/>
    <x v="0"/>
  </r>
  <r>
    <s v="813054170204"/>
    <n v="813054"/>
    <s v="PRINCE TRADING COMPANY"/>
    <n v="170204"/>
    <s v="GOYAL BUILDING MATERIAL"/>
    <n v="115.5"/>
    <n v="68"/>
    <n v="35"/>
    <n v="0"/>
    <n v="0"/>
    <n v="37.5"/>
    <n v="0"/>
    <n v="256"/>
    <n v="36.571428571428569"/>
    <x v="4"/>
    <x v="9"/>
    <x v="3"/>
    <x v="0"/>
  </r>
  <r>
    <s v="813541170204"/>
    <n v="813541"/>
    <s v="SHREE SHYAM TRADERS"/>
    <n v="170204"/>
    <s v="GOYAL BUILDING MATERIAL"/>
    <n v="56"/>
    <n v="0"/>
    <n v="0"/>
    <n v="0"/>
    <n v="0"/>
    <n v="0"/>
    <n v="0"/>
    <n v="56"/>
    <n v="8"/>
    <x v="1"/>
    <x v="9"/>
    <x v="3"/>
    <x v="0"/>
  </r>
  <r>
    <s v="813763170204"/>
    <n v="813763"/>
    <s v="GURU KRIPA MINESH TRADERS"/>
    <n v="170204"/>
    <s v="GOYAL BUILDING MATERIAL"/>
    <n v="0"/>
    <n v="0"/>
    <n v="0"/>
    <n v="0"/>
    <n v="0"/>
    <n v="20"/>
    <n v="0"/>
    <n v="20"/>
    <n v="2.8571428571428572"/>
    <x v="1"/>
    <x v="9"/>
    <x v="3"/>
    <x v="0"/>
  </r>
  <r>
    <s v="813765170204"/>
    <n v="813765"/>
    <s v="GANPATI BUILDING MATERIAL"/>
    <n v="170204"/>
    <s v="GOYAL BUILDING MATERIAL"/>
    <n v="126"/>
    <n v="268"/>
    <n v="171"/>
    <n v="130.5"/>
    <n v="0"/>
    <n v="107"/>
    <n v="140"/>
    <n v="942.5"/>
    <n v="134.64285714285714"/>
    <x v="3"/>
    <x v="9"/>
    <x v="3"/>
    <x v="0"/>
  </r>
  <r>
    <s v="813847170204"/>
    <n v="813847"/>
    <s v="RAJ RAJESHWARI PAINT HOUSE"/>
    <n v="170204"/>
    <s v="GOYAL BUILDING MATERIAL"/>
    <n v="100.5"/>
    <n v="32.5"/>
    <n v="0"/>
    <n v="40"/>
    <n v="0"/>
    <n v="17.5"/>
    <n v="0"/>
    <n v="190.5"/>
    <n v="27.214285714285715"/>
    <x v="0"/>
    <x v="9"/>
    <x v="3"/>
    <x v="0"/>
  </r>
  <r>
    <s v="814482170204"/>
    <n v="814482"/>
    <s v="BISHANLAL KHAD BEEJ BHANDAR"/>
    <n v="170204"/>
    <s v="GOYAL BUILDING MATERIAL"/>
    <n v="0"/>
    <n v="55"/>
    <n v="36.5"/>
    <n v="57"/>
    <n v="50"/>
    <n v="55"/>
    <n v="0"/>
    <n v="253.5"/>
    <n v="36.214285714285715"/>
    <x v="4"/>
    <x v="9"/>
    <x v="3"/>
    <x v="0"/>
  </r>
  <r>
    <s v="814524170204"/>
    <n v="814524"/>
    <s v="NEW AMAN BUILDING MATERIAL"/>
    <n v="170204"/>
    <s v="GOYAL BUILDING MATERIAL"/>
    <n v="0"/>
    <n v="0"/>
    <n v="0"/>
    <n v="2"/>
    <n v="0"/>
    <n v="0"/>
    <n v="0"/>
    <n v="2"/>
    <n v="0.2857142857142857"/>
    <x v="1"/>
    <x v="9"/>
    <x v="3"/>
    <x v="0"/>
  </r>
  <r>
    <s v="815256170204"/>
    <n v="815256"/>
    <s v="KUMHER BUILDING MATERIAL"/>
    <n v="170204"/>
    <s v="GOYAL BUILDING MATERIAL"/>
    <n v="0"/>
    <n v="0"/>
    <n v="42"/>
    <n v="260"/>
    <n v="50"/>
    <n v="102.5"/>
    <n v="35"/>
    <n v="489.5"/>
    <n v="69.928571428571431"/>
    <x v="3"/>
    <x v="9"/>
    <x v="3"/>
    <x v="0"/>
  </r>
  <r>
    <s v="815420170204"/>
    <n v="815420"/>
    <s v="GAYATRI BUILDING MATERIAL"/>
    <n v="170204"/>
    <s v="GOYAL BUILDING MATERIAL"/>
    <n v="0"/>
    <n v="0"/>
    <n v="0"/>
    <n v="70"/>
    <n v="20"/>
    <n v="99"/>
    <n v="115"/>
    <n v="304"/>
    <n v="43.428571428571431"/>
    <x v="5"/>
    <x v="9"/>
    <x v="3"/>
    <x v="0"/>
  </r>
  <r>
    <s v="815424170204"/>
    <n v="815424"/>
    <s v="GURUJI ENTERPRISE"/>
    <n v="170204"/>
    <s v="GOYAL BUILDING MATERIAL"/>
    <n v="0"/>
    <n v="0"/>
    <n v="0"/>
    <n v="97"/>
    <n v="20"/>
    <n v="44"/>
    <n v="0"/>
    <n v="161"/>
    <n v="23"/>
    <x v="0"/>
    <x v="9"/>
    <x v="3"/>
    <x v="0"/>
  </r>
  <r>
    <s v="815428170204"/>
    <n v="815428"/>
    <s v="RAJA BUILDING MATERIAL"/>
    <n v="170204"/>
    <s v="GOYAL BUILDING MATERIAL"/>
    <n v="0"/>
    <n v="0"/>
    <n v="0"/>
    <n v="129"/>
    <n v="40"/>
    <n v="27.5"/>
    <n v="0"/>
    <n v="196.5"/>
    <n v="28.071428571428573"/>
    <x v="0"/>
    <x v="9"/>
    <x v="3"/>
    <x v="0"/>
  </r>
  <r>
    <s v="815429170204"/>
    <n v="815429"/>
    <s v="AZAD BUILDING MATERIAL"/>
    <n v="170204"/>
    <s v="GOYAL BUILDING MATERIAL"/>
    <n v="0"/>
    <n v="0"/>
    <n v="0"/>
    <n v="110"/>
    <n v="20"/>
    <n v="90"/>
    <n v="0"/>
    <n v="220"/>
    <n v="31.428571428571427"/>
    <x v="4"/>
    <x v="9"/>
    <x v="3"/>
    <x v="0"/>
  </r>
  <r>
    <s v="815430170204"/>
    <n v="815430"/>
    <s v="AAKASH TRADING COMPANY"/>
    <n v="170204"/>
    <s v="GOYAL BUILDING MATERIAL"/>
    <n v="0"/>
    <n v="0"/>
    <n v="0"/>
    <n v="158"/>
    <n v="41"/>
    <n v="188"/>
    <n v="0"/>
    <n v="387"/>
    <n v="55.285714285714285"/>
    <x v="3"/>
    <x v="9"/>
    <x v="3"/>
    <x v="0"/>
  </r>
  <r>
    <s v="815474170204"/>
    <n v="815474"/>
    <s v="GGC BUILDING MATERIAL"/>
    <n v="170204"/>
    <s v="GOYAL BUILDING MATERIAL"/>
    <n v="0"/>
    <n v="0"/>
    <n v="0"/>
    <n v="57"/>
    <n v="15"/>
    <n v="109"/>
    <n v="35"/>
    <n v="216"/>
    <n v="30.857142857142858"/>
    <x v="4"/>
    <x v="9"/>
    <x v="3"/>
    <x v="0"/>
  </r>
  <r>
    <s v="815985170204"/>
    <n v="815985"/>
    <s v="GARG BUILDING MATERIAL"/>
    <n v="170204"/>
    <s v="GOYAL BUILDING MATERIAL"/>
    <n v="0"/>
    <n v="0"/>
    <n v="0"/>
    <n v="0"/>
    <n v="0"/>
    <n v="23"/>
    <n v="34"/>
    <n v="57"/>
    <n v="8.1428571428571423"/>
    <x v="1"/>
    <x v="9"/>
    <x v="3"/>
    <x v="0"/>
  </r>
  <r>
    <s v="815986170204"/>
    <n v="815986"/>
    <s v="VIKRAM TRADING COMPANY"/>
    <n v="170204"/>
    <s v="GOYAL BUILDING MATERIAL"/>
    <n v="0"/>
    <n v="0"/>
    <n v="0"/>
    <n v="0"/>
    <n v="0"/>
    <n v="50"/>
    <n v="0"/>
    <n v="50"/>
    <n v="7.1428571428571432"/>
    <x v="1"/>
    <x v="9"/>
    <x v="3"/>
    <x v="0"/>
  </r>
  <r>
    <s v="816038170204"/>
    <n v="816038"/>
    <s v="MADHAV TRADERS"/>
    <n v="170204"/>
    <s v="GOYAL BUILDING MATERIAL"/>
    <n v="0"/>
    <n v="0"/>
    <n v="0"/>
    <n v="0"/>
    <n v="0"/>
    <n v="97.5"/>
    <n v="35"/>
    <n v="132.5"/>
    <n v="18.928571428571427"/>
    <x v="2"/>
    <x v="9"/>
    <x v="3"/>
    <x v="0"/>
  </r>
  <r>
    <s v="808269170363"/>
    <n v="808269"/>
    <s v="J P TRADERS"/>
    <n v="170363"/>
    <s v="GOLDEN TRADERS"/>
    <n v="0"/>
    <n v="35"/>
    <n v="55"/>
    <n v="14"/>
    <n v="15"/>
    <n v="0"/>
    <n v="17.5"/>
    <n v="136.5"/>
    <n v="19.5"/>
    <x v="2"/>
    <x v="9"/>
    <x v="3"/>
    <x v="0"/>
  </r>
  <r>
    <s v="808789170363"/>
    <n v="808789"/>
    <s v="SURESH TRADING COMPANY"/>
    <n v="170363"/>
    <s v="GOLDEN TRADERS"/>
    <n v="42"/>
    <n v="40"/>
    <n v="102"/>
    <n v="0"/>
    <n v="85"/>
    <n v="18.5"/>
    <n v="67.5"/>
    <n v="355"/>
    <n v="50.714285714285715"/>
    <x v="3"/>
    <x v="9"/>
    <x v="3"/>
    <x v="0"/>
  </r>
  <r>
    <s v="811924170363"/>
    <n v="811924"/>
    <s v="KHAN BUILDING MATERIAL"/>
    <n v="170363"/>
    <s v="GOLDEN TRADERS"/>
    <n v="45"/>
    <n v="75"/>
    <n v="257"/>
    <n v="21"/>
    <n v="60"/>
    <n v="0"/>
    <n v="60"/>
    <n v="518"/>
    <n v="74"/>
    <x v="3"/>
    <x v="9"/>
    <x v="3"/>
    <x v="0"/>
  </r>
  <r>
    <s v="812684170363"/>
    <n v="812684"/>
    <s v="KAILASH CEMENT AGENCY"/>
    <n v="170363"/>
    <s v="GOLDEN TRADERS"/>
    <n v="0"/>
    <n v="15"/>
    <n v="20"/>
    <n v="0"/>
    <n v="15"/>
    <n v="0"/>
    <n v="0"/>
    <n v="50"/>
    <n v="7.1428571428571432"/>
    <x v="1"/>
    <x v="9"/>
    <x v="3"/>
    <x v="0"/>
  </r>
  <r>
    <s v="813213170363"/>
    <n v="813213"/>
    <s v="SONAM ENTERPRISES"/>
    <n v="170363"/>
    <s v="GOLDEN TRADERS"/>
    <n v="0"/>
    <n v="196.5"/>
    <n v="181"/>
    <n v="0"/>
    <n v="162"/>
    <n v="0"/>
    <n v="105"/>
    <n v="644.5"/>
    <n v="92.071428571428569"/>
    <x v="3"/>
    <x v="9"/>
    <x v="3"/>
    <x v="0"/>
  </r>
  <r>
    <s v="814388170363"/>
    <n v="814388"/>
    <s v="ALFEJ TRADERS"/>
    <n v="170363"/>
    <s v="GOLDEN TRADERS"/>
    <n v="25"/>
    <n v="30"/>
    <n v="0"/>
    <n v="0"/>
    <n v="0"/>
    <n v="0"/>
    <n v="0"/>
    <n v="55"/>
    <n v="7.8571428571428568"/>
    <x v="1"/>
    <x v="9"/>
    <x v="3"/>
    <x v="0"/>
  </r>
  <r>
    <s v="815210170363"/>
    <n v="815210"/>
    <s v="AFSAR BUILDING MATERIAL"/>
    <n v="170363"/>
    <s v="GOLDEN TRADERS"/>
    <n v="0"/>
    <n v="0"/>
    <n v="35"/>
    <n v="0"/>
    <n v="27"/>
    <n v="0"/>
    <n v="10"/>
    <n v="72"/>
    <n v="10.285714285714286"/>
    <x v="2"/>
    <x v="9"/>
    <x v="3"/>
    <x v="0"/>
  </r>
  <r>
    <s v="803148171226"/>
    <n v="803148"/>
    <s v="FARIYAD TRADERS"/>
    <n v="171226"/>
    <s v="SATYA TRADERS"/>
    <n v="112"/>
    <n v="183"/>
    <n v="308"/>
    <n v="59"/>
    <n v="87"/>
    <n v="0"/>
    <n v="70"/>
    <n v="819"/>
    <n v="117"/>
    <x v="3"/>
    <x v="9"/>
    <x v="3"/>
    <x v="0"/>
  </r>
  <r>
    <s v="803201171226"/>
    <n v="803201"/>
    <s v="KALYANI TRADERS"/>
    <n v="171226"/>
    <s v="SATYA TRADERS"/>
    <n v="20"/>
    <n v="20"/>
    <n v="86"/>
    <n v="10"/>
    <n v="14"/>
    <n v="10"/>
    <n v="0"/>
    <n v="160"/>
    <n v="22.857142857142858"/>
    <x v="0"/>
    <x v="9"/>
    <x v="3"/>
    <x v="0"/>
  </r>
  <r>
    <s v="806841171226"/>
    <n v="806841"/>
    <s v="VISHNU TRADERS"/>
    <n v="171226"/>
    <s v="SATYA TRADERS"/>
    <n v="20"/>
    <n v="67"/>
    <n v="126"/>
    <n v="25"/>
    <n v="0"/>
    <n v="25"/>
    <n v="0"/>
    <n v="263"/>
    <n v="37.571428571428569"/>
    <x v="4"/>
    <x v="9"/>
    <x v="3"/>
    <x v="0"/>
  </r>
  <r>
    <s v="812738171226"/>
    <n v="812738"/>
    <s v="DEV BUILDING MATERIAL"/>
    <n v="171226"/>
    <s v="SATYA TRADERS"/>
    <n v="122.1"/>
    <n v="75"/>
    <n v="142"/>
    <n v="15"/>
    <n v="45"/>
    <n v="0"/>
    <n v="25"/>
    <n v="424.1"/>
    <n v="60.585714285714289"/>
    <x v="3"/>
    <x v="9"/>
    <x v="3"/>
    <x v="0"/>
  </r>
  <r>
    <s v="813217171226"/>
    <n v="813217"/>
    <s v="BAJRANG BALI BUILDING MATERIAL"/>
    <n v="171226"/>
    <s v="SATYA TRADERS"/>
    <n v="0"/>
    <n v="52"/>
    <n v="17.5"/>
    <n v="0"/>
    <n v="25"/>
    <n v="0"/>
    <n v="10"/>
    <n v="104.5"/>
    <n v="14.928571428571429"/>
    <x v="2"/>
    <x v="9"/>
    <x v="3"/>
    <x v="0"/>
  </r>
  <r>
    <s v="815218171226"/>
    <n v="815218"/>
    <s v="HALDHAR KISHAN SEVA KENDRA"/>
    <n v="171226"/>
    <s v="SATYA TRADERS"/>
    <n v="0"/>
    <n v="0"/>
    <n v="59.5"/>
    <n v="45"/>
    <n v="20"/>
    <n v="0"/>
    <n v="0"/>
    <n v="124.5"/>
    <n v="17.785714285714285"/>
    <x v="2"/>
    <x v="9"/>
    <x v="3"/>
    <x v="0"/>
  </r>
  <r>
    <s v="814095172086"/>
    <n v="814095"/>
    <s v="JYOTI IRONS &amp; BUILDING MATERIA"/>
    <n v="172086"/>
    <s v="MAHESH TRADERS"/>
    <n v="0"/>
    <n v="0"/>
    <n v="0"/>
    <n v="15"/>
    <n v="0"/>
    <n v="0"/>
    <n v="0"/>
    <n v="15"/>
    <n v="2.1428571428571428"/>
    <x v="1"/>
    <x v="9"/>
    <x v="3"/>
    <x v="0"/>
  </r>
  <r>
    <s v="814139172097"/>
    <n v="814139"/>
    <s v="SHUBHAM KHAD BEEJ BHANDAR"/>
    <n v="172097"/>
    <s v="BANSAL TRADING COMPANY"/>
    <n v="45"/>
    <n v="30"/>
    <n v="70"/>
    <n v="80"/>
    <n v="80"/>
    <n v="10"/>
    <n v="40"/>
    <n v="355"/>
    <n v="50.714285714285715"/>
    <x v="3"/>
    <x v="9"/>
    <x v="3"/>
    <x v="0"/>
  </r>
  <r>
    <s v="814095172702"/>
    <n v="814095"/>
    <s v="JYOTI IRONS &amp; BUILDING MATERIA"/>
    <n v="172702"/>
    <s v="GOYAL ENTERPRISES"/>
    <n v="70"/>
    <n v="0"/>
    <n v="0"/>
    <n v="20"/>
    <n v="0"/>
    <n v="0"/>
    <n v="0"/>
    <n v="90"/>
    <n v="12.857142857142858"/>
    <x v="2"/>
    <x v="9"/>
    <x v="3"/>
    <x v="0"/>
  </r>
  <r>
    <s v="815930172702"/>
    <n v="815930"/>
    <s v="KISAN SEWA KENDRA"/>
    <n v="172702"/>
    <s v="GOYAL ENTERPRISES"/>
    <n v="0"/>
    <n v="0"/>
    <n v="0"/>
    <n v="0"/>
    <n v="42"/>
    <n v="15"/>
    <n v="15"/>
    <n v="72"/>
    <n v="10.285714285714286"/>
    <x v="2"/>
    <x v="9"/>
    <x v="3"/>
    <x v="0"/>
  </r>
  <r>
    <s v="813541174008"/>
    <n v="813541"/>
    <s v="SHREE SHYAM TRADERS"/>
    <n v="174008"/>
    <s v="SHARMA TRADERS"/>
    <n v="35"/>
    <n v="10"/>
    <n v="192.5"/>
    <n v="100"/>
    <n v="0"/>
    <n v="0"/>
    <n v="0"/>
    <n v="337.5"/>
    <n v="48.214285714285715"/>
    <x v="5"/>
    <x v="9"/>
    <x v="3"/>
    <x v="0"/>
  </r>
  <r>
    <s v="814723178386"/>
    <n v="814723"/>
    <s v="VIKAS CONSTRUCTION"/>
    <n v="178386"/>
    <s v="SANTOSHI BUILDING MATERIAL SUP"/>
    <n v="65"/>
    <n v="110"/>
    <n v="100"/>
    <n v="105"/>
    <n v="35"/>
    <n v="67"/>
    <n v="60"/>
    <n v="542"/>
    <n v="77.428571428571431"/>
    <x v="3"/>
    <x v="9"/>
    <x v="3"/>
    <x v="0"/>
  </r>
  <r>
    <s v="812687202142"/>
    <n v="812687"/>
    <s v="KAILASH KHAD BEEJ BHANDAR"/>
    <n v="202142"/>
    <s v="PRAHALAD KUMAR LABOUR SUPPLIER"/>
    <n v="0"/>
    <n v="35"/>
    <n v="122.5"/>
    <n v="90"/>
    <n v="20"/>
    <n v="25"/>
    <n v="40"/>
    <n v="332.5"/>
    <n v="47.5"/>
    <x v="5"/>
    <x v="9"/>
    <x v="3"/>
    <x v="0"/>
  </r>
  <r>
    <s v="815123202142"/>
    <n v="815123"/>
    <s v="SHRI GANESH TRADERS"/>
    <n v="202142"/>
    <s v="PRAHALAD KUMAR LABOUR SUPPLIER"/>
    <n v="0"/>
    <n v="0"/>
    <n v="72.5"/>
    <n v="70"/>
    <n v="15"/>
    <n v="30"/>
    <n v="30"/>
    <n v="217.5"/>
    <n v="31.071428571428573"/>
    <x v="4"/>
    <x v="9"/>
    <x v="3"/>
    <x v="0"/>
  </r>
  <r>
    <s v="812755203811"/>
    <n v="812755"/>
    <s v="DEV NARAYAN BUILDING MATERIAL"/>
    <n v="203811"/>
    <s v="RAMPRASAD FERTILIZERS"/>
    <n v="55"/>
    <n v="0"/>
    <n v="0"/>
    <n v="7"/>
    <n v="0"/>
    <n v="0"/>
    <n v="0"/>
    <n v="62"/>
    <n v="8.8571428571428577"/>
    <x v="1"/>
    <x v="9"/>
    <x v="3"/>
    <x v="0"/>
  </r>
  <r>
    <s v="814494205192"/>
    <n v="814494"/>
    <s v="KASANA BUILDING MATERIAL"/>
    <n v="205192"/>
    <s v="KRISHNA TRADERS"/>
    <n v="35"/>
    <n v="25"/>
    <n v="105"/>
    <n v="60"/>
    <n v="0"/>
    <n v="0"/>
    <n v="0"/>
    <n v="225"/>
    <n v="32.142857142857146"/>
    <x v="4"/>
    <x v="9"/>
    <x v="3"/>
    <x v="0"/>
  </r>
  <r>
    <s v="806099208033"/>
    <n v="806099"/>
    <s v="PRIYA TRADERS"/>
    <n v="208033"/>
    <s v="ANIL ENTERPRISES"/>
    <n v="70"/>
    <n v="57"/>
    <n v="10"/>
    <n v="0"/>
    <n v="0"/>
    <n v="0"/>
    <n v="0"/>
    <n v="137"/>
    <n v="19.571428571428573"/>
    <x v="2"/>
    <x v="9"/>
    <x v="3"/>
    <x v="0"/>
  </r>
  <r>
    <s v="814094208033"/>
    <n v="814094"/>
    <s v="OM TRADERS"/>
    <n v="208033"/>
    <s v="ANIL ENTERPRISES"/>
    <n v="10"/>
    <n v="30"/>
    <n v="127"/>
    <n v="75"/>
    <n v="0"/>
    <n v="16"/>
    <n v="10"/>
    <n v="268"/>
    <n v="38.285714285714285"/>
    <x v="4"/>
    <x v="9"/>
    <x v="3"/>
    <x v="0"/>
  </r>
  <r>
    <s v="803201170204"/>
    <n v="803201"/>
    <s v="KALYANI TRADERS"/>
    <n v="170204"/>
    <s v="GOYAL BUILDING MATERIAL"/>
    <n v="0"/>
    <n v="0"/>
    <n v="0"/>
    <n v="0"/>
    <n v="0"/>
    <n v="0"/>
    <n v="15"/>
    <n v="15"/>
    <n v="2.1428571428571428"/>
    <x v="1"/>
    <x v="9"/>
    <x v="3"/>
    <x v="0"/>
  </r>
  <r>
    <s v="815218170204"/>
    <n v="815218"/>
    <s v="HALDHAR KISHAN SEVA KENDRA"/>
    <n v="170204"/>
    <s v="GOYAL BUILDING MATERIAL"/>
    <n v="0"/>
    <n v="0"/>
    <n v="0"/>
    <n v="0"/>
    <n v="0"/>
    <n v="0"/>
    <n v="20"/>
    <n v="20"/>
    <n v="2.8571428571428572"/>
    <x v="1"/>
    <x v="9"/>
    <x v="3"/>
    <x v="0"/>
  </r>
  <r>
    <s v="816574170149"/>
    <n v="816574"/>
    <s v="JAI GIRIRAJ DHARAN TRADERS"/>
    <n v="170149"/>
    <s v="ASHOK TRADING  COMPANY"/>
    <n v="0"/>
    <n v="0"/>
    <n v="0"/>
    <n v="0"/>
    <n v="0"/>
    <n v="0"/>
    <n v="25"/>
    <n v="25"/>
    <n v="3.5714285714285716"/>
    <x v="1"/>
    <x v="9"/>
    <x v="3"/>
    <x v="0"/>
  </r>
  <r>
    <s v="816575201741"/>
    <n v="816575"/>
    <s v="RADHA RANI BUILDING MATERIAL"/>
    <n v="201741"/>
    <s v="AGARWAL BUILDING MATERIAL"/>
    <n v="0"/>
    <n v="0"/>
    <n v="0"/>
    <n v="0"/>
    <n v="0"/>
    <n v="0"/>
    <n v="101.5"/>
    <n v="101.5"/>
    <n v="14.5"/>
    <x v="2"/>
    <x v="9"/>
    <x v="3"/>
    <x v="0"/>
  </r>
  <r>
    <s v="803594119029"/>
    <n v="803594"/>
    <s v="KUMAWAT CEMENT AGENCY"/>
    <n v="119029"/>
    <s v="LALLAMAL KANHYALAL &amp; SONS"/>
    <n v="16.600000000000001"/>
    <n v="42.5"/>
    <n v="73"/>
    <n v="25"/>
    <n v="32"/>
    <n v="35"/>
    <n v="35"/>
    <n v="259.10000000000002"/>
    <n v="37.01428571428572"/>
    <x v="4"/>
    <x v="10"/>
    <x v="4"/>
    <x v="1"/>
  </r>
  <r>
    <s v="803755119029"/>
    <n v="803755"/>
    <s v="AGARWAL TRADERS"/>
    <n v="119029"/>
    <s v="LALLAMAL KANHYALAL &amp; SONS"/>
    <n v="5"/>
    <n v="0"/>
    <n v="0"/>
    <n v="0"/>
    <n v="15"/>
    <n v="5"/>
    <n v="0"/>
    <n v="25"/>
    <n v="3.5714285714285716"/>
    <x v="1"/>
    <x v="10"/>
    <x v="4"/>
    <x v="1"/>
  </r>
  <r>
    <s v="804832119029"/>
    <n v="804832"/>
    <s v="CHAMUNDA STONE"/>
    <n v="119029"/>
    <s v="LALLAMAL KANHYALAL &amp; SONS"/>
    <n v="10"/>
    <n v="0"/>
    <n v="10"/>
    <n v="12.5"/>
    <n v="10"/>
    <n v="0"/>
    <n v="0"/>
    <n v="42.5"/>
    <n v="6.0714285714285712"/>
    <x v="1"/>
    <x v="10"/>
    <x v="4"/>
    <x v="1"/>
  </r>
  <r>
    <s v="807915119029"/>
    <n v="807915"/>
    <s v="SHIKHAR TRADERS"/>
    <n v="119029"/>
    <s v="LALLAMAL KANHYALAL &amp; SONS"/>
    <n v="22.5"/>
    <n v="42.5"/>
    <n v="50"/>
    <n v="38.75"/>
    <n v="63"/>
    <n v="35"/>
    <n v="15"/>
    <n v="266.75"/>
    <n v="38.107142857142854"/>
    <x v="4"/>
    <x v="10"/>
    <x v="4"/>
    <x v="1"/>
  </r>
  <r>
    <s v="809471119029"/>
    <n v="809471"/>
    <s v="ANKUSH RATHI"/>
    <n v="119029"/>
    <s v="LALLAMAL KANHYALAL &amp; SONS"/>
    <n v="25"/>
    <n v="0"/>
    <n v="0"/>
    <n v="0"/>
    <n v="25"/>
    <n v="19.5"/>
    <n v="10"/>
    <n v="79.5"/>
    <n v="11.357142857142858"/>
    <x v="2"/>
    <x v="10"/>
    <x v="4"/>
    <x v="1"/>
  </r>
  <r>
    <s v="809476119029"/>
    <n v="809476"/>
    <s v="ANOOP KUMAR RATHI"/>
    <n v="119029"/>
    <s v="LALLAMAL KANHYALAL &amp; SONS"/>
    <n v="57.5"/>
    <n v="15"/>
    <n v="53.5"/>
    <n v="80"/>
    <n v="0"/>
    <n v="25"/>
    <n v="0"/>
    <n v="231"/>
    <n v="33"/>
    <x v="4"/>
    <x v="10"/>
    <x v="4"/>
    <x v="1"/>
  </r>
  <r>
    <s v="809735119029"/>
    <n v="809735"/>
    <s v="CHANCHAL KACHAWA"/>
    <n v="119029"/>
    <s v="LALLAMAL KANHYALAL &amp; SONS"/>
    <n v="65.75"/>
    <n v="75"/>
    <n v="70"/>
    <n v="62.25"/>
    <n v="99"/>
    <n v="116.5"/>
    <n v="4.5"/>
    <n v="493"/>
    <n v="70.428571428571431"/>
    <x v="3"/>
    <x v="10"/>
    <x v="4"/>
    <x v="1"/>
  </r>
  <r>
    <s v="809892119029"/>
    <n v="809892"/>
    <s v="SHUBHAM TRADERS"/>
    <n v="119029"/>
    <s v="LALLAMAL KANHYALAL &amp; SONS"/>
    <n v="10"/>
    <n v="5"/>
    <n v="0"/>
    <n v="40"/>
    <n v="0"/>
    <n v="15"/>
    <n v="0"/>
    <n v="70"/>
    <n v="10"/>
    <x v="2"/>
    <x v="10"/>
    <x v="4"/>
    <x v="1"/>
  </r>
  <r>
    <s v="810094119029"/>
    <n v="810094"/>
    <s v="ROOPANGARIYA BROTHERS"/>
    <n v="119029"/>
    <s v="LALLAMAL KANHYALAL &amp; SONS"/>
    <n v="47.5"/>
    <n v="35"/>
    <n v="69"/>
    <n v="39.5"/>
    <n v="18"/>
    <n v="45"/>
    <n v="15"/>
    <n v="269"/>
    <n v="38.428571428571431"/>
    <x v="4"/>
    <x v="10"/>
    <x v="4"/>
    <x v="1"/>
  </r>
  <r>
    <s v="810913119029"/>
    <n v="810913"/>
    <s v="MOHAN LAL"/>
    <n v="119029"/>
    <s v="LALLAMAL KANHYALAL &amp; SONS"/>
    <n v="20"/>
    <n v="0"/>
    <n v="0"/>
    <n v="12"/>
    <n v="0"/>
    <n v="15"/>
    <n v="0"/>
    <n v="47"/>
    <n v="6.7142857142857144"/>
    <x v="1"/>
    <x v="10"/>
    <x v="4"/>
    <x v="1"/>
  </r>
  <r>
    <s v="811693119029"/>
    <n v="811693"/>
    <s v="SANDEEP"/>
    <n v="119029"/>
    <s v="LALLAMAL KANHYALAL &amp; SONS"/>
    <n v="20"/>
    <n v="32.5"/>
    <n v="0"/>
    <n v="19"/>
    <n v="20"/>
    <n v="25"/>
    <n v="10"/>
    <n v="126.5"/>
    <n v="18.071428571428573"/>
    <x v="2"/>
    <x v="10"/>
    <x v="4"/>
    <x v="1"/>
  </r>
  <r>
    <s v="812569119029"/>
    <n v="812569"/>
    <s v="HARSHITA ENTERPRSES"/>
    <n v="119029"/>
    <s v="LALLAMAL KANHYALAL &amp; SONS"/>
    <n v="167"/>
    <n v="80"/>
    <n v="155"/>
    <n v="111"/>
    <n v="90"/>
    <n v="184.5"/>
    <n v="74.5"/>
    <n v="862"/>
    <n v="123.14285714285714"/>
    <x v="3"/>
    <x v="10"/>
    <x v="4"/>
    <x v="1"/>
  </r>
  <r>
    <s v="813676119029"/>
    <n v="813676"/>
    <s v="SHUBHAM HARDWARES"/>
    <n v="119029"/>
    <s v="LALLAMAL KANHYALAL &amp; SONS"/>
    <n v="15"/>
    <n v="5"/>
    <n v="0"/>
    <n v="0"/>
    <n v="0"/>
    <n v="0"/>
    <n v="0"/>
    <n v="20"/>
    <n v="2.8571428571428572"/>
    <x v="1"/>
    <x v="10"/>
    <x v="4"/>
    <x v="1"/>
  </r>
  <r>
    <s v="801867119042"/>
    <n v="801867"/>
    <s v="KRISHNA ENTERPRISES"/>
    <n v="119042"/>
    <s v="SARAS ENTERPRISES"/>
    <n v="30"/>
    <n v="10"/>
    <n v="39"/>
    <n v="10"/>
    <n v="25"/>
    <n v="20"/>
    <n v="0"/>
    <n v="134"/>
    <n v="19.142857142857142"/>
    <x v="2"/>
    <x v="10"/>
    <x v="4"/>
    <x v="1"/>
  </r>
  <r>
    <s v="801868119042"/>
    <n v="801868"/>
    <s v="SURAJ TRADERS"/>
    <n v="119042"/>
    <s v="SARAS ENTERPRISES"/>
    <n v="30"/>
    <n v="25"/>
    <n v="30"/>
    <n v="45"/>
    <n v="40"/>
    <n v="47.5"/>
    <n v="25"/>
    <n v="242.5"/>
    <n v="34.642857142857146"/>
    <x v="4"/>
    <x v="10"/>
    <x v="4"/>
    <x v="1"/>
  </r>
  <r>
    <s v="801869119042"/>
    <n v="801869"/>
    <s v="LALCHAND PRAJAPATI MATERIALS S"/>
    <n v="119042"/>
    <s v="SARAS ENTERPRISES"/>
    <n v="50"/>
    <n v="37"/>
    <n v="55"/>
    <n v="45"/>
    <n v="50"/>
    <n v="50"/>
    <n v="10"/>
    <n v="297"/>
    <n v="42.428571428571431"/>
    <x v="5"/>
    <x v="10"/>
    <x v="4"/>
    <x v="1"/>
  </r>
  <r>
    <s v="801871119042"/>
    <n v="801871"/>
    <s v="PUJA CEMENT SUPPLIERS"/>
    <n v="119042"/>
    <s v="SARAS ENTERPRISES"/>
    <n v="0"/>
    <n v="0"/>
    <n v="0"/>
    <n v="15"/>
    <n v="25"/>
    <n v="20"/>
    <n v="10"/>
    <n v="70"/>
    <n v="10"/>
    <x v="2"/>
    <x v="10"/>
    <x v="4"/>
    <x v="1"/>
  </r>
  <r>
    <s v="806246119042"/>
    <n v="806246"/>
    <s v="VISHAL BUILDING MATERIAL"/>
    <n v="119042"/>
    <s v="SARAS ENTERPRISES"/>
    <n v="52"/>
    <n v="0"/>
    <n v="35"/>
    <n v="45"/>
    <n v="27.5"/>
    <n v="25"/>
    <n v="0"/>
    <n v="184.5"/>
    <n v="26.357142857142858"/>
    <x v="0"/>
    <x v="10"/>
    <x v="4"/>
    <x v="1"/>
  </r>
  <r>
    <s v="808391119042"/>
    <n v="808391"/>
    <s v="KUMAWAT BUILDING MATERIALS SUP"/>
    <n v="119042"/>
    <s v="SARAS ENTERPRISES"/>
    <n v="10"/>
    <n v="0"/>
    <n v="0"/>
    <n v="0"/>
    <n v="0"/>
    <n v="0"/>
    <n v="0"/>
    <n v="10"/>
    <n v="1.4285714285714286"/>
    <x v="1"/>
    <x v="10"/>
    <x v="4"/>
    <x v="1"/>
  </r>
  <r>
    <s v="808857119042"/>
    <n v="808857"/>
    <s v="VISHNU ASBESTOS CEMENT PRODUCT"/>
    <n v="119042"/>
    <s v="SARAS ENTERPRISES"/>
    <n v="0"/>
    <n v="0"/>
    <n v="10"/>
    <n v="10"/>
    <n v="35"/>
    <n v="47.5"/>
    <n v="25"/>
    <n v="127.5"/>
    <n v="18.214285714285715"/>
    <x v="2"/>
    <x v="10"/>
    <x v="4"/>
    <x v="1"/>
  </r>
  <r>
    <s v="809413119042"/>
    <n v="809413"/>
    <s v="BHATI CEMENT SUPPLIERS"/>
    <n v="119042"/>
    <s v="SARAS ENTERPRISES"/>
    <n v="20"/>
    <n v="20"/>
    <n v="15"/>
    <n v="40"/>
    <n v="23"/>
    <n v="21"/>
    <n v="10"/>
    <n v="149"/>
    <n v="21.285714285714285"/>
    <x v="0"/>
    <x v="10"/>
    <x v="4"/>
    <x v="1"/>
  </r>
  <r>
    <s v="813096119042"/>
    <n v="813096"/>
    <s v="SHREE KRISHNA CEMENT AGENCY"/>
    <n v="119042"/>
    <s v="SARAS ENTERPRISES"/>
    <n v="0"/>
    <n v="15"/>
    <n v="5"/>
    <n v="0"/>
    <n v="0"/>
    <n v="0"/>
    <n v="0"/>
    <n v="20"/>
    <n v="2.8571428571428572"/>
    <x v="1"/>
    <x v="10"/>
    <x v="4"/>
    <x v="1"/>
  </r>
  <r>
    <s v="813120119042"/>
    <n v="813120"/>
    <s v="ARYAN CEMENT SUPPLIER"/>
    <n v="119042"/>
    <s v="SARAS ENTERPRISES"/>
    <n v="10"/>
    <n v="0"/>
    <n v="10"/>
    <n v="25"/>
    <n v="10"/>
    <n v="20"/>
    <n v="7"/>
    <n v="82"/>
    <n v="11.714285714285714"/>
    <x v="2"/>
    <x v="10"/>
    <x v="4"/>
    <x v="1"/>
  </r>
  <r>
    <s v="813158119042"/>
    <n v="813158"/>
    <s v="JYOTI CEMENT UDHYOG"/>
    <n v="119042"/>
    <s v="SARAS ENTERPRISES"/>
    <n v="10"/>
    <n v="15"/>
    <n v="0"/>
    <n v="0"/>
    <n v="0"/>
    <n v="0"/>
    <n v="0"/>
    <n v="25"/>
    <n v="3.5714285714285716"/>
    <x v="1"/>
    <x v="10"/>
    <x v="4"/>
    <x v="1"/>
  </r>
  <r>
    <s v="804773119179"/>
    <n v="804773"/>
    <s v="JAI SHREE NATH STONE &amp; BUILDIN"/>
    <n v="119179"/>
    <s v="KUMAWAT BUILDING MATERIALS"/>
    <n v="10"/>
    <n v="0"/>
    <n v="15"/>
    <n v="10"/>
    <n v="0"/>
    <n v="0"/>
    <n v="0"/>
    <n v="35"/>
    <n v="5"/>
    <x v="1"/>
    <x v="10"/>
    <x v="4"/>
    <x v="1"/>
  </r>
  <r>
    <s v="804774119179"/>
    <n v="804774"/>
    <s v="GAHLOT BUILDING MATERIAL SUPPL"/>
    <n v="119179"/>
    <s v="KUMAWAT BUILDING MATERIALS"/>
    <n v="28"/>
    <n v="0"/>
    <n v="15"/>
    <n v="35"/>
    <n v="17"/>
    <n v="22.5"/>
    <n v="30"/>
    <n v="147.5"/>
    <n v="21.071428571428573"/>
    <x v="0"/>
    <x v="10"/>
    <x v="4"/>
    <x v="1"/>
  </r>
  <r>
    <s v="806142119179"/>
    <n v="806142"/>
    <s v="MANISH STONE SUPPLIERS"/>
    <n v="119179"/>
    <s v="KUMAWAT BUILDING MATERIALS"/>
    <n v="5"/>
    <n v="10"/>
    <n v="0"/>
    <n v="5"/>
    <n v="24.5"/>
    <n v="17.5"/>
    <n v="7.5"/>
    <n v="69.5"/>
    <n v="9.9285714285714288"/>
    <x v="1"/>
    <x v="10"/>
    <x v="4"/>
    <x v="1"/>
  </r>
  <r>
    <s v="810914119179"/>
    <n v="810914"/>
    <s v="RAHUL STONE"/>
    <n v="119179"/>
    <s v="KUMAWAT BUILDING MATERIALS"/>
    <n v="10"/>
    <n v="0"/>
    <n v="15"/>
    <n v="25"/>
    <n v="5"/>
    <n v="15.5"/>
    <n v="7.5"/>
    <n v="78"/>
    <n v="11.142857142857142"/>
    <x v="2"/>
    <x v="10"/>
    <x v="4"/>
    <x v="1"/>
  </r>
  <r>
    <s v="802164119208"/>
    <n v="802164"/>
    <s v="SHYORAM MALI"/>
    <n v="119208"/>
    <s v="SURAJMAL TANSUKH RAI"/>
    <n v="95"/>
    <n v="70"/>
    <n v="114"/>
    <n v="167"/>
    <n v="0"/>
    <n v="105"/>
    <n v="0"/>
    <n v="551"/>
    <n v="78.714285714285708"/>
    <x v="3"/>
    <x v="10"/>
    <x v="4"/>
    <x v="1"/>
  </r>
  <r>
    <s v="804431119208"/>
    <n v="804431"/>
    <s v="JAIN ENTERPRISES"/>
    <n v="119208"/>
    <s v="SURAJMAL TANSUKH RAI"/>
    <n v="375.6"/>
    <n v="250.75"/>
    <n v="266"/>
    <n v="378.5"/>
    <n v="300.5"/>
    <n v="294.25"/>
    <n v="185.2"/>
    <n v="2050.7999999999997"/>
    <n v="292.97142857142853"/>
    <x v="3"/>
    <x v="10"/>
    <x v="4"/>
    <x v="1"/>
  </r>
  <r>
    <s v="805149119208"/>
    <n v="805149"/>
    <s v="KUMAWAT TRADERS"/>
    <n v="119208"/>
    <s v="SURAJMAL TANSUKH RAI"/>
    <n v="44"/>
    <n v="0"/>
    <n v="112"/>
    <n v="0"/>
    <n v="0"/>
    <n v="0"/>
    <n v="0"/>
    <n v="156"/>
    <n v="22.285714285714285"/>
    <x v="0"/>
    <x v="10"/>
    <x v="4"/>
    <x v="1"/>
  </r>
  <r>
    <s v="806782119208"/>
    <n v="806782"/>
    <s v="MAHENDRA SINGH"/>
    <n v="119208"/>
    <s v="SURAJMAL TANSUKH RAI"/>
    <n v="45"/>
    <n v="134"/>
    <n v="20"/>
    <n v="0"/>
    <n v="0"/>
    <n v="0"/>
    <n v="0"/>
    <n v="199"/>
    <n v="28.428571428571427"/>
    <x v="0"/>
    <x v="10"/>
    <x v="4"/>
    <x v="1"/>
  </r>
  <r>
    <s v="807303119208"/>
    <n v="807303"/>
    <s v="CHORDIA CEMENT AGENCY"/>
    <n v="119208"/>
    <s v="SURAJMAL TANSUKH RAI"/>
    <n v="124"/>
    <n v="125"/>
    <n v="180"/>
    <n v="232"/>
    <n v="279"/>
    <n v="170"/>
    <n v="86"/>
    <n v="1196"/>
    <n v="170.85714285714286"/>
    <x v="3"/>
    <x v="10"/>
    <x v="4"/>
    <x v="1"/>
  </r>
  <r>
    <s v="807778119208"/>
    <n v="807778"/>
    <s v="LAL CHAND KHATEEK"/>
    <n v="119208"/>
    <s v="SURAJMAL TANSUKH RAI"/>
    <n v="0"/>
    <n v="0"/>
    <n v="0"/>
    <n v="10"/>
    <n v="0"/>
    <n v="0"/>
    <n v="0"/>
    <n v="10"/>
    <n v="1.4285714285714286"/>
    <x v="1"/>
    <x v="10"/>
    <x v="4"/>
    <x v="1"/>
  </r>
  <r>
    <s v="808133119208"/>
    <n v="808133"/>
    <s v="GOPAL JAT"/>
    <n v="119208"/>
    <s v="SURAJMAL TANSUKH RAI"/>
    <n v="55"/>
    <n v="0"/>
    <n v="134"/>
    <n v="152"/>
    <n v="117"/>
    <n v="0"/>
    <n v="112"/>
    <n v="570"/>
    <n v="81.428571428571431"/>
    <x v="3"/>
    <x v="10"/>
    <x v="4"/>
    <x v="1"/>
  </r>
  <r>
    <s v="808155119208"/>
    <n v="808155"/>
    <s v="GOKUL RAM JAT"/>
    <n v="119208"/>
    <s v="SURAJMAL TANSUKH RAI"/>
    <n v="202"/>
    <n v="0"/>
    <n v="15"/>
    <n v="7.5"/>
    <n v="127.5"/>
    <n v="0"/>
    <n v="144.5"/>
    <n v="496.5"/>
    <n v="70.928571428571431"/>
    <x v="3"/>
    <x v="10"/>
    <x v="4"/>
    <x v="1"/>
  </r>
  <r>
    <s v="808434119208"/>
    <n v="808434"/>
    <s v="PRAKASH CHAND CHHAJER"/>
    <n v="119208"/>
    <s v="SURAJMAL TANSUKH RAI"/>
    <n v="15"/>
    <n v="85"/>
    <n v="10"/>
    <n v="246"/>
    <n v="169"/>
    <n v="134"/>
    <n v="124.5"/>
    <n v="783.5"/>
    <n v="111.92857142857143"/>
    <x v="3"/>
    <x v="10"/>
    <x v="4"/>
    <x v="1"/>
  </r>
  <r>
    <s v="808471119208"/>
    <n v="808471"/>
    <s v="MOHAN LAL"/>
    <n v="119208"/>
    <s v="SURAJMAL TANSUKH RAI"/>
    <n v="0"/>
    <n v="125"/>
    <n v="0"/>
    <n v="122"/>
    <n v="0"/>
    <n v="0"/>
    <n v="45"/>
    <n v="292"/>
    <n v="41.714285714285715"/>
    <x v="5"/>
    <x v="10"/>
    <x v="4"/>
    <x v="1"/>
  </r>
  <r>
    <s v="808795119208"/>
    <n v="808795"/>
    <s v="SADDAM"/>
    <n v="119208"/>
    <s v="SURAJMAL TANSUKH RAI"/>
    <n v="45"/>
    <n v="0"/>
    <n v="0"/>
    <n v="0"/>
    <n v="127.5"/>
    <n v="0"/>
    <n v="0"/>
    <n v="172.5"/>
    <n v="24.642857142857142"/>
    <x v="0"/>
    <x v="10"/>
    <x v="4"/>
    <x v="1"/>
  </r>
  <r>
    <s v="808858119208"/>
    <n v="808858"/>
    <s v="GAJENDRA STONE AND BUILDING MA"/>
    <n v="119208"/>
    <s v="SURAJMAL TANSUKH RAI"/>
    <n v="80"/>
    <n v="0"/>
    <n v="161"/>
    <n v="2.5"/>
    <n v="0"/>
    <n v="0"/>
    <n v="0"/>
    <n v="243.5"/>
    <n v="34.785714285714285"/>
    <x v="4"/>
    <x v="10"/>
    <x v="4"/>
    <x v="1"/>
  </r>
  <r>
    <s v="809183119208"/>
    <n v="809183"/>
    <s v="MOHAMMAD IMRAN"/>
    <n v="119208"/>
    <s v="SURAJMAL TANSUKH RAI"/>
    <n v="80"/>
    <n v="35"/>
    <n v="159.5"/>
    <n v="70"/>
    <n v="79"/>
    <n v="113"/>
    <n v="35"/>
    <n v="571.5"/>
    <n v="81.642857142857139"/>
    <x v="3"/>
    <x v="10"/>
    <x v="4"/>
    <x v="1"/>
  </r>
  <r>
    <s v="809184119208"/>
    <n v="809184"/>
    <s v="VIMAL KIRANA &amp; GENERAL STORE"/>
    <n v="119208"/>
    <s v="SURAJMAL TANSUKH RAI"/>
    <n v="35"/>
    <n v="0"/>
    <n v="157.5"/>
    <n v="0"/>
    <n v="0"/>
    <n v="0"/>
    <n v="0"/>
    <n v="192.5"/>
    <n v="27.5"/>
    <x v="0"/>
    <x v="10"/>
    <x v="4"/>
    <x v="1"/>
  </r>
  <r>
    <s v="810685119208"/>
    <n v="810685"/>
    <s v="VISHRAM LAL MALI"/>
    <n v="119208"/>
    <s v="SURAJMAL TANSUKH RAI"/>
    <n v="45"/>
    <n v="186"/>
    <n v="0"/>
    <n v="111.5"/>
    <n v="45"/>
    <n v="45"/>
    <n v="0"/>
    <n v="432.5"/>
    <n v="61.785714285714285"/>
    <x v="3"/>
    <x v="10"/>
    <x v="4"/>
    <x v="1"/>
  </r>
  <r>
    <s v="811799119208"/>
    <n v="811799"/>
    <s v="MANVENDRA SINGH RATHORE"/>
    <n v="119208"/>
    <s v="SURAJMAL TANSUKH RAI"/>
    <n v="115"/>
    <n v="0"/>
    <n v="10"/>
    <n v="0"/>
    <n v="44"/>
    <n v="74"/>
    <n v="0"/>
    <n v="243"/>
    <n v="34.714285714285715"/>
    <x v="4"/>
    <x v="10"/>
    <x v="4"/>
    <x v="1"/>
  </r>
  <r>
    <s v="811800119208"/>
    <n v="811800"/>
    <s v="GHANSHYAM SINGH"/>
    <n v="119208"/>
    <s v="SURAJMAL TANSUKH RAI"/>
    <n v="49.5"/>
    <n v="50"/>
    <n v="15"/>
    <n v="16"/>
    <n v="0"/>
    <n v="0"/>
    <n v="10"/>
    <n v="140.5"/>
    <n v="20.071428571428573"/>
    <x v="0"/>
    <x v="10"/>
    <x v="4"/>
    <x v="1"/>
  </r>
  <r>
    <s v="812301119208"/>
    <n v="812301"/>
    <s v="MUKESH CHOUDHARY"/>
    <n v="119208"/>
    <s v="SURAJMAL TANSUKH RAI"/>
    <n v="102"/>
    <n v="0"/>
    <n v="0"/>
    <n v="0"/>
    <n v="0"/>
    <n v="0"/>
    <n v="0"/>
    <n v="102"/>
    <n v="14.571428571428571"/>
    <x v="2"/>
    <x v="10"/>
    <x v="4"/>
    <x v="1"/>
  </r>
  <r>
    <s v="814040119208"/>
    <n v="814040"/>
    <s v="KUMAWAT TRADERS"/>
    <n v="119208"/>
    <s v="SURAJMAL TANSUKH RAI"/>
    <n v="44"/>
    <n v="0"/>
    <n v="124"/>
    <n v="0"/>
    <n v="0"/>
    <n v="129.5"/>
    <n v="0"/>
    <n v="297.5"/>
    <n v="42.5"/>
    <x v="5"/>
    <x v="10"/>
    <x v="4"/>
    <x v="1"/>
  </r>
  <r>
    <s v="814259119208"/>
    <n v="814259"/>
    <s v="RAJENDRA GUSAIWAL"/>
    <n v="119208"/>
    <s v="SURAJMAL TANSUKH RAI"/>
    <n v="30"/>
    <n v="15"/>
    <n v="142"/>
    <n v="0"/>
    <n v="0"/>
    <n v="0"/>
    <n v="0"/>
    <n v="187"/>
    <n v="26.714285714285715"/>
    <x v="0"/>
    <x v="10"/>
    <x v="4"/>
    <x v="1"/>
  </r>
  <r>
    <s v="814871119208"/>
    <n v="814871"/>
    <s v="TEJU RAM GURJAR"/>
    <n v="119208"/>
    <s v="SURAJMAL TANSUKH RAI"/>
    <n v="0"/>
    <n v="10"/>
    <n v="135"/>
    <n v="25"/>
    <n v="15"/>
    <n v="0"/>
    <n v="0"/>
    <n v="185"/>
    <n v="26.428571428571427"/>
    <x v="0"/>
    <x v="10"/>
    <x v="4"/>
    <x v="1"/>
  </r>
  <r>
    <s v="815022119208"/>
    <n v="815022"/>
    <s v="SHRI GIRIRAJ ENTERPRISES"/>
    <n v="119208"/>
    <s v="SURAJMAL TANSUKH RAI"/>
    <n v="0"/>
    <n v="150"/>
    <n v="10"/>
    <n v="67.5"/>
    <n v="10.5"/>
    <n v="10"/>
    <n v="20"/>
    <n v="268"/>
    <n v="38.285714285714285"/>
    <x v="4"/>
    <x v="10"/>
    <x v="4"/>
    <x v="1"/>
  </r>
  <r>
    <s v="815088119208"/>
    <n v="815088"/>
    <s v="RANJEET SINGH JAKHAD"/>
    <n v="119208"/>
    <s v="SURAJMAL TANSUKH RAI"/>
    <n v="0"/>
    <n v="0"/>
    <n v="15"/>
    <n v="2.5"/>
    <n v="15"/>
    <n v="0"/>
    <n v="0"/>
    <n v="32.5"/>
    <n v="4.6428571428571432"/>
    <x v="1"/>
    <x v="10"/>
    <x v="4"/>
    <x v="1"/>
  </r>
  <r>
    <s v="815151119208"/>
    <n v="815151"/>
    <s v="PRADEEP CHOUDHARY"/>
    <n v="119208"/>
    <s v="SURAJMAL TANSUKH RAI"/>
    <n v="0"/>
    <n v="0"/>
    <n v="15"/>
    <n v="171"/>
    <n v="22.5"/>
    <n v="0"/>
    <n v="0"/>
    <n v="208.5"/>
    <n v="29.785714285714285"/>
    <x v="0"/>
    <x v="10"/>
    <x v="4"/>
    <x v="1"/>
  </r>
  <r>
    <s v="816096119208"/>
    <n v="816096"/>
    <s v="PRAKASH STEEL"/>
    <n v="119208"/>
    <s v="SURAJMAL TANSUKH RAI"/>
    <n v="0"/>
    <n v="0"/>
    <n v="0"/>
    <n v="0"/>
    <n v="0"/>
    <n v="144"/>
    <n v="0"/>
    <n v="144"/>
    <n v="20.571428571428573"/>
    <x v="0"/>
    <x v="10"/>
    <x v="4"/>
    <x v="1"/>
  </r>
  <r>
    <s v="816098119208"/>
    <n v="816098"/>
    <s v="SUNITA"/>
    <n v="119208"/>
    <s v="SURAJMAL TANSUKH RAI"/>
    <n v="0"/>
    <n v="0"/>
    <n v="0"/>
    <n v="0"/>
    <n v="0"/>
    <n v="124"/>
    <n v="74.5"/>
    <n v="198.5"/>
    <n v="28.357142857142858"/>
    <x v="0"/>
    <x v="10"/>
    <x v="4"/>
    <x v="1"/>
  </r>
  <r>
    <s v="809044119221"/>
    <n v="809044"/>
    <s v="SHRINATH SANITARY AND HARDWARE"/>
    <n v="119221"/>
    <s v="AKSHAY TRADERS"/>
    <n v="68.5"/>
    <n v="27.5"/>
    <n v="110.75"/>
    <n v="170.25"/>
    <n v="165"/>
    <n v="58"/>
    <n v="85"/>
    <n v="685"/>
    <n v="97.857142857142861"/>
    <x v="3"/>
    <x v="10"/>
    <x v="4"/>
    <x v="1"/>
  </r>
  <r>
    <s v="806141119222"/>
    <n v="806141"/>
    <s v="HARCHAND TRADERS"/>
    <n v="119222"/>
    <s v="MITHU LAL ROOP CHAND"/>
    <n v="82.75"/>
    <n v="80"/>
    <n v="128"/>
    <n v="147.5"/>
    <n v="31"/>
    <n v="83.5"/>
    <n v="60"/>
    <n v="612.75"/>
    <n v="87.535714285714292"/>
    <x v="3"/>
    <x v="10"/>
    <x v="4"/>
    <x v="1"/>
  </r>
  <r>
    <s v="807777119222"/>
    <n v="807777"/>
    <s v="RAJARAM SAMARIYA"/>
    <n v="119222"/>
    <s v="MITHU LAL ROOP CHAND"/>
    <n v="30"/>
    <n v="64"/>
    <n v="29.5"/>
    <n v="130"/>
    <n v="20"/>
    <n v="113.5"/>
    <n v="65"/>
    <n v="452"/>
    <n v="64.571428571428569"/>
    <x v="3"/>
    <x v="10"/>
    <x v="4"/>
    <x v="1"/>
  </r>
  <r>
    <s v="808103119222"/>
    <n v="808103"/>
    <s v="JAI KISHAN KHINCHI"/>
    <n v="119222"/>
    <s v="MITHU LAL ROOP CHAND"/>
    <n v="5"/>
    <n v="30"/>
    <n v="30"/>
    <n v="27.5"/>
    <n v="15"/>
    <n v="15"/>
    <n v="12.5"/>
    <n v="135"/>
    <n v="19.285714285714285"/>
    <x v="2"/>
    <x v="10"/>
    <x v="4"/>
    <x v="1"/>
  </r>
  <r>
    <s v="810182140829"/>
    <n v="810182"/>
    <s v="SHREE YADAIN BUILDERS"/>
    <n v="140829"/>
    <s v="SHREE YADEN BUILDING MATERIAL"/>
    <n v="62.5"/>
    <n v="110"/>
    <n v="54.5"/>
    <n v="100"/>
    <n v="15"/>
    <n v="70"/>
    <n v="60"/>
    <n v="472"/>
    <n v="67.428571428571431"/>
    <x v="3"/>
    <x v="10"/>
    <x v="4"/>
    <x v="1"/>
  </r>
  <r>
    <s v="814705140829"/>
    <n v="814705"/>
    <s v="RAGHUVEER CONSTRUCTION COMPANY"/>
    <n v="140829"/>
    <s v="SHREE YADEN BUILDING MATERIAL"/>
    <n v="10"/>
    <n v="0"/>
    <n v="15"/>
    <n v="0"/>
    <n v="0"/>
    <n v="0"/>
    <n v="0"/>
    <n v="25"/>
    <n v="3.5714285714285716"/>
    <x v="1"/>
    <x v="10"/>
    <x v="4"/>
    <x v="1"/>
  </r>
  <r>
    <s v="814639144750"/>
    <n v="814639"/>
    <s v="VIKRAM ACHARYA"/>
    <n v="144750"/>
    <s v="ACHARYA TRADERS"/>
    <n v="34"/>
    <n v="10"/>
    <n v="5"/>
    <n v="28.95"/>
    <n v="20"/>
    <n v="22.5"/>
    <n v="17.5"/>
    <n v="137.94999999999999"/>
    <n v="19.707142857142856"/>
    <x v="2"/>
    <x v="10"/>
    <x v="4"/>
    <x v="1"/>
  </r>
  <r>
    <s v="815621144848"/>
    <n v="815621"/>
    <s v="PRATEEK KAKANI"/>
    <n v="144848"/>
    <s v="JAI SHRI TRADING"/>
    <n v="0"/>
    <n v="0"/>
    <n v="0"/>
    <n v="10"/>
    <n v="10"/>
    <n v="12.5"/>
    <n v="2"/>
    <n v="34.5"/>
    <n v="4.9285714285714288"/>
    <x v="1"/>
    <x v="10"/>
    <x v="4"/>
    <x v="1"/>
  </r>
  <r>
    <s v="812737170614"/>
    <n v="812737"/>
    <s v="PRITI CHOUDHARY"/>
    <n v="170614"/>
    <s v="HARIKARAN CHAUDHARY"/>
    <n v="90.25"/>
    <n v="40"/>
    <n v="90"/>
    <n v="125"/>
    <n v="35"/>
    <n v="40"/>
    <n v="70"/>
    <n v="490.25"/>
    <n v="70.035714285714292"/>
    <x v="3"/>
    <x v="10"/>
    <x v="4"/>
    <x v="1"/>
  </r>
  <r>
    <s v="813815170614"/>
    <n v="813815"/>
    <s v="NITU CHOUDHARY"/>
    <n v="170614"/>
    <s v="HARIKARAN CHAUDHARY"/>
    <n v="120"/>
    <n v="130"/>
    <n v="105"/>
    <n v="75"/>
    <n v="75"/>
    <n v="95"/>
    <n v="50"/>
    <n v="650"/>
    <n v="92.857142857142861"/>
    <x v="3"/>
    <x v="10"/>
    <x v="4"/>
    <x v="1"/>
  </r>
  <r>
    <s v="801764170692"/>
    <n v="801764"/>
    <s v="NIHAL CHAND SRISRIMAL"/>
    <n v="170692"/>
    <s v="JAIN TRADERS"/>
    <n v="66"/>
    <n v="97.5"/>
    <n v="80"/>
    <n v="65.5"/>
    <n v="48.65"/>
    <n v="43"/>
    <n v="20"/>
    <n v="420.65"/>
    <n v="60.092857142857142"/>
    <x v="3"/>
    <x v="10"/>
    <x v="4"/>
    <x v="1"/>
  </r>
  <r>
    <s v="806517170692"/>
    <n v="806517"/>
    <s v="GANPAT LAL LOHAR"/>
    <n v="170692"/>
    <s v="JAIN TRADERS"/>
    <n v="80"/>
    <n v="50"/>
    <n v="80"/>
    <n v="77.5"/>
    <n v="25.5"/>
    <n v="50"/>
    <n v="16"/>
    <n v="379"/>
    <n v="54.142857142857146"/>
    <x v="3"/>
    <x v="10"/>
    <x v="4"/>
    <x v="1"/>
  </r>
  <r>
    <s v="815671171063"/>
    <n v="815671"/>
    <s v="BHAWANA TRADERS"/>
    <n v="171063"/>
    <s v="NEHA ENTERPRISES"/>
    <n v="0"/>
    <n v="0"/>
    <n v="0"/>
    <n v="2"/>
    <n v="10"/>
    <n v="30"/>
    <n v="12.5"/>
    <n v="54.5"/>
    <n v="7.7857142857142856"/>
    <x v="1"/>
    <x v="10"/>
    <x v="4"/>
    <x v="1"/>
  </r>
  <r>
    <s v="808289171662"/>
    <n v="808289"/>
    <s v="SHRI NAKODA HARDWARE"/>
    <n v="171662"/>
    <s v="CHHABRA STONES"/>
    <n v="65"/>
    <n v="10"/>
    <n v="40"/>
    <n v="53"/>
    <n v="62.5"/>
    <n v="28.5"/>
    <n v="35"/>
    <n v="294"/>
    <n v="42"/>
    <x v="5"/>
    <x v="10"/>
    <x v="4"/>
    <x v="1"/>
  </r>
  <r>
    <s v="808346171662"/>
    <n v="808346"/>
    <s v="GOVIND KHINCHI"/>
    <n v="171662"/>
    <s v="CHHABRA STONES"/>
    <n v="55"/>
    <n v="25"/>
    <n v="69"/>
    <n v="65"/>
    <n v="59.65"/>
    <n v="60"/>
    <n v="71.45"/>
    <n v="405.09999999999997"/>
    <n v="57.871428571428567"/>
    <x v="3"/>
    <x v="10"/>
    <x v="4"/>
    <x v="1"/>
  </r>
  <r>
    <s v="808347171662"/>
    <n v="808347"/>
    <s v="JANKI THARWANI"/>
    <n v="171662"/>
    <s v="CHHABRA STONES"/>
    <n v="56"/>
    <n v="70"/>
    <n v="40"/>
    <n v="60.5"/>
    <n v="30"/>
    <n v="32.5"/>
    <n v="0"/>
    <n v="289"/>
    <n v="41.285714285714285"/>
    <x v="5"/>
    <x v="10"/>
    <x v="4"/>
    <x v="1"/>
  </r>
  <r>
    <s v="809617171662"/>
    <n v="809617"/>
    <s v="JEEV RAJ"/>
    <n v="171662"/>
    <s v="CHHABRA STONES"/>
    <n v="25"/>
    <n v="0"/>
    <n v="35"/>
    <n v="30"/>
    <n v="7.5"/>
    <n v="15"/>
    <n v="0"/>
    <n v="112.5"/>
    <n v="16.071428571428573"/>
    <x v="2"/>
    <x v="10"/>
    <x v="4"/>
    <x v="1"/>
  </r>
  <r>
    <s v="809893171662"/>
    <n v="809893"/>
    <s v="SAMEER TRADERS"/>
    <n v="171662"/>
    <s v="CHHABRA STONES"/>
    <n v="110"/>
    <n v="60"/>
    <n v="85"/>
    <n v="65.5"/>
    <n v="40"/>
    <n v="77.5"/>
    <n v="32.5"/>
    <n v="470.5"/>
    <n v="67.214285714285708"/>
    <x v="3"/>
    <x v="10"/>
    <x v="4"/>
    <x v="1"/>
  </r>
  <r>
    <s v="812333171662"/>
    <n v="812333"/>
    <s v="DEVARAM GURJAR"/>
    <n v="171662"/>
    <s v="CHHABRA STONES"/>
    <n v="0"/>
    <n v="0"/>
    <n v="5"/>
    <n v="7.5"/>
    <n v="0"/>
    <n v="0"/>
    <n v="0"/>
    <n v="12.5"/>
    <n v="1.7857142857142858"/>
    <x v="1"/>
    <x v="10"/>
    <x v="4"/>
    <x v="1"/>
  </r>
  <r>
    <s v="812850171662"/>
    <n v="812850"/>
    <s v="TARVINDER KAUR"/>
    <n v="171662"/>
    <s v="CHHABRA STONES"/>
    <n v="100.75"/>
    <n v="96.5"/>
    <n v="123.45"/>
    <n v="110.75"/>
    <n v="87.75"/>
    <n v="97.5"/>
    <n v="52.5"/>
    <n v="669.2"/>
    <n v="95.600000000000009"/>
    <x v="3"/>
    <x v="10"/>
    <x v="4"/>
    <x v="1"/>
  </r>
  <r>
    <s v="812900171662"/>
    <n v="812900"/>
    <s v="SUNITA VAISHNAV"/>
    <n v="171662"/>
    <s v="CHHABRA STONES"/>
    <n v="83.9"/>
    <n v="70"/>
    <n v="105"/>
    <n v="54.5"/>
    <n v="82.5"/>
    <n v="57.5"/>
    <n v="30"/>
    <n v="483.4"/>
    <n v="69.05714285714285"/>
    <x v="3"/>
    <x v="10"/>
    <x v="4"/>
    <x v="1"/>
  </r>
  <r>
    <s v="813347171662"/>
    <n v="813347"/>
    <s v="MANJIT SINGH TUTEJA"/>
    <n v="171662"/>
    <s v="CHHABRA STONES"/>
    <n v="49.1"/>
    <n v="55"/>
    <n v="61"/>
    <n v="62"/>
    <n v="22.5"/>
    <n v="45"/>
    <n v="30"/>
    <n v="324.60000000000002"/>
    <n v="46.371428571428574"/>
    <x v="5"/>
    <x v="10"/>
    <x v="4"/>
    <x v="1"/>
  </r>
  <r>
    <s v="814055171662"/>
    <n v="814055"/>
    <s v="DILIP KUMAR LALWANI"/>
    <n v="171662"/>
    <s v="CHHABRA STONES"/>
    <n v="8"/>
    <n v="10"/>
    <n v="10"/>
    <n v="0"/>
    <n v="0"/>
    <n v="0"/>
    <n v="0"/>
    <n v="28"/>
    <n v="4"/>
    <x v="1"/>
    <x v="10"/>
    <x v="4"/>
    <x v="1"/>
  </r>
  <r>
    <s v="814668171662"/>
    <n v="814668"/>
    <s v="PRAKASH BHAGTANI"/>
    <n v="171662"/>
    <s v="CHHABRA STONES"/>
    <n v="0"/>
    <n v="0"/>
    <n v="10"/>
    <n v="0"/>
    <n v="0"/>
    <n v="0"/>
    <n v="0"/>
    <n v="10"/>
    <n v="1.4285714285714286"/>
    <x v="1"/>
    <x v="10"/>
    <x v="4"/>
    <x v="1"/>
  </r>
  <r>
    <s v="815601171662"/>
    <n v="815601"/>
    <s v="MADHURAM"/>
    <n v="171662"/>
    <s v="CHHABRA STONES"/>
    <n v="0"/>
    <n v="0"/>
    <n v="0"/>
    <n v="37"/>
    <n v="17.5"/>
    <n v="50"/>
    <n v="0"/>
    <n v="104.5"/>
    <n v="14.928571428571429"/>
    <x v="2"/>
    <x v="10"/>
    <x v="4"/>
    <x v="1"/>
  </r>
  <r>
    <s v="815900171662"/>
    <n v="815900"/>
    <s v="RINKU STONE"/>
    <n v="171662"/>
    <s v="CHHABRA STONES"/>
    <n v="0"/>
    <n v="0"/>
    <n v="0"/>
    <n v="0"/>
    <n v="15"/>
    <n v="20"/>
    <n v="18"/>
    <n v="53"/>
    <n v="7.5714285714285712"/>
    <x v="1"/>
    <x v="10"/>
    <x v="4"/>
    <x v="1"/>
  </r>
  <r>
    <s v="815901171662"/>
    <n v="815901"/>
    <s v="SANDEEP TANK"/>
    <n v="171662"/>
    <s v="CHHABRA STONES"/>
    <n v="0"/>
    <n v="0"/>
    <n v="0"/>
    <n v="0"/>
    <n v="15"/>
    <n v="22.5"/>
    <n v="19.45"/>
    <n v="56.95"/>
    <n v="8.1357142857142861"/>
    <x v="1"/>
    <x v="10"/>
    <x v="4"/>
    <x v="1"/>
  </r>
  <r>
    <s v="816097171662"/>
    <n v="816097"/>
    <s v="VIVEK AGRAWAL"/>
    <n v="171662"/>
    <s v="CHHABRA STONES"/>
    <n v="0"/>
    <n v="0"/>
    <n v="0"/>
    <n v="0"/>
    <n v="20"/>
    <n v="37.5"/>
    <n v="0"/>
    <n v="57.5"/>
    <n v="8.2142857142857135"/>
    <x v="1"/>
    <x v="10"/>
    <x v="4"/>
    <x v="1"/>
  </r>
  <r>
    <s v="811244178768"/>
    <n v="811244"/>
    <s v="MOHAN SINGH"/>
    <n v="178768"/>
    <s v="JAI BAJRANG CEMENT AGENCIES"/>
    <n v="0"/>
    <n v="15"/>
    <n v="0"/>
    <n v="41"/>
    <n v="0"/>
    <n v="35"/>
    <n v="0"/>
    <n v="91"/>
    <n v="13"/>
    <x v="2"/>
    <x v="10"/>
    <x v="4"/>
    <x v="1"/>
  </r>
  <r>
    <s v="811405178768"/>
    <n v="811405"/>
    <s v="KANCHAN DEVI"/>
    <n v="178768"/>
    <s v="JAI BAJRANG CEMENT AGENCIES"/>
    <n v="100"/>
    <n v="80"/>
    <n v="170"/>
    <n v="89.5"/>
    <n v="39"/>
    <n v="93.8"/>
    <n v="0"/>
    <n v="572.29999999999995"/>
    <n v="81.757142857142853"/>
    <x v="3"/>
    <x v="10"/>
    <x v="4"/>
    <x v="1"/>
  </r>
  <r>
    <s v="813157202713"/>
    <n v="813157"/>
    <s v="JAI BAJRANG CEMENT"/>
    <n v="202713"/>
    <s v="DADHICH STONE SUPPLIERS"/>
    <n v="0"/>
    <n v="0"/>
    <n v="10"/>
    <n v="3"/>
    <n v="0"/>
    <n v="0"/>
    <n v="0"/>
    <n v="13"/>
    <n v="1.8571428571428572"/>
    <x v="1"/>
    <x v="10"/>
    <x v="4"/>
    <x v="1"/>
  </r>
  <r>
    <s v="813788202713"/>
    <n v="813788"/>
    <s v="NEHA TRIPATHI"/>
    <n v="202713"/>
    <s v="DADHICH STONE SUPPLIERS"/>
    <n v="28"/>
    <n v="51"/>
    <n v="15"/>
    <n v="61.5"/>
    <n v="58.5"/>
    <n v="50"/>
    <n v="23.55"/>
    <n v="287.55"/>
    <n v="41.078571428571429"/>
    <x v="5"/>
    <x v="10"/>
    <x v="4"/>
    <x v="1"/>
  </r>
  <r>
    <s v="813788207773"/>
    <n v="813788"/>
    <s v="NEHA TRIPATHI"/>
    <n v="207773"/>
    <s v="DADHICH CEMENT SUPPLIERS"/>
    <n v="0"/>
    <n v="0"/>
    <n v="0"/>
    <n v="10"/>
    <n v="10"/>
    <n v="0"/>
    <n v="0"/>
    <n v="20"/>
    <n v="2.8571428571428572"/>
    <x v="1"/>
    <x v="10"/>
    <x v="4"/>
    <x v="1"/>
  </r>
  <r>
    <s v="815051208074"/>
    <n v="815051"/>
    <s v="ANIL KUMAR TAK"/>
    <n v="208074"/>
    <s v="SWASTIK STEEL TRADERS"/>
    <n v="0"/>
    <n v="0"/>
    <n v="208"/>
    <n v="262"/>
    <n v="154.5"/>
    <n v="110"/>
    <n v="41"/>
    <n v="775.5"/>
    <n v="110.78571428571429"/>
    <x v="3"/>
    <x v="10"/>
    <x v="4"/>
    <x v="1"/>
  </r>
  <r>
    <s v="815052208074"/>
    <n v="815052"/>
    <s v="KARANVEER"/>
    <n v="208074"/>
    <s v="SWASTIK STEEL TRADERS"/>
    <n v="0"/>
    <n v="0"/>
    <n v="23"/>
    <n v="10"/>
    <n v="20"/>
    <n v="20"/>
    <n v="40"/>
    <n v="113"/>
    <n v="16.142857142857142"/>
    <x v="2"/>
    <x v="10"/>
    <x v="4"/>
    <x v="1"/>
  </r>
  <r>
    <s v="815064208074"/>
    <n v="815064"/>
    <s v="U K TRADERS"/>
    <n v="208074"/>
    <s v="SWASTIK STEEL TRADERS"/>
    <n v="0"/>
    <n v="0"/>
    <n v="75"/>
    <n v="52.5"/>
    <n v="35"/>
    <n v="65"/>
    <n v="55"/>
    <n v="282.5"/>
    <n v="40.357142857142854"/>
    <x v="5"/>
    <x v="10"/>
    <x v="4"/>
    <x v="1"/>
  </r>
  <r>
    <s v="815066208074"/>
    <n v="815066"/>
    <s v="GURUJI CEMENT SUPPLIERS"/>
    <n v="208074"/>
    <s v="SWASTIK STEEL TRADERS"/>
    <n v="0"/>
    <n v="0"/>
    <n v="0"/>
    <n v="0"/>
    <n v="10"/>
    <n v="10"/>
    <n v="0"/>
    <n v="20"/>
    <n v="2.8571428571428572"/>
    <x v="1"/>
    <x v="10"/>
    <x v="4"/>
    <x v="1"/>
  </r>
  <r>
    <s v="815067208074"/>
    <n v="815067"/>
    <s v="NEW HIND TRADERS"/>
    <n v="208074"/>
    <s v="SWASTIK STEEL TRADERS"/>
    <n v="0"/>
    <n v="0"/>
    <n v="10"/>
    <n v="35"/>
    <n v="20"/>
    <n v="20"/>
    <n v="0"/>
    <n v="85"/>
    <n v="12.142857142857142"/>
    <x v="2"/>
    <x v="10"/>
    <x v="4"/>
    <x v="1"/>
  </r>
  <r>
    <s v="815068208074"/>
    <n v="815068"/>
    <s v="MOHMMAD ALI GOURI"/>
    <n v="208074"/>
    <s v="SWASTIK STEEL TRADERS"/>
    <n v="0"/>
    <n v="0"/>
    <n v="20"/>
    <n v="47.5"/>
    <n v="26"/>
    <n v="20"/>
    <n v="18"/>
    <n v="131.5"/>
    <n v="18.785714285714285"/>
    <x v="2"/>
    <x v="10"/>
    <x v="4"/>
    <x v="1"/>
  </r>
  <r>
    <s v="815936208074"/>
    <n v="815936"/>
    <s v="DINESH SINGH CHOUHAN"/>
    <n v="208074"/>
    <s v="SWASTIK STEEL TRADERS"/>
    <n v="0"/>
    <n v="0"/>
    <n v="0"/>
    <n v="0"/>
    <n v="50"/>
    <n v="55"/>
    <n v="10"/>
    <n v="115"/>
    <n v="16.428571428571427"/>
    <x v="2"/>
    <x v="10"/>
    <x v="4"/>
    <x v="1"/>
  </r>
  <r>
    <s v="816021208074"/>
    <n v="816021"/>
    <s v="YARANA CEMENT SUPPLIER"/>
    <n v="208074"/>
    <s v="SWASTIK STEEL TRADERS"/>
    <n v="0"/>
    <n v="0"/>
    <n v="0"/>
    <n v="0"/>
    <n v="25"/>
    <n v="35"/>
    <n v="25"/>
    <n v="85"/>
    <n v="12.142857142857142"/>
    <x v="2"/>
    <x v="10"/>
    <x v="4"/>
    <x v="1"/>
  </r>
  <r>
    <s v="816022208074"/>
    <n v="816022"/>
    <s v="LAXMI NARAYANA"/>
    <n v="208074"/>
    <s v="SWASTIK STEEL TRADERS"/>
    <n v="0"/>
    <n v="0"/>
    <n v="0"/>
    <n v="0"/>
    <n v="10"/>
    <n v="15"/>
    <n v="10"/>
    <n v="35"/>
    <n v="5"/>
    <x v="1"/>
    <x v="10"/>
    <x v="4"/>
    <x v="1"/>
  </r>
  <r>
    <s v="816469208074"/>
    <n v="816469"/>
    <s v="NAKODA HARDWARE AND SANITARY"/>
    <n v="208074"/>
    <s v="SWASTIK STEEL TRADERS"/>
    <n v="0"/>
    <n v="0"/>
    <n v="0"/>
    <n v="0"/>
    <n v="0"/>
    <n v="12.5"/>
    <n v="10"/>
    <n v="22.5"/>
    <n v="3.2142857142857144"/>
    <x v="1"/>
    <x v="10"/>
    <x v="4"/>
    <x v="1"/>
  </r>
  <r>
    <s v="816471208074"/>
    <n v="816471"/>
    <s v="RAVINDRA SINGH RAWAT"/>
    <n v="208074"/>
    <s v="SWASTIK STEEL TRADERS"/>
    <n v="0"/>
    <n v="0"/>
    <n v="0"/>
    <n v="0"/>
    <n v="0"/>
    <n v="17.5"/>
    <n v="40"/>
    <n v="57.5"/>
    <n v="8.2142857142857135"/>
    <x v="1"/>
    <x v="10"/>
    <x v="4"/>
    <x v="1"/>
  </r>
  <r>
    <s v="816301205686"/>
    <n v="816301"/>
    <s v="KARTIK MOJAIC TILES"/>
    <n v="205686"/>
    <s v="OM PRAKASH RAWAT"/>
    <n v="0"/>
    <n v="0"/>
    <n v="0"/>
    <n v="0"/>
    <n v="0"/>
    <n v="12.5"/>
    <n v="53"/>
    <n v="65.5"/>
    <n v="9.3571428571428577"/>
    <x v="1"/>
    <x v="10"/>
    <x v="4"/>
    <x v="1"/>
  </r>
  <r>
    <s v="808471119029"/>
    <n v="808471"/>
    <s v="MOHAN LAL"/>
    <n v="119029"/>
    <s v="LALLAMAL KANHYALAL &amp; SONS"/>
    <n v="0"/>
    <n v="0"/>
    <n v="0"/>
    <n v="0"/>
    <n v="0"/>
    <n v="0"/>
    <n v="10"/>
    <n v="10"/>
    <n v="1.4285714285714286"/>
    <x v="1"/>
    <x v="10"/>
    <x v="4"/>
    <x v="1"/>
  </r>
  <r>
    <s v="804966143530"/>
    <n v="804966"/>
    <s v="RAMNIWAS LAHOTI CEMENT AGENCY"/>
    <n v="143530"/>
    <s v="BHATI CEMENT AGENCY"/>
    <n v="30"/>
    <n v="40"/>
    <n v="55"/>
    <n v="50"/>
    <n v="10"/>
    <n v="20"/>
    <n v="10"/>
    <n v="215"/>
    <n v="30.714285714285715"/>
    <x v="4"/>
    <x v="11"/>
    <x v="4"/>
    <x v="1"/>
  </r>
  <r>
    <s v="814332143530"/>
    <n v="814332"/>
    <s v="BHATI TRADERS &amp; HARDWARE"/>
    <n v="143530"/>
    <s v="BHATI CEMENT AGENCY"/>
    <n v="52"/>
    <n v="95"/>
    <n v="85"/>
    <n v="105"/>
    <n v="61"/>
    <n v="50"/>
    <n v="25"/>
    <n v="473"/>
    <n v="67.571428571428569"/>
    <x v="3"/>
    <x v="11"/>
    <x v="4"/>
    <x v="1"/>
  </r>
  <r>
    <s v="815838143530"/>
    <n v="815838"/>
    <s v="BHOMIYA JI CEMENT SUPPLIER"/>
    <n v="143530"/>
    <s v="BHATI CEMENT AGENCY"/>
    <n v="0"/>
    <n v="0"/>
    <n v="0"/>
    <n v="0"/>
    <n v="35"/>
    <n v="0"/>
    <n v="15"/>
    <n v="50"/>
    <n v="7.1428571428571432"/>
    <x v="1"/>
    <x v="11"/>
    <x v="4"/>
    <x v="1"/>
  </r>
  <r>
    <s v="807140170228"/>
    <n v="807140"/>
    <s v="VEER TEJA HARDWARE AND CEMENT"/>
    <n v="170228"/>
    <s v="SHRI RAM TRADERS"/>
    <n v="0"/>
    <n v="0"/>
    <n v="0"/>
    <n v="11"/>
    <n v="0"/>
    <n v="20"/>
    <n v="0"/>
    <n v="31"/>
    <n v="4.4285714285714288"/>
    <x v="1"/>
    <x v="11"/>
    <x v="4"/>
    <x v="1"/>
  </r>
  <r>
    <s v="814068170228"/>
    <n v="814068"/>
    <s v="BASANT KUMAR SHARMA"/>
    <n v="170228"/>
    <s v="SHRI RAM TRADERS"/>
    <n v="60"/>
    <n v="30"/>
    <n v="96"/>
    <n v="117"/>
    <n v="30"/>
    <n v="90"/>
    <n v="0"/>
    <n v="423"/>
    <n v="60.428571428571431"/>
    <x v="3"/>
    <x v="11"/>
    <x v="4"/>
    <x v="1"/>
  </r>
  <r>
    <s v="814655170228"/>
    <n v="814655"/>
    <s v="JAI BHERUNATH BUILDING MATERIA"/>
    <n v="170228"/>
    <s v="SHRI RAM TRADERS"/>
    <n v="0"/>
    <n v="0"/>
    <n v="0"/>
    <n v="10"/>
    <n v="10"/>
    <n v="0"/>
    <n v="0"/>
    <n v="20"/>
    <n v="2.8571428571428572"/>
    <x v="1"/>
    <x v="11"/>
    <x v="4"/>
    <x v="1"/>
  </r>
  <r>
    <s v="812654172299"/>
    <n v="812654"/>
    <s v="SOLANKI ENTERPRISES"/>
    <n v="172299"/>
    <s v="SAFALATA BUILDING MATERIAL"/>
    <n v="73"/>
    <n v="89"/>
    <n v="61.5"/>
    <n v="0"/>
    <n v="0"/>
    <n v="0"/>
    <n v="0"/>
    <n v="223.5"/>
    <n v="31.928571428571427"/>
    <x v="4"/>
    <x v="11"/>
    <x v="4"/>
    <x v="1"/>
  </r>
  <r>
    <s v="812346173100"/>
    <n v="812346"/>
    <s v="SHORYA INDUSTRIES"/>
    <n v="173100"/>
    <s v="BANSHI LAL BHATI AND SONS"/>
    <n v="50"/>
    <n v="0"/>
    <n v="0"/>
    <n v="55"/>
    <n v="0"/>
    <n v="0"/>
    <n v="15"/>
    <n v="120"/>
    <n v="17.142857142857142"/>
    <x v="2"/>
    <x v="11"/>
    <x v="4"/>
    <x v="1"/>
  </r>
  <r>
    <s v="808390176457"/>
    <n v="808390"/>
    <s v="SHIVNATH  DHANI BUILDING MATER"/>
    <n v="176457"/>
    <s v="RAMA BUILDING MATERIALS"/>
    <n v="0"/>
    <n v="0"/>
    <n v="0"/>
    <n v="15"/>
    <n v="0"/>
    <n v="0"/>
    <n v="0"/>
    <n v="15"/>
    <n v="2.1428571428571428"/>
    <x v="1"/>
    <x v="11"/>
    <x v="4"/>
    <x v="1"/>
  </r>
  <r>
    <s v="807377176870"/>
    <n v="807377"/>
    <s v="PRAJAPATI BUILDING MATERIAL"/>
    <n v="176870"/>
    <s v="KHANDELWAL CEMENT AGENCY"/>
    <n v="0"/>
    <n v="53"/>
    <n v="20"/>
    <n v="45"/>
    <n v="45"/>
    <n v="27.25"/>
    <n v="30"/>
    <n v="220.25"/>
    <n v="31.464285714285715"/>
    <x v="4"/>
    <x v="11"/>
    <x v="4"/>
    <x v="1"/>
  </r>
  <r>
    <s v="810348176870"/>
    <n v="810348"/>
    <s v="SOLANKI CEMENT SUPPLIERS"/>
    <n v="176870"/>
    <s v="KHANDELWAL CEMENT AGENCY"/>
    <n v="0"/>
    <n v="0"/>
    <n v="0"/>
    <n v="10"/>
    <n v="0"/>
    <n v="0"/>
    <n v="0"/>
    <n v="10"/>
    <n v="1.4285714285714286"/>
    <x v="1"/>
    <x v="11"/>
    <x v="4"/>
    <x v="1"/>
  </r>
  <r>
    <s v="814067176870"/>
    <n v="814067"/>
    <s v="BALAJI CEMENT SUPPLIERS"/>
    <n v="176870"/>
    <s v="KHANDELWAL CEMENT AGENCY"/>
    <n v="11"/>
    <n v="45"/>
    <n v="30"/>
    <n v="20"/>
    <n v="30"/>
    <n v="25"/>
    <n v="10"/>
    <n v="171"/>
    <n v="24.428571428571427"/>
    <x v="0"/>
    <x v="11"/>
    <x v="4"/>
    <x v="1"/>
  </r>
  <r>
    <s v="814069176870"/>
    <n v="814069"/>
    <s v="TEJA BUILDING MATERIAL"/>
    <n v="176870"/>
    <s v="KHANDELWAL CEMENT AGENCY"/>
    <n v="100"/>
    <n v="100"/>
    <n v="35"/>
    <n v="60"/>
    <n v="25"/>
    <n v="47.5"/>
    <n v="10"/>
    <n v="377.5"/>
    <n v="53.928571428571431"/>
    <x v="3"/>
    <x v="11"/>
    <x v="4"/>
    <x v="1"/>
  </r>
  <r>
    <s v="815102176870"/>
    <n v="815102"/>
    <s v="MAHADEV STONE SUPPLIER"/>
    <n v="176870"/>
    <s v="KHANDELWAL CEMENT AGENCY"/>
    <n v="0"/>
    <n v="0"/>
    <n v="30"/>
    <n v="55"/>
    <n v="0"/>
    <n v="38"/>
    <n v="20"/>
    <n v="143"/>
    <n v="20.428571428571427"/>
    <x v="0"/>
    <x v="11"/>
    <x v="4"/>
    <x v="1"/>
  </r>
  <r>
    <s v="809578177016"/>
    <n v="809578"/>
    <s v="JETHARAM SWAMI"/>
    <n v="177016"/>
    <s v="KHANDELWAL STONE"/>
    <n v="54"/>
    <n v="40"/>
    <n v="53"/>
    <n v="70"/>
    <n v="28"/>
    <n v="46"/>
    <n v="45"/>
    <n v="336"/>
    <n v="48"/>
    <x v="5"/>
    <x v="11"/>
    <x v="4"/>
    <x v="1"/>
  </r>
  <r>
    <s v="810533178724"/>
    <n v="810533"/>
    <s v="NAGNECHYA CEMENT SUPPLIERS"/>
    <n v="178724"/>
    <s v="NEELKANTH MAHADEV ENTERPRISES"/>
    <n v="0"/>
    <n v="0"/>
    <n v="19"/>
    <n v="40"/>
    <n v="0"/>
    <n v="0"/>
    <n v="0"/>
    <n v="59"/>
    <n v="8.4285714285714288"/>
    <x v="1"/>
    <x v="11"/>
    <x v="4"/>
    <x v="1"/>
  </r>
  <r>
    <s v="810958179877"/>
    <n v="810958"/>
    <s v="BALAJI TRADING COMPANY"/>
    <n v="179877"/>
    <s v="HANUMANGARH  INT SUPPLIERS"/>
    <n v="55.5"/>
    <n v="20"/>
    <n v="62"/>
    <n v="62.5"/>
    <n v="47.5"/>
    <n v="52.5"/>
    <n v="52.5"/>
    <n v="352.5"/>
    <n v="50.357142857142854"/>
    <x v="3"/>
    <x v="11"/>
    <x v="4"/>
    <x v="1"/>
  </r>
  <r>
    <s v="811033179877"/>
    <n v="811033"/>
    <s v="VEER TEJA BUILDING MATERIAL"/>
    <n v="179877"/>
    <s v="HANUMANGARH  INT SUPPLIERS"/>
    <n v="0"/>
    <n v="25"/>
    <n v="0"/>
    <n v="0"/>
    <n v="0"/>
    <n v="0"/>
    <n v="0"/>
    <n v="25"/>
    <n v="3.5714285714285716"/>
    <x v="1"/>
    <x v="11"/>
    <x v="4"/>
    <x v="1"/>
  </r>
  <r>
    <s v="811089179877"/>
    <n v="811089"/>
    <s v="HANUMANGARH INT SUPPLIERS"/>
    <n v="179877"/>
    <s v="HANUMANGARH  INT SUPPLIERS"/>
    <n v="71.95"/>
    <n v="66"/>
    <n v="95"/>
    <n v="73.55"/>
    <n v="88.5"/>
    <n v="113"/>
    <n v="134"/>
    <n v="642"/>
    <n v="91.714285714285708"/>
    <x v="3"/>
    <x v="11"/>
    <x v="4"/>
    <x v="1"/>
  </r>
  <r>
    <s v="811910179877"/>
    <n v="811910"/>
    <s v="BALAJI CONSTRUCTION COMPANY"/>
    <n v="179877"/>
    <s v="HANUMANGARH  INT SUPPLIERS"/>
    <n v="28"/>
    <n v="12"/>
    <n v="0"/>
    <n v="10"/>
    <n v="12"/>
    <n v="7.5"/>
    <n v="30"/>
    <n v="99.5"/>
    <n v="14.214285714285714"/>
    <x v="2"/>
    <x v="11"/>
    <x v="4"/>
    <x v="1"/>
  </r>
  <r>
    <s v="812561179877"/>
    <n v="812561"/>
    <s v="LAXMI BUILDING MATERIAL"/>
    <n v="179877"/>
    <s v="HANUMANGARH  INT SUPPLIERS"/>
    <n v="36.5"/>
    <n v="42"/>
    <n v="50"/>
    <n v="62.5"/>
    <n v="37.5"/>
    <n v="50"/>
    <n v="22.5"/>
    <n v="301"/>
    <n v="43"/>
    <x v="5"/>
    <x v="11"/>
    <x v="4"/>
    <x v="1"/>
  </r>
  <r>
    <s v="813656179877"/>
    <n v="813656"/>
    <s v="SHREE BALAJI BUILDING MATERIAL"/>
    <n v="179877"/>
    <s v="HANUMANGARH  INT SUPPLIERS"/>
    <n v="0"/>
    <n v="0"/>
    <n v="10"/>
    <n v="10"/>
    <n v="10"/>
    <n v="10"/>
    <n v="10"/>
    <n v="50"/>
    <n v="7.1428571428571432"/>
    <x v="1"/>
    <x v="11"/>
    <x v="4"/>
    <x v="1"/>
  </r>
  <r>
    <s v="805984203455"/>
    <n v="805984"/>
    <s v="SUFI TRADING COMPANY"/>
    <n v="203455"/>
    <s v="NARAYAN TRADERS"/>
    <n v="20"/>
    <n v="0"/>
    <n v="32.5"/>
    <n v="10"/>
    <n v="10"/>
    <n v="15"/>
    <n v="40"/>
    <n v="127.5"/>
    <n v="18.214285714285715"/>
    <x v="2"/>
    <x v="11"/>
    <x v="4"/>
    <x v="1"/>
  </r>
  <r>
    <s v="814330203455"/>
    <n v="814330"/>
    <s v="JAY SHREE HARDWARE"/>
    <n v="203455"/>
    <s v="NARAYAN TRADERS"/>
    <n v="41"/>
    <n v="20"/>
    <n v="20"/>
    <n v="10"/>
    <n v="0"/>
    <n v="10"/>
    <n v="20"/>
    <n v="121"/>
    <n v="17.285714285714285"/>
    <x v="2"/>
    <x v="11"/>
    <x v="4"/>
    <x v="1"/>
  </r>
  <r>
    <s v="815133203455"/>
    <n v="815133"/>
    <s v="HANUVANT INDUSTRIES"/>
    <n v="203455"/>
    <s v="NARAYAN TRADERS"/>
    <n v="0"/>
    <n v="0"/>
    <n v="60.5"/>
    <n v="113"/>
    <n v="50"/>
    <n v="60"/>
    <n v="65"/>
    <n v="348.5"/>
    <n v="49.785714285714285"/>
    <x v="5"/>
    <x v="11"/>
    <x v="4"/>
    <x v="1"/>
  </r>
  <r>
    <s v="814386205372"/>
    <n v="814386"/>
    <s v="SINDHAL BUILDING MATERIAL"/>
    <n v="205372"/>
    <s v="CHOUHAN BUILDING MATERIAL"/>
    <n v="20"/>
    <n v="34"/>
    <n v="45"/>
    <n v="20"/>
    <n v="30"/>
    <n v="40"/>
    <n v="0"/>
    <n v="189"/>
    <n v="27"/>
    <x v="0"/>
    <x v="11"/>
    <x v="4"/>
    <x v="1"/>
  </r>
  <r>
    <s v="803721206102"/>
    <n v="803721"/>
    <s v="GAJANAD CEMENT SUPPLIERS"/>
    <n v="206102"/>
    <s v="BABA RAMDEV CEMENT SUPPLIER"/>
    <n v="131"/>
    <n v="81"/>
    <n v="116"/>
    <n v="100"/>
    <n v="10"/>
    <n v="40"/>
    <n v="45"/>
    <n v="523"/>
    <n v="74.714285714285708"/>
    <x v="3"/>
    <x v="11"/>
    <x v="4"/>
    <x v="1"/>
  </r>
  <r>
    <s v="808292206102"/>
    <n v="808292"/>
    <s v="ONKAR SINGH"/>
    <n v="206102"/>
    <s v="BABA RAMDEV CEMENT SUPPLIER"/>
    <n v="0"/>
    <n v="0"/>
    <n v="0"/>
    <n v="30"/>
    <n v="65"/>
    <n v="23"/>
    <n v="6.5"/>
    <n v="124.5"/>
    <n v="17.785714285714285"/>
    <x v="2"/>
    <x v="11"/>
    <x v="4"/>
    <x v="1"/>
  </r>
  <r>
    <s v="813806206980"/>
    <n v="813806"/>
    <s v="SHREE BALAJI BUILDING MATERIAL"/>
    <n v="206980"/>
    <s v="SHREE KARNI ENTERPRISES"/>
    <n v="0"/>
    <n v="0"/>
    <n v="10"/>
    <n v="0"/>
    <n v="0"/>
    <n v="0"/>
    <n v="0"/>
    <n v="10"/>
    <n v="1.4285714285714286"/>
    <x v="1"/>
    <x v="11"/>
    <x v="4"/>
    <x v="1"/>
  </r>
  <r>
    <s v="814655206980"/>
    <n v="814655"/>
    <s v="JAI BHERUNATH BUILDING MATERIA"/>
    <n v="206980"/>
    <s v="SHREE KARNI ENTERPRISES"/>
    <n v="20"/>
    <n v="0"/>
    <n v="10"/>
    <n v="0"/>
    <n v="0"/>
    <n v="0"/>
    <n v="0"/>
    <n v="30"/>
    <n v="4.2857142857142856"/>
    <x v="1"/>
    <x v="11"/>
    <x v="4"/>
    <x v="1"/>
  </r>
  <r>
    <s v="815839207379"/>
    <n v="815839"/>
    <s v="JAGDAMBA BUILDING MATERIALS"/>
    <n v="207379"/>
    <s v="BABA RAMDEV BUILDING MATERIAL"/>
    <n v="0"/>
    <n v="0"/>
    <n v="0"/>
    <n v="0"/>
    <n v="40"/>
    <n v="25"/>
    <n v="15"/>
    <n v="80"/>
    <n v="11.428571428571429"/>
    <x v="2"/>
    <x v="11"/>
    <x v="4"/>
    <x v="1"/>
  </r>
  <r>
    <s v="808639208809"/>
    <n v="808639"/>
    <s v="MAHADEV SAND STONE"/>
    <n v="208809"/>
    <s v="MAHADEV SALES"/>
    <n v="0"/>
    <n v="0"/>
    <n v="0"/>
    <n v="30"/>
    <n v="50"/>
    <n v="59.5"/>
    <n v="30"/>
    <n v="169.5"/>
    <n v="24.214285714285715"/>
    <x v="0"/>
    <x v="11"/>
    <x v="4"/>
    <x v="1"/>
  </r>
  <r>
    <s v="815935208809"/>
    <n v="815935"/>
    <s v="JASNATH BUILDING MATERIALS"/>
    <n v="208809"/>
    <s v="MAHADEV SALES"/>
    <n v="0"/>
    <n v="0"/>
    <n v="0"/>
    <n v="0"/>
    <n v="135"/>
    <n v="130.5"/>
    <n v="30"/>
    <n v="295.5"/>
    <n v="42.214285714285715"/>
    <x v="5"/>
    <x v="11"/>
    <x v="4"/>
    <x v="1"/>
  </r>
  <r>
    <s v="814068176870"/>
    <n v="814068"/>
    <s v="BASANT KUMAR SHARMA"/>
    <n v="176870"/>
    <s v="KHANDELWAL CEMENT AGENCY"/>
    <n v="0"/>
    <n v="0"/>
    <n v="0"/>
    <n v="0"/>
    <n v="0"/>
    <n v="0"/>
    <n v="10"/>
    <n v="10"/>
    <n v="1.4285714285714286"/>
    <x v="1"/>
    <x v="11"/>
    <x v="4"/>
    <x v="1"/>
  </r>
  <r>
    <s v="815202179877"/>
    <n v="815202"/>
    <s v="MAA JAGDAMBA BUILDING MATERIAL"/>
    <n v="179877"/>
    <s v="HANUMANGARH  INT SUPPLIERS"/>
    <n v="0"/>
    <n v="0"/>
    <n v="0"/>
    <n v="0"/>
    <n v="0"/>
    <n v="0"/>
    <n v="10"/>
    <n v="10"/>
    <n v="1.4285714285714286"/>
    <x v="1"/>
    <x v="11"/>
    <x v="4"/>
    <x v="1"/>
  </r>
  <r>
    <s v="802870119034"/>
    <n v="802870"/>
    <s v="RAJ AGENCIES"/>
    <n v="119034"/>
    <s v="SOGANI AGENCIES"/>
    <n v="7.5"/>
    <n v="0"/>
    <n v="0"/>
    <n v="37.5"/>
    <n v="0"/>
    <n v="0"/>
    <n v="0"/>
    <n v="45"/>
    <n v="6.4285714285714288"/>
    <x v="1"/>
    <x v="12"/>
    <x v="4"/>
    <x v="1"/>
  </r>
  <r>
    <s v="803983119034"/>
    <n v="803983"/>
    <s v="DEV BUILDING MATERIAL SUPPLIER"/>
    <n v="119034"/>
    <s v="SOGANI AGENCIES"/>
    <n v="60"/>
    <n v="30"/>
    <n v="67.5"/>
    <n v="51.5"/>
    <n v="20"/>
    <n v="10"/>
    <n v="20"/>
    <n v="259"/>
    <n v="37"/>
    <x v="4"/>
    <x v="12"/>
    <x v="4"/>
    <x v="1"/>
  </r>
  <r>
    <s v="804251119034"/>
    <n v="804251"/>
    <s v="SHRI GURU KRIPA BUILDING MATER"/>
    <n v="119034"/>
    <s v="SOGANI AGENCIES"/>
    <n v="54"/>
    <n v="89.5"/>
    <n v="70"/>
    <n v="50"/>
    <n v="42"/>
    <n v="20"/>
    <n v="17.5"/>
    <n v="343"/>
    <n v="49"/>
    <x v="5"/>
    <x v="12"/>
    <x v="4"/>
    <x v="1"/>
  </r>
  <r>
    <s v="806969119034"/>
    <n v="806969"/>
    <s v="LALA RAM BEEJ BHANDAR"/>
    <n v="119034"/>
    <s v="SOGANI AGENCIES"/>
    <n v="15"/>
    <n v="0"/>
    <n v="0"/>
    <n v="0"/>
    <n v="0"/>
    <n v="0"/>
    <n v="0"/>
    <n v="15"/>
    <n v="2.1428571428571428"/>
    <x v="1"/>
    <x v="12"/>
    <x v="4"/>
    <x v="1"/>
  </r>
  <r>
    <s v="808348119034"/>
    <n v="808348"/>
    <s v="MUSKAN BUILDING MATERIAL SUPPL"/>
    <n v="119034"/>
    <s v="SOGANI AGENCIES"/>
    <n v="20"/>
    <n v="50"/>
    <n v="32"/>
    <n v="48"/>
    <n v="40"/>
    <n v="32.5"/>
    <n v="0"/>
    <n v="222.5"/>
    <n v="31.785714285714285"/>
    <x v="4"/>
    <x v="12"/>
    <x v="4"/>
    <x v="1"/>
  </r>
  <r>
    <s v="811185119034"/>
    <n v="811185"/>
    <s v="SHREE ARIHANT TRADING COMPANY"/>
    <n v="119034"/>
    <s v="SOGANI AGENCIES"/>
    <n v="35"/>
    <n v="29.5"/>
    <n v="0"/>
    <n v="0"/>
    <n v="0"/>
    <n v="5"/>
    <n v="0"/>
    <n v="69.5"/>
    <n v="9.9285714285714288"/>
    <x v="1"/>
    <x v="12"/>
    <x v="4"/>
    <x v="1"/>
  </r>
  <r>
    <s v="811534119034"/>
    <n v="811534"/>
    <s v="AJAY KUMAR SHARMA"/>
    <n v="119034"/>
    <s v="SOGANI AGENCIES"/>
    <n v="10"/>
    <n v="35"/>
    <n v="37.5"/>
    <n v="10.5"/>
    <n v="16.55"/>
    <n v="0"/>
    <n v="0"/>
    <n v="109.55"/>
    <n v="15.65"/>
    <x v="2"/>
    <x v="12"/>
    <x v="4"/>
    <x v="1"/>
  </r>
  <r>
    <s v="812859119034"/>
    <n v="812859"/>
    <s v="RAMKHILADI GURJAR"/>
    <n v="119034"/>
    <s v="SOGANI AGENCIES"/>
    <n v="25"/>
    <n v="57.5"/>
    <n v="15"/>
    <n v="40"/>
    <n v="10"/>
    <n v="10"/>
    <n v="9.5"/>
    <n v="167"/>
    <n v="23.857142857142858"/>
    <x v="0"/>
    <x v="12"/>
    <x v="4"/>
    <x v="1"/>
  </r>
  <r>
    <s v="809121141177"/>
    <n v="809121"/>
    <s v="HARISH TRADING COMPANY"/>
    <n v="141177"/>
    <s v="MANISH TRADING COMPANY"/>
    <n v="0"/>
    <n v="0"/>
    <n v="20"/>
    <n v="20"/>
    <n v="10"/>
    <n v="0"/>
    <n v="16"/>
    <n v="66"/>
    <n v="9.4285714285714288"/>
    <x v="1"/>
    <x v="12"/>
    <x v="4"/>
    <x v="1"/>
  </r>
  <r>
    <s v="804176141674"/>
    <n v="804176"/>
    <s v="ARAWALI CEMENT AGENCY"/>
    <n v="141674"/>
    <s v="ARAVALI BUILDING MATERIAL SUPP"/>
    <n v="87.4"/>
    <n v="70.5"/>
    <n v="94.65"/>
    <n v="99.35"/>
    <n v="44.2"/>
    <n v="102"/>
    <n v="42.5"/>
    <n v="540.59999999999991"/>
    <n v="77.228571428571414"/>
    <x v="3"/>
    <x v="12"/>
    <x v="4"/>
    <x v="1"/>
  </r>
  <r>
    <s v="812866141674"/>
    <n v="812866"/>
    <s v="FOJMAL DHABAI"/>
    <n v="141674"/>
    <s v="ARAVALI BUILDING MATERIAL SUPP"/>
    <n v="8"/>
    <n v="0"/>
    <n v="8"/>
    <n v="0"/>
    <n v="0"/>
    <n v="22.5"/>
    <n v="15"/>
    <n v="53.5"/>
    <n v="7.6428571428571432"/>
    <x v="1"/>
    <x v="12"/>
    <x v="4"/>
    <x v="1"/>
  </r>
  <r>
    <s v="812971142353"/>
    <n v="812971"/>
    <s v="SUNIL KUMAWAT"/>
    <n v="142353"/>
    <s v="SUNIL BUILDING MATERIAL"/>
    <n v="45"/>
    <n v="35"/>
    <n v="25"/>
    <n v="0"/>
    <n v="35"/>
    <n v="22"/>
    <n v="0"/>
    <n v="162"/>
    <n v="23.142857142857142"/>
    <x v="0"/>
    <x v="12"/>
    <x v="4"/>
    <x v="1"/>
  </r>
  <r>
    <s v="811360170013"/>
    <n v="811360"/>
    <s v="SHIKHAR CHAND JAIN"/>
    <n v="170013"/>
    <s v="PADAM CHAND AND BROTHERS"/>
    <n v="15"/>
    <n v="25"/>
    <n v="0"/>
    <n v="73.5"/>
    <n v="47.5"/>
    <n v="59"/>
    <n v="15"/>
    <n v="235"/>
    <n v="33.571428571428569"/>
    <x v="4"/>
    <x v="12"/>
    <x v="4"/>
    <x v="1"/>
  </r>
  <r>
    <s v="811584170013"/>
    <n v="811584"/>
    <s v="MANISHA TRADERS"/>
    <n v="170013"/>
    <s v="PADAM CHAND AND BROTHERS"/>
    <n v="7.5"/>
    <n v="20"/>
    <n v="52.5"/>
    <n v="54"/>
    <n v="3.5"/>
    <n v="6"/>
    <n v="0"/>
    <n v="143.5"/>
    <n v="20.5"/>
    <x v="0"/>
    <x v="12"/>
    <x v="4"/>
    <x v="1"/>
  </r>
  <r>
    <s v="811629170013"/>
    <n v="811629"/>
    <s v="HARI NARAYAN SHARMA"/>
    <n v="170013"/>
    <s v="PADAM CHAND AND BROTHERS"/>
    <n v="25"/>
    <n v="0"/>
    <n v="20"/>
    <n v="25"/>
    <n v="0"/>
    <n v="11"/>
    <n v="0"/>
    <n v="81"/>
    <n v="11.571428571428571"/>
    <x v="2"/>
    <x v="12"/>
    <x v="4"/>
    <x v="1"/>
  </r>
  <r>
    <s v="805911170115"/>
    <n v="805911"/>
    <s v="JAGDAMBA TRADERS"/>
    <n v="170115"/>
    <s v="YADAV BUILDING MATERIAL"/>
    <n v="35"/>
    <n v="35"/>
    <n v="35"/>
    <n v="35"/>
    <n v="0"/>
    <n v="0"/>
    <n v="0"/>
    <n v="140"/>
    <n v="20"/>
    <x v="0"/>
    <x v="12"/>
    <x v="4"/>
    <x v="1"/>
  </r>
  <r>
    <s v="809121170115"/>
    <n v="809121"/>
    <s v="HARISH TRADING COMPANY"/>
    <n v="170115"/>
    <s v="YADAV BUILDING MATERIAL"/>
    <n v="0"/>
    <n v="0"/>
    <n v="0"/>
    <n v="0"/>
    <n v="0"/>
    <n v="13"/>
    <n v="0"/>
    <n v="13"/>
    <n v="1.8571428571428572"/>
    <x v="1"/>
    <x v="12"/>
    <x v="4"/>
    <x v="1"/>
  </r>
  <r>
    <s v="812472170115"/>
    <n v="812472"/>
    <s v="RAJENDER CHOUDHARY"/>
    <n v="170115"/>
    <s v="YADAV BUILDING MATERIAL"/>
    <n v="0"/>
    <n v="0"/>
    <n v="0"/>
    <n v="0"/>
    <n v="20"/>
    <n v="0"/>
    <n v="20"/>
    <n v="40"/>
    <n v="5.7142857142857144"/>
    <x v="1"/>
    <x v="12"/>
    <x v="4"/>
    <x v="1"/>
  </r>
  <r>
    <s v="816483170115"/>
    <n v="816483"/>
    <s v="RAHUL CONSTRUCTION"/>
    <n v="170115"/>
    <s v="YADAV BUILDING MATERIAL"/>
    <n v="0"/>
    <n v="0"/>
    <n v="0"/>
    <n v="0"/>
    <n v="0"/>
    <n v="35"/>
    <n v="0"/>
    <n v="35"/>
    <n v="5"/>
    <x v="1"/>
    <x v="12"/>
    <x v="4"/>
    <x v="1"/>
  </r>
  <r>
    <s v="815668170325"/>
    <n v="815668"/>
    <s v="NARESH KUMAR KALWAR"/>
    <n v="170325"/>
    <s v="MANOJ TRADERS"/>
    <n v="0"/>
    <n v="0"/>
    <n v="0"/>
    <n v="30"/>
    <n v="15"/>
    <n v="15"/>
    <n v="0"/>
    <n v="60"/>
    <n v="8.5714285714285712"/>
    <x v="1"/>
    <x v="12"/>
    <x v="4"/>
    <x v="1"/>
  </r>
  <r>
    <s v="806395170550"/>
    <n v="806395"/>
    <s v="SHREE JALDEVI CONSTRUCTION &amp; C"/>
    <n v="170550"/>
    <s v="SHIV TRADERS"/>
    <n v="0"/>
    <n v="15"/>
    <n v="50"/>
    <n v="30"/>
    <n v="20"/>
    <n v="0"/>
    <n v="0"/>
    <n v="115"/>
    <n v="16.428571428571427"/>
    <x v="2"/>
    <x v="12"/>
    <x v="4"/>
    <x v="1"/>
  </r>
  <r>
    <s v="811582170550"/>
    <n v="811582"/>
    <s v="MOHAN LAL"/>
    <n v="170550"/>
    <s v="SHIV TRADERS"/>
    <n v="30"/>
    <n v="20"/>
    <n v="45"/>
    <n v="10"/>
    <n v="27.5"/>
    <n v="35"/>
    <n v="25"/>
    <n v="192.5"/>
    <n v="27.5"/>
    <x v="0"/>
    <x v="12"/>
    <x v="4"/>
    <x v="1"/>
  </r>
  <r>
    <s v="811771170550"/>
    <n v="811771"/>
    <s v="SHARMA SANITARY &amp; BUILDING MAT"/>
    <n v="170550"/>
    <s v="SHIV TRADERS"/>
    <n v="0"/>
    <n v="80"/>
    <n v="46"/>
    <n v="10.5"/>
    <n v="32.5"/>
    <n v="15"/>
    <n v="10"/>
    <n v="194"/>
    <n v="27.714285714285715"/>
    <x v="0"/>
    <x v="12"/>
    <x v="4"/>
    <x v="1"/>
  </r>
  <r>
    <s v="815597170550"/>
    <n v="815597"/>
    <s v="SHIV ENTERPRISES"/>
    <n v="170550"/>
    <s v="SHIV TRADERS"/>
    <n v="0"/>
    <n v="0"/>
    <n v="0"/>
    <n v="36"/>
    <n v="78"/>
    <n v="70"/>
    <n v="35"/>
    <n v="219"/>
    <n v="31.285714285714285"/>
    <x v="4"/>
    <x v="12"/>
    <x v="4"/>
    <x v="1"/>
  </r>
  <r>
    <s v="811184201090"/>
    <n v="811184"/>
    <s v="BAJRANG LAL JAT"/>
    <n v="201090"/>
    <s v="SHANKAR LAL CONSTRUCTION CO"/>
    <n v="16"/>
    <n v="0"/>
    <n v="0"/>
    <n v="0"/>
    <n v="0"/>
    <n v="0"/>
    <n v="0"/>
    <n v="16"/>
    <n v="2.2857142857142856"/>
    <x v="1"/>
    <x v="12"/>
    <x v="4"/>
    <x v="1"/>
  </r>
  <r>
    <s v="811523201117"/>
    <n v="811523"/>
    <s v="PIYUSH ANUJ"/>
    <n v="201117"/>
    <s v="LOKESH ROOFING'S"/>
    <n v="42.65"/>
    <n v="40"/>
    <n v="45.8"/>
    <n v="79.45"/>
    <n v="55.3"/>
    <n v="59.25"/>
    <n v="13.75"/>
    <n v="336.2"/>
    <n v="48.028571428571425"/>
    <x v="5"/>
    <x v="12"/>
    <x v="4"/>
    <x v="1"/>
  </r>
  <r>
    <s v="811585202288"/>
    <n v="811585"/>
    <s v="RAM NIWAS SISODIYA"/>
    <n v="202288"/>
    <s v="DEEPAK TRADING COMPANY"/>
    <n v="48.5"/>
    <n v="15"/>
    <n v="0"/>
    <n v="19"/>
    <n v="15"/>
    <n v="7.5"/>
    <n v="12.5"/>
    <n v="117.5"/>
    <n v="16.785714285714285"/>
    <x v="2"/>
    <x v="12"/>
    <x v="4"/>
    <x v="1"/>
  </r>
  <r>
    <s v="812812202288"/>
    <n v="812812"/>
    <s v="JITENDRA SINGH RATHORE"/>
    <n v="202288"/>
    <s v="DEEPAK TRADING COMPANY"/>
    <n v="20"/>
    <n v="10"/>
    <n v="30"/>
    <n v="20"/>
    <n v="0"/>
    <n v="14"/>
    <n v="12.5"/>
    <n v="106.5"/>
    <n v="15.214285714285714"/>
    <x v="2"/>
    <x v="12"/>
    <x v="4"/>
    <x v="1"/>
  </r>
  <r>
    <s v="813290202288"/>
    <n v="813290"/>
    <s v="MEHEBUB KHAN"/>
    <n v="202288"/>
    <s v="DEEPAK TRADING COMPANY"/>
    <n v="10"/>
    <n v="15"/>
    <n v="20"/>
    <n v="0"/>
    <n v="0"/>
    <n v="0"/>
    <n v="0"/>
    <n v="45"/>
    <n v="6.4285714285714288"/>
    <x v="1"/>
    <x v="12"/>
    <x v="4"/>
    <x v="1"/>
  </r>
  <r>
    <s v="802105209002"/>
    <n v="802105"/>
    <s v="GOYAL CONTRACTER &amp; SUPPLIARS"/>
    <n v="209002"/>
    <s v="GUPTA CEMENT AGENCY"/>
    <n v="0"/>
    <n v="0"/>
    <n v="0"/>
    <n v="0"/>
    <n v="30"/>
    <n v="105"/>
    <n v="35"/>
    <n v="170"/>
    <n v="24.285714285714285"/>
    <x v="0"/>
    <x v="12"/>
    <x v="4"/>
    <x v="1"/>
  </r>
  <r>
    <s v="811628202288"/>
    <n v="811628"/>
    <s v="DASHRATH LAL SVAMI"/>
    <n v="202288"/>
    <s v="DEEPAK TRADING COMPANY"/>
    <n v="0"/>
    <n v="0"/>
    <n v="0"/>
    <n v="0"/>
    <n v="0"/>
    <n v="0"/>
    <n v="10"/>
    <n v="10"/>
    <n v="1.4285714285714286"/>
    <x v="1"/>
    <x v="12"/>
    <x v="4"/>
    <x v="1"/>
  </r>
  <r>
    <s v="816627209563"/>
    <n v="816627"/>
    <s v="A B SALES CORPORATION"/>
    <n v="209563"/>
    <s v="GOYAL ENTERPRISES"/>
    <n v="0"/>
    <n v="0"/>
    <n v="0"/>
    <n v="0"/>
    <n v="0"/>
    <n v="0"/>
    <n v="26.15"/>
    <n v="26.15"/>
    <n v="3.7357142857142853"/>
    <x v="1"/>
    <x v="12"/>
    <x v="4"/>
    <x v="1"/>
  </r>
  <r>
    <s v="810920119109"/>
    <n v="810920"/>
    <s v="RAMLAL PRAJAPAT"/>
    <n v="119109"/>
    <s v="MAHENDRA KUMAR TEJARAM PRAJAPA"/>
    <n v="25"/>
    <n v="0"/>
    <n v="0"/>
    <n v="35"/>
    <n v="0"/>
    <n v="0"/>
    <n v="25"/>
    <n v="85"/>
    <n v="12.142857142857142"/>
    <x v="2"/>
    <x v="13"/>
    <x v="5"/>
    <x v="1"/>
  </r>
  <r>
    <s v="809338119117"/>
    <n v="809338"/>
    <s v="DEEPA RAM PATA RAM"/>
    <n v="119117"/>
    <s v="RAHMATULLA CEMENT AGENCY"/>
    <n v="65"/>
    <n v="60"/>
    <n v="135"/>
    <n v="110"/>
    <n v="140"/>
    <n v="57.5"/>
    <n v="20"/>
    <n v="587.5"/>
    <n v="83.928571428571431"/>
    <x v="3"/>
    <x v="13"/>
    <x v="5"/>
    <x v="1"/>
  </r>
  <r>
    <s v="809459119117"/>
    <n v="809459"/>
    <s v="AAI MATA CEMENT SUPPLIERS"/>
    <n v="119117"/>
    <s v="RAHMATULLA CEMENT AGENCY"/>
    <n v="15"/>
    <n v="0"/>
    <n v="15"/>
    <n v="0"/>
    <n v="0"/>
    <n v="0"/>
    <n v="0"/>
    <n v="30"/>
    <n v="4.2857142857142856"/>
    <x v="1"/>
    <x v="13"/>
    <x v="5"/>
    <x v="1"/>
  </r>
  <r>
    <s v="812700119117"/>
    <n v="812700"/>
    <s v="SHREE DEVAL TRADERS"/>
    <n v="119117"/>
    <s v="RAHMATULLA CEMENT AGENCY"/>
    <n v="40"/>
    <n v="10"/>
    <n v="40"/>
    <n v="80"/>
    <n v="155"/>
    <n v="71"/>
    <n v="10"/>
    <n v="406"/>
    <n v="58"/>
    <x v="3"/>
    <x v="13"/>
    <x v="5"/>
    <x v="1"/>
  </r>
  <r>
    <s v="806230146861"/>
    <n v="806230"/>
    <s v="SHRI VINAYAK WOOD TRADERS"/>
    <n v="146861"/>
    <s v="BALAJI CEMENT AGENCY"/>
    <n v="75"/>
    <n v="65"/>
    <n v="80"/>
    <n v="110"/>
    <n v="0"/>
    <n v="0"/>
    <n v="0"/>
    <n v="330"/>
    <n v="47.142857142857146"/>
    <x v="5"/>
    <x v="13"/>
    <x v="5"/>
    <x v="1"/>
  </r>
  <r>
    <s v="806233146861"/>
    <n v="806233"/>
    <s v="RAWATA RAM"/>
    <n v="146861"/>
    <s v="BALAJI CEMENT AGENCY"/>
    <n v="0"/>
    <n v="10"/>
    <n v="10"/>
    <n v="0"/>
    <n v="0"/>
    <n v="0"/>
    <n v="0"/>
    <n v="20"/>
    <n v="2.8571428571428572"/>
    <x v="1"/>
    <x v="13"/>
    <x v="5"/>
    <x v="1"/>
  </r>
  <r>
    <s v="812505146861"/>
    <n v="812505"/>
    <s v="RAJESHWAR CEMENT SUPPLIER"/>
    <n v="146861"/>
    <s v="BALAJI CEMENT AGENCY"/>
    <n v="70"/>
    <n v="75"/>
    <n v="110"/>
    <n v="80"/>
    <n v="0"/>
    <n v="0"/>
    <n v="0"/>
    <n v="335"/>
    <n v="47.857142857142854"/>
    <x v="5"/>
    <x v="13"/>
    <x v="5"/>
    <x v="1"/>
  </r>
  <r>
    <s v="814690146861"/>
    <n v="814690"/>
    <s v="DAYA RAM"/>
    <n v="146861"/>
    <s v="BALAJI CEMENT AGENCY"/>
    <n v="40"/>
    <n v="10"/>
    <n v="20"/>
    <n v="5"/>
    <n v="0"/>
    <n v="0"/>
    <n v="0"/>
    <n v="75"/>
    <n v="10.714285714285714"/>
    <x v="2"/>
    <x v="13"/>
    <x v="5"/>
    <x v="1"/>
  </r>
  <r>
    <s v="809219176833"/>
    <n v="809219"/>
    <s v="DUNGAR MAL"/>
    <n v="176833"/>
    <s v="NAKORA CEMENT SUPPLIERS"/>
    <n v="80"/>
    <n v="40"/>
    <n v="80"/>
    <n v="50"/>
    <n v="50"/>
    <n v="16"/>
    <n v="10"/>
    <n v="326"/>
    <n v="46.571428571428569"/>
    <x v="5"/>
    <x v="13"/>
    <x v="5"/>
    <x v="1"/>
  </r>
  <r>
    <s v="810225176833"/>
    <n v="810225"/>
    <s v="JAI SANTOSHI ENTERPRISES"/>
    <n v="176833"/>
    <s v="NAKORA CEMENT SUPPLIERS"/>
    <n v="80"/>
    <n v="100"/>
    <n v="50"/>
    <n v="15"/>
    <n v="60"/>
    <n v="45"/>
    <n v="35"/>
    <n v="385"/>
    <n v="55"/>
    <x v="3"/>
    <x v="13"/>
    <x v="5"/>
    <x v="1"/>
  </r>
  <r>
    <s v="810513176833"/>
    <n v="810513"/>
    <s v="HANUMAN RAM"/>
    <n v="176833"/>
    <s v="NAKORA CEMENT SUPPLIERS"/>
    <n v="60"/>
    <n v="120"/>
    <n v="85"/>
    <n v="70"/>
    <n v="105"/>
    <n v="45"/>
    <n v="65"/>
    <n v="550"/>
    <n v="78.571428571428569"/>
    <x v="3"/>
    <x v="13"/>
    <x v="5"/>
    <x v="1"/>
  </r>
  <r>
    <s v="811189176833"/>
    <n v="811189"/>
    <s v="JAY RAM S/O RANA RAM"/>
    <n v="176833"/>
    <s v="NAKORA CEMENT SUPPLIERS"/>
    <n v="170"/>
    <n v="177"/>
    <n v="152"/>
    <n v="65"/>
    <n v="135"/>
    <n v="42"/>
    <n v="81"/>
    <n v="822"/>
    <n v="117.42857142857143"/>
    <x v="3"/>
    <x v="13"/>
    <x v="5"/>
    <x v="1"/>
  </r>
  <r>
    <s v="811328176833"/>
    <n v="811328"/>
    <s v="HEM DAN CHARAN"/>
    <n v="176833"/>
    <s v="NAKORA CEMENT SUPPLIERS"/>
    <n v="55"/>
    <n v="55"/>
    <n v="95"/>
    <n v="40"/>
    <n v="70"/>
    <n v="30"/>
    <n v="25"/>
    <n v="370"/>
    <n v="52.857142857142854"/>
    <x v="3"/>
    <x v="13"/>
    <x v="5"/>
    <x v="1"/>
  </r>
  <r>
    <s v="811420176833"/>
    <n v="811420"/>
    <s v="SANTOSH KUMAR"/>
    <n v="176833"/>
    <s v="NAKORA CEMENT SUPPLIERS"/>
    <n v="78"/>
    <n v="54"/>
    <n v="60"/>
    <n v="20"/>
    <n v="60"/>
    <n v="25"/>
    <n v="40"/>
    <n v="337"/>
    <n v="48.142857142857146"/>
    <x v="5"/>
    <x v="13"/>
    <x v="5"/>
    <x v="1"/>
  </r>
  <r>
    <s v="812624176833"/>
    <n v="812624"/>
    <s v="SANJAY KUMAR HASTIMAL"/>
    <n v="176833"/>
    <s v="NAKORA CEMENT SUPPLIERS"/>
    <n v="70"/>
    <n v="105"/>
    <n v="60"/>
    <n v="0"/>
    <n v="35"/>
    <n v="35"/>
    <n v="20"/>
    <n v="325"/>
    <n v="46.428571428571431"/>
    <x v="5"/>
    <x v="13"/>
    <x v="5"/>
    <x v="1"/>
  </r>
  <r>
    <s v="812626176833"/>
    <n v="812626"/>
    <s v="SARDAR SINGH"/>
    <n v="176833"/>
    <s v="NAKORA CEMENT SUPPLIERS"/>
    <n v="10"/>
    <n v="0"/>
    <n v="0"/>
    <n v="20"/>
    <n v="0"/>
    <n v="0"/>
    <n v="0"/>
    <n v="30"/>
    <n v="4.2857142857142856"/>
    <x v="1"/>
    <x v="13"/>
    <x v="5"/>
    <x v="1"/>
  </r>
  <r>
    <s v="815155176833"/>
    <n v="815155"/>
    <s v="ARIHANT JAIN"/>
    <n v="176833"/>
    <s v="NAKORA CEMENT SUPPLIERS"/>
    <n v="0"/>
    <n v="0"/>
    <n v="110"/>
    <n v="20"/>
    <n v="35"/>
    <n v="7"/>
    <n v="25"/>
    <n v="197"/>
    <n v="28.142857142857142"/>
    <x v="0"/>
    <x v="13"/>
    <x v="5"/>
    <x v="1"/>
  </r>
  <r>
    <s v="810899177295"/>
    <n v="810899"/>
    <s v="KISHANA RAM GODARA"/>
    <n v="177295"/>
    <s v="ROHIT TRADERS"/>
    <n v="0"/>
    <n v="147"/>
    <n v="234"/>
    <n v="65"/>
    <n v="90"/>
    <n v="35.5"/>
    <n v="30"/>
    <n v="601.5"/>
    <n v="85.928571428571431"/>
    <x v="3"/>
    <x v="13"/>
    <x v="5"/>
    <x v="1"/>
  </r>
  <r>
    <s v="810901177295"/>
    <n v="810901"/>
    <s v="SATTA RAM SAU"/>
    <n v="177295"/>
    <s v="ROHIT TRADERS"/>
    <n v="160"/>
    <n v="227.5"/>
    <n v="170"/>
    <n v="65"/>
    <n v="200"/>
    <n v="20"/>
    <n v="90"/>
    <n v="932.5"/>
    <n v="133.21428571428572"/>
    <x v="3"/>
    <x v="13"/>
    <x v="5"/>
    <x v="1"/>
  </r>
  <r>
    <s v="810902177295"/>
    <n v="810902"/>
    <s v="SAD RAM"/>
    <n v="177295"/>
    <s v="ROHIT TRADERS"/>
    <n v="10"/>
    <n v="130"/>
    <n v="150"/>
    <n v="55"/>
    <n v="105"/>
    <n v="40"/>
    <n v="60"/>
    <n v="550"/>
    <n v="78.571428571428569"/>
    <x v="3"/>
    <x v="13"/>
    <x v="5"/>
    <x v="1"/>
  </r>
  <r>
    <s v="810951177295"/>
    <n v="810951"/>
    <s v="MANOHAR LAL"/>
    <n v="177295"/>
    <s v="ROHIT TRADERS"/>
    <n v="182"/>
    <n v="310"/>
    <n v="335"/>
    <n v="136"/>
    <n v="233.5"/>
    <n v="82"/>
    <n v="213.5"/>
    <n v="1492"/>
    <n v="213.14285714285714"/>
    <x v="3"/>
    <x v="13"/>
    <x v="5"/>
    <x v="1"/>
  </r>
  <r>
    <s v="811329177595"/>
    <n v="811329"/>
    <s v="DALPAT SINGH"/>
    <n v="177595"/>
    <s v="SHAH MITHA LAL SOHAN RAJ"/>
    <n v="0"/>
    <n v="0"/>
    <n v="0"/>
    <n v="0"/>
    <n v="30"/>
    <n v="0"/>
    <n v="0"/>
    <n v="30"/>
    <n v="4.2857142857142856"/>
    <x v="1"/>
    <x v="13"/>
    <x v="5"/>
    <x v="1"/>
  </r>
  <r>
    <s v="814692177595"/>
    <n v="814692"/>
    <s v="RAMDEV ELECTRIC ELECTRONIC &amp; H"/>
    <n v="177595"/>
    <s v="SHAH MITHA LAL SOHAN RAJ"/>
    <n v="0"/>
    <n v="25"/>
    <n v="0"/>
    <n v="0"/>
    <n v="40"/>
    <n v="0"/>
    <n v="20"/>
    <n v="85"/>
    <n v="12.142857142857142"/>
    <x v="2"/>
    <x v="13"/>
    <x v="5"/>
    <x v="1"/>
  </r>
  <r>
    <s v="813314177982"/>
    <n v="813314"/>
    <s v="HAYAT KHAN"/>
    <n v="177982"/>
    <s v="RACHANA CEMENT AGENCY"/>
    <n v="30"/>
    <n v="0"/>
    <n v="0"/>
    <n v="0"/>
    <n v="0"/>
    <n v="0"/>
    <n v="35"/>
    <n v="65"/>
    <n v="9.2857142857142865"/>
    <x v="1"/>
    <x v="13"/>
    <x v="5"/>
    <x v="1"/>
  </r>
  <r>
    <s v="811777178031"/>
    <n v="811777"/>
    <s v="BALA RAM S/O GOMARAM GORA"/>
    <n v="178031"/>
    <s v="JAIN TRADERS"/>
    <n v="100"/>
    <n v="25"/>
    <n v="35"/>
    <n v="55"/>
    <n v="98"/>
    <n v="20"/>
    <n v="60"/>
    <n v="393"/>
    <n v="56.142857142857146"/>
    <x v="3"/>
    <x v="13"/>
    <x v="5"/>
    <x v="1"/>
  </r>
  <r>
    <s v="813799178031"/>
    <n v="813799"/>
    <s v="PARASMAL S/O HARDASMAL"/>
    <n v="178031"/>
    <s v="JAIN TRADERS"/>
    <n v="90"/>
    <n v="0"/>
    <n v="172"/>
    <n v="70"/>
    <n v="144"/>
    <n v="10"/>
    <n v="135"/>
    <n v="621"/>
    <n v="88.714285714285708"/>
    <x v="3"/>
    <x v="13"/>
    <x v="5"/>
    <x v="1"/>
  </r>
  <r>
    <s v="811256179879"/>
    <n v="811256"/>
    <s v="DURGA RAM"/>
    <n v="179879"/>
    <s v="JITENDRA &amp; COMPANY"/>
    <n v="0"/>
    <n v="35"/>
    <n v="49"/>
    <n v="9"/>
    <n v="41"/>
    <n v="0"/>
    <n v="0"/>
    <n v="134"/>
    <n v="19.142857142857142"/>
    <x v="2"/>
    <x v="13"/>
    <x v="5"/>
    <x v="1"/>
  </r>
  <r>
    <s v="811489179879"/>
    <n v="811489"/>
    <s v="RAJENDRA KUMAR CHAMPALAL JAIN"/>
    <n v="179879"/>
    <s v="JITENDRA &amp; COMPANY"/>
    <n v="0"/>
    <n v="15"/>
    <n v="10"/>
    <n v="0"/>
    <n v="0"/>
    <n v="0"/>
    <n v="0"/>
    <n v="25"/>
    <n v="3.5714285714285716"/>
    <x v="1"/>
    <x v="13"/>
    <x v="5"/>
    <x v="1"/>
  </r>
  <r>
    <s v="811778179879"/>
    <n v="811778"/>
    <s v="CHETAN RAM S/O HUKMA RAM"/>
    <n v="179879"/>
    <s v="JITENDRA &amp; COMPANY"/>
    <n v="35"/>
    <n v="15"/>
    <n v="40"/>
    <n v="0"/>
    <n v="39"/>
    <n v="0"/>
    <n v="0"/>
    <n v="129"/>
    <n v="18.428571428571427"/>
    <x v="2"/>
    <x v="13"/>
    <x v="5"/>
    <x v="1"/>
  </r>
  <r>
    <s v="811419201578"/>
    <n v="811419"/>
    <s v="SUMAR KHAN"/>
    <n v="201578"/>
    <s v="RATHORE SUPPLIER &amp; CONSTRUCTIO"/>
    <n v="0"/>
    <n v="0"/>
    <n v="25"/>
    <n v="0"/>
    <n v="0"/>
    <n v="0"/>
    <n v="0"/>
    <n v="25"/>
    <n v="3.5714285714285716"/>
    <x v="1"/>
    <x v="13"/>
    <x v="5"/>
    <x v="1"/>
  </r>
  <r>
    <s v="813570202850"/>
    <n v="813570"/>
    <s v="HARIRAM S/O BHIYAJI"/>
    <n v="202850"/>
    <s v="SAMRATHAL BUILDING MATERIAL"/>
    <n v="161"/>
    <n v="85"/>
    <n v="145"/>
    <n v="130"/>
    <n v="145"/>
    <n v="105"/>
    <n v="64"/>
    <n v="835"/>
    <n v="119.28571428571429"/>
    <x v="3"/>
    <x v="13"/>
    <x v="5"/>
    <x v="1"/>
  </r>
  <r>
    <s v="813724202850"/>
    <n v="813724"/>
    <s v="JK TRADING COMPANY"/>
    <n v="202850"/>
    <s v="SAMRATHAL BUILDING MATERIAL"/>
    <n v="10"/>
    <n v="0"/>
    <n v="0"/>
    <n v="25"/>
    <n v="25"/>
    <n v="0"/>
    <n v="0"/>
    <n v="60"/>
    <n v="8.5714285714285712"/>
    <x v="1"/>
    <x v="13"/>
    <x v="5"/>
    <x v="1"/>
  </r>
  <r>
    <s v="814079202850"/>
    <n v="814079"/>
    <s v="BHARAMAL RAM CHOUDHARY"/>
    <n v="202850"/>
    <s v="SAMRATHAL BUILDING MATERIAL"/>
    <n v="98"/>
    <n v="55"/>
    <n v="32"/>
    <n v="0"/>
    <n v="110"/>
    <n v="70"/>
    <n v="65"/>
    <n v="430"/>
    <n v="61.428571428571431"/>
    <x v="3"/>
    <x v="13"/>
    <x v="5"/>
    <x v="1"/>
  </r>
  <r>
    <s v="814115202850"/>
    <n v="814115"/>
    <s v="KISHNA RAM"/>
    <n v="202850"/>
    <s v="SAMRATHAL BUILDING MATERIAL"/>
    <n v="100"/>
    <n v="15"/>
    <n v="70"/>
    <n v="25"/>
    <n v="110"/>
    <n v="45"/>
    <n v="0"/>
    <n v="365"/>
    <n v="52.142857142857146"/>
    <x v="3"/>
    <x v="13"/>
    <x v="5"/>
    <x v="1"/>
  </r>
  <r>
    <s v="815030202850"/>
    <n v="815030"/>
    <s v="SAVAND CEMENT AGENCY"/>
    <n v="202850"/>
    <s v="SAMRATHAL BUILDING MATERIAL"/>
    <n v="0"/>
    <n v="60"/>
    <n v="0"/>
    <n v="0"/>
    <n v="0"/>
    <n v="0"/>
    <n v="0"/>
    <n v="60"/>
    <n v="8.5714285714285712"/>
    <x v="1"/>
    <x v="13"/>
    <x v="5"/>
    <x v="1"/>
  </r>
  <r>
    <s v="812743202852"/>
    <n v="812743"/>
    <s v="MS. SHARWAN KUMAR"/>
    <n v="202852"/>
    <s v="BALAJI GENERAL STORE"/>
    <n v="0"/>
    <n v="15"/>
    <n v="0"/>
    <n v="25"/>
    <n v="10"/>
    <n v="10"/>
    <n v="0"/>
    <n v="60"/>
    <n v="8.5714285714285712"/>
    <x v="1"/>
    <x v="13"/>
    <x v="5"/>
    <x v="1"/>
  </r>
  <r>
    <s v="812860202852"/>
    <n v="812860"/>
    <s v="SHREE BALAJI ENTERPRISE"/>
    <n v="202852"/>
    <s v="BALAJI GENERAL STORE"/>
    <n v="35"/>
    <n v="0"/>
    <n v="34"/>
    <n v="20"/>
    <n v="25"/>
    <n v="20"/>
    <n v="0"/>
    <n v="134"/>
    <n v="19.142857142857142"/>
    <x v="2"/>
    <x v="13"/>
    <x v="5"/>
    <x v="1"/>
  </r>
  <r>
    <s v="811049119117"/>
    <n v="811049"/>
    <s v="HANUMAN SINGH DAIYA"/>
    <n v="119117"/>
    <s v="RAHMATULLA CEMENT AGENCY"/>
    <n v="0"/>
    <n v="0"/>
    <n v="0"/>
    <n v="0"/>
    <n v="0"/>
    <n v="35"/>
    <n v="0"/>
    <n v="35"/>
    <n v="5"/>
    <x v="1"/>
    <x v="13"/>
    <x v="5"/>
    <x v="1"/>
  </r>
  <r>
    <s v="816547209652"/>
    <n v="816547"/>
    <s v="OM GURUJI GENERAL STORE"/>
    <n v="209652"/>
    <s v="RAJRUCHI CEMENT BHANDAR"/>
    <n v="0"/>
    <n v="0"/>
    <n v="0"/>
    <n v="0"/>
    <n v="0"/>
    <n v="15"/>
    <n v="79.5"/>
    <n v="94.5"/>
    <n v="13.5"/>
    <x v="2"/>
    <x v="13"/>
    <x v="5"/>
    <x v="1"/>
  </r>
  <r>
    <s v="816566209652"/>
    <n v="816566"/>
    <s v="DINESH CEMENT SUPPLIERS"/>
    <n v="209652"/>
    <s v="RAJRUCHI CEMENT BHANDAR"/>
    <n v="0"/>
    <n v="0"/>
    <n v="0"/>
    <n v="0"/>
    <n v="0"/>
    <n v="20"/>
    <n v="50"/>
    <n v="70"/>
    <n v="10"/>
    <x v="2"/>
    <x v="13"/>
    <x v="5"/>
    <x v="1"/>
  </r>
  <r>
    <s v="816592202850"/>
    <n v="816592"/>
    <s v="CHHGAN LAL PINDEL"/>
    <n v="202850"/>
    <s v="SAMRATHAL BUILDING MATERIAL"/>
    <n v="0"/>
    <n v="0"/>
    <n v="0"/>
    <n v="0"/>
    <n v="0"/>
    <n v="30"/>
    <n v="15"/>
    <n v="45"/>
    <n v="6.4285714285714288"/>
    <x v="1"/>
    <x v="13"/>
    <x v="5"/>
    <x v="1"/>
  </r>
  <r>
    <s v="816546209652"/>
    <n v="816546"/>
    <s v="RAMDEV CEMENT SUPPLIER"/>
    <n v="209652"/>
    <s v="RAJRUCHI CEMENT BHANDAR"/>
    <n v="0"/>
    <n v="0"/>
    <n v="0"/>
    <n v="0"/>
    <n v="0"/>
    <n v="0"/>
    <n v="27"/>
    <n v="27"/>
    <n v="3.8571428571428572"/>
    <x v="1"/>
    <x v="13"/>
    <x v="5"/>
    <x v="1"/>
  </r>
  <r>
    <s v="806864175547"/>
    <n v="806864"/>
    <s v="SHRI KARNI CEMENT AGENCY"/>
    <n v="175547"/>
    <s v="S.S.BHATI ENTERPRISES"/>
    <n v="30"/>
    <n v="27"/>
    <n v="15"/>
    <n v="72"/>
    <n v="110"/>
    <n v="120"/>
    <n v="141"/>
    <n v="515"/>
    <n v="73.571428571428569"/>
    <x v="3"/>
    <x v="14"/>
    <x v="5"/>
    <x v="1"/>
  </r>
  <r>
    <s v="811425175547"/>
    <n v="811425"/>
    <s v="JAI MALINATH ENTERPRISES"/>
    <n v="175547"/>
    <s v="S.S.BHATI ENTERPRISES"/>
    <n v="166"/>
    <n v="235"/>
    <n v="211"/>
    <n v="171"/>
    <n v="402"/>
    <n v="290"/>
    <n v="190"/>
    <n v="1665"/>
    <n v="237.85714285714286"/>
    <x v="3"/>
    <x v="14"/>
    <x v="5"/>
    <x v="1"/>
  </r>
  <r>
    <s v="813782175547"/>
    <n v="813782"/>
    <s v="SHREE ROOPAL MAA CEMENT AGENCY"/>
    <n v="175547"/>
    <s v="S.S.BHATI ENTERPRISES"/>
    <n v="111"/>
    <n v="35"/>
    <n v="125"/>
    <n v="110"/>
    <n v="36"/>
    <n v="65"/>
    <n v="40"/>
    <n v="522"/>
    <n v="74.571428571428569"/>
    <x v="3"/>
    <x v="14"/>
    <x v="5"/>
    <x v="1"/>
  </r>
  <r>
    <s v="815799175547"/>
    <n v="815799"/>
    <s v="SHREE LAL BANNA CEMENT AGENCY"/>
    <n v="175547"/>
    <s v="S.S.BHATI ENTERPRISES"/>
    <n v="0"/>
    <n v="0"/>
    <n v="0"/>
    <n v="0"/>
    <n v="122"/>
    <n v="120"/>
    <n v="95"/>
    <n v="337"/>
    <n v="48.142857142857146"/>
    <x v="5"/>
    <x v="14"/>
    <x v="5"/>
    <x v="1"/>
  </r>
  <r>
    <s v="802838119038"/>
    <n v="802838"/>
    <s v="LAXMI TRADERS"/>
    <n v="119038"/>
    <s v="NAVEEN DISTRIBUTORS"/>
    <n v="110"/>
    <n v="120"/>
    <n v="29.25"/>
    <n v="221.7"/>
    <n v="70"/>
    <n v="80.25"/>
    <n v="42"/>
    <n v="673.2"/>
    <n v="96.171428571428578"/>
    <x v="3"/>
    <x v="15"/>
    <x v="5"/>
    <x v="1"/>
  </r>
  <r>
    <s v="802878119038"/>
    <n v="802878"/>
    <s v="HARI OM BUILDING MATERIAL"/>
    <n v="119038"/>
    <s v="NAVEEN DISTRIBUTORS"/>
    <n v="75"/>
    <n v="0"/>
    <n v="30"/>
    <n v="24"/>
    <n v="38.5"/>
    <n v="25"/>
    <n v="20"/>
    <n v="212.5"/>
    <n v="30.357142857142858"/>
    <x v="4"/>
    <x v="15"/>
    <x v="5"/>
    <x v="1"/>
  </r>
  <r>
    <s v="802964119038"/>
    <n v="802964"/>
    <s v="VIJAY TRADERS"/>
    <n v="119038"/>
    <s v="NAVEEN DISTRIBUTORS"/>
    <n v="210"/>
    <n v="40"/>
    <n v="64"/>
    <n v="153.5"/>
    <n v="130.5"/>
    <n v="121"/>
    <n v="33.5"/>
    <n v="752.5"/>
    <n v="107.5"/>
    <x v="3"/>
    <x v="15"/>
    <x v="5"/>
    <x v="1"/>
  </r>
  <r>
    <s v="802965119038"/>
    <n v="802965"/>
    <s v="SHIV SHAKTI TRADERS"/>
    <n v="119038"/>
    <s v="NAVEEN DISTRIBUTORS"/>
    <n v="0"/>
    <n v="0"/>
    <n v="0"/>
    <n v="0"/>
    <n v="20"/>
    <n v="10"/>
    <n v="0"/>
    <n v="30"/>
    <n v="4.2857142857142856"/>
    <x v="1"/>
    <x v="15"/>
    <x v="5"/>
    <x v="1"/>
  </r>
  <r>
    <s v="803051119038"/>
    <n v="803051"/>
    <s v="MAGHA RAM HAJARI RAM"/>
    <n v="119038"/>
    <s v="NAVEEN DISTRIBUTORS"/>
    <n v="10"/>
    <n v="20"/>
    <n v="24"/>
    <n v="20"/>
    <n v="25"/>
    <n v="10"/>
    <n v="0"/>
    <n v="109"/>
    <n v="15.571428571428571"/>
    <x v="2"/>
    <x v="15"/>
    <x v="5"/>
    <x v="1"/>
  </r>
  <r>
    <s v="803352119038"/>
    <n v="803352"/>
    <s v="BALAJI BUILDERS"/>
    <n v="119038"/>
    <s v="NAVEEN DISTRIBUTORS"/>
    <n v="0"/>
    <n v="0"/>
    <n v="0"/>
    <n v="0"/>
    <n v="11"/>
    <n v="59"/>
    <n v="0"/>
    <n v="70"/>
    <n v="10"/>
    <x v="2"/>
    <x v="15"/>
    <x v="5"/>
    <x v="1"/>
  </r>
  <r>
    <s v="803425119038"/>
    <n v="803425"/>
    <s v="JASRAJ DHANRAJ PATEL"/>
    <n v="119038"/>
    <s v="NAVEEN DISTRIBUTORS"/>
    <n v="20"/>
    <n v="30"/>
    <n v="110"/>
    <n v="0"/>
    <n v="25"/>
    <n v="33"/>
    <n v="15"/>
    <n v="233"/>
    <n v="33.285714285714285"/>
    <x v="4"/>
    <x v="15"/>
    <x v="5"/>
    <x v="1"/>
  </r>
  <r>
    <s v="803578119038"/>
    <n v="803578"/>
    <s v="SHRI BHAKTESH CEMENT AGENCY"/>
    <n v="119038"/>
    <s v="NAVEEN DISTRIBUTORS"/>
    <n v="10"/>
    <n v="0"/>
    <n v="10"/>
    <n v="10"/>
    <n v="10"/>
    <n v="15"/>
    <n v="0"/>
    <n v="55"/>
    <n v="7.8571428571428568"/>
    <x v="1"/>
    <x v="15"/>
    <x v="5"/>
    <x v="1"/>
  </r>
  <r>
    <s v="803579119038"/>
    <n v="803579"/>
    <s v="MEHODI BUILDING MATERIAL"/>
    <n v="119038"/>
    <s v="NAVEEN DISTRIBUTORS"/>
    <n v="70"/>
    <n v="60"/>
    <n v="99"/>
    <n v="85"/>
    <n v="20"/>
    <n v="35"/>
    <n v="43"/>
    <n v="412"/>
    <n v="58.857142857142854"/>
    <x v="3"/>
    <x v="15"/>
    <x v="5"/>
    <x v="1"/>
  </r>
  <r>
    <s v="803843119038"/>
    <n v="803843"/>
    <s v="SHREE KRISHNA KRISHI KENDRA"/>
    <n v="119038"/>
    <s v="NAVEEN DISTRIBUTORS"/>
    <n v="10"/>
    <n v="20"/>
    <n v="10"/>
    <n v="30"/>
    <n v="45"/>
    <n v="28"/>
    <n v="15"/>
    <n v="158"/>
    <n v="22.571428571428573"/>
    <x v="0"/>
    <x v="15"/>
    <x v="5"/>
    <x v="1"/>
  </r>
  <r>
    <s v="804023119038"/>
    <n v="804023"/>
    <s v="RATHORE BUILDING MATERIAL"/>
    <n v="119038"/>
    <s v="NAVEEN DISTRIBUTORS"/>
    <n v="20"/>
    <n v="20"/>
    <n v="13.5"/>
    <n v="0"/>
    <n v="20"/>
    <n v="13.5"/>
    <n v="0"/>
    <n v="87"/>
    <n v="12.428571428571429"/>
    <x v="2"/>
    <x v="15"/>
    <x v="5"/>
    <x v="1"/>
  </r>
  <r>
    <s v="804031119038"/>
    <n v="804031"/>
    <s v="SHANKAR TRADING COMPANY"/>
    <n v="119038"/>
    <s v="NAVEEN DISTRIBUTORS"/>
    <n v="10"/>
    <n v="10"/>
    <n v="40"/>
    <n v="0"/>
    <n v="10"/>
    <n v="10"/>
    <n v="5"/>
    <n v="85"/>
    <n v="12.142857142857142"/>
    <x v="2"/>
    <x v="15"/>
    <x v="5"/>
    <x v="1"/>
  </r>
  <r>
    <s v="804122119038"/>
    <n v="804122"/>
    <s v="RANIDHAN JASRAJ JAIN"/>
    <n v="119038"/>
    <s v="NAVEEN DISTRIBUTORS"/>
    <n v="107"/>
    <n v="35"/>
    <n v="28.5"/>
    <n v="84"/>
    <n v="54"/>
    <n v="40"/>
    <n v="0"/>
    <n v="348.5"/>
    <n v="49.785714285714285"/>
    <x v="5"/>
    <x v="15"/>
    <x v="5"/>
    <x v="1"/>
  </r>
  <r>
    <s v="804136119038"/>
    <n v="804136"/>
    <s v="NEHA KIRAN STORE"/>
    <n v="119038"/>
    <s v="NAVEEN DISTRIBUTORS"/>
    <n v="15"/>
    <n v="45"/>
    <n v="32"/>
    <n v="15"/>
    <n v="36"/>
    <n v="20"/>
    <n v="40"/>
    <n v="203"/>
    <n v="29"/>
    <x v="0"/>
    <x v="15"/>
    <x v="5"/>
    <x v="1"/>
  </r>
  <r>
    <s v="804235119038"/>
    <n v="804235"/>
    <s v="RAMA SA TRADING COMPANY"/>
    <n v="119038"/>
    <s v="NAVEEN DISTRIBUTORS"/>
    <n v="64"/>
    <n v="0"/>
    <n v="20"/>
    <n v="0"/>
    <n v="15"/>
    <n v="0"/>
    <n v="0"/>
    <n v="99"/>
    <n v="14.142857142857142"/>
    <x v="2"/>
    <x v="15"/>
    <x v="5"/>
    <x v="1"/>
  </r>
  <r>
    <s v="804313119038"/>
    <n v="804313"/>
    <s v="SHRI BALAJI SANITORY &amp; HARDWAR"/>
    <n v="119038"/>
    <s v="NAVEEN DISTRIBUTORS"/>
    <n v="0"/>
    <n v="0"/>
    <n v="0"/>
    <n v="0"/>
    <n v="0"/>
    <n v="20"/>
    <n v="0"/>
    <n v="20"/>
    <n v="2.8571428571428572"/>
    <x v="1"/>
    <x v="15"/>
    <x v="5"/>
    <x v="1"/>
  </r>
  <r>
    <s v="804485119038"/>
    <n v="804485"/>
    <s v="MAHAVEER TRADERS"/>
    <n v="119038"/>
    <s v="NAVEEN DISTRIBUTORS"/>
    <n v="122.5"/>
    <n v="0"/>
    <n v="10"/>
    <n v="70"/>
    <n v="35"/>
    <n v="50"/>
    <n v="10"/>
    <n v="297.5"/>
    <n v="42.5"/>
    <x v="5"/>
    <x v="15"/>
    <x v="5"/>
    <x v="1"/>
  </r>
  <r>
    <s v="804910119038"/>
    <n v="804910"/>
    <s v="BHAWANI TRADERS"/>
    <n v="119038"/>
    <s v="NAVEEN DISTRIBUTORS"/>
    <n v="10"/>
    <n v="40"/>
    <n v="65"/>
    <n v="70"/>
    <n v="100"/>
    <n v="123.5"/>
    <n v="40"/>
    <n v="448.5"/>
    <n v="64.071428571428569"/>
    <x v="3"/>
    <x v="15"/>
    <x v="5"/>
    <x v="1"/>
  </r>
  <r>
    <s v="804940119038"/>
    <n v="804940"/>
    <s v="SWAROOP CHAND KHIVRAJ TEWARI"/>
    <n v="119038"/>
    <s v="NAVEEN DISTRIBUTORS"/>
    <n v="70"/>
    <n v="25"/>
    <n v="40"/>
    <n v="35"/>
    <n v="0"/>
    <n v="30"/>
    <n v="15"/>
    <n v="215"/>
    <n v="30.714285714285715"/>
    <x v="4"/>
    <x v="15"/>
    <x v="5"/>
    <x v="1"/>
  </r>
  <r>
    <s v="805403119038"/>
    <n v="805403"/>
    <s v="RAJU KIRANA STORE"/>
    <n v="119038"/>
    <s v="NAVEEN DISTRIBUTORS"/>
    <n v="35"/>
    <n v="20"/>
    <n v="20"/>
    <n v="35"/>
    <n v="0"/>
    <n v="30"/>
    <n v="20"/>
    <n v="160"/>
    <n v="22.857142857142858"/>
    <x v="0"/>
    <x v="15"/>
    <x v="5"/>
    <x v="1"/>
  </r>
  <r>
    <s v="805432119038"/>
    <n v="805432"/>
    <s v="AARADHYA INDUSTRIES"/>
    <n v="119038"/>
    <s v="NAVEEN DISTRIBUTORS"/>
    <n v="0"/>
    <n v="30"/>
    <n v="15"/>
    <n v="47.75"/>
    <n v="5"/>
    <n v="72.5"/>
    <n v="10"/>
    <n v="180.25"/>
    <n v="25.75"/>
    <x v="0"/>
    <x v="15"/>
    <x v="5"/>
    <x v="1"/>
  </r>
  <r>
    <s v="805433119038"/>
    <n v="805433"/>
    <s v="JAIN BUILDING MATERIAL"/>
    <n v="119038"/>
    <s v="NAVEEN DISTRIBUTORS"/>
    <n v="70"/>
    <n v="67.5"/>
    <n v="157.5"/>
    <n v="55"/>
    <n v="64"/>
    <n v="98.5"/>
    <n v="55"/>
    <n v="567.5"/>
    <n v="81.071428571428569"/>
    <x v="3"/>
    <x v="15"/>
    <x v="5"/>
    <x v="1"/>
  </r>
  <r>
    <s v="805454119038"/>
    <n v="805454"/>
    <s v="GEHLOT AGENCIES"/>
    <n v="119038"/>
    <s v="NAVEEN DISTRIBUTORS"/>
    <n v="0"/>
    <n v="30"/>
    <n v="0"/>
    <n v="30"/>
    <n v="20"/>
    <n v="30"/>
    <n v="10"/>
    <n v="120"/>
    <n v="17.142857142857142"/>
    <x v="2"/>
    <x v="15"/>
    <x v="5"/>
    <x v="1"/>
  </r>
  <r>
    <s v="805544119038"/>
    <n v="805544"/>
    <s v="JAGDAMBA CEMENT AGENCY"/>
    <n v="119038"/>
    <s v="NAVEEN DISTRIBUTORS"/>
    <n v="0"/>
    <n v="69"/>
    <n v="114"/>
    <n v="60"/>
    <n v="75"/>
    <n v="53.5"/>
    <n v="30"/>
    <n v="401.5"/>
    <n v="57.357142857142854"/>
    <x v="3"/>
    <x v="15"/>
    <x v="5"/>
    <x v="1"/>
  </r>
  <r>
    <s v="805621119038"/>
    <n v="805621"/>
    <s v="PREM KIRANA STORE"/>
    <n v="119038"/>
    <s v="NAVEEN DISTRIBUTORS"/>
    <n v="29"/>
    <n v="30"/>
    <n v="15"/>
    <n v="20"/>
    <n v="28.5"/>
    <n v="29.5"/>
    <n v="10"/>
    <n v="162"/>
    <n v="23.142857142857142"/>
    <x v="0"/>
    <x v="15"/>
    <x v="5"/>
    <x v="1"/>
  </r>
  <r>
    <s v="805654119038"/>
    <n v="805654"/>
    <s v="HARI OM BUILDING MATERIAL"/>
    <n v="119038"/>
    <s v="NAVEEN DISTRIBUTORS"/>
    <n v="45"/>
    <n v="0"/>
    <n v="0"/>
    <n v="10"/>
    <n v="0"/>
    <n v="15"/>
    <n v="14.5"/>
    <n v="84.5"/>
    <n v="12.071428571428571"/>
    <x v="2"/>
    <x v="15"/>
    <x v="5"/>
    <x v="1"/>
  </r>
  <r>
    <s v="805677119038"/>
    <n v="805677"/>
    <s v="RAMA TRADERS"/>
    <n v="119038"/>
    <s v="NAVEEN DISTRIBUTORS"/>
    <n v="30"/>
    <n v="0"/>
    <n v="0"/>
    <n v="0"/>
    <n v="10"/>
    <n v="0"/>
    <n v="0"/>
    <n v="40"/>
    <n v="5.7142857142857144"/>
    <x v="1"/>
    <x v="15"/>
    <x v="5"/>
    <x v="1"/>
  </r>
  <r>
    <s v="805822119038"/>
    <n v="805822"/>
    <s v="SHRI CHAMUNDA MAA TRADING"/>
    <n v="119038"/>
    <s v="NAVEEN DISTRIBUTORS"/>
    <n v="69.5"/>
    <n v="65"/>
    <n v="30"/>
    <n v="20"/>
    <n v="59"/>
    <n v="32"/>
    <n v="22.5"/>
    <n v="298"/>
    <n v="42.571428571428569"/>
    <x v="5"/>
    <x v="15"/>
    <x v="5"/>
    <x v="1"/>
  </r>
  <r>
    <s v="806125119038"/>
    <n v="806125"/>
    <s v="DURGA CEMENT AGENCY"/>
    <n v="119038"/>
    <s v="NAVEEN DISTRIBUTORS"/>
    <n v="13.5"/>
    <n v="20"/>
    <n v="65"/>
    <n v="0"/>
    <n v="55"/>
    <n v="0"/>
    <n v="60"/>
    <n v="213.5"/>
    <n v="30.5"/>
    <x v="4"/>
    <x v="15"/>
    <x v="5"/>
    <x v="1"/>
  </r>
  <r>
    <s v="806155119038"/>
    <n v="806155"/>
    <s v="VIJAYLAXMI BUILDERS"/>
    <n v="119038"/>
    <s v="NAVEEN DISTRIBUTORS"/>
    <n v="10"/>
    <n v="0"/>
    <n v="5"/>
    <n v="0"/>
    <n v="0"/>
    <n v="0"/>
    <n v="0"/>
    <n v="15"/>
    <n v="2.1428571428571428"/>
    <x v="1"/>
    <x v="15"/>
    <x v="5"/>
    <x v="1"/>
  </r>
  <r>
    <s v="806156119038"/>
    <n v="806156"/>
    <s v="SHREE BALAJI CEMENT AGENCY"/>
    <n v="119038"/>
    <s v="NAVEEN DISTRIBUTORS"/>
    <n v="34"/>
    <n v="70"/>
    <n v="40"/>
    <n v="60"/>
    <n v="50"/>
    <n v="60"/>
    <n v="20"/>
    <n v="334"/>
    <n v="47.714285714285715"/>
    <x v="5"/>
    <x v="15"/>
    <x v="5"/>
    <x v="1"/>
  </r>
  <r>
    <s v="806157119038"/>
    <n v="806157"/>
    <s v="SHRI GOGADEV BUILDING  MATERIA"/>
    <n v="119038"/>
    <s v="NAVEEN DISTRIBUTORS"/>
    <n v="0"/>
    <n v="0"/>
    <n v="0"/>
    <n v="10"/>
    <n v="20"/>
    <n v="30"/>
    <n v="0"/>
    <n v="60"/>
    <n v="8.5714285714285712"/>
    <x v="1"/>
    <x v="15"/>
    <x v="5"/>
    <x v="1"/>
  </r>
  <r>
    <s v="806158119038"/>
    <n v="806158"/>
    <s v="JITENDRA BUILDING MATERIAL"/>
    <n v="119038"/>
    <s v="NAVEEN DISTRIBUTORS"/>
    <n v="55"/>
    <n v="30"/>
    <n v="77"/>
    <n v="20"/>
    <n v="105"/>
    <n v="65"/>
    <n v="14.5"/>
    <n v="366.5"/>
    <n v="52.357142857142854"/>
    <x v="3"/>
    <x v="15"/>
    <x v="5"/>
    <x v="1"/>
  </r>
  <r>
    <s v="806174119038"/>
    <n v="806174"/>
    <s v="K S BUILDING MATERIAL"/>
    <n v="119038"/>
    <s v="NAVEEN DISTRIBUTORS"/>
    <n v="60"/>
    <n v="25"/>
    <n v="0"/>
    <n v="0"/>
    <n v="35"/>
    <n v="70"/>
    <n v="10"/>
    <n v="200"/>
    <n v="28.571428571428573"/>
    <x v="0"/>
    <x v="15"/>
    <x v="5"/>
    <x v="1"/>
  </r>
  <r>
    <s v="806288119038"/>
    <n v="806288"/>
    <s v="JAMBESHWAR KIRANA &amp; CEMENT AGE"/>
    <n v="119038"/>
    <s v="NAVEEN DISTRIBUTORS"/>
    <n v="0"/>
    <n v="0"/>
    <n v="0"/>
    <n v="65"/>
    <n v="34"/>
    <n v="85"/>
    <n v="35"/>
    <n v="219"/>
    <n v="31.285714285714285"/>
    <x v="4"/>
    <x v="15"/>
    <x v="5"/>
    <x v="1"/>
  </r>
  <r>
    <s v="806400119038"/>
    <n v="806400"/>
    <s v="JAWAHARMAL CHANDANMAL KHATRI"/>
    <n v="119038"/>
    <s v="NAVEEN DISTRIBUTORS"/>
    <n v="35"/>
    <n v="0"/>
    <n v="50"/>
    <n v="15"/>
    <n v="15"/>
    <n v="10"/>
    <n v="0"/>
    <n v="125"/>
    <n v="17.857142857142858"/>
    <x v="2"/>
    <x v="15"/>
    <x v="5"/>
    <x v="1"/>
  </r>
  <r>
    <s v="806401119038"/>
    <n v="806401"/>
    <s v="LALIT CEMENT AGENCY"/>
    <n v="119038"/>
    <s v="NAVEEN DISTRIBUTORS"/>
    <n v="50"/>
    <n v="120"/>
    <n v="95"/>
    <n v="96"/>
    <n v="54"/>
    <n v="63"/>
    <n v="70"/>
    <n v="548"/>
    <n v="78.285714285714292"/>
    <x v="3"/>
    <x v="15"/>
    <x v="5"/>
    <x v="1"/>
  </r>
  <r>
    <s v="806468119038"/>
    <n v="806468"/>
    <s v="JAMBHESHWAR KIRANA STORE"/>
    <n v="119038"/>
    <s v="NAVEEN DISTRIBUTORS"/>
    <n v="30"/>
    <n v="80"/>
    <n v="30"/>
    <n v="0"/>
    <n v="0"/>
    <n v="0"/>
    <n v="0"/>
    <n v="140"/>
    <n v="20"/>
    <x v="0"/>
    <x v="15"/>
    <x v="5"/>
    <x v="1"/>
  </r>
  <r>
    <s v="806469119038"/>
    <n v="806469"/>
    <s v="SHRI BALAJI BUILDING MATERIAL"/>
    <n v="119038"/>
    <s v="NAVEEN DISTRIBUTORS"/>
    <n v="5"/>
    <n v="30"/>
    <n v="35"/>
    <n v="0"/>
    <n v="90"/>
    <n v="0"/>
    <n v="20"/>
    <n v="180"/>
    <n v="25.714285714285715"/>
    <x v="0"/>
    <x v="15"/>
    <x v="5"/>
    <x v="1"/>
  </r>
  <r>
    <s v="806474119038"/>
    <n v="806474"/>
    <s v="SHIV BHOLE SHANKAR BUILDING MA"/>
    <n v="119038"/>
    <s v="NAVEEN DISTRIBUTORS"/>
    <n v="0"/>
    <n v="0"/>
    <n v="25"/>
    <n v="60"/>
    <n v="35"/>
    <n v="31.25"/>
    <n v="0"/>
    <n v="151.25"/>
    <n v="21.607142857142858"/>
    <x v="0"/>
    <x v="15"/>
    <x v="5"/>
    <x v="1"/>
  </r>
  <r>
    <s v="806565119038"/>
    <n v="806565"/>
    <s v="CHAMPA LAL PARIHAR"/>
    <n v="119038"/>
    <s v="NAVEEN DISTRIBUTORS"/>
    <n v="30"/>
    <n v="35"/>
    <n v="15"/>
    <n v="40"/>
    <n v="24.5"/>
    <n v="32"/>
    <n v="7.5"/>
    <n v="184"/>
    <n v="26.285714285714285"/>
    <x v="0"/>
    <x v="15"/>
    <x v="5"/>
    <x v="1"/>
  </r>
  <r>
    <s v="806830119038"/>
    <n v="806830"/>
    <s v="SHREE BHOMIA JI BUILDING MATER"/>
    <n v="119038"/>
    <s v="NAVEEN DISTRIBUTORS"/>
    <n v="30"/>
    <n v="34"/>
    <n v="57"/>
    <n v="40"/>
    <n v="20"/>
    <n v="28.5"/>
    <n v="0"/>
    <n v="209.5"/>
    <n v="29.928571428571427"/>
    <x v="0"/>
    <x v="15"/>
    <x v="5"/>
    <x v="1"/>
  </r>
  <r>
    <s v="806863119038"/>
    <n v="806863"/>
    <s v="HARI TRADERS"/>
    <n v="119038"/>
    <s v="NAVEEN DISTRIBUTORS"/>
    <n v="22"/>
    <n v="25"/>
    <n v="145"/>
    <n v="117"/>
    <n v="60"/>
    <n v="120"/>
    <n v="30"/>
    <n v="519"/>
    <n v="74.142857142857139"/>
    <x v="3"/>
    <x v="15"/>
    <x v="5"/>
    <x v="1"/>
  </r>
  <r>
    <s v="807113119038"/>
    <n v="807113"/>
    <s v="BABA RAMDEV BUILDING MATERIAL"/>
    <n v="119038"/>
    <s v="NAVEEN DISTRIBUTORS"/>
    <n v="0"/>
    <n v="69.5"/>
    <n v="29.5"/>
    <n v="40"/>
    <n v="93.5"/>
    <n v="46.5"/>
    <n v="0"/>
    <n v="279"/>
    <n v="39.857142857142854"/>
    <x v="4"/>
    <x v="15"/>
    <x v="5"/>
    <x v="1"/>
  </r>
  <r>
    <s v="807577119038"/>
    <n v="807577"/>
    <s v="SHRI RAM HARDWARE AND BUILDING"/>
    <n v="119038"/>
    <s v="NAVEEN DISTRIBUTORS"/>
    <n v="47.5"/>
    <n v="11"/>
    <n v="24"/>
    <n v="64.5"/>
    <n v="11"/>
    <n v="50"/>
    <n v="0"/>
    <n v="208"/>
    <n v="29.714285714285715"/>
    <x v="0"/>
    <x v="15"/>
    <x v="5"/>
    <x v="1"/>
  </r>
  <r>
    <s v="807601119038"/>
    <n v="807601"/>
    <s v="LAXMI TRADERS"/>
    <n v="119038"/>
    <s v="NAVEEN DISTRIBUTORS"/>
    <n v="13.5"/>
    <n v="10"/>
    <n v="20"/>
    <n v="60"/>
    <n v="40"/>
    <n v="40"/>
    <n v="10"/>
    <n v="193.5"/>
    <n v="27.642857142857142"/>
    <x v="0"/>
    <x v="15"/>
    <x v="5"/>
    <x v="1"/>
  </r>
  <r>
    <s v="807609119038"/>
    <n v="807609"/>
    <s v="SHRI RAMDEV CONSTRUCTION COMPA"/>
    <n v="119038"/>
    <s v="NAVEEN DISTRIBUTORS"/>
    <n v="0"/>
    <n v="8.5"/>
    <n v="0"/>
    <n v="0"/>
    <n v="0"/>
    <n v="0"/>
    <n v="0"/>
    <n v="8.5"/>
    <n v="1.2142857142857142"/>
    <x v="1"/>
    <x v="15"/>
    <x v="5"/>
    <x v="1"/>
  </r>
  <r>
    <s v="807629119038"/>
    <n v="807629"/>
    <s v="DILIP TRADING COMPANY"/>
    <n v="119038"/>
    <s v="NAVEEN DISTRIBUTORS"/>
    <n v="12.5"/>
    <n v="0"/>
    <n v="10"/>
    <n v="33.5"/>
    <n v="0"/>
    <n v="0"/>
    <n v="0"/>
    <n v="56"/>
    <n v="8"/>
    <x v="1"/>
    <x v="15"/>
    <x v="5"/>
    <x v="1"/>
  </r>
  <r>
    <s v="807643119038"/>
    <n v="807643"/>
    <s v="VISHNU BUILDING MATERIAL"/>
    <n v="119038"/>
    <s v="NAVEEN DISTRIBUTORS"/>
    <n v="0"/>
    <n v="40"/>
    <n v="123"/>
    <n v="74.5"/>
    <n v="50"/>
    <n v="30"/>
    <n v="20"/>
    <n v="337.5"/>
    <n v="48.214285714285715"/>
    <x v="5"/>
    <x v="15"/>
    <x v="5"/>
    <x v="1"/>
  </r>
  <r>
    <s v="807648119038"/>
    <n v="807648"/>
    <s v="BALAJI KIRANA &amp; CEMENT VIKRETA"/>
    <n v="119038"/>
    <s v="NAVEEN DISTRIBUTORS"/>
    <n v="21"/>
    <n v="20"/>
    <n v="0"/>
    <n v="0"/>
    <n v="20"/>
    <n v="20"/>
    <n v="0"/>
    <n v="81"/>
    <n v="11.571428571428571"/>
    <x v="2"/>
    <x v="15"/>
    <x v="5"/>
    <x v="1"/>
  </r>
  <r>
    <s v="807680119038"/>
    <n v="807680"/>
    <s v="MAHADEV BUILDING MATERIAL"/>
    <n v="119038"/>
    <s v="NAVEEN DISTRIBUTORS"/>
    <n v="0"/>
    <n v="0"/>
    <n v="110"/>
    <n v="75"/>
    <n v="65"/>
    <n v="155"/>
    <n v="15"/>
    <n v="420"/>
    <n v="60"/>
    <x v="3"/>
    <x v="15"/>
    <x v="5"/>
    <x v="1"/>
  </r>
  <r>
    <s v="807908119038"/>
    <n v="807908"/>
    <s v="KISHAN BUILDING MATERIAL"/>
    <n v="119038"/>
    <s v="NAVEEN DISTRIBUTORS"/>
    <n v="20"/>
    <n v="20"/>
    <n v="18.5"/>
    <n v="15"/>
    <n v="20"/>
    <n v="17.5"/>
    <n v="0"/>
    <n v="111"/>
    <n v="15.857142857142858"/>
    <x v="2"/>
    <x v="15"/>
    <x v="5"/>
    <x v="1"/>
  </r>
  <r>
    <s v="807931119038"/>
    <n v="807931"/>
    <s v="ASHAPURA BUILDING MATERIAL"/>
    <n v="119038"/>
    <s v="NAVEEN DISTRIBUTORS"/>
    <n v="47.5"/>
    <n v="40"/>
    <n v="10"/>
    <n v="40"/>
    <n v="15"/>
    <n v="35"/>
    <n v="20"/>
    <n v="207.5"/>
    <n v="29.642857142857142"/>
    <x v="0"/>
    <x v="15"/>
    <x v="5"/>
    <x v="1"/>
  </r>
  <r>
    <s v="807940119038"/>
    <n v="807940"/>
    <s v="PURAN KIRANA STORE"/>
    <n v="119038"/>
    <s v="NAVEEN DISTRIBUTORS"/>
    <n v="5"/>
    <n v="0"/>
    <n v="0"/>
    <n v="0"/>
    <n v="0"/>
    <n v="0"/>
    <n v="0"/>
    <n v="5"/>
    <n v="0.7142857142857143"/>
    <x v="1"/>
    <x v="15"/>
    <x v="5"/>
    <x v="1"/>
  </r>
  <r>
    <s v="807998119038"/>
    <n v="807998"/>
    <s v="CHHAGANA RAM AND SONS"/>
    <n v="119038"/>
    <s v="NAVEEN DISTRIBUTORS"/>
    <n v="10"/>
    <n v="20"/>
    <n v="20"/>
    <n v="15"/>
    <n v="0"/>
    <n v="0"/>
    <n v="0"/>
    <n v="65"/>
    <n v="9.2857142857142865"/>
    <x v="1"/>
    <x v="15"/>
    <x v="5"/>
    <x v="1"/>
  </r>
  <r>
    <s v="808739119038"/>
    <n v="808739"/>
    <s v="JAGDAMBA ENTERPRISES"/>
    <n v="119038"/>
    <s v="NAVEEN DISTRIBUTORS"/>
    <n v="0"/>
    <n v="20"/>
    <n v="65"/>
    <n v="20"/>
    <n v="50"/>
    <n v="27"/>
    <n v="15"/>
    <n v="197"/>
    <n v="28.142857142857142"/>
    <x v="0"/>
    <x v="15"/>
    <x v="5"/>
    <x v="1"/>
  </r>
  <r>
    <s v="808749119038"/>
    <n v="808749"/>
    <s v="JAI SHREE KRISHNA"/>
    <n v="119038"/>
    <s v="NAVEEN DISTRIBUTORS"/>
    <n v="35"/>
    <n v="55"/>
    <n v="123.5"/>
    <n v="95"/>
    <n v="25"/>
    <n v="20"/>
    <n v="20"/>
    <n v="373.5"/>
    <n v="53.357142857142854"/>
    <x v="3"/>
    <x v="15"/>
    <x v="5"/>
    <x v="1"/>
  </r>
  <r>
    <s v="808823119038"/>
    <n v="808823"/>
    <s v="PREM MARBLE AND CHEAPS STORE"/>
    <n v="119038"/>
    <s v="NAVEEN DISTRIBUTORS"/>
    <n v="0"/>
    <n v="0"/>
    <n v="0"/>
    <n v="5"/>
    <n v="65"/>
    <n v="30"/>
    <n v="0"/>
    <n v="100"/>
    <n v="14.285714285714286"/>
    <x v="2"/>
    <x v="15"/>
    <x v="5"/>
    <x v="1"/>
  </r>
  <r>
    <s v="809165119038"/>
    <n v="809165"/>
    <s v="SHRI BALAJI BUILDING MATERIAL"/>
    <n v="119038"/>
    <s v="NAVEEN DISTRIBUTORS"/>
    <n v="30"/>
    <n v="40"/>
    <n v="0"/>
    <n v="20"/>
    <n v="15"/>
    <n v="15"/>
    <n v="20"/>
    <n v="140"/>
    <n v="20"/>
    <x v="0"/>
    <x v="15"/>
    <x v="5"/>
    <x v="1"/>
  </r>
  <r>
    <s v="809168119038"/>
    <n v="809168"/>
    <s v="JAGDAMBA CEMENT AGENCY"/>
    <n v="119038"/>
    <s v="NAVEEN DISTRIBUTORS"/>
    <n v="0"/>
    <n v="0"/>
    <n v="0"/>
    <n v="0"/>
    <n v="15"/>
    <n v="0"/>
    <n v="0"/>
    <n v="15"/>
    <n v="2.1428571428571428"/>
    <x v="1"/>
    <x v="15"/>
    <x v="5"/>
    <x v="1"/>
  </r>
  <r>
    <s v="809170119038"/>
    <n v="809170"/>
    <s v="BALAJI KIRANA STORE"/>
    <n v="119038"/>
    <s v="NAVEEN DISTRIBUTORS"/>
    <n v="40"/>
    <n v="0"/>
    <n v="20"/>
    <n v="10"/>
    <n v="20"/>
    <n v="20"/>
    <n v="29"/>
    <n v="139"/>
    <n v="19.857142857142858"/>
    <x v="2"/>
    <x v="15"/>
    <x v="5"/>
    <x v="1"/>
  </r>
  <r>
    <s v="809283119038"/>
    <n v="809283"/>
    <s v="DURGA CEMENT AND SANITARY"/>
    <n v="119038"/>
    <s v="NAVEEN DISTRIBUTORS"/>
    <n v="30"/>
    <n v="20"/>
    <n v="75"/>
    <n v="112.5"/>
    <n v="111.35"/>
    <n v="167.65"/>
    <n v="75"/>
    <n v="591.5"/>
    <n v="84.5"/>
    <x v="3"/>
    <x v="15"/>
    <x v="5"/>
    <x v="1"/>
  </r>
  <r>
    <s v="809622119038"/>
    <n v="809622"/>
    <s v="SHRI MEHOJI BUILDING MATERIAL"/>
    <n v="119038"/>
    <s v="NAVEEN DISTRIBUTORS"/>
    <n v="30"/>
    <n v="40"/>
    <n v="35"/>
    <n v="65"/>
    <n v="15"/>
    <n v="20"/>
    <n v="0"/>
    <n v="205"/>
    <n v="29.285714285714285"/>
    <x v="0"/>
    <x v="15"/>
    <x v="5"/>
    <x v="1"/>
  </r>
  <r>
    <s v="809984119038"/>
    <n v="809984"/>
    <s v="DUNGAR MAL JAIN"/>
    <n v="119038"/>
    <s v="NAVEEN DISTRIBUTORS"/>
    <n v="10"/>
    <n v="10"/>
    <n v="34"/>
    <n v="25"/>
    <n v="10"/>
    <n v="10"/>
    <n v="20"/>
    <n v="119"/>
    <n v="17"/>
    <x v="2"/>
    <x v="15"/>
    <x v="5"/>
    <x v="1"/>
  </r>
  <r>
    <s v="810377119038"/>
    <n v="810377"/>
    <s v="CHANDAN MAL JAIN"/>
    <n v="119038"/>
    <s v="NAVEEN DISTRIBUTORS"/>
    <n v="30"/>
    <n v="60"/>
    <n v="30"/>
    <n v="45"/>
    <n v="39"/>
    <n v="64"/>
    <n v="15"/>
    <n v="283"/>
    <n v="40.428571428571431"/>
    <x v="5"/>
    <x v="15"/>
    <x v="5"/>
    <x v="1"/>
  </r>
  <r>
    <s v="811066119038"/>
    <n v="811066"/>
    <s v="BABA RAMDEV PAINTS &amp; HARDWARE"/>
    <n v="119038"/>
    <s v="NAVEEN DISTRIBUTORS"/>
    <n v="85"/>
    <n v="0"/>
    <n v="25"/>
    <n v="30"/>
    <n v="30"/>
    <n v="20"/>
    <n v="18.5"/>
    <n v="208.5"/>
    <n v="29.785714285714285"/>
    <x v="0"/>
    <x v="15"/>
    <x v="5"/>
    <x v="1"/>
  </r>
  <r>
    <s v="811098119038"/>
    <n v="811098"/>
    <s v="GOVIND CEMENT"/>
    <n v="119038"/>
    <s v="NAVEEN DISTRIBUTORS"/>
    <n v="0"/>
    <n v="0"/>
    <n v="0"/>
    <n v="20"/>
    <n v="45"/>
    <n v="105"/>
    <n v="15"/>
    <n v="185"/>
    <n v="26.428571428571427"/>
    <x v="0"/>
    <x v="15"/>
    <x v="5"/>
    <x v="1"/>
  </r>
  <r>
    <s v="811433119038"/>
    <n v="811433"/>
    <s v="RAM MARBEL TILE &amp; HARDWARE"/>
    <n v="119038"/>
    <s v="NAVEEN DISTRIBUTORS"/>
    <n v="0"/>
    <n v="0"/>
    <n v="25"/>
    <n v="20"/>
    <n v="10"/>
    <n v="10"/>
    <n v="10"/>
    <n v="75"/>
    <n v="10.714285714285714"/>
    <x v="2"/>
    <x v="15"/>
    <x v="5"/>
    <x v="1"/>
  </r>
  <r>
    <s v="812110119038"/>
    <n v="812110"/>
    <s v="MAJISA KHAAD BEEJ BHANDAR"/>
    <n v="119038"/>
    <s v="NAVEEN DISTRIBUTORS"/>
    <n v="45"/>
    <n v="0"/>
    <n v="41"/>
    <n v="30"/>
    <n v="50"/>
    <n v="30"/>
    <n v="10"/>
    <n v="206"/>
    <n v="29.428571428571427"/>
    <x v="0"/>
    <x v="15"/>
    <x v="5"/>
    <x v="1"/>
  </r>
  <r>
    <s v="812990119038"/>
    <n v="812990"/>
    <s v="BHOOMIYA JI CEMENT AGENCY"/>
    <n v="119038"/>
    <s v="NAVEEN DISTRIBUTORS"/>
    <n v="35"/>
    <n v="0"/>
    <n v="0"/>
    <n v="0"/>
    <n v="20"/>
    <n v="0"/>
    <n v="0"/>
    <n v="55"/>
    <n v="7.8571428571428568"/>
    <x v="1"/>
    <x v="15"/>
    <x v="5"/>
    <x v="1"/>
  </r>
  <r>
    <s v="814843119038"/>
    <n v="814843"/>
    <s v="SHRI MAHALAXMI TRADERS"/>
    <n v="119038"/>
    <s v="NAVEEN DISTRIBUTORS"/>
    <n v="0"/>
    <n v="67.5"/>
    <n v="55"/>
    <n v="55"/>
    <n v="10"/>
    <n v="0"/>
    <n v="0"/>
    <n v="187.5"/>
    <n v="26.785714285714285"/>
    <x v="0"/>
    <x v="15"/>
    <x v="5"/>
    <x v="1"/>
  </r>
  <r>
    <s v="814902119038"/>
    <n v="814902"/>
    <s v="SHREE KARANI KRIPA ENTERPRISES"/>
    <n v="119038"/>
    <s v="NAVEEN DISTRIBUTORS"/>
    <n v="0"/>
    <n v="33.5"/>
    <n v="0"/>
    <n v="101"/>
    <n v="60"/>
    <n v="55"/>
    <n v="0"/>
    <n v="249.5"/>
    <n v="35.642857142857146"/>
    <x v="4"/>
    <x v="15"/>
    <x v="5"/>
    <x v="1"/>
  </r>
  <r>
    <s v="814903119038"/>
    <n v="814903"/>
    <s v="GOSAI J K SUPER CEMENT"/>
    <n v="119038"/>
    <s v="NAVEEN DISTRIBUTORS"/>
    <n v="54"/>
    <n v="105"/>
    <n v="30"/>
    <n v="24"/>
    <n v="0"/>
    <n v="25"/>
    <n v="35"/>
    <n v="273"/>
    <n v="39"/>
    <x v="4"/>
    <x v="15"/>
    <x v="5"/>
    <x v="1"/>
  </r>
  <r>
    <s v="814962119038"/>
    <n v="814962"/>
    <s v="JAGDAMBA BUILDING MATERIAL"/>
    <n v="119038"/>
    <s v="NAVEEN DISTRIBUTORS"/>
    <n v="0"/>
    <n v="0"/>
    <n v="30"/>
    <n v="31"/>
    <n v="0"/>
    <n v="0"/>
    <n v="0"/>
    <n v="61"/>
    <n v="8.7142857142857135"/>
    <x v="1"/>
    <x v="15"/>
    <x v="5"/>
    <x v="1"/>
  </r>
  <r>
    <s v="815031119038"/>
    <n v="815031"/>
    <s v="SHRI BHADARIYA RAI ENTERPRISES"/>
    <n v="119038"/>
    <s v="NAVEEN DISTRIBUTORS"/>
    <n v="0"/>
    <n v="0"/>
    <n v="10"/>
    <n v="20"/>
    <n v="25"/>
    <n v="0"/>
    <n v="0"/>
    <n v="55"/>
    <n v="7.8571428571428568"/>
    <x v="1"/>
    <x v="15"/>
    <x v="5"/>
    <x v="1"/>
  </r>
  <r>
    <s v="815845119038"/>
    <n v="815845"/>
    <s v="SHREE BALAJI ASSOCIATES"/>
    <n v="119038"/>
    <s v="NAVEEN DISTRIBUTORS"/>
    <n v="0"/>
    <n v="0"/>
    <n v="0"/>
    <n v="0"/>
    <n v="50"/>
    <n v="25"/>
    <n v="10"/>
    <n v="85"/>
    <n v="12.142857142857142"/>
    <x v="2"/>
    <x v="15"/>
    <x v="5"/>
    <x v="1"/>
  </r>
  <r>
    <s v="808890148233"/>
    <n v="808890"/>
    <s v="JAGDAMBA BUILDING MATERIAL"/>
    <n v="148233"/>
    <s v="NAGORA TRADERS"/>
    <n v="70"/>
    <n v="70"/>
    <n v="90"/>
    <n v="35"/>
    <n v="70"/>
    <n v="70"/>
    <n v="35"/>
    <n v="440"/>
    <n v="62.857142857142854"/>
    <x v="3"/>
    <x v="15"/>
    <x v="5"/>
    <x v="1"/>
  </r>
  <r>
    <s v="812999148233"/>
    <n v="812999"/>
    <s v="SHREE BALAJI CEMENT SUPPLIERS"/>
    <n v="148233"/>
    <s v="NAGORA TRADERS"/>
    <n v="0"/>
    <n v="0"/>
    <n v="60"/>
    <n v="0"/>
    <n v="35"/>
    <n v="35"/>
    <n v="0"/>
    <n v="130"/>
    <n v="18.571428571428573"/>
    <x v="2"/>
    <x v="15"/>
    <x v="5"/>
    <x v="1"/>
  </r>
  <r>
    <s v="804220170775"/>
    <n v="804220"/>
    <s v="BHATI JK CEMENT"/>
    <n v="170775"/>
    <s v="GANPAT LAL MAROTHIYA AND SONS"/>
    <n v="95"/>
    <n v="85"/>
    <n v="80"/>
    <n v="70"/>
    <n v="117"/>
    <n v="70"/>
    <n v="35"/>
    <n v="552"/>
    <n v="78.857142857142861"/>
    <x v="3"/>
    <x v="15"/>
    <x v="5"/>
    <x v="1"/>
  </r>
  <r>
    <s v="804909170775"/>
    <n v="804909"/>
    <s v="DEV INDRA SAND STONE"/>
    <n v="170775"/>
    <s v="GANPAT LAL MAROTHIYA AND SONS"/>
    <n v="10"/>
    <n v="0"/>
    <n v="0"/>
    <n v="0"/>
    <n v="0"/>
    <n v="0"/>
    <n v="0"/>
    <n v="10"/>
    <n v="1.4285714285714286"/>
    <x v="1"/>
    <x v="15"/>
    <x v="5"/>
    <x v="1"/>
  </r>
  <r>
    <s v="805921170775"/>
    <n v="805921"/>
    <s v="RAJ MARBLES"/>
    <n v="170775"/>
    <s v="GANPAT LAL MAROTHIYA AND SONS"/>
    <n v="65"/>
    <n v="65"/>
    <n v="10"/>
    <n v="38"/>
    <n v="79"/>
    <n v="55"/>
    <n v="45"/>
    <n v="357"/>
    <n v="51"/>
    <x v="3"/>
    <x v="15"/>
    <x v="5"/>
    <x v="1"/>
  </r>
  <r>
    <s v="806210170775"/>
    <n v="806210"/>
    <s v="SHRI CHAMUNDA KIRANA STORE"/>
    <n v="170775"/>
    <s v="GANPAT LAL MAROTHIYA AND SONS"/>
    <n v="0"/>
    <n v="0"/>
    <n v="15"/>
    <n v="0"/>
    <n v="15"/>
    <n v="35"/>
    <n v="45"/>
    <n v="110"/>
    <n v="15.714285714285714"/>
    <x v="2"/>
    <x v="15"/>
    <x v="5"/>
    <x v="1"/>
  </r>
  <r>
    <s v="807815170775"/>
    <n v="807815"/>
    <s v="BHAGWAN KIRANA STORE"/>
    <n v="170775"/>
    <s v="GANPAT LAL MAROTHIYA AND SONS"/>
    <n v="50"/>
    <n v="15"/>
    <n v="80"/>
    <n v="30"/>
    <n v="5"/>
    <n v="0"/>
    <n v="55"/>
    <n v="235"/>
    <n v="33.571428571428569"/>
    <x v="4"/>
    <x v="15"/>
    <x v="5"/>
    <x v="1"/>
  </r>
  <r>
    <s v="807817170775"/>
    <n v="807817"/>
    <s v="BALAJI CEMENT AGENCY"/>
    <n v="170775"/>
    <s v="GANPAT LAL MAROTHIYA AND SONS"/>
    <n v="0"/>
    <n v="15"/>
    <n v="75"/>
    <n v="0"/>
    <n v="0"/>
    <n v="0"/>
    <n v="0"/>
    <n v="90"/>
    <n v="12.857142857142858"/>
    <x v="2"/>
    <x v="15"/>
    <x v="5"/>
    <x v="1"/>
  </r>
  <r>
    <s v="807819170775"/>
    <n v="807819"/>
    <s v="GANGA ELECTRONIC HARDWARE AND"/>
    <n v="170775"/>
    <s v="GANPAT LAL MAROTHIYA AND SONS"/>
    <n v="0"/>
    <n v="45"/>
    <n v="35"/>
    <n v="25"/>
    <n v="53"/>
    <n v="0"/>
    <n v="0"/>
    <n v="158"/>
    <n v="22.571428571428573"/>
    <x v="0"/>
    <x v="15"/>
    <x v="5"/>
    <x v="1"/>
  </r>
  <r>
    <s v="808902170775"/>
    <n v="808902"/>
    <s v="TAK STONE SUPPLIERS"/>
    <n v="170775"/>
    <s v="GANPAT LAL MAROTHIYA AND SONS"/>
    <n v="0"/>
    <n v="0"/>
    <n v="0"/>
    <n v="0"/>
    <n v="45"/>
    <n v="0"/>
    <n v="10"/>
    <n v="55"/>
    <n v="7.8571428571428568"/>
    <x v="1"/>
    <x v="15"/>
    <x v="5"/>
    <x v="1"/>
  </r>
  <r>
    <s v="808903170775"/>
    <n v="808903"/>
    <s v="MAHADEV CEMENT SUPPLIERS"/>
    <n v="170775"/>
    <s v="GANPAT LAL MAROTHIYA AND SONS"/>
    <n v="0"/>
    <n v="45"/>
    <n v="20"/>
    <n v="0"/>
    <n v="0"/>
    <n v="0"/>
    <n v="0"/>
    <n v="65"/>
    <n v="9.2857142857142865"/>
    <x v="1"/>
    <x v="15"/>
    <x v="5"/>
    <x v="1"/>
  </r>
  <r>
    <s v="809280170775"/>
    <n v="809280"/>
    <s v="HAKIM AND SONS"/>
    <n v="170775"/>
    <s v="GANPAT LAL MAROTHIYA AND SONS"/>
    <n v="10"/>
    <n v="23"/>
    <n v="70"/>
    <n v="75"/>
    <n v="55"/>
    <n v="0"/>
    <n v="35"/>
    <n v="268"/>
    <n v="38.285714285714285"/>
    <x v="4"/>
    <x v="15"/>
    <x v="5"/>
    <x v="1"/>
  </r>
  <r>
    <s v="809282170775"/>
    <n v="809282"/>
    <s v="JAI MAHADEV BUILDING MATERIAL"/>
    <n v="170775"/>
    <s v="GANPAT LAL MAROTHIYA AND SONS"/>
    <n v="25"/>
    <n v="15"/>
    <n v="40"/>
    <n v="25"/>
    <n v="20"/>
    <n v="10"/>
    <n v="75"/>
    <n v="210"/>
    <n v="30"/>
    <x v="4"/>
    <x v="15"/>
    <x v="5"/>
    <x v="1"/>
  </r>
  <r>
    <s v="812552170775"/>
    <n v="812552"/>
    <s v="BHATI CEMENT AND EIT SUPPLIERS"/>
    <n v="170775"/>
    <s v="GANPAT LAL MAROTHIYA AND SONS"/>
    <n v="0"/>
    <n v="0"/>
    <n v="0"/>
    <n v="10"/>
    <n v="15"/>
    <n v="0"/>
    <n v="10"/>
    <n v="35"/>
    <n v="5"/>
    <x v="1"/>
    <x v="15"/>
    <x v="5"/>
    <x v="1"/>
  </r>
  <r>
    <s v="813031170775"/>
    <n v="813031"/>
    <s v="BHANWAR LAL UTAM CHAND"/>
    <n v="170775"/>
    <s v="GANPAT LAL MAROTHIYA AND SONS"/>
    <n v="0"/>
    <n v="0"/>
    <n v="10"/>
    <n v="90"/>
    <n v="15"/>
    <n v="15"/>
    <n v="10"/>
    <n v="140"/>
    <n v="20"/>
    <x v="0"/>
    <x v="15"/>
    <x v="5"/>
    <x v="1"/>
  </r>
  <r>
    <s v="813034170775"/>
    <n v="813034"/>
    <s v="LAXMI TAK CEMENT"/>
    <n v="170775"/>
    <s v="GANPAT LAL MAROTHIYA AND SONS"/>
    <n v="0"/>
    <n v="0"/>
    <n v="25"/>
    <n v="0"/>
    <n v="0"/>
    <n v="15"/>
    <n v="0"/>
    <n v="40"/>
    <n v="5.7142857142857144"/>
    <x v="1"/>
    <x v="15"/>
    <x v="5"/>
    <x v="1"/>
  </r>
  <r>
    <s v="814113170775"/>
    <n v="814113"/>
    <s v="BHATI ELECTRICALS"/>
    <n v="170775"/>
    <s v="GANPAT LAL MAROTHIYA AND SONS"/>
    <n v="0"/>
    <n v="0"/>
    <n v="0"/>
    <n v="15"/>
    <n v="10"/>
    <n v="30"/>
    <n v="15"/>
    <n v="70"/>
    <n v="10"/>
    <x v="2"/>
    <x v="15"/>
    <x v="5"/>
    <x v="1"/>
  </r>
  <r>
    <s v="815152170775"/>
    <n v="815152"/>
    <s v="GAURI CEMENT SUPPLIERS"/>
    <n v="170775"/>
    <s v="GANPAT LAL MAROTHIYA AND SONS"/>
    <n v="0"/>
    <n v="0"/>
    <n v="40"/>
    <n v="30"/>
    <n v="15"/>
    <n v="0"/>
    <n v="0"/>
    <n v="85"/>
    <n v="12.142857142857142"/>
    <x v="2"/>
    <x v="15"/>
    <x v="5"/>
    <x v="1"/>
  </r>
  <r>
    <s v="815277170775"/>
    <n v="815277"/>
    <s v="GOPAL CEMENT SUPPLIERS"/>
    <n v="170775"/>
    <s v="GANPAT LAL MAROTHIYA AND SONS"/>
    <n v="0"/>
    <n v="0"/>
    <n v="0"/>
    <n v="30"/>
    <n v="20"/>
    <n v="0"/>
    <n v="10"/>
    <n v="60"/>
    <n v="8.5714285714285712"/>
    <x v="1"/>
    <x v="15"/>
    <x v="5"/>
    <x v="1"/>
  </r>
  <r>
    <s v="815486170775"/>
    <n v="815486"/>
    <s v="MAHADEV CEMENT SUPPLIERS"/>
    <n v="170775"/>
    <s v="GANPAT LAL MAROTHIYA AND SONS"/>
    <n v="0"/>
    <n v="0"/>
    <n v="0"/>
    <n v="0"/>
    <n v="15"/>
    <n v="0"/>
    <n v="0"/>
    <n v="15"/>
    <n v="2.1428571428571428"/>
    <x v="1"/>
    <x v="15"/>
    <x v="5"/>
    <x v="1"/>
  </r>
  <r>
    <s v="815511170775"/>
    <n v="815511"/>
    <s v="HINDUSTAN BUILDING MATERIAL"/>
    <n v="170775"/>
    <s v="GANPAT LAL MAROTHIYA AND SONS"/>
    <n v="0"/>
    <n v="0"/>
    <n v="0"/>
    <n v="0"/>
    <n v="45"/>
    <n v="30"/>
    <n v="0"/>
    <n v="75"/>
    <n v="10.714285714285714"/>
    <x v="2"/>
    <x v="15"/>
    <x v="5"/>
    <x v="1"/>
  </r>
  <r>
    <s v="816056170775"/>
    <n v="816056"/>
    <s v="FAUJI CEMENT AGENCY"/>
    <n v="170775"/>
    <s v="GANPAT LAL MAROTHIYA AND SONS"/>
    <n v="0"/>
    <n v="0"/>
    <n v="0"/>
    <n v="0"/>
    <n v="30"/>
    <n v="45"/>
    <n v="0"/>
    <n v="75"/>
    <n v="10.714285714285714"/>
    <x v="2"/>
    <x v="15"/>
    <x v="5"/>
    <x v="1"/>
  </r>
  <r>
    <s v="807105172338"/>
    <n v="807105"/>
    <s v="VISHNU TRADING COMPANY"/>
    <n v="172338"/>
    <s v="KHILJEE BUILDING MATERIAL"/>
    <n v="60"/>
    <n v="40"/>
    <n v="30"/>
    <n v="30"/>
    <n v="10"/>
    <n v="25"/>
    <n v="10"/>
    <n v="205"/>
    <n v="29.285714285714285"/>
    <x v="0"/>
    <x v="15"/>
    <x v="5"/>
    <x v="1"/>
  </r>
  <r>
    <s v="807862172338"/>
    <n v="807862"/>
    <s v="MAHADEV HARDWARE ELECTRICALS &amp;"/>
    <n v="172338"/>
    <s v="KHILJEE BUILDING MATERIAL"/>
    <n v="46"/>
    <n v="51"/>
    <n v="40"/>
    <n v="51"/>
    <n v="35"/>
    <n v="45"/>
    <n v="45"/>
    <n v="313"/>
    <n v="44.714285714285715"/>
    <x v="5"/>
    <x v="15"/>
    <x v="5"/>
    <x v="1"/>
  </r>
  <r>
    <s v="807863172338"/>
    <n v="807863"/>
    <s v="MAA CHAMUNDA CEMENT AGENCY"/>
    <n v="172338"/>
    <s v="KHILJEE BUILDING MATERIAL"/>
    <n v="0"/>
    <n v="0"/>
    <n v="0"/>
    <n v="0"/>
    <n v="30"/>
    <n v="0"/>
    <n v="0"/>
    <n v="30"/>
    <n v="4.2857142857142856"/>
    <x v="1"/>
    <x v="15"/>
    <x v="5"/>
    <x v="1"/>
  </r>
  <r>
    <s v="807864172338"/>
    <n v="807864"/>
    <s v="SHRI MAJISA TRADING COMPANY"/>
    <n v="172338"/>
    <s v="KHILJEE BUILDING MATERIAL"/>
    <n v="61"/>
    <n v="66"/>
    <n v="36"/>
    <n v="65"/>
    <n v="35"/>
    <n v="20"/>
    <n v="35"/>
    <n v="318"/>
    <n v="45.428571428571431"/>
    <x v="5"/>
    <x v="15"/>
    <x v="5"/>
    <x v="1"/>
  </r>
  <r>
    <s v="807884172338"/>
    <n v="807884"/>
    <s v="G. R. KIRANA STORE"/>
    <n v="172338"/>
    <s v="KHILJEE BUILDING MATERIAL"/>
    <n v="16"/>
    <n v="36"/>
    <n v="61"/>
    <n v="50"/>
    <n v="0"/>
    <n v="15"/>
    <n v="35"/>
    <n v="213"/>
    <n v="30.428571428571427"/>
    <x v="4"/>
    <x v="15"/>
    <x v="5"/>
    <x v="1"/>
  </r>
  <r>
    <s v="807885172338"/>
    <n v="807885"/>
    <s v="HANUMANA RAM CHOUDHARY"/>
    <n v="172338"/>
    <s v="KHILJEE BUILDING MATERIAL"/>
    <n v="50"/>
    <n v="75"/>
    <n v="141"/>
    <n v="31"/>
    <n v="20"/>
    <n v="50"/>
    <n v="31"/>
    <n v="398"/>
    <n v="56.857142857142854"/>
    <x v="3"/>
    <x v="15"/>
    <x v="5"/>
    <x v="1"/>
  </r>
  <r>
    <s v="807886172338"/>
    <n v="807886"/>
    <s v="BHOMIYAJI TRADERS"/>
    <n v="172338"/>
    <s v="KHILJEE BUILDING MATERIAL"/>
    <n v="30"/>
    <n v="60"/>
    <n v="55"/>
    <n v="114"/>
    <n v="31"/>
    <n v="15"/>
    <n v="81"/>
    <n v="386"/>
    <n v="55.142857142857146"/>
    <x v="3"/>
    <x v="15"/>
    <x v="5"/>
    <x v="1"/>
  </r>
  <r>
    <s v="807956172338"/>
    <n v="807956"/>
    <s v="KHILJI BARTAN AND HADWARE"/>
    <n v="172338"/>
    <s v="KHILJEE BUILDING MATERIAL"/>
    <n v="91"/>
    <n v="58"/>
    <n v="135"/>
    <n v="65"/>
    <n v="50"/>
    <n v="45"/>
    <n v="15"/>
    <n v="459"/>
    <n v="65.571428571428569"/>
    <x v="3"/>
    <x v="15"/>
    <x v="5"/>
    <x v="1"/>
  </r>
  <r>
    <s v="807958172338"/>
    <n v="807958"/>
    <s v="ARVIND KIRANA &amp; GENERAL STORE"/>
    <n v="172338"/>
    <s v="KHILJEE BUILDING MATERIAL"/>
    <n v="40"/>
    <n v="10"/>
    <n v="35"/>
    <n v="45"/>
    <n v="20"/>
    <n v="35"/>
    <n v="0"/>
    <n v="185"/>
    <n v="26.428571428571427"/>
    <x v="0"/>
    <x v="15"/>
    <x v="5"/>
    <x v="1"/>
  </r>
  <r>
    <s v="808151172338"/>
    <n v="808151"/>
    <s v="SHRI KHETESHWAR BUILDING MATER"/>
    <n v="172338"/>
    <s v="KHILJEE BUILDING MATERIAL"/>
    <n v="20"/>
    <n v="30"/>
    <n v="51"/>
    <n v="20"/>
    <n v="15"/>
    <n v="15"/>
    <n v="16"/>
    <n v="167"/>
    <n v="23.857142857142858"/>
    <x v="0"/>
    <x v="15"/>
    <x v="5"/>
    <x v="1"/>
  </r>
  <r>
    <s v="813832172338"/>
    <n v="813832"/>
    <s v="VIJAY CEMENT AGENCY"/>
    <n v="172338"/>
    <s v="KHILJEE BUILDING MATERIAL"/>
    <n v="40"/>
    <n v="35"/>
    <n v="30"/>
    <n v="55"/>
    <n v="25"/>
    <n v="0"/>
    <n v="0"/>
    <n v="185"/>
    <n v="26.428571428571427"/>
    <x v="0"/>
    <x v="15"/>
    <x v="5"/>
    <x v="1"/>
  </r>
  <r>
    <s v="813928172338"/>
    <n v="813928"/>
    <s v="SHRI BAGTESH CONSTRUCTION COMP"/>
    <n v="172338"/>
    <s v="KHILJEE BUILDING MATERIAL"/>
    <n v="10"/>
    <n v="25"/>
    <n v="30"/>
    <n v="40"/>
    <n v="0"/>
    <n v="15"/>
    <n v="0"/>
    <n v="120"/>
    <n v="17.142857142857142"/>
    <x v="2"/>
    <x v="15"/>
    <x v="5"/>
    <x v="1"/>
  </r>
  <r>
    <s v="814110172338"/>
    <n v="814110"/>
    <s v="MARWAR CEMENT AGENCY"/>
    <n v="172338"/>
    <s v="KHILJEE BUILDING MATERIAL"/>
    <n v="51"/>
    <n v="35"/>
    <n v="46"/>
    <n v="15"/>
    <n v="82"/>
    <n v="35"/>
    <n v="46"/>
    <n v="310"/>
    <n v="44.285714285714285"/>
    <x v="5"/>
    <x v="15"/>
    <x v="5"/>
    <x v="1"/>
  </r>
  <r>
    <s v="815135172338"/>
    <n v="815135"/>
    <s v="HAPA DADA CEMENT AGENCY"/>
    <n v="172338"/>
    <s v="KHILJEE BUILDING MATERIAL"/>
    <n v="0"/>
    <n v="0"/>
    <n v="51"/>
    <n v="30"/>
    <n v="25.1"/>
    <n v="15"/>
    <n v="10"/>
    <n v="131.1"/>
    <n v="18.728571428571428"/>
    <x v="2"/>
    <x v="15"/>
    <x v="5"/>
    <x v="1"/>
  </r>
  <r>
    <s v="816093172338"/>
    <n v="816093"/>
    <s v="VEER TEJA MOBILE AND SANITARY"/>
    <n v="172338"/>
    <s v="KHILJEE BUILDING MATERIAL"/>
    <n v="0"/>
    <n v="0"/>
    <n v="0"/>
    <n v="0"/>
    <n v="25"/>
    <n v="71"/>
    <n v="25"/>
    <n v="121"/>
    <n v="17.285714285714285"/>
    <x v="2"/>
    <x v="15"/>
    <x v="5"/>
    <x v="1"/>
  </r>
  <r>
    <s v="807861172855"/>
    <n v="807861"/>
    <s v="RAWAL MAL RATI"/>
    <n v="172855"/>
    <s v="BALAJI CEMENT AGENCY"/>
    <n v="20"/>
    <n v="51"/>
    <n v="45"/>
    <n v="55"/>
    <n v="75"/>
    <n v="35"/>
    <n v="16"/>
    <n v="297"/>
    <n v="42.428571428571431"/>
    <x v="5"/>
    <x v="15"/>
    <x v="5"/>
    <x v="1"/>
  </r>
  <r>
    <s v="807865172855"/>
    <n v="807865"/>
    <s v="JAI KALKA HARDWARE"/>
    <n v="172855"/>
    <s v="BALAJI CEMENT AGENCY"/>
    <n v="60"/>
    <n v="0"/>
    <n v="40"/>
    <n v="20"/>
    <n v="30"/>
    <n v="30"/>
    <n v="20"/>
    <n v="200"/>
    <n v="28.571428571428573"/>
    <x v="0"/>
    <x v="15"/>
    <x v="5"/>
    <x v="1"/>
  </r>
  <r>
    <s v="812548172855"/>
    <n v="812548"/>
    <s v="OM PRAKASH"/>
    <n v="172855"/>
    <s v="BALAJI CEMENT AGENCY"/>
    <n v="31"/>
    <n v="25"/>
    <n v="50"/>
    <n v="30"/>
    <n v="30"/>
    <n v="20"/>
    <n v="20"/>
    <n v="206"/>
    <n v="29.428571428571427"/>
    <x v="0"/>
    <x v="15"/>
    <x v="5"/>
    <x v="1"/>
  </r>
  <r>
    <s v="812808172855"/>
    <n v="812808"/>
    <s v="LAXMI NARAYAN"/>
    <n v="172855"/>
    <s v="BALAJI CEMENT AGENCY"/>
    <n v="30"/>
    <n v="25"/>
    <n v="55"/>
    <n v="21"/>
    <n v="35"/>
    <n v="15"/>
    <n v="20"/>
    <n v="201"/>
    <n v="28.714285714285715"/>
    <x v="0"/>
    <x v="15"/>
    <x v="5"/>
    <x v="1"/>
  </r>
  <r>
    <s v="807647172892"/>
    <n v="807647"/>
    <s v="MAHADEV J.K. CEMENT"/>
    <n v="172892"/>
    <s v="SHRIYAADE SANITERY &amp; BUILDING"/>
    <n v="15"/>
    <n v="0"/>
    <n v="0"/>
    <n v="27"/>
    <n v="55"/>
    <n v="50"/>
    <n v="20"/>
    <n v="167"/>
    <n v="23.857142857142858"/>
    <x v="0"/>
    <x v="15"/>
    <x v="5"/>
    <x v="1"/>
  </r>
  <r>
    <s v="814886173098"/>
    <n v="814886"/>
    <s v="SHREE PABUJI TRADERS"/>
    <n v="173098"/>
    <s v="PABUJI BUILDING MATERIAL"/>
    <n v="55"/>
    <n v="65"/>
    <n v="55"/>
    <n v="20"/>
    <n v="60"/>
    <n v="20"/>
    <n v="25"/>
    <n v="300"/>
    <n v="42.857142857142854"/>
    <x v="5"/>
    <x v="15"/>
    <x v="5"/>
    <x v="1"/>
  </r>
  <r>
    <s v="806097173224"/>
    <n v="806097"/>
    <s v="VISHNU CEMENT AGENCY"/>
    <n v="173224"/>
    <s v="D.R.MARBLE &amp; SANITORY"/>
    <n v="40"/>
    <n v="55"/>
    <n v="30"/>
    <n v="40"/>
    <n v="35"/>
    <n v="25"/>
    <n v="15"/>
    <n v="240"/>
    <n v="34.285714285714285"/>
    <x v="4"/>
    <x v="15"/>
    <x v="5"/>
    <x v="1"/>
  </r>
  <r>
    <s v="807702173224"/>
    <n v="807702"/>
    <s v="MAJISA CEMENT AGENCY"/>
    <n v="173224"/>
    <s v="D.R.MARBLE &amp; SANITORY"/>
    <n v="20"/>
    <n v="90"/>
    <n v="100"/>
    <n v="42.5"/>
    <n v="38.5"/>
    <n v="37"/>
    <n v="10"/>
    <n v="338"/>
    <n v="48.285714285714285"/>
    <x v="5"/>
    <x v="15"/>
    <x v="5"/>
    <x v="1"/>
  </r>
  <r>
    <s v="808619173224"/>
    <n v="808619"/>
    <s v="SHRI PAWAN CEMENT SUPPLIERS"/>
    <n v="173224"/>
    <s v="D.R.MARBLE &amp; SANITORY"/>
    <n v="110"/>
    <n v="131"/>
    <n v="140.5"/>
    <n v="110.5"/>
    <n v="83.5"/>
    <n v="101"/>
    <n v="48.5"/>
    <n v="725"/>
    <n v="103.57142857142857"/>
    <x v="3"/>
    <x v="15"/>
    <x v="5"/>
    <x v="1"/>
  </r>
  <r>
    <s v="811621173224"/>
    <n v="811621"/>
    <s v="ATARI MEHAR KIRANA STORE"/>
    <n v="173224"/>
    <s v="D.R.MARBLE &amp; SANITORY"/>
    <n v="100"/>
    <n v="103.5"/>
    <n v="100"/>
    <n v="83.5"/>
    <n v="40"/>
    <n v="22.5"/>
    <n v="10"/>
    <n v="459.5"/>
    <n v="65.642857142857139"/>
    <x v="3"/>
    <x v="15"/>
    <x v="5"/>
    <x v="1"/>
  </r>
  <r>
    <s v="811622173224"/>
    <n v="811622"/>
    <s v="TEJAS MARBLE GRANITE"/>
    <n v="173224"/>
    <s v="D.R.MARBLE &amp; SANITORY"/>
    <n v="50"/>
    <n v="41"/>
    <n v="45"/>
    <n v="42.5"/>
    <n v="37.5"/>
    <n v="15"/>
    <n v="10"/>
    <n v="241"/>
    <n v="34.428571428571431"/>
    <x v="4"/>
    <x v="15"/>
    <x v="5"/>
    <x v="1"/>
  </r>
  <r>
    <s v="812096173224"/>
    <n v="812096"/>
    <s v="MAHADEV MARBLE AND BUILDING MA"/>
    <n v="173224"/>
    <s v="D.R.MARBLE &amp; SANITORY"/>
    <n v="120"/>
    <n v="110"/>
    <n v="104.5"/>
    <n v="101"/>
    <n v="87.5"/>
    <n v="32.5"/>
    <n v="70"/>
    <n v="625.5"/>
    <n v="89.357142857142861"/>
    <x v="3"/>
    <x v="15"/>
    <x v="5"/>
    <x v="1"/>
  </r>
  <r>
    <s v="812360173224"/>
    <n v="812360"/>
    <s v="SHREE KARNI CEMENT AGENCY"/>
    <n v="173224"/>
    <s v="D.R.MARBLE &amp; SANITORY"/>
    <n v="20"/>
    <n v="45"/>
    <n v="60"/>
    <n v="40"/>
    <n v="27.5"/>
    <n v="0"/>
    <n v="0"/>
    <n v="192.5"/>
    <n v="27.5"/>
    <x v="0"/>
    <x v="15"/>
    <x v="5"/>
    <x v="1"/>
  </r>
  <r>
    <s v="812362173224"/>
    <n v="812362"/>
    <s v="NEW BALAJI BUILDING MATERIAL &amp;"/>
    <n v="173224"/>
    <s v="D.R.MARBLE &amp; SANITORY"/>
    <n v="35"/>
    <n v="30"/>
    <n v="40"/>
    <n v="26"/>
    <n v="37.5"/>
    <n v="20"/>
    <n v="0"/>
    <n v="188.5"/>
    <n v="26.928571428571427"/>
    <x v="0"/>
    <x v="15"/>
    <x v="5"/>
    <x v="1"/>
  </r>
  <r>
    <s v="812985173224"/>
    <n v="812985"/>
    <s v="M K CEMENT AGENCY"/>
    <n v="173224"/>
    <s v="D.R.MARBLE &amp; SANITORY"/>
    <n v="25"/>
    <n v="25"/>
    <n v="35"/>
    <n v="37.5"/>
    <n v="30"/>
    <n v="15"/>
    <n v="10"/>
    <n v="177.5"/>
    <n v="25.357142857142858"/>
    <x v="0"/>
    <x v="15"/>
    <x v="5"/>
    <x v="1"/>
  </r>
  <r>
    <s v="812986173224"/>
    <n v="812986"/>
    <s v="SHREE BAJRANG BALI BUILDING MA"/>
    <n v="173224"/>
    <s v="D.R.MARBLE &amp; SANITORY"/>
    <n v="25"/>
    <n v="25"/>
    <n v="35"/>
    <n v="52.5"/>
    <n v="37.5"/>
    <n v="10"/>
    <n v="0"/>
    <n v="185"/>
    <n v="26.428571428571427"/>
    <x v="0"/>
    <x v="15"/>
    <x v="5"/>
    <x v="1"/>
  </r>
  <r>
    <s v="812992173224"/>
    <n v="812992"/>
    <s v="JAI SHREE AAI MAA SUPER MARKET"/>
    <n v="173224"/>
    <s v="D.R.MARBLE &amp; SANITORY"/>
    <n v="100"/>
    <n v="95"/>
    <n v="114.5"/>
    <n v="101"/>
    <n v="70"/>
    <n v="47.5"/>
    <n v="45"/>
    <n v="573"/>
    <n v="81.857142857142861"/>
    <x v="3"/>
    <x v="15"/>
    <x v="5"/>
    <x v="1"/>
  </r>
  <r>
    <s v="812994173224"/>
    <n v="812994"/>
    <s v="MAHADEV BUILDING MATERIAL"/>
    <n v="173224"/>
    <s v="D.R.MARBLE &amp; SANITORY"/>
    <n v="98.5"/>
    <n v="85"/>
    <n v="102.5"/>
    <n v="84.5"/>
    <n v="75"/>
    <n v="37.5"/>
    <n v="35"/>
    <n v="518"/>
    <n v="74"/>
    <x v="3"/>
    <x v="15"/>
    <x v="5"/>
    <x v="1"/>
  </r>
  <r>
    <s v="814058173224"/>
    <n v="814058"/>
    <s v="SHREE VISHNU CEMENT TILES"/>
    <n v="173224"/>
    <s v="D.R.MARBLE &amp; SANITORY"/>
    <n v="28.5"/>
    <n v="40"/>
    <n v="28.5"/>
    <n v="40"/>
    <n v="55"/>
    <n v="32.5"/>
    <n v="25"/>
    <n v="249.5"/>
    <n v="35.642857142857146"/>
    <x v="4"/>
    <x v="15"/>
    <x v="5"/>
    <x v="1"/>
  </r>
  <r>
    <s v="814280173224"/>
    <n v="814280"/>
    <s v="NEW SHREE KHETESHWAR BUILDING"/>
    <n v="173224"/>
    <s v="D.R.MARBLE &amp; SANITORY"/>
    <n v="20"/>
    <n v="30"/>
    <n v="46"/>
    <n v="36"/>
    <n v="36"/>
    <n v="47.5"/>
    <n v="15"/>
    <n v="230.5"/>
    <n v="32.928571428571431"/>
    <x v="4"/>
    <x v="15"/>
    <x v="5"/>
    <x v="1"/>
  </r>
  <r>
    <s v="814661173224"/>
    <n v="814661"/>
    <s v="JAI BHAWANI TENT HOUSE"/>
    <n v="173224"/>
    <s v="D.R.MARBLE &amp; SANITORY"/>
    <n v="20"/>
    <n v="40"/>
    <n v="35"/>
    <n v="41"/>
    <n v="30"/>
    <n v="15"/>
    <n v="15"/>
    <n v="196"/>
    <n v="28"/>
    <x v="0"/>
    <x v="15"/>
    <x v="5"/>
    <x v="1"/>
  </r>
  <r>
    <s v="814874173224"/>
    <n v="814874"/>
    <s v="SHREE BAGTESH BUILDING MATERIA"/>
    <n v="173224"/>
    <s v="D.R.MARBLE &amp; SANITORY"/>
    <n v="100"/>
    <n v="105"/>
    <n v="110"/>
    <n v="55"/>
    <n v="30"/>
    <n v="0"/>
    <n v="0"/>
    <n v="400"/>
    <n v="57.142857142857146"/>
    <x v="3"/>
    <x v="15"/>
    <x v="5"/>
    <x v="1"/>
  </r>
  <r>
    <s v="814993173224"/>
    <n v="814993"/>
    <s v="MAHAVEER BUILDING MATERIAL"/>
    <n v="173224"/>
    <s v="D.R.MARBLE &amp; SANITORY"/>
    <n v="100"/>
    <n v="146"/>
    <n v="154.5"/>
    <n v="109"/>
    <n v="132.5"/>
    <n v="93.5"/>
    <n v="70"/>
    <n v="805.5"/>
    <n v="115.07142857142857"/>
    <x v="3"/>
    <x v="15"/>
    <x v="5"/>
    <x v="1"/>
  </r>
  <r>
    <s v="815484173224"/>
    <n v="815484"/>
    <s v="JAMBHESHWAR BUILDING MATERIAL"/>
    <n v="173224"/>
    <s v="D.R.MARBLE &amp; SANITORY"/>
    <n v="0"/>
    <n v="0"/>
    <n v="0"/>
    <n v="100.5"/>
    <n v="46"/>
    <n v="0"/>
    <n v="15"/>
    <n v="161.5"/>
    <n v="23.071428571428573"/>
    <x v="0"/>
    <x v="15"/>
    <x v="5"/>
    <x v="1"/>
  </r>
  <r>
    <s v="815485173224"/>
    <n v="815485"/>
    <s v="SHREE BALAJI CEMENT AGENCY"/>
    <n v="173224"/>
    <s v="D.R.MARBLE &amp; SANITORY"/>
    <n v="0"/>
    <n v="0"/>
    <n v="0"/>
    <n v="100"/>
    <n v="70"/>
    <n v="27.5"/>
    <n v="30"/>
    <n v="227.5"/>
    <n v="32.5"/>
    <x v="4"/>
    <x v="15"/>
    <x v="5"/>
    <x v="1"/>
  </r>
  <r>
    <s v="815558173224"/>
    <n v="815558"/>
    <s v="SHREE RAMDEV BUILDING MATERIAL"/>
    <n v="173224"/>
    <s v="D.R.MARBLE &amp; SANITORY"/>
    <n v="0"/>
    <n v="0"/>
    <n v="0"/>
    <n v="0"/>
    <n v="75"/>
    <n v="47.5"/>
    <n v="0"/>
    <n v="122.5"/>
    <n v="17.5"/>
    <x v="2"/>
    <x v="15"/>
    <x v="5"/>
    <x v="1"/>
  </r>
  <r>
    <s v="815798173224"/>
    <n v="815798"/>
    <s v="SHREE SAMARATHAL CEMENT AGENCY"/>
    <n v="173224"/>
    <s v="D.R.MARBLE &amp; SANITORY"/>
    <n v="0"/>
    <n v="0"/>
    <n v="0"/>
    <n v="0"/>
    <n v="92.5"/>
    <n v="57.5"/>
    <n v="65"/>
    <n v="215"/>
    <n v="30.714285714285715"/>
    <x v="4"/>
    <x v="15"/>
    <x v="5"/>
    <x v="1"/>
  </r>
  <r>
    <s v="811350177379"/>
    <n v="811350"/>
    <s v="BENIWAL CEMENT AGENCY"/>
    <n v="177379"/>
    <s v="MANGILAL &amp; SONS"/>
    <n v="43.5"/>
    <n v="30"/>
    <n v="30"/>
    <n v="20"/>
    <n v="15"/>
    <n v="123.5"/>
    <n v="60"/>
    <n v="322"/>
    <n v="46"/>
    <x v="5"/>
    <x v="15"/>
    <x v="5"/>
    <x v="1"/>
  </r>
  <r>
    <s v="812097177379"/>
    <n v="812097"/>
    <s v="HARI DARSHAN GENERAL STORE KHI"/>
    <n v="177379"/>
    <s v="MANGILAL &amp; SONS"/>
    <n v="0"/>
    <n v="27"/>
    <n v="50"/>
    <n v="60"/>
    <n v="75"/>
    <n v="50"/>
    <n v="0"/>
    <n v="262"/>
    <n v="37.428571428571431"/>
    <x v="4"/>
    <x v="15"/>
    <x v="5"/>
    <x v="1"/>
  </r>
  <r>
    <s v="814279177379"/>
    <n v="814279"/>
    <s v="JAI AAYAL MAA CEMENT"/>
    <n v="177379"/>
    <s v="MANGILAL &amp; SONS"/>
    <n v="25"/>
    <n v="30"/>
    <n v="15"/>
    <n v="70"/>
    <n v="20"/>
    <n v="25"/>
    <n v="0"/>
    <n v="185"/>
    <n v="26.428571428571427"/>
    <x v="0"/>
    <x v="15"/>
    <x v="5"/>
    <x v="1"/>
  </r>
  <r>
    <s v="814667177379"/>
    <n v="814667"/>
    <s v="SHARDA BUILDING MATERIAL"/>
    <n v="177379"/>
    <s v="MANGILAL &amp; SONS"/>
    <n v="0"/>
    <n v="0"/>
    <n v="0"/>
    <n v="25"/>
    <n v="15"/>
    <n v="0"/>
    <n v="0"/>
    <n v="40"/>
    <n v="5.7142857142857144"/>
    <x v="1"/>
    <x v="15"/>
    <x v="5"/>
    <x v="1"/>
  </r>
  <r>
    <s v="806175178230"/>
    <n v="806175"/>
    <s v="LOONKARAN PANKAJ KUMAR SANCHET"/>
    <n v="178230"/>
    <s v="SHREE RADHEY BUILDING MATERIAL"/>
    <n v="0"/>
    <n v="0"/>
    <n v="0"/>
    <n v="0"/>
    <n v="0"/>
    <n v="10"/>
    <n v="0"/>
    <n v="10"/>
    <n v="1.4285714285714286"/>
    <x v="1"/>
    <x v="15"/>
    <x v="5"/>
    <x v="1"/>
  </r>
  <r>
    <s v="809778178230"/>
    <n v="809778"/>
    <s v="RAMDEV CEMENT SUPPLIERS"/>
    <n v="178230"/>
    <s v="SHREE RADHEY BUILDING MATERIAL"/>
    <n v="65"/>
    <n v="56"/>
    <n v="45"/>
    <n v="55"/>
    <n v="65"/>
    <n v="10"/>
    <n v="20"/>
    <n v="316"/>
    <n v="45.142857142857146"/>
    <x v="5"/>
    <x v="15"/>
    <x v="5"/>
    <x v="1"/>
  </r>
  <r>
    <s v="809983178230"/>
    <n v="809983"/>
    <s v="JAMBHESHWAR BUILDING MATERIAL"/>
    <n v="178230"/>
    <s v="SHREE RADHEY BUILDING MATERIAL"/>
    <n v="0"/>
    <n v="0"/>
    <n v="0"/>
    <n v="10"/>
    <n v="15"/>
    <n v="0"/>
    <n v="0"/>
    <n v="25"/>
    <n v="3.5714285714285716"/>
    <x v="1"/>
    <x v="15"/>
    <x v="5"/>
    <x v="1"/>
  </r>
  <r>
    <s v="811085178230"/>
    <n v="811085"/>
    <s v="SHREE BALAJI SAND STONE &amp; CUTT"/>
    <n v="178230"/>
    <s v="SHREE RADHEY BUILDING MATERIAL"/>
    <n v="10"/>
    <n v="0"/>
    <n v="0"/>
    <n v="7.5"/>
    <n v="0"/>
    <n v="0"/>
    <n v="0"/>
    <n v="17.5"/>
    <n v="2.5"/>
    <x v="1"/>
    <x v="15"/>
    <x v="5"/>
    <x v="1"/>
  </r>
  <r>
    <s v="811086178230"/>
    <n v="811086"/>
    <s v="MAHADEV CEMENT AGENCY"/>
    <n v="178230"/>
    <s v="SHREE RADHEY BUILDING MATERIAL"/>
    <n v="36"/>
    <n v="40"/>
    <n v="70"/>
    <n v="86"/>
    <n v="23.5"/>
    <n v="40"/>
    <n v="25"/>
    <n v="320.5"/>
    <n v="45.785714285714285"/>
    <x v="5"/>
    <x v="15"/>
    <x v="5"/>
    <x v="1"/>
  </r>
  <r>
    <s v="811316178230"/>
    <n v="811316"/>
    <s v="KADELA BUILDING MATERIAL"/>
    <n v="178230"/>
    <s v="SHREE RADHEY BUILDING MATERIAL"/>
    <n v="100"/>
    <n v="80"/>
    <n v="36"/>
    <n v="127.5"/>
    <n v="26"/>
    <n v="0"/>
    <n v="0"/>
    <n v="369.5"/>
    <n v="52.785714285714285"/>
    <x v="3"/>
    <x v="15"/>
    <x v="5"/>
    <x v="1"/>
  </r>
  <r>
    <s v="811349178230"/>
    <n v="811349"/>
    <s v="NEW MAHADEV CONSTRUCTION COMPA"/>
    <n v="178230"/>
    <s v="SHREE RADHEY BUILDING MATERIAL"/>
    <n v="0"/>
    <n v="0"/>
    <n v="10"/>
    <n v="10"/>
    <n v="30"/>
    <n v="35"/>
    <n v="25"/>
    <n v="110"/>
    <n v="15.714285714285714"/>
    <x v="2"/>
    <x v="15"/>
    <x v="5"/>
    <x v="1"/>
  </r>
  <r>
    <s v="811683178230"/>
    <n v="811683"/>
    <s v="MEHAR CEMENT AGENCY"/>
    <n v="178230"/>
    <s v="SHREE RADHEY BUILDING MATERIAL"/>
    <n v="80"/>
    <n v="70"/>
    <n v="75"/>
    <n v="100"/>
    <n v="60"/>
    <n v="85"/>
    <n v="30"/>
    <n v="500"/>
    <n v="71.428571428571431"/>
    <x v="3"/>
    <x v="15"/>
    <x v="5"/>
    <x v="1"/>
  </r>
  <r>
    <s v="811779178230"/>
    <n v="811779"/>
    <s v="BHAVYA CEMENT AGENCY"/>
    <n v="178230"/>
    <s v="SHREE RADHEY BUILDING MATERIAL"/>
    <n v="0"/>
    <n v="0"/>
    <n v="20"/>
    <n v="0"/>
    <n v="0"/>
    <n v="0"/>
    <n v="0"/>
    <n v="20"/>
    <n v="2.8571428571428572"/>
    <x v="1"/>
    <x v="15"/>
    <x v="5"/>
    <x v="1"/>
  </r>
  <r>
    <s v="812984178230"/>
    <n v="812984"/>
    <s v="GEDAR BUILDING MATERIAL"/>
    <n v="178230"/>
    <s v="SHREE RADHEY BUILDING MATERIAL"/>
    <n v="88.5"/>
    <n v="58.5"/>
    <n v="115"/>
    <n v="73.5"/>
    <n v="40"/>
    <n v="30"/>
    <n v="15"/>
    <n v="420.5"/>
    <n v="60.071428571428569"/>
    <x v="3"/>
    <x v="15"/>
    <x v="5"/>
    <x v="1"/>
  </r>
  <r>
    <s v="813006178230"/>
    <n v="813006"/>
    <s v="D R MARBLES"/>
    <n v="178230"/>
    <s v="SHREE RADHEY BUILDING MATERIAL"/>
    <n v="40"/>
    <n v="30.5"/>
    <n v="20"/>
    <n v="0"/>
    <n v="50"/>
    <n v="0"/>
    <n v="30"/>
    <n v="170.5"/>
    <n v="24.357142857142858"/>
    <x v="0"/>
    <x v="15"/>
    <x v="5"/>
    <x v="1"/>
  </r>
  <r>
    <s v="813787178230"/>
    <n v="813787"/>
    <s v="SHREE KARANI MARBLE"/>
    <n v="178230"/>
    <s v="SHREE RADHEY BUILDING MATERIAL"/>
    <n v="35"/>
    <n v="34.5"/>
    <n v="15"/>
    <n v="50"/>
    <n v="45"/>
    <n v="10"/>
    <n v="10"/>
    <n v="199.5"/>
    <n v="28.5"/>
    <x v="0"/>
    <x v="15"/>
    <x v="5"/>
    <x v="1"/>
  </r>
  <r>
    <s v="814047178230"/>
    <n v="814047"/>
    <s v="SHREE INATH TRADING COMPANY"/>
    <n v="178230"/>
    <s v="SHREE RADHEY BUILDING MATERIAL"/>
    <n v="30"/>
    <n v="20"/>
    <n v="30"/>
    <n v="15"/>
    <n v="0"/>
    <n v="10"/>
    <n v="0"/>
    <n v="105"/>
    <n v="15"/>
    <x v="2"/>
    <x v="15"/>
    <x v="5"/>
    <x v="1"/>
  </r>
  <r>
    <s v="814665178230"/>
    <n v="814665"/>
    <s v="BHURANI SMM TRADERS"/>
    <n v="178230"/>
    <s v="SHREE RADHEY BUILDING MATERIAL"/>
    <n v="10"/>
    <n v="0"/>
    <n v="0"/>
    <n v="0"/>
    <n v="0"/>
    <n v="0"/>
    <n v="0"/>
    <n v="10"/>
    <n v="1.4285714285714286"/>
    <x v="1"/>
    <x v="15"/>
    <x v="5"/>
    <x v="1"/>
  </r>
  <r>
    <s v="815483178230"/>
    <n v="815483"/>
    <s v="DEVI KRIPA BUILDING MATERIAL"/>
    <n v="178230"/>
    <s v="SHREE RADHEY BUILDING MATERIAL"/>
    <n v="0"/>
    <n v="0"/>
    <n v="0"/>
    <n v="27.5"/>
    <n v="69"/>
    <n v="45"/>
    <n v="20"/>
    <n v="161.5"/>
    <n v="23.071428571428573"/>
    <x v="0"/>
    <x v="15"/>
    <x v="5"/>
    <x v="1"/>
  </r>
  <r>
    <s v="815557178230"/>
    <n v="815557"/>
    <s v="NAGANARAY CEMENT AGENCY"/>
    <n v="178230"/>
    <s v="SHREE RADHEY BUILDING MATERIAL"/>
    <n v="0"/>
    <n v="0"/>
    <n v="0"/>
    <n v="55"/>
    <n v="66"/>
    <n v="40"/>
    <n v="15"/>
    <n v="176"/>
    <n v="25.142857142857142"/>
    <x v="0"/>
    <x v="15"/>
    <x v="5"/>
    <x v="1"/>
  </r>
  <r>
    <s v="811275179946"/>
    <n v="811275"/>
    <s v="PRITHVI BUILDING MATERIAL"/>
    <n v="179946"/>
    <s v="GAGAN STEEL"/>
    <n v="0"/>
    <n v="0"/>
    <n v="0"/>
    <n v="11"/>
    <n v="0"/>
    <n v="0"/>
    <n v="35"/>
    <n v="46"/>
    <n v="6.5714285714285712"/>
    <x v="1"/>
    <x v="15"/>
    <x v="5"/>
    <x v="1"/>
  </r>
  <r>
    <s v="814689204810"/>
    <n v="814689"/>
    <s v="SHRI JAY BHAWANI BUILDING MATE"/>
    <n v="204810"/>
    <s v="MAA SANTOSHI CONSTRUCTION COMP"/>
    <n v="35"/>
    <n v="0"/>
    <n v="15"/>
    <n v="9.75"/>
    <n v="35"/>
    <n v="7.5"/>
    <n v="15"/>
    <n v="117.25"/>
    <n v="16.75"/>
    <x v="2"/>
    <x v="15"/>
    <x v="5"/>
    <x v="1"/>
  </r>
  <r>
    <s v="815865205343"/>
    <n v="815865"/>
    <s v="SHARAD CEMENT &amp; ADDEN SUPPLIER"/>
    <n v="205343"/>
    <s v="ARIHANT TRADERS"/>
    <n v="0"/>
    <n v="0"/>
    <n v="0"/>
    <n v="0"/>
    <n v="104"/>
    <n v="113"/>
    <n v="43.5"/>
    <n v="260.5"/>
    <n v="37.214285714285715"/>
    <x v="4"/>
    <x v="15"/>
    <x v="5"/>
    <x v="1"/>
  </r>
  <r>
    <s v="816594205742"/>
    <n v="816594"/>
    <s v="SHREE RAM CEMENT AGENCY"/>
    <n v="205742"/>
    <s v="KISTURI TRADERS"/>
    <n v="0"/>
    <n v="0"/>
    <n v="0"/>
    <n v="0"/>
    <n v="0"/>
    <n v="0"/>
    <n v="20"/>
    <n v="20"/>
    <n v="2.8571428571428572"/>
    <x v="1"/>
    <x v="15"/>
    <x v="5"/>
    <x v="1"/>
  </r>
  <r>
    <s v="816642173224"/>
    <n v="816642"/>
    <s v="BALAJI BUILDING MATERIAL"/>
    <n v="173224"/>
    <s v="D.R.MARBLE &amp; SANITORY"/>
    <n v="0"/>
    <n v="0"/>
    <n v="0"/>
    <n v="0"/>
    <n v="0"/>
    <n v="0"/>
    <n v="65"/>
    <n v="65"/>
    <n v="9.2857142857142865"/>
    <x v="1"/>
    <x v="15"/>
    <x v="5"/>
    <x v="1"/>
  </r>
  <r>
    <s v="803990140849"/>
    <n v="803990"/>
    <s v="VISHVAKARMA BUILDING MATERIAL"/>
    <n v="140849"/>
    <s v="SAWALIYA CEMENT SUPPLIERS"/>
    <n v="40"/>
    <n v="10"/>
    <n v="75"/>
    <n v="60"/>
    <n v="10"/>
    <n v="17.5"/>
    <n v="14"/>
    <n v="226.5"/>
    <n v="32.357142857142854"/>
    <x v="4"/>
    <x v="16"/>
    <x v="6"/>
    <x v="1"/>
  </r>
  <r>
    <s v="811051173849"/>
    <n v="811051"/>
    <s v="JAI AAI MATAJI"/>
    <n v="173849"/>
    <s v="MAHADEV HARDWARE"/>
    <n v="20"/>
    <n v="0"/>
    <n v="0"/>
    <n v="10"/>
    <n v="10"/>
    <n v="0"/>
    <n v="22"/>
    <n v="62"/>
    <n v="8.8571428571428577"/>
    <x v="1"/>
    <x v="16"/>
    <x v="6"/>
    <x v="1"/>
  </r>
  <r>
    <s v="810104177947"/>
    <n v="810104"/>
    <s v="GAJANAND HARDWARE STORE"/>
    <n v="177947"/>
    <s v="BHARAT BUILDING MATERIAL"/>
    <n v="0"/>
    <n v="10"/>
    <n v="0"/>
    <n v="0"/>
    <n v="10"/>
    <n v="0"/>
    <n v="0"/>
    <n v="20"/>
    <n v="2.8571428571428572"/>
    <x v="1"/>
    <x v="16"/>
    <x v="6"/>
    <x v="1"/>
  </r>
  <r>
    <s v="811052178219"/>
    <n v="811052"/>
    <s v="DEVASI TRADING COMPANY"/>
    <n v="178219"/>
    <s v="BALAJI CEMENT COMPANY"/>
    <n v="1"/>
    <n v="0"/>
    <n v="20"/>
    <n v="0"/>
    <n v="0"/>
    <n v="0"/>
    <n v="0"/>
    <n v="21"/>
    <n v="3"/>
    <x v="1"/>
    <x v="16"/>
    <x v="6"/>
    <x v="1"/>
  </r>
  <r>
    <s v="811545178460"/>
    <n v="811545"/>
    <s v="SHREE KULETI CEMENT SUPPLIERS"/>
    <n v="178460"/>
    <s v="BHARAT KUMAR PREMJI MALI"/>
    <n v="46"/>
    <n v="45"/>
    <n v="20"/>
    <n v="37"/>
    <n v="53"/>
    <n v="15"/>
    <n v="33"/>
    <n v="249"/>
    <n v="35.571428571428569"/>
    <x v="4"/>
    <x v="16"/>
    <x v="6"/>
    <x v="1"/>
  </r>
  <r>
    <s v="815509203651"/>
    <n v="815509"/>
    <s v="GALABA RAM S/O MEGHA RAM CHOUD"/>
    <n v="203651"/>
    <s v="VINAYAK STEEL TRADERS"/>
    <n v="0"/>
    <n v="0"/>
    <n v="0"/>
    <n v="105"/>
    <n v="138"/>
    <n v="110"/>
    <n v="45"/>
    <n v="398"/>
    <n v="56.857142857142854"/>
    <x v="3"/>
    <x v="16"/>
    <x v="6"/>
    <x v="1"/>
  </r>
  <r>
    <s v="804744206066"/>
    <n v="804744"/>
    <s v="MAHALAXMI STEEL TRADERS"/>
    <n v="206066"/>
    <s v="GAJANAND CEMENT AGENCY"/>
    <n v="24"/>
    <n v="0"/>
    <n v="0"/>
    <n v="15"/>
    <n v="60"/>
    <n v="78.75"/>
    <n v="45"/>
    <n v="222.75"/>
    <n v="31.821428571428573"/>
    <x v="4"/>
    <x v="16"/>
    <x v="6"/>
    <x v="1"/>
  </r>
  <r>
    <s v="807683206066"/>
    <n v="807683"/>
    <s v="KANAK PRABHU TRADING CO"/>
    <n v="206066"/>
    <s v="GAJANAND CEMENT AGENCY"/>
    <n v="84"/>
    <n v="34"/>
    <n v="36"/>
    <n v="100"/>
    <n v="40"/>
    <n v="80"/>
    <n v="30"/>
    <n v="404"/>
    <n v="57.714285714285715"/>
    <x v="3"/>
    <x v="16"/>
    <x v="6"/>
    <x v="1"/>
  </r>
  <r>
    <s v="808575206066"/>
    <n v="808575"/>
    <s v="DHANLAXMI TRADING COMPANY"/>
    <n v="206066"/>
    <s v="GAJANAND CEMENT AGENCY"/>
    <n v="48"/>
    <n v="0"/>
    <n v="0"/>
    <n v="0"/>
    <n v="0"/>
    <n v="10"/>
    <n v="0"/>
    <n v="58"/>
    <n v="8.2857142857142865"/>
    <x v="1"/>
    <x v="16"/>
    <x v="6"/>
    <x v="1"/>
  </r>
  <r>
    <s v="811513206066"/>
    <n v="811513"/>
    <s v="SHREE DHANLAXMI TRADING COMPAN"/>
    <n v="206066"/>
    <s v="GAJANAND CEMENT AGENCY"/>
    <n v="116"/>
    <n v="61"/>
    <n v="63"/>
    <n v="134.5"/>
    <n v="115"/>
    <n v="65"/>
    <n v="44.5"/>
    <n v="599"/>
    <n v="85.571428571428569"/>
    <x v="3"/>
    <x v="16"/>
    <x v="6"/>
    <x v="1"/>
  </r>
  <r>
    <s v="813146206066"/>
    <n v="813146"/>
    <s v="SHREE ASHAPURA BUILDING MATERI"/>
    <n v="206066"/>
    <s v="GAJANAND CEMENT AGENCY"/>
    <n v="120"/>
    <n v="29"/>
    <n v="48"/>
    <n v="145"/>
    <n v="142"/>
    <n v="200"/>
    <n v="30"/>
    <n v="714"/>
    <n v="102"/>
    <x v="3"/>
    <x v="16"/>
    <x v="6"/>
    <x v="1"/>
  </r>
  <r>
    <s v="814910206066"/>
    <n v="814910"/>
    <s v="BHANWAR LAL"/>
    <n v="206066"/>
    <s v="GAJANAND CEMENT AGENCY"/>
    <n v="157"/>
    <n v="80"/>
    <n v="12"/>
    <n v="114"/>
    <n v="100"/>
    <n v="185"/>
    <n v="60"/>
    <n v="708"/>
    <n v="101.14285714285714"/>
    <x v="3"/>
    <x v="16"/>
    <x v="6"/>
    <x v="1"/>
  </r>
  <r>
    <s v="815510206066"/>
    <n v="815510"/>
    <s v="SHANTI LAL"/>
    <n v="206066"/>
    <s v="GAJANAND CEMENT AGENCY"/>
    <n v="0"/>
    <n v="0"/>
    <n v="0"/>
    <n v="80"/>
    <n v="70"/>
    <n v="73"/>
    <n v="45"/>
    <n v="268"/>
    <n v="38.285714285714285"/>
    <x v="4"/>
    <x v="16"/>
    <x v="6"/>
    <x v="1"/>
  </r>
  <r>
    <s v="805870206441"/>
    <n v="805870"/>
    <s v="SURESH KUMAR PUKHRAJ"/>
    <n v="206441"/>
    <s v="SHREE AMBIKA CEMENT COMPANY"/>
    <n v="40"/>
    <n v="20"/>
    <n v="67"/>
    <n v="60"/>
    <n v="90"/>
    <n v="59"/>
    <n v="45"/>
    <n v="381"/>
    <n v="54.428571428571431"/>
    <x v="3"/>
    <x v="16"/>
    <x v="6"/>
    <x v="1"/>
  </r>
  <r>
    <s v="813621206441"/>
    <n v="813621"/>
    <s v="DHANLAXMI CEMENT AGENCY"/>
    <n v="206441"/>
    <s v="SHREE AMBIKA CEMENT COMPANY"/>
    <n v="10"/>
    <n v="0"/>
    <n v="0"/>
    <n v="10"/>
    <n v="65"/>
    <n v="0"/>
    <n v="6.5"/>
    <n v="91.5"/>
    <n v="13.071428571428571"/>
    <x v="2"/>
    <x v="16"/>
    <x v="6"/>
    <x v="1"/>
  </r>
  <r>
    <s v="814839206441"/>
    <n v="814839"/>
    <s v="VIKRAM KUMAR PRAJAPAT"/>
    <n v="206441"/>
    <s v="SHREE AMBIKA CEMENT COMPANY"/>
    <n v="90"/>
    <n v="10"/>
    <n v="52"/>
    <n v="70"/>
    <n v="65"/>
    <n v="45"/>
    <n v="46.5"/>
    <n v="378.5"/>
    <n v="54.071428571428569"/>
    <x v="3"/>
    <x v="16"/>
    <x v="6"/>
    <x v="1"/>
  </r>
  <r>
    <s v="814901206441"/>
    <n v="814901"/>
    <s v="SURESH KUMAR HEMAJI PRAJAPAT"/>
    <n v="206441"/>
    <s v="SHREE AMBIKA CEMENT COMPANY"/>
    <n v="0"/>
    <n v="0"/>
    <n v="0"/>
    <n v="30"/>
    <n v="80"/>
    <n v="60"/>
    <n v="40"/>
    <n v="210"/>
    <n v="30"/>
    <x v="4"/>
    <x v="16"/>
    <x v="6"/>
    <x v="1"/>
  </r>
  <r>
    <s v="814805206956"/>
    <n v="814805"/>
    <s v="SHOKAT KHAN"/>
    <n v="206956"/>
    <s v="KHETESHWAR DATA CONTRACTOR"/>
    <n v="50"/>
    <n v="44"/>
    <n v="116"/>
    <n v="109.5"/>
    <n v="92.75"/>
    <n v="65"/>
    <n v="15"/>
    <n v="492.25"/>
    <n v="70.321428571428569"/>
    <x v="3"/>
    <x v="16"/>
    <x v="6"/>
    <x v="1"/>
  </r>
  <r>
    <s v="806885206441"/>
    <n v="806885"/>
    <s v="NEW RAMDEV KIRANA STORE"/>
    <n v="206441"/>
    <s v="SHREE AMBIKA CEMENT COMPANY"/>
    <n v="0"/>
    <n v="0"/>
    <n v="0"/>
    <n v="0"/>
    <n v="0"/>
    <n v="0"/>
    <n v="14"/>
    <n v="14"/>
    <n v="2"/>
    <x v="1"/>
    <x v="16"/>
    <x v="6"/>
    <x v="1"/>
  </r>
  <r>
    <s v="816427173849"/>
    <n v="816427"/>
    <s v="KHEEM SINGH"/>
    <n v="173849"/>
    <s v="MAHADEV HARDWARE"/>
    <n v="0"/>
    <n v="0"/>
    <n v="0"/>
    <n v="0"/>
    <n v="0"/>
    <n v="0"/>
    <n v="18"/>
    <n v="18"/>
    <n v="2.5714285714285716"/>
    <x v="1"/>
    <x v="16"/>
    <x v="6"/>
    <x v="1"/>
  </r>
  <r>
    <s v="801727170904"/>
    <n v="801727"/>
    <s v="RAMESH KUMAR DHAN RAJ JI"/>
    <n v="170904"/>
    <s v="ASHAPURA CEMENT SALES"/>
    <n v="0"/>
    <n v="0"/>
    <n v="0"/>
    <n v="0"/>
    <n v="0"/>
    <n v="5"/>
    <n v="0"/>
    <n v="5"/>
    <n v="0.7142857142857143"/>
    <x v="1"/>
    <x v="17"/>
    <x v="6"/>
    <x v="1"/>
  </r>
  <r>
    <s v="807258170904"/>
    <n v="807258"/>
    <s v="SHREE BALAJI CEMENT SALES"/>
    <n v="170904"/>
    <s v="ASHAPURA CEMENT SALES"/>
    <n v="16"/>
    <n v="23"/>
    <n v="20"/>
    <n v="26"/>
    <n v="39"/>
    <n v="25"/>
    <n v="11"/>
    <n v="160"/>
    <n v="22.857142857142858"/>
    <x v="0"/>
    <x v="17"/>
    <x v="6"/>
    <x v="1"/>
  </r>
  <r>
    <s v="808413170904"/>
    <n v="808413"/>
    <s v="SHREE BAJRANG HARDWARE"/>
    <n v="170904"/>
    <s v="ASHAPURA CEMENT SALES"/>
    <n v="28"/>
    <n v="48"/>
    <n v="52"/>
    <n v="89"/>
    <n v="93"/>
    <n v="65"/>
    <n v="34"/>
    <n v="409"/>
    <n v="58.428571428571431"/>
    <x v="3"/>
    <x v="17"/>
    <x v="6"/>
    <x v="1"/>
  </r>
  <r>
    <s v="809212170904"/>
    <n v="809212"/>
    <s v="SAMA RAM"/>
    <n v="170904"/>
    <s v="ASHAPURA CEMENT SALES"/>
    <n v="16"/>
    <n v="30"/>
    <n v="38"/>
    <n v="55"/>
    <n v="18"/>
    <n v="48"/>
    <n v="16"/>
    <n v="221"/>
    <n v="31.571428571428573"/>
    <x v="4"/>
    <x v="17"/>
    <x v="6"/>
    <x v="1"/>
  </r>
  <r>
    <s v="809421170904"/>
    <n v="809421"/>
    <s v="KALA RAM CHOUDHARY"/>
    <n v="170904"/>
    <s v="ASHAPURA CEMENT SALES"/>
    <n v="16"/>
    <n v="12"/>
    <n v="20"/>
    <n v="36"/>
    <n v="20"/>
    <n v="32"/>
    <n v="0"/>
    <n v="136"/>
    <n v="19.428571428571427"/>
    <x v="2"/>
    <x v="17"/>
    <x v="6"/>
    <x v="1"/>
  </r>
  <r>
    <s v="813983170904"/>
    <n v="813983"/>
    <s v="RAMESH KUMAR"/>
    <n v="170904"/>
    <s v="ASHAPURA CEMENT SALES"/>
    <n v="43"/>
    <n v="56"/>
    <n v="44"/>
    <n v="63"/>
    <n v="61"/>
    <n v="57.5"/>
    <n v="21"/>
    <n v="345.5"/>
    <n v="49.357142857142854"/>
    <x v="5"/>
    <x v="17"/>
    <x v="6"/>
    <x v="1"/>
  </r>
  <r>
    <s v="814905170904"/>
    <n v="814905"/>
    <s v="PRAVEEN CHOUDHARY"/>
    <n v="170904"/>
    <s v="ASHAPURA CEMENT SALES"/>
    <n v="88"/>
    <n v="54"/>
    <n v="54"/>
    <n v="68"/>
    <n v="71"/>
    <n v="73"/>
    <n v="37"/>
    <n v="445"/>
    <n v="63.571428571428569"/>
    <x v="3"/>
    <x v="17"/>
    <x v="6"/>
    <x v="1"/>
  </r>
  <r>
    <s v="815271170904"/>
    <n v="815271"/>
    <s v="VAGTA RAM SIRVI"/>
    <n v="170904"/>
    <s v="ASHAPURA CEMENT SALES"/>
    <n v="0"/>
    <n v="0"/>
    <n v="47"/>
    <n v="66"/>
    <n v="81.75"/>
    <n v="65"/>
    <n v="37.65"/>
    <n v="297.39999999999998"/>
    <n v="42.48571428571428"/>
    <x v="5"/>
    <x v="17"/>
    <x v="6"/>
    <x v="1"/>
  </r>
  <r>
    <s v="809279173288"/>
    <n v="809279"/>
    <s v="AAI JI CEMENT"/>
    <n v="173288"/>
    <s v="BHAGWATI STEELS"/>
    <n v="0"/>
    <n v="18"/>
    <n v="10"/>
    <n v="17.5"/>
    <n v="6"/>
    <n v="17.5"/>
    <n v="0"/>
    <n v="69"/>
    <n v="9.8571428571428577"/>
    <x v="1"/>
    <x v="17"/>
    <x v="6"/>
    <x v="1"/>
  </r>
  <r>
    <s v="811071173288"/>
    <n v="811071"/>
    <s v="MAA ASHAPURA CEMENT DEPOT"/>
    <n v="173288"/>
    <s v="BHAGWATI STEELS"/>
    <n v="0"/>
    <n v="26"/>
    <n v="16"/>
    <n v="7.5"/>
    <n v="0"/>
    <n v="18"/>
    <n v="0"/>
    <n v="67.5"/>
    <n v="9.6428571428571423"/>
    <x v="1"/>
    <x v="17"/>
    <x v="6"/>
    <x v="1"/>
  </r>
  <r>
    <s v="811214173288"/>
    <n v="811214"/>
    <s v="BHAGWATI BUILDING MATERIAL"/>
    <n v="173288"/>
    <s v="BHAGWATI STEELS"/>
    <n v="0"/>
    <n v="26"/>
    <n v="45"/>
    <n v="13"/>
    <n v="9"/>
    <n v="22"/>
    <n v="0"/>
    <n v="115"/>
    <n v="16.428571428571427"/>
    <x v="2"/>
    <x v="17"/>
    <x v="6"/>
    <x v="1"/>
  </r>
  <r>
    <s v="807259176929"/>
    <n v="807259"/>
    <s v="MAHADEV AGENCIES"/>
    <n v="176929"/>
    <s v="BHARAT TRADERS"/>
    <n v="12"/>
    <n v="0"/>
    <n v="0"/>
    <n v="40"/>
    <n v="0.5"/>
    <n v="42"/>
    <n v="8"/>
    <n v="102.5"/>
    <n v="14.642857142857142"/>
    <x v="2"/>
    <x v="17"/>
    <x v="6"/>
    <x v="1"/>
  </r>
  <r>
    <s v="809552176929"/>
    <n v="809552"/>
    <s v="PRAGATI CEMENT BHANDAR"/>
    <n v="176929"/>
    <s v="BHARAT TRADERS"/>
    <n v="89"/>
    <n v="0"/>
    <n v="35"/>
    <n v="92"/>
    <n v="99.75"/>
    <n v="127"/>
    <n v="38"/>
    <n v="480.75"/>
    <n v="68.678571428571431"/>
    <x v="3"/>
    <x v="17"/>
    <x v="6"/>
    <x v="1"/>
  </r>
  <r>
    <s v="810304176929"/>
    <n v="810304"/>
    <s v="MATESHWARI CEMENT AGENCY"/>
    <n v="176929"/>
    <s v="BHARAT TRADERS"/>
    <n v="22"/>
    <n v="0"/>
    <n v="0"/>
    <n v="0"/>
    <n v="0"/>
    <n v="0"/>
    <n v="0"/>
    <n v="22"/>
    <n v="3.1428571428571428"/>
    <x v="1"/>
    <x v="17"/>
    <x v="6"/>
    <x v="1"/>
  </r>
  <r>
    <s v="808578179928"/>
    <n v="808578"/>
    <s v="KANTI LAL"/>
    <n v="179928"/>
    <s v="BHAIRAV BUILDING MATERIAL SUPP"/>
    <n v="61"/>
    <n v="65"/>
    <n v="56.5"/>
    <n v="44.5"/>
    <n v="105.5"/>
    <n v="28"/>
    <n v="7"/>
    <n v="367.5"/>
    <n v="52.5"/>
    <x v="3"/>
    <x v="17"/>
    <x v="6"/>
    <x v="1"/>
  </r>
  <r>
    <s v="812664179928"/>
    <n v="812664"/>
    <s v="SHAKTI SINGH"/>
    <n v="179928"/>
    <s v="BHAIRAV BUILDING MATERIAL SUPP"/>
    <n v="89.5"/>
    <n v="61"/>
    <n v="66"/>
    <n v="38"/>
    <n v="56.75"/>
    <n v="10"/>
    <n v="0"/>
    <n v="321.25"/>
    <n v="45.892857142857146"/>
    <x v="5"/>
    <x v="17"/>
    <x v="6"/>
    <x v="1"/>
  </r>
  <r>
    <s v="812666179928"/>
    <n v="812666"/>
    <s v="JAI ASHAPURA MARBLE GRANITE &amp;"/>
    <n v="179928"/>
    <s v="BHAIRAV BUILDING MATERIAL SUPP"/>
    <n v="110.5"/>
    <n v="50"/>
    <n v="65.5"/>
    <n v="71.849999999999994"/>
    <n v="104"/>
    <n v="60"/>
    <n v="26"/>
    <n v="487.85"/>
    <n v="69.69285714285715"/>
    <x v="3"/>
    <x v="17"/>
    <x v="6"/>
    <x v="1"/>
  </r>
  <r>
    <s v="813192179928"/>
    <n v="813192"/>
    <s v="THANA RAM PRAJAPATI"/>
    <n v="179928"/>
    <s v="BHAIRAV BUILDING MATERIAL SUPP"/>
    <n v="47"/>
    <n v="34"/>
    <n v="29"/>
    <n v="20.5"/>
    <n v="39.5"/>
    <n v="0"/>
    <n v="25"/>
    <n v="195"/>
    <n v="27.857142857142858"/>
    <x v="0"/>
    <x v="17"/>
    <x v="6"/>
    <x v="1"/>
  </r>
  <r>
    <s v="815869179928"/>
    <n v="815869"/>
    <s v="SHARIF KHAN"/>
    <n v="179928"/>
    <s v="BHAIRAV BUILDING MATERIAL SUPP"/>
    <n v="0"/>
    <n v="0"/>
    <n v="0"/>
    <n v="0"/>
    <n v="0"/>
    <n v="42.75"/>
    <n v="45"/>
    <n v="87.75"/>
    <n v="12.535714285714286"/>
    <x v="2"/>
    <x v="17"/>
    <x v="6"/>
    <x v="1"/>
  </r>
  <r>
    <s v="815946179928"/>
    <n v="815946"/>
    <s v="PARKA RAM PATEL"/>
    <n v="179928"/>
    <s v="BHAIRAV BUILDING MATERIAL SUPP"/>
    <n v="0"/>
    <n v="0"/>
    <n v="0"/>
    <n v="0"/>
    <n v="0"/>
    <n v="31"/>
    <n v="46"/>
    <n v="77"/>
    <n v="11"/>
    <x v="2"/>
    <x v="17"/>
    <x v="6"/>
    <x v="1"/>
  </r>
  <r>
    <s v="804429201280"/>
    <n v="804429"/>
    <s v="LACKY CEMENT AGENCY"/>
    <n v="201280"/>
    <s v="SIDDHI VINAYAK CEMENT DISTRIBU"/>
    <n v="0"/>
    <n v="0"/>
    <n v="8"/>
    <n v="37"/>
    <n v="15"/>
    <n v="15"/>
    <n v="0"/>
    <n v="75"/>
    <n v="10.714285714285714"/>
    <x v="2"/>
    <x v="17"/>
    <x v="6"/>
    <x v="1"/>
  </r>
  <r>
    <s v="807704201280"/>
    <n v="807704"/>
    <s v="SANWARIYA MARBLE AND STONE"/>
    <n v="201280"/>
    <s v="SIDDHI VINAYAK CEMENT DISTRIBU"/>
    <n v="20"/>
    <n v="45"/>
    <n v="32"/>
    <n v="19.649999999999999"/>
    <n v="97"/>
    <n v="31"/>
    <n v="0"/>
    <n v="244.65"/>
    <n v="34.950000000000003"/>
    <x v="4"/>
    <x v="17"/>
    <x v="6"/>
    <x v="1"/>
  </r>
  <r>
    <s v="807826201280"/>
    <n v="807826"/>
    <s v="BHAIRAV TRADING COMPANY"/>
    <n v="201280"/>
    <s v="SIDDHI VINAYAK CEMENT DISTRIBU"/>
    <n v="0"/>
    <n v="0"/>
    <n v="12"/>
    <n v="8"/>
    <n v="0"/>
    <n v="31"/>
    <n v="0"/>
    <n v="51"/>
    <n v="7.2857142857142856"/>
    <x v="1"/>
    <x v="17"/>
    <x v="6"/>
    <x v="1"/>
  </r>
  <r>
    <s v="810894201280"/>
    <n v="810894"/>
    <s v="SHRI KHETLAJI HARDWARE"/>
    <n v="201280"/>
    <s v="SIDDHI VINAYAK CEMENT DISTRIBU"/>
    <n v="0"/>
    <n v="37"/>
    <n v="62.5"/>
    <n v="116.5"/>
    <n v="103.75"/>
    <n v="74.5"/>
    <n v="42"/>
    <n v="436.25"/>
    <n v="62.321428571428569"/>
    <x v="3"/>
    <x v="17"/>
    <x v="6"/>
    <x v="1"/>
  </r>
  <r>
    <s v="811685201280"/>
    <n v="811685"/>
    <s v="SHREE CHAMUNDA STONE"/>
    <n v="201280"/>
    <s v="SIDDHI VINAYAK CEMENT DISTRIBU"/>
    <n v="60"/>
    <n v="0"/>
    <n v="35"/>
    <n v="102.5"/>
    <n v="88"/>
    <n v="64"/>
    <n v="25"/>
    <n v="374.5"/>
    <n v="53.5"/>
    <x v="3"/>
    <x v="17"/>
    <x v="6"/>
    <x v="1"/>
  </r>
  <r>
    <s v="811735201280"/>
    <n v="811735"/>
    <s v="FARHAN AHMED"/>
    <n v="201280"/>
    <s v="SIDDHI VINAYAK CEMENT DISTRIBU"/>
    <n v="99"/>
    <n v="63"/>
    <n v="82.25"/>
    <n v="139"/>
    <n v="54"/>
    <n v="76.5"/>
    <n v="47"/>
    <n v="560.75"/>
    <n v="80.107142857142861"/>
    <x v="3"/>
    <x v="17"/>
    <x v="6"/>
    <x v="1"/>
  </r>
  <r>
    <s v="812668201280"/>
    <n v="812668"/>
    <s v="SAILANI CEMENT AGENCY"/>
    <n v="201280"/>
    <s v="SIDDHI VINAYAK CEMENT DISTRIBU"/>
    <n v="30"/>
    <n v="15"/>
    <n v="15"/>
    <n v="21"/>
    <n v="43.5"/>
    <n v="15.5"/>
    <n v="0"/>
    <n v="140"/>
    <n v="20"/>
    <x v="0"/>
    <x v="17"/>
    <x v="6"/>
    <x v="1"/>
  </r>
  <r>
    <s v="812792201280"/>
    <n v="812792"/>
    <s v="VINAYAK CEMENT AGENCY"/>
    <n v="201280"/>
    <s v="SIDDHI VINAYAK CEMENT DISTRIBU"/>
    <n v="0"/>
    <n v="0"/>
    <n v="0"/>
    <n v="102"/>
    <n v="57"/>
    <n v="107"/>
    <n v="58"/>
    <n v="324"/>
    <n v="46.285714285714285"/>
    <x v="5"/>
    <x v="17"/>
    <x v="6"/>
    <x v="1"/>
  </r>
  <r>
    <s v="812996201280"/>
    <n v="812996"/>
    <s v="MAHESH KUMAR BHIKAM CHAND CEME"/>
    <n v="201280"/>
    <s v="SIDDHI VINAYAK CEMENT DISTRIBU"/>
    <n v="72"/>
    <n v="0"/>
    <n v="31"/>
    <n v="26"/>
    <n v="2"/>
    <n v="14"/>
    <n v="0"/>
    <n v="145"/>
    <n v="20.714285714285715"/>
    <x v="0"/>
    <x v="17"/>
    <x v="6"/>
    <x v="1"/>
  </r>
  <r>
    <s v="813001201280"/>
    <n v="813001"/>
    <s v="MANROOP TARACHAND AGARWAL"/>
    <n v="201280"/>
    <s v="SIDDHI VINAYAK CEMENT DISTRIBU"/>
    <n v="45"/>
    <n v="0"/>
    <n v="84"/>
    <n v="89"/>
    <n v="22"/>
    <n v="1"/>
    <n v="0"/>
    <n v="241"/>
    <n v="34.428571428571431"/>
    <x v="4"/>
    <x v="17"/>
    <x v="6"/>
    <x v="1"/>
  </r>
  <r>
    <s v="813002201280"/>
    <n v="813002"/>
    <s v="NIKHIL CHANDANI"/>
    <n v="201280"/>
    <s v="SIDDHI VINAYAK CEMENT DISTRIBU"/>
    <n v="376.7"/>
    <n v="0"/>
    <n v="0"/>
    <n v="113"/>
    <n v="156"/>
    <n v="157"/>
    <n v="221"/>
    <n v="1023.7"/>
    <n v="146.24285714285716"/>
    <x v="3"/>
    <x v="17"/>
    <x v="6"/>
    <x v="1"/>
  </r>
  <r>
    <s v="814130201280"/>
    <n v="814130"/>
    <s v="AMIR SOHIL"/>
    <n v="201280"/>
    <s v="SIDDHI VINAYAK CEMENT DISTRIBU"/>
    <n v="150.25"/>
    <n v="55"/>
    <n v="130"/>
    <n v="110.4"/>
    <n v="96"/>
    <n v="86"/>
    <n v="40"/>
    <n v="667.65"/>
    <n v="95.378571428571419"/>
    <x v="3"/>
    <x v="17"/>
    <x v="6"/>
    <x v="1"/>
  </r>
  <r>
    <s v="814891201280"/>
    <n v="814891"/>
    <s v="SHANTI  LAL JAIN"/>
    <n v="201280"/>
    <s v="SIDDHI VINAYAK CEMENT DISTRIBU"/>
    <n v="30"/>
    <n v="25"/>
    <n v="42"/>
    <n v="51.5"/>
    <n v="54"/>
    <n v="37"/>
    <n v="30"/>
    <n v="269.5"/>
    <n v="38.5"/>
    <x v="4"/>
    <x v="17"/>
    <x v="6"/>
    <x v="1"/>
  </r>
  <r>
    <s v="801878176773"/>
    <n v="801878"/>
    <s v="CHAMUNDA CEMENT AGENCY"/>
    <n v="176773"/>
    <s v="MANIK CHAND LAKHMI CHAND"/>
    <n v="70.5"/>
    <n v="147.05000000000001"/>
    <n v="136.5"/>
    <n v="107.2"/>
    <n v="84"/>
    <n v="50.25"/>
    <n v="40.85"/>
    <n v="636.35"/>
    <n v="90.907142857142858"/>
    <x v="3"/>
    <x v="18"/>
    <x v="6"/>
    <x v="1"/>
  </r>
  <r>
    <s v="801883176773"/>
    <n v="801883"/>
    <s v="SHRI RAM TRADERS"/>
    <n v="176773"/>
    <s v="MANIK CHAND LAKHMI CHAND"/>
    <n v="90"/>
    <n v="216.5"/>
    <n v="246.5"/>
    <n v="366.5"/>
    <n v="328.25"/>
    <n v="146.25"/>
    <n v="169.1"/>
    <n v="1563.1"/>
    <n v="223.29999999999998"/>
    <x v="3"/>
    <x v="18"/>
    <x v="6"/>
    <x v="1"/>
  </r>
  <r>
    <s v="801999176773"/>
    <n v="801999"/>
    <s v="MAHENDRA TRADERS"/>
    <n v="176773"/>
    <s v="MANIK CHAND LAKHMI CHAND"/>
    <n v="138"/>
    <n v="204.5"/>
    <n v="199.05"/>
    <n v="241.1"/>
    <n v="179.5"/>
    <n v="129.15"/>
    <n v="128.65"/>
    <n v="1219.95"/>
    <n v="174.27857142857144"/>
    <x v="3"/>
    <x v="18"/>
    <x v="6"/>
    <x v="1"/>
  </r>
  <r>
    <s v="802044176773"/>
    <n v="802044"/>
    <s v="PAWAN SALES AGENCIES"/>
    <n v="176773"/>
    <s v="MANIK CHAND LAKHMI CHAND"/>
    <n v="50"/>
    <n v="80"/>
    <n v="91.5"/>
    <n v="78"/>
    <n v="42.5"/>
    <n v="25"/>
    <n v="57.5"/>
    <n v="424.5"/>
    <n v="60.642857142857146"/>
    <x v="3"/>
    <x v="18"/>
    <x v="6"/>
    <x v="1"/>
  </r>
  <r>
    <s v="802089176773"/>
    <n v="802089"/>
    <s v="RAKESH AGENCIES"/>
    <n v="176773"/>
    <s v="MANIK CHAND LAKHMI CHAND"/>
    <n v="103.9"/>
    <n v="122.5"/>
    <n v="103.5"/>
    <n v="120"/>
    <n v="135"/>
    <n v="111.55"/>
    <n v="99"/>
    <n v="795.44999999999993"/>
    <n v="113.63571428571427"/>
    <x v="3"/>
    <x v="18"/>
    <x v="6"/>
    <x v="1"/>
  </r>
  <r>
    <s v="802117176773"/>
    <n v="802117"/>
    <s v="GAYTRI TRADING COMPANY"/>
    <n v="176773"/>
    <s v="MANIK CHAND LAKHMI CHAND"/>
    <n v="165"/>
    <n v="215"/>
    <n v="225"/>
    <n v="277"/>
    <n v="208.5"/>
    <n v="175"/>
    <n v="140"/>
    <n v="1405.5"/>
    <n v="200.78571428571428"/>
    <x v="3"/>
    <x v="18"/>
    <x v="6"/>
    <x v="1"/>
  </r>
  <r>
    <s v="802913176773"/>
    <n v="802913"/>
    <s v="GAYATRI SALES"/>
    <n v="176773"/>
    <s v="MANIK CHAND LAKHMI CHAND"/>
    <n v="39.9"/>
    <n v="27.5"/>
    <n v="60"/>
    <n v="137.65"/>
    <n v="105"/>
    <n v="88.5"/>
    <n v="56"/>
    <n v="514.54999999999995"/>
    <n v="73.507142857142853"/>
    <x v="3"/>
    <x v="18"/>
    <x v="6"/>
    <x v="1"/>
  </r>
  <r>
    <s v="803351176773"/>
    <n v="803351"/>
    <s v="NAGANESHI CEMENT"/>
    <n v="176773"/>
    <s v="MANIK CHAND LAKHMI CHAND"/>
    <n v="0"/>
    <n v="15"/>
    <n v="26"/>
    <n v="17.5"/>
    <n v="0"/>
    <n v="0"/>
    <n v="10"/>
    <n v="68.5"/>
    <n v="9.7857142857142865"/>
    <x v="1"/>
    <x v="18"/>
    <x v="6"/>
    <x v="1"/>
  </r>
  <r>
    <s v="805872176773"/>
    <n v="805872"/>
    <s v="RAMDEV STONE POLISHING"/>
    <n v="176773"/>
    <s v="MANIK CHAND LAKHMI CHAND"/>
    <n v="32.5"/>
    <n v="35"/>
    <n v="60"/>
    <n v="37.5"/>
    <n v="50.25"/>
    <n v="0"/>
    <n v="0"/>
    <n v="215.25"/>
    <n v="30.75"/>
    <x v="4"/>
    <x v="18"/>
    <x v="6"/>
    <x v="1"/>
  </r>
  <r>
    <s v="807949176773"/>
    <n v="807949"/>
    <s v="VISHNU CEMENT DEPO"/>
    <n v="176773"/>
    <s v="MANIK CHAND LAKHMI CHAND"/>
    <n v="20"/>
    <n v="25"/>
    <n v="30"/>
    <n v="12.5"/>
    <n v="32.5"/>
    <n v="20"/>
    <n v="12.5"/>
    <n v="152.5"/>
    <n v="21.785714285714285"/>
    <x v="0"/>
    <x v="18"/>
    <x v="6"/>
    <x v="1"/>
  </r>
  <r>
    <s v="808693176773"/>
    <n v="808693"/>
    <s v="VARUN ENTERPRISES"/>
    <n v="176773"/>
    <s v="MANIK CHAND LAKHMI CHAND"/>
    <n v="71"/>
    <n v="87.5"/>
    <n v="314"/>
    <n v="185"/>
    <n v="284.5"/>
    <n v="172.85"/>
    <n v="162.5"/>
    <n v="1277.3499999999999"/>
    <n v="182.47857142857143"/>
    <x v="3"/>
    <x v="18"/>
    <x v="6"/>
    <x v="1"/>
  </r>
  <r>
    <s v="810843176773"/>
    <n v="810843"/>
    <s v="RAJESHWAR KIRANA STORE"/>
    <n v="176773"/>
    <s v="MANIK CHAND LAKHMI CHAND"/>
    <n v="14.5"/>
    <n v="17.5"/>
    <n v="42.5"/>
    <n v="63.5"/>
    <n v="42.25"/>
    <n v="22.5"/>
    <n v="19.5"/>
    <n v="222.25"/>
    <n v="31.75"/>
    <x v="4"/>
    <x v="18"/>
    <x v="6"/>
    <x v="1"/>
  </r>
  <r>
    <s v="811255176773"/>
    <n v="811255"/>
    <s v="SHAKTI STEEL"/>
    <n v="176773"/>
    <s v="MANIK CHAND LAKHMI CHAND"/>
    <n v="15"/>
    <n v="15"/>
    <n v="15"/>
    <n v="26.25"/>
    <n v="15"/>
    <n v="15"/>
    <n v="15"/>
    <n v="116.25"/>
    <n v="16.607142857142858"/>
    <x v="2"/>
    <x v="18"/>
    <x v="6"/>
    <x v="1"/>
  </r>
  <r>
    <s v="811625176773"/>
    <n v="811625"/>
    <s v="KAILASH KUMAR MALI S/O SHRI UK"/>
    <n v="176773"/>
    <s v="MANIK CHAND LAKHMI CHAND"/>
    <n v="45"/>
    <n v="30.25"/>
    <n v="33"/>
    <n v="49.75"/>
    <n v="27"/>
    <n v="40.9"/>
    <n v="31.5"/>
    <n v="257.39999999999998"/>
    <n v="36.771428571428565"/>
    <x v="4"/>
    <x v="18"/>
    <x v="6"/>
    <x v="1"/>
  </r>
  <r>
    <s v="812768176773"/>
    <n v="812768"/>
    <s v="SHRI BALAJI CEMENT AGENCY"/>
    <n v="176773"/>
    <s v="MANIK CHAND LAKHMI CHAND"/>
    <n v="17.5"/>
    <n v="25"/>
    <n v="28"/>
    <n v="17.5"/>
    <n v="30"/>
    <n v="7.5"/>
    <n v="0"/>
    <n v="125.5"/>
    <n v="17.928571428571427"/>
    <x v="2"/>
    <x v="18"/>
    <x v="6"/>
    <x v="1"/>
  </r>
  <r>
    <s v="813981176773"/>
    <n v="813981"/>
    <s v="SHREE STHIT KARNI TRADERS"/>
    <n v="176773"/>
    <s v="MANIK CHAND LAKHMI CHAND"/>
    <n v="30.5"/>
    <n v="25"/>
    <n v="10"/>
    <n v="15"/>
    <n v="26"/>
    <n v="22.5"/>
    <n v="17"/>
    <n v="146"/>
    <n v="20.857142857142858"/>
    <x v="0"/>
    <x v="18"/>
    <x v="6"/>
    <x v="1"/>
  </r>
  <r>
    <s v="814129176773"/>
    <n v="814129"/>
    <s v="MAJISA CONTRACTORS"/>
    <n v="176773"/>
    <s v="MANIK CHAND LAKHMI CHAND"/>
    <n v="27.5"/>
    <n v="17.2"/>
    <n v="47.5"/>
    <n v="38"/>
    <n v="32.15"/>
    <n v="0"/>
    <n v="22.5"/>
    <n v="184.85"/>
    <n v="26.407142857142855"/>
    <x v="0"/>
    <x v="18"/>
    <x v="6"/>
    <x v="1"/>
  </r>
  <r>
    <s v="814397176773"/>
    <n v="814397"/>
    <s v="SHANTI LAL SHANKAR JI PUROHIT"/>
    <n v="176773"/>
    <s v="MANIK CHAND LAKHMI CHAND"/>
    <n v="50"/>
    <n v="82.5"/>
    <n v="118"/>
    <n v="75"/>
    <n v="52.5"/>
    <n v="25"/>
    <n v="0"/>
    <n v="403"/>
    <n v="57.571428571428569"/>
    <x v="3"/>
    <x v="18"/>
    <x v="6"/>
    <x v="1"/>
  </r>
  <r>
    <s v="815993176773"/>
    <n v="815993"/>
    <s v="TOLJI CEMENT AGENCY HARDWARE &amp;"/>
    <n v="176773"/>
    <s v="MANIK CHAND LAKHMI CHAND"/>
    <n v="0"/>
    <n v="0"/>
    <n v="0"/>
    <n v="0"/>
    <n v="70"/>
    <n v="60"/>
    <n v="71.650000000000006"/>
    <n v="201.65"/>
    <n v="28.807142857142857"/>
    <x v="0"/>
    <x v="18"/>
    <x v="6"/>
    <x v="1"/>
  </r>
  <r>
    <s v="816252176773"/>
    <n v="816252"/>
    <s v="ASHAPURA HARDWARE"/>
    <n v="176773"/>
    <s v="MANIK CHAND LAKHMI CHAND"/>
    <n v="0"/>
    <n v="0"/>
    <n v="0"/>
    <n v="0"/>
    <n v="0"/>
    <n v="40"/>
    <n v="30"/>
    <n v="70"/>
    <n v="10"/>
    <x v="2"/>
    <x v="18"/>
    <x v="6"/>
    <x v="1"/>
  </r>
  <r>
    <s v="816309176773"/>
    <n v="816309"/>
    <s v="SADHI CEMENT SUPPLIERS"/>
    <n v="176773"/>
    <s v="MANIK CHAND LAKHMI CHAND"/>
    <n v="0"/>
    <n v="0"/>
    <n v="0"/>
    <n v="0"/>
    <n v="0"/>
    <n v="42"/>
    <n v="44.25"/>
    <n v="86.25"/>
    <n v="12.321428571428571"/>
    <x v="2"/>
    <x v="18"/>
    <x v="6"/>
    <x v="1"/>
  </r>
  <r>
    <s v="812909203156"/>
    <n v="812909"/>
    <s v="RANAWAT CONSTRUCTION"/>
    <n v="203156"/>
    <s v="AMBESHWAR TRADING COMPANY"/>
    <n v="10"/>
    <n v="5"/>
    <n v="0"/>
    <n v="30"/>
    <n v="12.5"/>
    <n v="47.5"/>
    <n v="52.5"/>
    <n v="157.5"/>
    <n v="22.5"/>
    <x v="0"/>
    <x v="18"/>
    <x v="6"/>
    <x v="1"/>
  </r>
  <r>
    <s v="808572205306"/>
    <n v="808572"/>
    <s v="TARUN KUMAR"/>
    <n v="205306"/>
    <s v="M J TRADERS"/>
    <n v="20"/>
    <n v="70"/>
    <n v="32.5"/>
    <n v="80"/>
    <n v="45"/>
    <n v="40"/>
    <n v="40"/>
    <n v="327.5"/>
    <n v="46.785714285714285"/>
    <x v="5"/>
    <x v="18"/>
    <x v="6"/>
    <x v="1"/>
  </r>
  <r>
    <s v="813984205306"/>
    <n v="813984"/>
    <s v="HRIDYESHPAL SINGH GURJAR"/>
    <n v="205306"/>
    <s v="M J TRADERS"/>
    <n v="0"/>
    <n v="30"/>
    <n v="12"/>
    <n v="20"/>
    <n v="40"/>
    <n v="12.5"/>
    <n v="12.5"/>
    <n v="127"/>
    <n v="18.142857142857142"/>
    <x v="2"/>
    <x v="18"/>
    <x v="6"/>
    <x v="1"/>
  </r>
  <r>
    <s v="801583119044"/>
    <n v="801583"/>
    <s v="GAUTAM CEMENT AGENCIES"/>
    <n v="119044"/>
    <s v="PANWAR TRADING CORPORATION LTD"/>
    <n v="70"/>
    <n v="0"/>
    <n v="179"/>
    <n v="65"/>
    <n v="2.5"/>
    <n v="0"/>
    <n v="0"/>
    <n v="316.5"/>
    <n v="45.214285714285715"/>
    <x v="5"/>
    <x v="19"/>
    <x v="7"/>
    <x v="1"/>
  </r>
  <r>
    <s v="801915119044"/>
    <n v="801915"/>
    <s v="MADINA BUILDERS"/>
    <n v="119044"/>
    <s v="PANWAR TRADING CORPORATION LTD"/>
    <n v="65"/>
    <n v="50"/>
    <n v="70"/>
    <n v="100"/>
    <n v="35"/>
    <n v="0"/>
    <n v="35"/>
    <n v="355"/>
    <n v="50.714285714285715"/>
    <x v="3"/>
    <x v="19"/>
    <x v="7"/>
    <x v="1"/>
  </r>
  <r>
    <s v="803952119044"/>
    <n v="803952"/>
    <s v="SHANKAR TRADING COMPANY"/>
    <n v="119044"/>
    <s v="PANWAR TRADING CORPORATION LTD"/>
    <n v="102.5"/>
    <n v="30"/>
    <n v="197"/>
    <n v="100"/>
    <n v="144.5"/>
    <n v="105"/>
    <n v="60"/>
    <n v="739"/>
    <n v="105.57142857142857"/>
    <x v="3"/>
    <x v="19"/>
    <x v="7"/>
    <x v="1"/>
  </r>
  <r>
    <s v="804106119044"/>
    <n v="804106"/>
    <s v="BHATI CEMENT SUPPLIERS"/>
    <n v="119044"/>
    <s v="PANWAR TRADING CORPORATION LTD"/>
    <n v="17.5"/>
    <n v="10"/>
    <n v="4"/>
    <n v="15"/>
    <n v="2"/>
    <n v="57.5"/>
    <n v="45"/>
    <n v="151"/>
    <n v="21.571428571428573"/>
    <x v="0"/>
    <x v="19"/>
    <x v="7"/>
    <x v="1"/>
  </r>
  <r>
    <s v="804135119044"/>
    <n v="804135"/>
    <s v="MAHALAXMI BUILDERS"/>
    <n v="119044"/>
    <s v="PANWAR TRADING CORPORATION LTD"/>
    <n v="0"/>
    <n v="0"/>
    <n v="12.5"/>
    <n v="5"/>
    <n v="32"/>
    <n v="26.25"/>
    <n v="16"/>
    <n v="91.75"/>
    <n v="13.107142857142858"/>
    <x v="2"/>
    <x v="19"/>
    <x v="7"/>
    <x v="1"/>
  </r>
  <r>
    <s v="805397119044"/>
    <n v="805397"/>
    <s v="AMBIKA TRADING COMPANY"/>
    <n v="119044"/>
    <s v="PANWAR TRADING CORPORATION LTD"/>
    <n v="20"/>
    <n v="20"/>
    <n v="30"/>
    <n v="40"/>
    <n v="2"/>
    <n v="0"/>
    <n v="0"/>
    <n v="112"/>
    <n v="16"/>
    <x v="2"/>
    <x v="19"/>
    <x v="7"/>
    <x v="1"/>
  </r>
  <r>
    <s v="806032119044"/>
    <n v="806032"/>
    <s v="SARASWAT CEMENT SUPPLIERS"/>
    <n v="119044"/>
    <s v="PANWAR TRADING CORPORATION LTD"/>
    <n v="22"/>
    <n v="10"/>
    <n v="15"/>
    <n v="60"/>
    <n v="12"/>
    <n v="15"/>
    <n v="0"/>
    <n v="134"/>
    <n v="19.142857142857142"/>
    <x v="2"/>
    <x v="19"/>
    <x v="7"/>
    <x v="1"/>
  </r>
  <r>
    <s v="807153119044"/>
    <n v="807153"/>
    <s v="KUKANA ENTERPRISES"/>
    <n v="119044"/>
    <s v="PANWAR TRADING CORPORATION LTD"/>
    <n v="0"/>
    <n v="15"/>
    <n v="26.5"/>
    <n v="0"/>
    <n v="15"/>
    <n v="0"/>
    <n v="0"/>
    <n v="56.5"/>
    <n v="8.0714285714285712"/>
    <x v="1"/>
    <x v="19"/>
    <x v="7"/>
    <x v="1"/>
  </r>
  <r>
    <s v="807594119044"/>
    <n v="807594"/>
    <s v="SARASWAT IRON STORE"/>
    <n v="119044"/>
    <s v="PANWAR TRADING CORPORATION LTD"/>
    <n v="50"/>
    <n v="30"/>
    <n v="117"/>
    <n v="0"/>
    <n v="72.5"/>
    <n v="30"/>
    <n v="0"/>
    <n v="299.5"/>
    <n v="42.785714285714285"/>
    <x v="5"/>
    <x v="19"/>
    <x v="7"/>
    <x v="1"/>
  </r>
  <r>
    <s v="807763119044"/>
    <n v="807763"/>
    <s v="HARI BUILDING MATERIAL"/>
    <n v="119044"/>
    <s v="PANWAR TRADING CORPORATION LTD"/>
    <n v="25"/>
    <n v="90"/>
    <n v="95"/>
    <n v="35"/>
    <n v="42.5"/>
    <n v="10"/>
    <n v="0"/>
    <n v="297.5"/>
    <n v="42.5"/>
    <x v="5"/>
    <x v="19"/>
    <x v="7"/>
    <x v="1"/>
  </r>
  <r>
    <s v="808283119044"/>
    <n v="808283"/>
    <s v="GANGA BUILDERS"/>
    <n v="119044"/>
    <s v="PANWAR TRADING CORPORATION LTD"/>
    <n v="11"/>
    <n v="20"/>
    <n v="20"/>
    <n v="39.65"/>
    <n v="17"/>
    <n v="10"/>
    <n v="35"/>
    <n v="152.65"/>
    <n v="21.807142857142857"/>
    <x v="0"/>
    <x v="19"/>
    <x v="7"/>
    <x v="1"/>
  </r>
  <r>
    <s v="808284119044"/>
    <n v="808284"/>
    <s v="LAKSHMI CEMENT &amp; BUILDING MATE"/>
    <n v="119044"/>
    <s v="PANWAR TRADING CORPORATION LTD"/>
    <n v="0"/>
    <n v="0"/>
    <n v="0"/>
    <n v="0"/>
    <n v="7"/>
    <n v="0"/>
    <n v="45"/>
    <n v="52"/>
    <n v="7.4285714285714288"/>
    <x v="1"/>
    <x v="19"/>
    <x v="7"/>
    <x v="1"/>
  </r>
  <r>
    <s v="808446119044"/>
    <n v="808446"/>
    <s v="BISHNA RAM"/>
    <n v="119044"/>
    <s v="PANWAR TRADING CORPORATION LTD"/>
    <n v="15"/>
    <n v="58.75"/>
    <n v="95"/>
    <n v="120"/>
    <n v="77.5"/>
    <n v="0"/>
    <n v="10"/>
    <n v="376.25"/>
    <n v="53.75"/>
    <x v="3"/>
    <x v="19"/>
    <x v="7"/>
    <x v="1"/>
  </r>
  <r>
    <s v="808469119044"/>
    <n v="808469"/>
    <s v="LAXMI TRADING COMPANY"/>
    <n v="119044"/>
    <s v="PANWAR TRADING CORPORATION LTD"/>
    <n v="0"/>
    <n v="15"/>
    <n v="65"/>
    <n v="30"/>
    <n v="147.5"/>
    <n v="45"/>
    <n v="20"/>
    <n v="322.5"/>
    <n v="46.071428571428569"/>
    <x v="5"/>
    <x v="19"/>
    <x v="7"/>
    <x v="1"/>
  </r>
  <r>
    <s v="808488119044"/>
    <n v="808488"/>
    <s v="LAKSHMI TRADERS"/>
    <n v="119044"/>
    <s v="PANWAR TRADING CORPORATION LTD"/>
    <n v="84"/>
    <n v="90"/>
    <n v="139"/>
    <n v="25"/>
    <n v="67.5"/>
    <n v="0"/>
    <n v="0"/>
    <n v="405.5"/>
    <n v="57.928571428571431"/>
    <x v="3"/>
    <x v="19"/>
    <x v="7"/>
    <x v="1"/>
  </r>
  <r>
    <s v="808606119044"/>
    <n v="808606"/>
    <s v="KALU ENTERPRISES"/>
    <n v="119044"/>
    <s v="PANWAR TRADING CORPORATION LTD"/>
    <n v="0"/>
    <n v="0"/>
    <n v="0"/>
    <n v="0"/>
    <n v="2"/>
    <n v="0"/>
    <n v="0"/>
    <n v="2"/>
    <n v="0.2857142857142857"/>
    <x v="1"/>
    <x v="19"/>
    <x v="7"/>
    <x v="1"/>
  </r>
  <r>
    <s v="808608119044"/>
    <n v="808608"/>
    <s v="S L TRADERS"/>
    <n v="119044"/>
    <s v="PANWAR TRADING CORPORATION LTD"/>
    <n v="10"/>
    <n v="9"/>
    <n v="0"/>
    <n v="0"/>
    <n v="0"/>
    <n v="0"/>
    <n v="0"/>
    <n v="19"/>
    <n v="2.7142857142857144"/>
    <x v="1"/>
    <x v="19"/>
    <x v="7"/>
    <x v="1"/>
  </r>
  <r>
    <s v="808609119044"/>
    <n v="808609"/>
    <s v="SHIV SHAKTI SUPPLIERS"/>
    <n v="119044"/>
    <s v="PANWAR TRADING CORPORATION LTD"/>
    <n v="0"/>
    <n v="0"/>
    <n v="0"/>
    <n v="0"/>
    <n v="30"/>
    <n v="50"/>
    <n v="21"/>
    <n v="101"/>
    <n v="14.428571428571429"/>
    <x v="2"/>
    <x v="19"/>
    <x v="7"/>
    <x v="1"/>
  </r>
  <r>
    <s v="808929119044"/>
    <n v="808929"/>
    <s v="MISTY TRADING COMPANY"/>
    <n v="119044"/>
    <s v="PANWAR TRADING CORPORATION LTD"/>
    <n v="35"/>
    <n v="20"/>
    <n v="25"/>
    <n v="57.5"/>
    <n v="19.5"/>
    <n v="50"/>
    <n v="35"/>
    <n v="242"/>
    <n v="34.571428571428569"/>
    <x v="4"/>
    <x v="19"/>
    <x v="7"/>
    <x v="1"/>
  </r>
  <r>
    <s v="808939119044"/>
    <n v="808939"/>
    <s v="PARASHAR BUILDERS"/>
    <n v="119044"/>
    <s v="PANWAR TRADING CORPORATION LTD"/>
    <n v="0"/>
    <n v="15"/>
    <n v="75"/>
    <n v="72"/>
    <n v="37"/>
    <n v="0"/>
    <n v="10"/>
    <n v="209"/>
    <n v="29.857142857142858"/>
    <x v="0"/>
    <x v="19"/>
    <x v="7"/>
    <x v="1"/>
  </r>
  <r>
    <s v="808957119044"/>
    <n v="808957"/>
    <s v="GHANSHYAM CEMENT SUPPLIERS"/>
    <n v="119044"/>
    <s v="PANWAR TRADING CORPORATION LTD"/>
    <n v="7.5"/>
    <n v="30"/>
    <n v="20"/>
    <n v="3.5"/>
    <n v="0"/>
    <n v="0"/>
    <n v="0"/>
    <n v="61"/>
    <n v="8.7142857142857135"/>
    <x v="1"/>
    <x v="19"/>
    <x v="7"/>
    <x v="1"/>
  </r>
  <r>
    <s v="809143119044"/>
    <n v="809143"/>
    <s v="JOSHI CEMENT SUPPLIERS"/>
    <n v="119044"/>
    <s v="PANWAR TRADING CORPORATION LTD"/>
    <n v="0"/>
    <n v="30"/>
    <n v="0"/>
    <n v="7.5"/>
    <n v="17"/>
    <n v="0"/>
    <n v="0"/>
    <n v="54.5"/>
    <n v="7.7857142857142856"/>
    <x v="1"/>
    <x v="19"/>
    <x v="7"/>
    <x v="1"/>
  </r>
  <r>
    <s v="809860119044"/>
    <n v="809860"/>
    <s v="GOPAL CEMENT SUPPLIER"/>
    <n v="119044"/>
    <s v="PANWAR TRADING CORPORATION LTD"/>
    <n v="86.5"/>
    <n v="74"/>
    <n v="155"/>
    <n v="30"/>
    <n v="112.5"/>
    <n v="35"/>
    <n v="0"/>
    <n v="493"/>
    <n v="70.428571428571431"/>
    <x v="3"/>
    <x v="19"/>
    <x v="7"/>
    <x v="1"/>
  </r>
  <r>
    <s v="810511119044"/>
    <n v="810511"/>
    <s v="SHIV SHAKTI BUILDING MATERIAL"/>
    <n v="119044"/>
    <s v="PANWAR TRADING CORPORATION LTD"/>
    <n v="45"/>
    <n v="126"/>
    <n v="160"/>
    <n v="105"/>
    <n v="60"/>
    <n v="122.85"/>
    <n v="57"/>
    <n v="675.85"/>
    <n v="96.55"/>
    <x v="3"/>
    <x v="19"/>
    <x v="7"/>
    <x v="1"/>
  </r>
  <r>
    <s v="810762119044"/>
    <n v="810762"/>
    <s v="S R V ENTERPRISES"/>
    <n v="119044"/>
    <s v="PANWAR TRADING CORPORATION LTD"/>
    <n v="17.5"/>
    <n v="40"/>
    <n v="28.5"/>
    <n v="62.5"/>
    <n v="2"/>
    <n v="0"/>
    <n v="0"/>
    <n v="150.5"/>
    <n v="21.5"/>
    <x v="0"/>
    <x v="19"/>
    <x v="7"/>
    <x v="1"/>
  </r>
  <r>
    <s v="811772119044"/>
    <n v="811772"/>
    <s v="SITARAM PRAJAPAT"/>
    <n v="119044"/>
    <s v="PANWAR TRADING CORPORATION LTD"/>
    <n v="0"/>
    <n v="25"/>
    <n v="30"/>
    <n v="57"/>
    <n v="99.5"/>
    <n v="15"/>
    <n v="25"/>
    <n v="251.5"/>
    <n v="35.928571428571431"/>
    <x v="4"/>
    <x v="19"/>
    <x v="7"/>
    <x v="1"/>
  </r>
  <r>
    <s v="812052119044"/>
    <n v="812052"/>
    <s v="SHREE CHAND SARSWAT"/>
    <n v="119044"/>
    <s v="PANWAR TRADING CORPORATION LTD"/>
    <n v="0"/>
    <n v="20"/>
    <n v="75"/>
    <n v="35"/>
    <n v="2.5"/>
    <n v="0"/>
    <n v="25"/>
    <n v="157.5"/>
    <n v="22.5"/>
    <x v="0"/>
    <x v="19"/>
    <x v="7"/>
    <x v="1"/>
  </r>
  <r>
    <s v="814255119044"/>
    <n v="814255"/>
    <s v="MANGOLIYA CEMENT AGENCY"/>
    <n v="119044"/>
    <s v="PANWAR TRADING CORPORATION LTD"/>
    <n v="0"/>
    <n v="13"/>
    <n v="0"/>
    <n v="0"/>
    <n v="0"/>
    <n v="0"/>
    <n v="0"/>
    <n v="13"/>
    <n v="1.8571428571428572"/>
    <x v="1"/>
    <x v="19"/>
    <x v="7"/>
    <x v="1"/>
  </r>
  <r>
    <s v="814378119044"/>
    <n v="814378"/>
    <s v="R R GODARA CONSTRUCTION COMPAN"/>
    <n v="119044"/>
    <s v="PANWAR TRADING CORPORATION LTD"/>
    <n v="0"/>
    <n v="35"/>
    <n v="111.5"/>
    <n v="155"/>
    <n v="160"/>
    <n v="45"/>
    <n v="0"/>
    <n v="506.5"/>
    <n v="72.357142857142861"/>
    <x v="3"/>
    <x v="19"/>
    <x v="7"/>
    <x v="1"/>
  </r>
  <r>
    <s v="814401119044"/>
    <n v="814401"/>
    <s v="RAJ CEMENT SUPPLIERS"/>
    <n v="119044"/>
    <s v="PANWAR TRADING CORPORATION LTD"/>
    <n v="0"/>
    <n v="0"/>
    <n v="0"/>
    <n v="7.5"/>
    <n v="20"/>
    <n v="0"/>
    <n v="0"/>
    <n v="27.5"/>
    <n v="3.9285714285714284"/>
    <x v="1"/>
    <x v="19"/>
    <x v="7"/>
    <x v="1"/>
  </r>
  <r>
    <s v="814638119044"/>
    <n v="814638"/>
    <s v="PANKAJ KUMAR BUILDING MATERIAL"/>
    <n v="119044"/>
    <s v="PANWAR TRADING CORPORATION LTD"/>
    <n v="7.5"/>
    <n v="0"/>
    <n v="2.5"/>
    <n v="0"/>
    <n v="0"/>
    <n v="0"/>
    <n v="0"/>
    <n v="10"/>
    <n v="1.4285714285714286"/>
    <x v="1"/>
    <x v="19"/>
    <x v="7"/>
    <x v="1"/>
  </r>
  <r>
    <s v="814785119044"/>
    <n v="814785"/>
    <s v="SHREE KARNI CEMENT STORE"/>
    <n v="119044"/>
    <s v="PANWAR TRADING CORPORATION LTD"/>
    <n v="0"/>
    <n v="45"/>
    <n v="40"/>
    <n v="45"/>
    <n v="2.5"/>
    <n v="0"/>
    <n v="70"/>
    <n v="202.5"/>
    <n v="28.928571428571427"/>
    <x v="0"/>
    <x v="19"/>
    <x v="7"/>
    <x v="1"/>
  </r>
  <r>
    <s v="814806119044"/>
    <n v="814806"/>
    <s v="MARUDHAR BUILDING MATERIAL"/>
    <n v="119044"/>
    <s v="PANWAR TRADING CORPORATION LTD"/>
    <n v="0"/>
    <n v="0"/>
    <n v="40"/>
    <n v="40"/>
    <n v="2"/>
    <n v="0"/>
    <n v="0"/>
    <n v="82"/>
    <n v="11.714285714285714"/>
    <x v="2"/>
    <x v="19"/>
    <x v="7"/>
    <x v="1"/>
  </r>
  <r>
    <s v="816536119044"/>
    <n v="816536"/>
    <s v="RAJESH KUMAR SARASWAT"/>
    <n v="119044"/>
    <s v="PANWAR TRADING CORPORATION LTD"/>
    <n v="0"/>
    <n v="0"/>
    <n v="0"/>
    <n v="0"/>
    <n v="0"/>
    <n v="175"/>
    <n v="30"/>
    <n v="205"/>
    <n v="29.285714285714285"/>
    <x v="0"/>
    <x v="19"/>
    <x v="7"/>
    <x v="1"/>
  </r>
  <r>
    <s v="801837119154"/>
    <n v="801837"/>
    <s v="GANESH KUMAR UPADDAYA"/>
    <n v="119154"/>
    <s v="SHRI GANPATI ENTERPRISES"/>
    <n v="20"/>
    <n v="60"/>
    <n v="25"/>
    <n v="35"/>
    <n v="2.5"/>
    <n v="0"/>
    <n v="0"/>
    <n v="142.5"/>
    <n v="20.357142857142858"/>
    <x v="0"/>
    <x v="19"/>
    <x v="7"/>
    <x v="1"/>
  </r>
  <r>
    <s v="801838119154"/>
    <n v="801838"/>
    <s v="OM PRAKASH SHARMA"/>
    <n v="119154"/>
    <s v="SHRI GANPATI ENTERPRISES"/>
    <n v="130"/>
    <n v="50"/>
    <n v="140"/>
    <n v="135"/>
    <n v="17.5"/>
    <n v="180"/>
    <n v="96.5"/>
    <n v="749"/>
    <n v="107"/>
    <x v="3"/>
    <x v="19"/>
    <x v="7"/>
    <x v="1"/>
  </r>
  <r>
    <s v="808674119154"/>
    <n v="808674"/>
    <s v="SHREE BHAWANI CONSTRUCTION &amp; S"/>
    <n v="119154"/>
    <s v="SHRI GANPATI ENTERPRISES"/>
    <n v="144"/>
    <n v="155"/>
    <n v="100"/>
    <n v="150"/>
    <n v="60"/>
    <n v="70"/>
    <n v="20"/>
    <n v="699"/>
    <n v="99.857142857142861"/>
    <x v="3"/>
    <x v="19"/>
    <x v="7"/>
    <x v="1"/>
  </r>
  <r>
    <s v="808951119154"/>
    <n v="808951"/>
    <s v="SHREE KARNI ENTERPRISES"/>
    <n v="119154"/>
    <s v="SHRI GANPATI ENTERPRISES"/>
    <n v="60"/>
    <n v="65"/>
    <n v="97"/>
    <n v="50"/>
    <n v="30"/>
    <n v="65"/>
    <n v="50"/>
    <n v="417"/>
    <n v="59.571428571428569"/>
    <x v="3"/>
    <x v="19"/>
    <x v="7"/>
    <x v="1"/>
  </r>
  <r>
    <s v="809527119154"/>
    <n v="809527"/>
    <s v="JAI MAA BHAWANI BM"/>
    <n v="119154"/>
    <s v="SHRI GANPATI ENTERPRISES"/>
    <n v="0"/>
    <n v="20"/>
    <n v="25"/>
    <n v="30"/>
    <n v="26.5"/>
    <n v="25"/>
    <n v="15"/>
    <n v="141.5"/>
    <n v="20.214285714285715"/>
    <x v="0"/>
    <x v="19"/>
    <x v="7"/>
    <x v="1"/>
  </r>
  <r>
    <s v="810700119154"/>
    <n v="810700"/>
    <s v="SHREE TEMDARAI CEMENT STORE"/>
    <n v="119154"/>
    <s v="SHRI GANPATI ENTERPRISES"/>
    <n v="0"/>
    <n v="15"/>
    <n v="40"/>
    <n v="15"/>
    <n v="2.5"/>
    <n v="0"/>
    <n v="0"/>
    <n v="72.5"/>
    <n v="10.357142857142858"/>
    <x v="2"/>
    <x v="19"/>
    <x v="7"/>
    <x v="1"/>
  </r>
  <r>
    <s v="814873119154"/>
    <n v="814873"/>
    <s v="N K ENTERPRISES"/>
    <n v="119154"/>
    <s v="SHRI GANPATI ENTERPRISES"/>
    <n v="0"/>
    <n v="30"/>
    <n v="40"/>
    <n v="0"/>
    <n v="2.5"/>
    <n v="15"/>
    <n v="25"/>
    <n v="112.5"/>
    <n v="16.071428571428573"/>
    <x v="2"/>
    <x v="19"/>
    <x v="7"/>
    <x v="1"/>
  </r>
  <r>
    <s v="815199119154"/>
    <n v="815199"/>
    <s v="JAI MAA BHAWANI CEMENT SUPPLIE"/>
    <n v="119154"/>
    <s v="SHRI GANPATI ENTERPRISES"/>
    <n v="0"/>
    <n v="0"/>
    <n v="30"/>
    <n v="60"/>
    <n v="2.5"/>
    <n v="35"/>
    <n v="20"/>
    <n v="147.5"/>
    <n v="21.071428571428573"/>
    <x v="0"/>
    <x v="19"/>
    <x v="7"/>
    <x v="1"/>
  </r>
  <r>
    <s v="815200119154"/>
    <n v="815200"/>
    <s v="PARWAT SINGH"/>
    <n v="119154"/>
    <s v="SHRI GANPATI ENTERPRISES"/>
    <n v="0"/>
    <n v="0"/>
    <n v="35"/>
    <n v="55"/>
    <n v="25"/>
    <n v="35"/>
    <n v="15"/>
    <n v="165"/>
    <n v="23.571428571428573"/>
    <x v="0"/>
    <x v="19"/>
    <x v="7"/>
    <x v="1"/>
  </r>
  <r>
    <s v="806601119160"/>
    <n v="806601"/>
    <s v="SOLANKI BUILDING MATERIAL AND"/>
    <n v="119160"/>
    <s v="NIKHIL ASSOCIATE"/>
    <n v="103"/>
    <n v="36.75"/>
    <n v="85"/>
    <n v="42.5"/>
    <n v="7.5"/>
    <n v="97.5"/>
    <n v="93"/>
    <n v="465.25"/>
    <n v="66.464285714285708"/>
    <x v="3"/>
    <x v="19"/>
    <x v="7"/>
    <x v="1"/>
  </r>
  <r>
    <s v="807722119160"/>
    <n v="807722"/>
    <s v="ROYAL ENTERPRISES"/>
    <n v="119160"/>
    <s v="NIKHIL ASSOCIATE"/>
    <n v="0"/>
    <n v="27.5"/>
    <n v="30"/>
    <n v="0"/>
    <n v="10"/>
    <n v="10"/>
    <n v="0"/>
    <n v="77.5"/>
    <n v="11.071428571428571"/>
    <x v="2"/>
    <x v="19"/>
    <x v="7"/>
    <x v="1"/>
  </r>
  <r>
    <s v="814402119160"/>
    <n v="814402"/>
    <s v="BHANWAR LAL MARU"/>
    <n v="119160"/>
    <s v="NIKHIL ASSOCIATE"/>
    <n v="22.5"/>
    <n v="62.5"/>
    <n v="50"/>
    <n v="42.5"/>
    <n v="47.5"/>
    <n v="25"/>
    <n v="29.5"/>
    <n v="279.5"/>
    <n v="39.928571428571431"/>
    <x v="4"/>
    <x v="19"/>
    <x v="7"/>
    <x v="1"/>
  </r>
  <r>
    <s v="810898140881"/>
    <n v="810898"/>
    <s v="SHREE BALAJI CEMENT SUPPLIERS"/>
    <n v="140881"/>
    <s v="NAM DEV STONE SUPPLIERS"/>
    <n v="47"/>
    <n v="87"/>
    <n v="25"/>
    <n v="30"/>
    <n v="0"/>
    <n v="32.5"/>
    <n v="0"/>
    <n v="221.5"/>
    <n v="31.642857142857142"/>
    <x v="4"/>
    <x v="19"/>
    <x v="7"/>
    <x v="1"/>
  </r>
  <r>
    <s v="810953140881"/>
    <n v="810953"/>
    <s v="SHREE VISHWAKARMA CEMENT SUPPL"/>
    <n v="140881"/>
    <s v="NAM DEV STONE SUPPLIERS"/>
    <n v="35"/>
    <n v="67"/>
    <n v="25"/>
    <n v="0"/>
    <n v="0"/>
    <n v="0"/>
    <n v="25"/>
    <n v="152"/>
    <n v="21.714285714285715"/>
    <x v="0"/>
    <x v="19"/>
    <x v="7"/>
    <x v="1"/>
  </r>
  <r>
    <s v="811773140881"/>
    <n v="811773"/>
    <s v="S L CEMENT SUPPLIERS"/>
    <n v="140881"/>
    <s v="NAM DEV STONE SUPPLIERS"/>
    <n v="0"/>
    <n v="0"/>
    <n v="0"/>
    <n v="0"/>
    <n v="15"/>
    <n v="0"/>
    <n v="0"/>
    <n v="15"/>
    <n v="2.1428571428571428"/>
    <x v="1"/>
    <x v="19"/>
    <x v="7"/>
    <x v="1"/>
  </r>
  <r>
    <s v="812068140881"/>
    <n v="812068"/>
    <s v="SHREE VEER TEJA BUILDING MATER"/>
    <n v="140881"/>
    <s v="NAM DEV STONE SUPPLIERS"/>
    <n v="105"/>
    <n v="25"/>
    <n v="0"/>
    <n v="40"/>
    <n v="35"/>
    <n v="50"/>
    <n v="0"/>
    <n v="255"/>
    <n v="36.428571428571431"/>
    <x v="4"/>
    <x v="19"/>
    <x v="7"/>
    <x v="1"/>
  </r>
  <r>
    <s v="814111140881"/>
    <n v="814111"/>
    <s v="VISHNU ENTERPRISES"/>
    <n v="140881"/>
    <s v="NAM DEV STONE SUPPLIERS"/>
    <n v="0"/>
    <n v="25"/>
    <n v="130"/>
    <n v="145"/>
    <n v="0"/>
    <n v="25"/>
    <n v="0"/>
    <n v="325"/>
    <n v="46.428571428571431"/>
    <x v="5"/>
    <x v="19"/>
    <x v="7"/>
    <x v="1"/>
  </r>
  <r>
    <s v="814288140881"/>
    <n v="814288"/>
    <s v="SHREE BALAJI CEMENT AGENCY"/>
    <n v="140881"/>
    <s v="NAM DEV STONE SUPPLIERS"/>
    <n v="0"/>
    <n v="0"/>
    <n v="25"/>
    <n v="70"/>
    <n v="45"/>
    <n v="20"/>
    <n v="0"/>
    <n v="160"/>
    <n v="22.857142857142858"/>
    <x v="0"/>
    <x v="19"/>
    <x v="7"/>
    <x v="1"/>
  </r>
  <r>
    <s v="812846142512"/>
    <n v="812846"/>
    <s v="SURENDRA CEMENT SUPPLIERS"/>
    <n v="142512"/>
    <s v="GURU KRIPA TRADING CO"/>
    <n v="79"/>
    <n v="10"/>
    <n v="0"/>
    <n v="107.65"/>
    <n v="57.5"/>
    <n v="31.5"/>
    <n v="12.5"/>
    <n v="298.14999999999998"/>
    <n v="42.592857142857142"/>
    <x v="5"/>
    <x v="19"/>
    <x v="7"/>
    <x v="1"/>
  </r>
  <r>
    <s v="815887142512"/>
    <n v="815887"/>
    <s v="MAYANK TRADERS"/>
    <n v="142512"/>
    <s v="GURU KRIPA TRADING CO"/>
    <n v="0"/>
    <n v="0"/>
    <n v="0"/>
    <n v="0"/>
    <n v="38.5"/>
    <n v="0"/>
    <n v="31"/>
    <n v="69.5"/>
    <n v="9.9285714285714288"/>
    <x v="1"/>
    <x v="19"/>
    <x v="7"/>
    <x v="1"/>
  </r>
  <r>
    <s v="807395144154"/>
    <n v="807395"/>
    <s v="GODARA TRADING COMPANY"/>
    <n v="144154"/>
    <s v="SANGAM TRADERS"/>
    <n v="0"/>
    <n v="0"/>
    <n v="0"/>
    <n v="0"/>
    <n v="17.5"/>
    <n v="0"/>
    <n v="0"/>
    <n v="17.5"/>
    <n v="2.5"/>
    <x v="1"/>
    <x v="19"/>
    <x v="7"/>
    <x v="1"/>
  </r>
  <r>
    <s v="806047145353"/>
    <n v="806047"/>
    <s v="SHRI HARIRAM BABA TRADING CO"/>
    <n v="145353"/>
    <s v="SHREE SARAS CORPORATION"/>
    <n v="0"/>
    <n v="10"/>
    <n v="0"/>
    <n v="0"/>
    <n v="0"/>
    <n v="0"/>
    <n v="0"/>
    <n v="10"/>
    <n v="1.4285714285714286"/>
    <x v="1"/>
    <x v="19"/>
    <x v="7"/>
    <x v="1"/>
  </r>
  <r>
    <s v="808607145353"/>
    <n v="808607"/>
    <s v="GODARA BUILDING MATERIAL SUPPL"/>
    <n v="145353"/>
    <s v="SHREE SARAS CORPORATION"/>
    <n v="35"/>
    <n v="56.5"/>
    <n v="62"/>
    <n v="90"/>
    <n v="130"/>
    <n v="85"/>
    <n v="45"/>
    <n v="503.5"/>
    <n v="71.928571428571431"/>
    <x v="3"/>
    <x v="19"/>
    <x v="7"/>
    <x v="1"/>
  </r>
  <r>
    <s v="810559145353"/>
    <n v="810559"/>
    <s v="DUGGAR ENTERPRISES"/>
    <n v="145353"/>
    <s v="SHREE SARAS CORPORATION"/>
    <n v="105"/>
    <n v="102"/>
    <n v="70"/>
    <n v="111.5"/>
    <n v="0"/>
    <n v="0"/>
    <n v="0"/>
    <n v="388.5"/>
    <n v="55.5"/>
    <x v="3"/>
    <x v="19"/>
    <x v="7"/>
    <x v="1"/>
  </r>
  <r>
    <s v="814445145353"/>
    <n v="814445"/>
    <s v="SHREE VISHWAKARMA BUILDING MAT"/>
    <n v="145353"/>
    <s v="SHREE SARAS CORPORATION"/>
    <n v="0"/>
    <n v="0"/>
    <n v="65"/>
    <n v="165"/>
    <n v="212"/>
    <n v="80"/>
    <n v="0"/>
    <n v="522"/>
    <n v="74.571428571428569"/>
    <x v="3"/>
    <x v="19"/>
    <x v="7"/>
    <x v="1"/>
  </r>
  <r>
    <s v="808315146500"/>
    <n v="808315"/>
    <s v="A S TRADERS"/>
    <n v="146500"/>
    <s v="MUGAL TRADERS"/>
    <n v="0"/>
    <n v="10"/>
    <n v="0"/>
    <n v="0"/>
    <n v="0"/>
    <n v="0"/>
    <n v="0"/>
    <n v="10"/>
    <n v="1.4285714285714286"/>
    <x v="1"/>
    <x v="19"/>
    <x v="7"/>
    <x v="1"/>
  </r>
  <r>
    <s v="810376146500"/>
    <n v="810376"/>
    <s v="HARIOM TRADING CO"/>
    <n v="146500"/>
    <s v="MUGAL TRADERS"/>
    <n v="0"/>
    <n v="0"/>
    <n v="0"/>
    <n v="2.5"/>
    <n v="15"/>
    <n v="0"/>
    <n v="0"/>
    <n v="17.5"/>
    <n v="2.5"/>
    <x v="1"/>
    <x v="19"/>
    <x v="7"/>
    <x v="1"/>
  </r>
  <r>
    <s v="804933170156"/>
    <n v="804933"/>
    <s v="GOYAL TRADERS"/>
    <n v="170156"/>
    <s v="NASEEB TRADERS"/>
    <n v="0"/>
    <n v="0"/>
    <n v="0"/>
    <n v="0"/>
    <n v="120.75"/>
    <n v="156"/>
    <n v="65"/>
    <n v="341.75"/>
    <n v="48.821428571428569"/>
    <x v="5"/>
    <x v="19"/>
    <x v="7"/>
    <x v="1"/>
  </r>
  <r>
    <s v="806052170204"/>
    <n v="806052"/>
    <s v="AGARWAL BROTHERS"/>
    <n v="170204"/>
    <s v="GOYAL BUILDING MATERIAL"/>
    <n v="17.5"/>
    <n v="35"/>
    <n v="25"/>
    <n v="15"/>
    <n v="0"/>
    <n v="55"/>
    <n v="0"/>
    <n v="147.5"/>
    <n v="21.071428571428573"/>
    <x v="0"/>
    <x v="19"/>
    <x v="7"/>
    <x v="1"/>
  </r>
  <r>
    <s v="812842171938"/>
    <n v="812842"/>
    <s v="PUJA IRON STORE"/>
    <n v="171938"/>
    <s v="AGARWAL IRON STORE"/>
    <n v="90"/>
    <n v="29.5"/>
    <n v="124"/>
    <n v="25"/>
    <n v="29"/>
    <n v="60"/>
    <n v="55"/>
    <n v="412.5"/>
    <n v="58.928571428571431"/>
    <x v="3"/>
    <x v="19"/>
    <x v="7"/>
    <x v="1"/>
  </r>
  <r>
    <s v="807257172497"/>
    <n v="807257"/>
    <s v="KARNANI CEMENT SUPPLIERS"/>
    <n v="172497"/>
    <s v="VINAYAK INDUSTRIES"/>
    <n v="20"/>
    <n v="20"/>
    <n v="40"/>
    <n v="44"/>
    <n v="74"/>
    <n v="87"/>
    <n v="80"/>
    <n v="365"/>
    <n v="52.142857142857146"/>
    <x v="3"/>
    <x v="19"/>
    <x v="7"/>
    <x v="1"/>
  </r>
  <r>
    <s v="807723172497"/>
    <n v="807723"/>
    <s v="MOOND CEMENT AGENCY"/>
    <n v="172497"/>
    <s v="VINAYAK INDUSTRIES"/>
    <n v="0"/>
    <n v="25"/>
    <n v="20"/>
    <n v="12.5"/>
    <n v="6"/>
    <n v="17"/>
    <n v="10"/>
    <n v="90.5"/>
    <n v="12.928571428571429"/>
    <x v="2"/>
    <x v="19"/>
    <x v="7"/>
    <x v="1"/>
  </r>
  <r>
    <s v="807724172497"/>
    <n v="807724"/>
    <s v="BALAJI KRISHI STORE"/>
    <n v="172497"/>
    <s v="VINAYAK INDUSTRIES"/>
    <n v="10"/>
    <n v="0"/>
    <n v="0"/>
    <n v="0"/>
    <n v="0"/>
    <n v="0"/>
    <n v="0"/>
    <n v="10"/>
    <n v="1.4285714285714286"/>
    <x v="1"/>
    <x v="19"/>
    <x v="7"/>
    <x v="1"/>
  </r>
  <r>
    <s v="808821172497"/>
    <n v="808821"/>
    <s v="BABA RAMDEV CEMENT SUPPLIERS"/>
    <n v="172497"/>
    <s v="VINAYAK INDUSTRIES"/>
    <n v="10"/>
    <n v="17.5"/>
    <n v="20"/>
    <n v="19"/>
    <n v="28.5"/>
    <n v="38"/>
    <n v="30"/>
    <n v="163"/>
    <n v="23.285714285714285"/>
    <x v="0"/>
    <x v="19"/>
    <x v="7"/>
    <x v="1"/>
  </r>
  <r>
    <s v="809039172497"/>
    <n v="809039"/>
    <s v="JOSHI CEMENT SUPPLIERS"/>
    <n v="172497"/>
    <s v="VINAYAK INDUSTRIES"/>
    <n v="0"/>
    <n v="18"/>
    <n v="10"/>
    <n v="0"/>
    <n v="10"/>
    <n v="20"/>
    <n v="20"/>
    <n v="78"/>
    <n v="11.142857142857142"/>
    <x v="2"/>
    <x v="19"/>
    <x v="7"/>
    <x v="1"/>
  </r>
  <r>
    <s v="810481172497"/>
    <n v="810481"/>
    <s v="MULDAS B/M"/>
    <n v="172497"/>
    <s v="VINAYAK INDUSTRIES"/>
    <n v="21"/>
    <n v="0"/>
    <n v="20"/>
    <n v="0"/>
    <n v="0"/>
    <n v="6"/>
    <n v="0"/>
    <n v="47"/>
    <n v="6.7142857142857144"/>
    <x v="1"/>
    <x v="19"/>
    <x v="7"/>
    <x v="1"/>
  </r>
  <r>
    <s v="811544172497"/>
    <n v="811544"/>
    <s v="KASWA CEMENT SUPPLIERS"/>
    <n v="172497"/>
    <s v="VINAYAK INDUSTRIES"/>
    <n v="10"/>
    <n v="0"/>
    <n v="5"/>
    <n v="10"/>
    <n v="0"/>
    <n v="10"/>
    <n v="0"/>
    <n v="35"/>
    <n v="5"/>
    <x v="1"/>
    <x v="19"/>
    <x v="7"/>
    <x v="1"/>
  </r>
  <r>
    <s v="812856172497"/>
    <n v="812856"/>
    <s v="BALAJI CEMENT SUPPLIERS"/>
    <n v="172497"/>
    <s v="VINAYAK INDUSTRIES"/>
    <n v="9"/>
    <n v="0"/>
    <n v="10"/>
    <n v="20"/>
    <n v="2.5"/>
    <n v="0"/>
    <n v="10"/>
    <n v="51.5"/>
    <n v="7.3571428571428568"/>
    <x v="1"/>
    <x v="19"/>
    <x v="7"/>
    <x v="1"/>
  </r>
  <r>
    <s v="815354172497"/>
    <n v="815354"/>
    <s v="SHRI JASNATH BUILDING MATERIAL"/>
    <n v="172497"/>
    <s v="VINAYAK INDUSTRIES"/>
    <n v="0"/>
    <n v="0"/>
    <n v="0"/>
    <n v="5"/>
    <n v="0"/>
    <n v="10"/>
    <n v="10"/>
    <n v="25"/>
    <n v="3.5714285714285716"/>
    <x v="1"/>
    <x v="19"/>
    <x v="7"/>
    <x v="1"/>
  </r>
  <r>
    <s v="807103174034"/>
    <n v="807103"/>
    <s v="BHANWAR LAL BOHRA"/>
    <n v="174034"/>
    <s v="RADHE BUILDING MATERIAL"/>
    <n v="0"/>
    <n v="0"/>
    <n v="0"/>
    <n v="10"/>
    <n v="0"/>
    <n v="11"/>
    <n v="15"/>
    <n v="36"/>
    <n v="5.1428571428571432"/>
    <x v="1"/>
    <x v="19"/>
    <x v="7"/>
    <x v="1"/>
  </r>
  <r>
    <s v="807104174034"/>
    <n v="807104"/>
    <s v="BALAJI BUILDING MATERIAL"/>
    <n v="174034"/>
    <s v="RADHE BUILDING MATERIAL"/>
    <n v="20"/>
    <n v="0"/>
    <n v="0"/>
    <n v="21"/>
    <n v="8"/>
    <n v="115"/>
    <n v="35"/>
    <n v="199"/>
    <n v="28.428571428571427"/>
    <x v="0"/>
    <x v="19"/>
    <x v="7"/>
    <x v="1"/>
  </r>
  <r>
    <s v="807177174034"/>
    <n v="807177"/>
    <s v="LAKHARA CEMENT SUPPLIERS"/>
    <n v="174034"/>
    <s v="RADHE BUILDING MATERIAL"/>
    <n v="0"/>
    <n v="45"/>
    <n v="0"/>
    <n v="0"/>
    <n v="25.5"/>
    <n v="75"/>
    <n v="20"/>
    <n v="165.5"/>
    <n v="23.642857142857142"/>
    <x v="0"/>
    <x v="19"/>
    <x v="7"/>
    <x v="1"/>
  </r>
  <r>
    <s v="808451174034"/>
    <n v="808451"/>
    <s v="SHREE JASNATH HARDWARE &amp; ELECT"/>
    <n v="174034"/>
    <s v="RADHE BUILDING MATERIAL"/>
    <n v="75"/>
    <n v="45"/>
    <n v="35"/>
    <n v="150"/>
    <n v="18"/>
    <n v="74"/>
    <n v="5"/>
    <n v="402"/>
    <n v="57.428571428571431"/>
    <x v="3"/>
    <x v="19"/>
    <x v="7"/>
    <x v="1"/>
  </r>
  <r>
    <s v="808751174034"/>
    <n v="808751"/>
    <s v="PRAJAPAT BUILDING MATERIAL"/>
    <n v="174034"/>
    <s v="RADHE BUILDING MATERIAL"/>
    <n v="0"/>
    <n v="10"/>
    <n v="10"/>
    <n v="12"/>
    <n v="43"/>
    <n v="0"/>
    <n v="0"/>
    <n v="75"/>
    <n v="10.714285714285714"/>
    <x v="2"/>
    <x v="19"/>
    <x v="7"/>
    <x v="1"/>
  </r>
  <r>
    <s v="808822174034"/>
    <n v="808822"/>
    <s v="BAJRANG BUILDING MATERIAL"/>
    <n v="174034"/>
    <s v="RADHE BUILDING MATERIAL"/>
    <n v="0"/>
    <n v="0"/>
    <n v="0"/>
    <n v="20"/>
    <n v="9"/>
    <n v="0"/>
    <n v="0"/>
    <n v="29"/>
    <n v="4.1428571428571432"/>
    <x v="1"/>
    <x v="19"/>
    <x v="7"/>
    <x v="1"/>
  </r>
  <r>
    <s v="808940174034"/>
    <n v="808940"/>
    <s v="BAJRANG BUILDING MATERIAL"/>
    <n v="174034"/>
    <s v="RADHE BUILDING MATERIAL"/>
    <n v="10"/>
    <n v="0"/>
    <n v="25"/>
    <n v="137"/>
    <n v="40"/>
    <n v="58"/>
    <n v="85"/>
    <n v="355"/>
    <n v="50.714285714285715"/>
    <x v="3"/>
    <x v="19"/>
    <x v="7"/>
    <x v="1"/>
  </r>
  <r>
    <s v="809354174034"/>
    <n v="809354"/>
    <s v="SHREE KARNI BUILDING MATERIAL"/>
    <n v="174034"/>
    <s v="RADHE BUILDING MATERIAL"/>
    <n v="0"/>
    <n v="10"/>
    <n v="0"/>
    <n v="0"/>
    <n v="83"/>
    <n v="80"/>
    <n v="15"/>
    <n v="188"/>
    <n v="26.857142857142858"/>
    <x v="0"/>
    <x v="19"/>
    <x v="7"/>
    <x v="1"/>
  </r>
  <r>
    <s v="810510174034"/>
    <n v="810510"/>
    <s v="SHREE VEER TEJAJI DHARAMKANTA"/>
    <n v="174034"/>
    <s v="RADHE BUILDING MATERIAL"/>
    <n v="0"/>
    <n v="10"/>
    <n v="0"/>
    <n v="0"/>
    <n v="12.5"/>
    <n v="30"/>
    <n v="10"/>
    <n v="62.5"/>
    <n v="8.9285714285714288"/>
    <x v="1"/>
    <x v="19"/>
    <x v="7"/>
    <x v="1"/>
  </r>
  <r>
    <s v="810954174034"/>
    <n v="810954"/>
    <s v="S K TRADERS"/>
    <n v="174034"/>
    <s v="RADHE BUILDING MATERIAL"/>
    <n v="10"/>
    <n v="10"/>
    <n v="10"/>
    <n v="10"/>
    <n v="0"/>
    <n v="0"/>
    <n v="0"/>
    <n v="40"/>
    <n v="5.7142857142857144"/>
    <x v="1"/>
    <x v="19"/>
    <x v="7"/>
    <x v="1"/>
  </r>
  <r>
    <s v="811418174034"/>
    <n v="811418"/>
    <s v="DIVYA ENTERPRISES"/>
    <n v="174034"/>
    <s v="RADHE BUILDING MATERIAL"/>
    <n v="140"/>
    <n v="65"/>
    <n v="25"/>
    <n v="0"/>
    <n v="0"/>
    <n v="0"/>
    <n v="0"/>
    <n v="230"/>
    <n v="32.857142857142854"/>
    <x v="4"/>
    <x v="19"/>
    <x v="7"/>
    <x v="1"/>
  </r>
  <r>
    <s v="811511174034"/>
    <n v="811511"/>
    <s v="RATHORE BUILDING MATERIAL"/>
    <n v="174034"/>
    <s v="RADHE BUILDING MATERIAL"/>
    <n v="0"/>
    <n v="0"/>
    <n v="0"/>
    <n v="12"/>
    <n v="98"/>
    <n v="11"/>
    <n v="0"/>
    <n v="121"/>
    <n v="17.285714285714285"/>
    <x v="2"/>
    <x v="19"/>
    <x v="7"/>
    <x v="1"/>
  </r>
  <r>
    <s v="814870174034"/>
    <n v="814870"/>
    <s v="SHRI VISHWA KARMA BUILDING MAT"/>
    <n v="174034"/>
    <s v="RADHE BUILDING MATERIAL"/>
    <n v="0"/>
    <n v="0"/>
    <n v="85"/>
    <n v="0"/>
    <n v="72"/>
    <n v="12.5"/>
    <n v="0"/>
    <n v="169.5"/>
    <n v="24.214285714285715"/>
    <x v="0"/>
    <x v="19"/>
    <x v="7"/>
    <x v="1"/>
  </r>
  <r>
    <s v="813162174271"/>
    <n v="813162"/>
    <s v="SHREE BALAJI BUILDING MATERIAL"/>
    <n v="174271"/>
    <s v="S K TRADERS"/>
    <n v="30"/>
    <n v="100"/>
    <n v="65"/>
    <n v="51"/>
    <n v="0"/>
    <n v="40"/>
    <n v="0"/>
    <n v="286"/>
    <n v="40.857142857142854"/>
    <x v="5"/>
    <x v="19"/>
    <x v="7"/>
    <x v="1"/>
  </r>
  <r>
    <s v="813245174271"/>
    <n v="813245"/>
    <s v="SALEEM TRADING COMPANY"/>
    <n v="174271"/>
    <s v="S K TRADERS"/>
    <n v="50"/>
    <n v="90"/>
    <n v="130"/>
    <n v="81"/>
    <n v="0"/>
    <n v="0"/>
    <n v="0"/>
    <n v="351"/>
    <n v="50.142857142857146"/>
    <x v="3"/>
    <x v="19"/>
    <x v="7"/>
    <x v="1"/>
  </r>
  <r>
    <s v="813258174271"/>
    <n v="813258"/>
    <s v="MUKHRAM TRADING COMPANY"/>
    <n v="174271"/>
    <s v="S K TRADERS"/>
    <n v="20"/>
    <n v="80"/>
    <n v="105"/>
    <n v="51"/>
    <n v="0"/>
    <n v="0"/>
    <n v="0"/>
    <n v="256"/>
    <n v="36.571428571428569"/>
    <x v="4"/>
    <x v="19"/>
    <x v="7"/>
    <x v="1"/>
  </r>
  <r>
    <s v="813260174271"/>
    <n v="813260"/>
    <s v="BHANWAR TRADING COMPANY"/>
    <n v="174271"/>
    <s v="S K TRADERS"/>
    <n v="50"/>
    <n v="100"/>
    <n v="90"/>
    <n v="56"/>
    <n v="0"/>
    <n v="0"/>
    <n v="0"/>
    <n v="296"/>
    <n v="42.285714285714285"/>
    <x v="5"/>
    <x v="19"/>
    <x v="7"/>
    <x v="1"/>
  </r>
  <r>
    <s v="813266174271"/>
    <n v="813266"/>
    <s v="BHAJAN TRADING COMPANY"/>
    <n v="174271"/>
    <s v="S K TRADERS"/>
    <n v="50"/>
    <n v="80"/>
    <n v="20"/>
    <n v="91"/>
    <n v="0"/>
    <n v="0"/>
    <n v="0"/>
    <n v="241"/>
    <n v="34.428571428571431"/>
    <x v="4"/>
    <x v="19"/>
    <x v="7"/>
    <x v="1"/>
  </r>
  <r>
    <s v="815182174271"/>
    <n v="815182"/>
    <s v="ROJH CONSTRUCTION COMPANY"/>
    <n v="174271"/>
    <s v="S K TRADERS"/>
    <n v="0"/>
    <n v="0"/>
    <n v="65"/>
    <n v="82.5"/>
    <n v="0"/>
    <n v="30"/>
    <n v="0"/>
    <n v="177.5"/>
    <n v="25.357142857142858"/>
    <x v="0"/>
    <x v="19"/>
    <x v="7"/>
    <x v="1"/>
  </r>
  <r>
    <s v="812634174357"/>
    <n v="812634"/>
    <s v="KOHARI CONSTRUCTION COMPANY"/>
    <n v="174357"/>
    <s v="M R TRADERS"/>
    <n v="0"/>
    <n v="0"/>
    <n v="0"/>
    <n v="0"/>
    <n v="102.5"/>
    <n v="310"/>
    <n v="0"/>
    <n v="412.5"/>
    <n v="58.928571428571431"/>
    <x v="3"/>
    <x v="19"/>
    <x v="7"/>
    <x v="1"/>
  </r>
  <r>
    <s v="814377174357"/>
    <n v="814377"/>
    <s v="M K TRADERS"/>
    <n v="174357"/>
    <s v="M R TRADERS"/>
    <n v="220"/>
    <n v="91"/>
    <n v="39"/>
    <n v="103.5"/>
    <n v="40"/>
    <n v="0"/>
    <n v="0"/>
    <n v="493.5"/>
    <n v="70.5"/>
    <x v="3"/>
    <x v="19"/>
    <x v="7"/>
    <x v="1"/>
  </r>
  <r>
    <s v="815508178460"/>
    <n v="815508"/>
    <s v="ASHAPURA CEMENT AGENCY"/>
    <n v="178460"/>
    <s v="BHARAT KUMAR PREMJI MALI"/>
    <n v="0"/>
    <n v="0"/>
    <n v="0"/>
    <n v="23.5"/>
    <n v="0"/>
    <n v="0"/>
    <n v="0"/>
    <n v="23.5"/>
    <n v="3.3571428571428572"/>
    <x v="1"/>
    <x v="19"/>
    <x v="7"/>
    <x v="1"/>
  </r>
  <r>
    <s v="810896179467"/>
    <n v="810896"/>
    <s v="AASHAPURA TRADERS"/>
    <n v="179467"/>
    <s v="R K TRADERS"/>
    <n v="60"/>
    <n v="10"/>
    <n v="10"/>
    <n v="0"/>
    <n v="35"/>
    <n v="5"/>
    <n v="20"/>
    <n v="140"/>
    <n v="20"/>
    <x v="0"/>
    <x v="19"/>
    <x v="7"/>
    <x v="1"/>
  </r>
  <r>
    <s v="810897179467"/>
    <n v="810897"/>
    <s v="DURGA CEMENT SUPPLIERS"/>
    <n v="179467"/>
    <s v="R K TRADERS"/>
    <n v="101.5"/>
    <n v="5"/>
    <n v="135"/>
    <n v="0"/>
    <n v="45"/>
    <n v="45"/>
    <n v="25"/>
    <n v="356.5"/>
    <n v="50.928571428571431"/>
    <x v="3"/>
    <x v="19"/>
    <x v="7"/>
    <x v="1"/>
  </r>
  <r>
    <s v="812625179868"/>
    <n v="812625"/>
    <s v="NAYACH CEMENT SUPPLIERS"/>
    <n v="179868"/>
    <s v="M K NAYACH CONSTRUCTION COMPAN"/>
    <n v="35"/>
    <n v="44"/>
    <n v="40"/>
    <n v="0"/>
    <n v="0"/>
    <n v="65"/>
    <n v="0"/>
    <n v="184"/>
    <n v="26.285714285714285"/>
    <x v="0"/>
    <x v="19"/>
    <x v="7"/>
    <x v="1"/>
  </r>
  <r>
    <s v="810956179869"/>
    <n v="810956"/>
    <s v="OM PRAKASH PRAJAPAT"/>
    <n v="179869"/>
    <s v="SHREE BALAJI CEMENT"/>
    <n v="50"/>
    <n v="31.5"/>
    <n v="45"/>
    <n v="30"/>
    <n v="16"/>
    <n v="17.5"/>
    <n v="30"/>
    <n v="220"/>
    <n v="31.428571428571427"/>
    <x v="4"/>
    <x v="19"/>
    <x v="7"/>
    <x v="1"/>
  </r>
  <r>
    <s v="811037179869"/>
    <n v="811037"/>
    <s v="PAWAN KUMAR PRAJAPAT"/>
    <n v="179869"/>
    <s v="SHREE BALAJI CEMENT"/>
    <n v="83"/>
    <n v="85"/>
    <n v="46"/>
    <n v="20.5"/>
    <n v="52"/>
    <n v="20"/>
    <n v="37.5"/>
    <n v="344"/>
    <n v="49.142857142857146"/>
    <x v="5"/>
    <x v="19"/>
    <x v="7"/>
    <x v="1"/>
  </r>
  <r>
    <s v="811099179869"/>
    <n v="811099"/>
    <s v="SHRAWAN SINGH"/>
    <n v="179869"/>
    <s v="SHREE BALAJI CEMENT"/>
    <n v="0"/>
    <n v="0"/>
    <n v="20"/>
    <n v="16"/>
    <n v="1"/>
    <n v="0"/>
    <n v="22.5"/>
    <n v="59.5"/>
    <n v="8.5"/>
    <x v="1"/>
    <x v="19"/>
    <x v="7"/>
    <x v="1"/>
  </r>
  <r>
    <s v="814256179869"/>
    <n v="814256"/>
    <s v="SHRAWAN KUMAR"/>
    <n v="179869"/>
    <s v="SHREE BALAJI CEMENT"/>
    <n v="0"/>
    <n v="10"/>
    <n v="0"/>
    <n v="0"/>
    <n v="0"/>
    <n v="0"/>
    <n v="0"/>
    <n v="10"/>
    <n v="1.4285714285714286"/>
    <x v="1"/>
    <x v="19"/>
    <x v="7"/>
    <x v="1"/>
  </r>
  <r>
    <s v="815938209017"/>
    <n v="815938"/>
    <s v="S R AND SONS"/>
    <n v="209017"/>
    <s v="SARSWAT HARDWARE"/>
    <n v="0"/>
    <n v="0"/>
    <n v="0"/>
    <n v="0"/>
    <n v="62"/>
    <n v="107.5"/>
    <n v="135"/>
    <n v="304.5"/>
    <n v="43.5"/>
    <x v="5"/>
    <x v="19"/>
    <x v="7"/>
    <x v="1"/>
  </r>
  <r>
    <s v="816498209017"/>
    <n v="816498"/>
    <s v="SHREE BALAJI STONE SUPPLIERS"/>
    <n v="209017"/>
    <s v="SARSWAT HARDWARE"/>
    <n v="0"/>
    <n v="0"/>
    <n v="0"/>
    <n v="0"/>
    <n v="0"/>
    <n v="35"/>
    <n v="83"/>
    <n v="118"/>
    <n v="16.857142857142858"/>
    <x v="2"/>
    <x v="19"/>
    <x v="7"/>
    <x v="1"/>
  </r>
  <r>
    <s v="810952140881"/>
    <n v="810952"/>
    <s v="BABA RAMDEV TRADING COMPANY"/>
    <n v="140881"/>
    <s v="NAM DEV STONE SUPPLIERS"/>
    <n v="0"/>
    <n v="0"/>
    <n v="0"/>
    <n v="0"/>
    <n v="0"/>
    <n v="0"/>
    <n v="20"/>
    <n v="20"/>
    <n v="2.8571428571428572"/>
    <x v="1"/>
    <x v="19"/>
    <x v="7"/>
    <x v="1"/>
  </r>
  <r>
    <s v="816522140881"/>
    <n v="816522"/>
    <s v="J P ENTERPRISES"/>
    <n v="140881"/>
    <s v="NAM DEV STONE SUPPLIERS"/>
    <n v="0"/>
    <n v="0"/>
    <n v="0"/>
    <n v="0"/>
    <n v="0"/>
    <n v="0"/>
    <n v="20"/>
    <n v="20"/>
    <n v="2.8571428571428572"/>
    <x v="1"/>
    <x v="19"/>
    <x v="7"/>
    <x v="1"/>
  </r>
  <r>
    <s v="816536144154"/>
    <n v="816536"/>
    <s v="RAJESH KUMAR SARASWAT"/>
    <n v="144154"/>
    <s v="SANGAM TRADERS"/>
    <n v="0"/>
    <n v="0"/>
    <n v="0"/>
    <n v="0"/>
    <n v="0"/>
    <n v="0"/>
    <n v="45"/>
    <n v="45"/>
    <n v="6.4285714285714288"/>
    <x v="1"/>
    <x v="19"/>
    <x v="7"/>
    <x v="1"/>
  </r>
  <r>
    <s v="816690209017"/>
    <n v="816690"/>
    <s v="ROYAL ENTERPRISES"/>
    <n v="209017"/>
    <s v="SARSWAT HARDWARE"/>
    <n v="0"/>
    <n v="0"/>
    <n v="0"/>
    <n v="0"/>
    <n v="0"/>
    <n v="0"/>
    <n v="42"/>
    <n v="42"/>
    <n v="6"/>
    <x v="1"/>
    <x v="19"/>
    <x v="7"/>
    <x v="1"/>
  </r>
  <r>
    <s v="816691209017"/>
    <n v="816691"/>
    <s v="HARI OM TRADING COMPANY"/>
    <n v="209017"/>
    <s v="SARSWAT HARDWARE"/>
    <n v="0"/>
    <n v="0"/>
    <n v="0"/>
    <n v="0"/>
    <n v="0"/>
    <n v="0"/>
    <n v="25"/>
    <n v="25"/>
    <n v="3.5714285714285716"/>
    <x v="1"/>
    <x v="19"/>
    <x v="7"/>
    <x v="1"/>
  </r>
  <r>
    <s v="811687143608"/>
    <n v="811687"/>
    <s v="BHAGIRATH"/>
    <n v="143608"/>
    <s v="OM IRON AND CEMENT AGENCY"/>
    <n v="26.65"/>
    <n v="112"/>
    <n v="76.5"/>
    <n v="118"/>
    <n v="118"/>
    <n v="101"/>
    <n v="95"/>
    <n v="647.15"/>
    <n v="92.45"/>
    <x v="3"/>
    <x v="20"/>
    <x v="7"/>
    <x v="1"/>
  </r>
  <r>
    <s v="814883143608"/>
    <n v="814883"/>
    <s v="SATGURU BRICKS"/>
    <n v="143608"/>
    <s v="OM IRON AND CEMENT AGENCY"/>
    <n v="59"/>
    <n v="15.5"/>
    <n v="51.5"/>
    <n v="54"/>
    <n v="75"/>
    <n v="57.6"/>
    <n v="62"/>
    <n v="374.6"/>
    <n v="53.51428571428572"/>
    <x v="3"/>
    <x v="20"/>
    <x v="7"/>
    <x v="1"/>
  </r>
  <r>
    <s v="806805145394"/>
    <n v="806805"/>
    <s v="DARA SINGH"/>
    <n v="145394"/>
    <s v="DEVRAJ AND SONS"/>
    <n v="0"/>
    <n v="0"/>
    <n v="30"/>
    <n v="0"/>
    <n v="0"/>
    <n v="0"/>
    <n v="0"/>
    <n v="30"/>
    <n v="4.2857142857142856"/>
    <x v="1"/>
    <x v="20"/>
    <x v="7"/>
    <x v="1"/>
  </r>
  <r>
    <s v="808426145394"/>
    <n v="808426"/>
    <s v="MUKESH TRADERS"/>
    <n v="145394"/>
    <s v="DEVRAJ AND SONS"/>
    <n v="55"/>
    <n v="67.5"/>
    <n v="125"/>
    <n v="82.5"/>
    <n v="105"/>
    <n v="86"/>
    <n v="70"/>
    <n v="591"/>
    <n v="84.428571428571431"/>
    <x v="3"/>
    <x v="20"/>
    <x v="7"/>
    <x v="1"/>
  </r>
  <r>
    <s v="808427145394"/>
    <n v="808427"/>
    <s v="BABU SINGH"/>
    <n v="145394"/>
    <s v="DEVRAJ AND SONS"/>
    <n v="0"/>
    <n v="15"/>
    <n v="39"/>
    <n v="21.5"/>
    <n v="47"/>
    <n v="30"/>
    <n v="25"/>
    <n v="177.5"/>
    <n v="25.357142857142858"/>
    <x v="0"/>
    <x v="20"/>
    <x v="7"/>
    <x v="1"/>
  </r>
  <r>
    <s v="809529145394"/>
    <n v="809529"/>
    <s v="SUBHASH CHANDER"/>
    <n v="145394"/>
    <s v="DEVRAJ AND SONS"/>
    <n v="15"/>
    <n v="28"/>
    <n v="43"/>
    <n v="36.5"/>
    <n v="58.75"/>
    <n v="55"/>
    <n v="35"/>
    <n v="271.25"/>
    <n v="38.75"/>
    <x v="4"/>
    <x v="20"/>
    <x v="7"/>
    <x v="1"/>
  </r>
  <r>
    <s v="809908145394"/>
    <n v="809908"/>
    <s v="JAMINDARA SHUTTERING STORE"/>
    <n v="145394"/>
    <s v="DEVRAJ AND SONS"/>
    <n v="23"/>
    <n v="25"/>
    <n v="48.5"/>
    <n v="66.5"/>
    <n v="70"/>
    <n v="35"/>
    <n v="20"/>
    <n v="288"/>
    <n v="41.142857142857146"/>
    <x v="5"/>
    <x v="20"/>
    <x v="7"/>
    <x v="1"/>
  </r>
  <r>
    <s v="809909145394"/>
    <n v="809909"/>
    <s v="SIDHU BUILDING MATERIAL STORE"/>
    <n v="145394"/>
    <s v="DEVRAJ AND SONS"/>
    <n v="52.5"/>
    <n v="48"/>
    <n v="54"/>
    <n v="21.75"/>
    <n v="29.5"/>
    <n v="30"/>
    <n v="35"/>
    <n v="270.75"/>
    <n v="38.678571428571431"/>
    <x v="4"/>
    <x v="20"/>
    <x v="7"/>
    <x v="1"/>
  </r>
  <r>
    <s v="810584145394"/>
    <n v="810584"/>
    <s v="GANPATI TILES FACTORY"/>
    <n v="145394"/>
    <s v="DEVRAJ AND SONS"/>
    <n v="27.5"/>
    <n v="43"/>
    <n v="100"/>
    <n v="24"/>
    <n v="74.5"/>
    <n v="45"/>
    <n v="15"/>
    <n v="329"/>
    <n v="47"/>
    <x v="5"/>
    <x v="20"/>
    <x v="7"/>
    <x v="1"/>
  </r>
  <r>
    <s v="811479145394"/>
    <n v="811479"/>
    <s v="CHATURBHUJ"/>
    <n v="145394"/>
    <s v="DEVRAJ AND SONS"/>
    <n v="24"/>
    <n v="20"/>
    <n v="33"/>
    <n v="21.5"/>
    <n v="61.5"/>
    <n v="47"/>
    <n v="15"/>
    <n v="222"/>
    <n v="31.714285714285715"/>
    <x v="4"/>
    <x v="20"/>
    <x v="7"/>
    <x v="1"/>
  </r>
  <r>
    <s v="812729145394"/>
    <n v="812729"/>
    <s v="AGGARWAL BUILDING MATERIAL"/>
    <n v="145394"/>
    <s v="DEVRAJ AND SONS"/>
    <n v="11.5"/>
    <n v="30"/>
    <n v="39"/>
    <n v="7"/>
    <n v="1"/>
    <n v="0"/>
    <n v="0"/>
    <n v="88.5"/>
    <n v="12.642857142857142"/>
    <x v="2"/>
    <x v="20"/>
    <x v="7"/>
    <x v="1"/>
  </r>
  <r>
    <s v="812863145394"/>
    <n v="812863"/>
    <s v="DARSHAN SINGH"/>
    <n v="145394"/>
    <s v="DEVRAJ AND SONS"/>
    <n v="53"/>
    <n v="30"/>
    <n v="65"/>
    <n v="21.5"/>
    <n v="58.75"/>
    <n v="35"/>
    <n v="20"/>
    <n v="283.25"/>
    <n v="40.464285714285715"/>
    <x v="5"/>
    <x v="20"/>
    <x v="7"/>
    <x v="1"/>
  </r>
  <r>
    <s v="813008145394"/>
    <n v="813008"/>
    <s v="RAJESH KUMAR"/>
    <n v="145394"/>
    <s v="DEVRAJ AND SONS"/>
    <n v="40"/>
    <n v="30"/>
    <n v="73.5"/>
    <n v="28.5"/>
    <n v="110"/>
    <n v="55"/>
    <n v="35"/>
    <n v="372"/>
    <n v="53.142857142857146"/>
    <x v="3"/>
    <x v="20"/>
    <x v="7"/>
    <x v="1"/>
  </r>
  <r>
    <s v="813010145394"/>
    <n v="813010"/>
    <s v="JAGSEER SINGH"/>
    <n v="145394"/>
    <s v="DEVRAJ AND SONS"/>
    <n v="11.5"/>
    <n v="12"/>
    <n v="15"/>
    <n v="4.5"/>
    <n v="31"/>
    <n v="40"/>
    <n v="15"/>
    <n v="129"/>
    <n v="18.428571428571427"/>
    <x v="2"/>
    <x v="20"/>
    <x v="7"/>
    <x v="1"/>
  </r>
  <r>
    <s v="805765147892"/>
    <n v="805765"/>
    <s v="BALAJI MOBILE POINT"/>
    <n v="147892"/>
    <s v="RAMDEV TRADERS"/>
    <n v="15"/>
    <n v="26.5"/>
    <n v="45.5"/>
    <n v="25.3"/>
    <n v="21"/>
    <n v="47"/>
    <n v="10"/>
    <n v="190.3"/>
    <n v="27.185714285714287"/>
    <x v="0"/>
    <x v="20"/>
    <x v="7"/>
    <x v="1"/>
  </r>
  <r>
    <s v="808449149859"/>
    <n v="808449"/>
    <s v="MALI BUILDING MATERIAL STORE"/>
    <n v="149859"/>
    <s v="DHARM PAL AKSHAY KUMAR"/>
    <n v="42.5"/>
    <n v="74.5"/>
    <n v="147"/>
    <n v="160"/>
    <n v="148.5"/>
    <n v="124.25"/>
    <n v="59"/>
    <n v="755.75"/>
    <n v="107.96428571428571"/>
    <x v="3"/>
    <x v="20"/>
    <x v="7"/>
    <x v="1"/>
  </r>
  <r>
    <s v="806659171839"/>
    <n v="806659"/>
    <s v="DHAKA ENTERPRISES"/>
    <n v="171839"/>
    <s v="SARAWAGI CEMENT AGENCY"/>
    <n v="20"/>
    <n v="10"/>
    <n v="35"/>
    <n v="0"/>
    <n v="0"/>
    <n v="0"/>
    <n v="0"/>
    <n v="65"/>
    <n v="9.2857142857142865"/>
    <x v="1"/>
    <x v="20"/>
    <x v="7"/>
    <x v="1"/>
  </r>
  <r>
    <s v="806829171839"/>
    <n v="806829"/>
    <s v="VIKAS PAREEK"/>
    <n v="171839"/>
    <s v="SARAWAGI CEMENT AGENCY"/>
    <n v="23"/>
    <n v="65"/>
    <n v="62"/>
    <n v="78"/>
    <n v="4.5"/>
    <n v="63.5"/>
    <n v="50"/>
    <n v="346"/>
    <n v="49.428571428571431"/>
    <x v="5"/>
    <x v="20"/>
    <x v="7"/>
    <x v="1"/>
  </r>
  <r>
    <s v="806843171839"/>
    <n v="806843"/>
    <s v="SHYAM SUNDER"/>
    <n v="171839"/>
    <s v="SARAWAGI CEMENT AGENCY"/>
    <n v="10"/>
    <n v="81"/>
    <n v="14.8"/>
    <n v="52"/>
    <n v="4.5"/>
    <n v="110.5"/>
    <n v="95"/>
    <n v="367.8"/>
    <n v="52.542857142857144"/>
    <x v="3"/>
    <x v="20"/>
    <x v="7"/>
    <x v="1"/>
  </r>
  <r>
    <s v="806862171839"/>
    <n v="806862"/>
    <s v="SAHARAN BUILDING MATERIAL"/>
    <n v="171839"/>
    <s v="SARAWAGI CEMENT AGENCY"/>
    <n v="45"/>
    <n v="75"/>
    <n v="100"/>
    <n v="126"/>
    <n v="14.5"/>
    <n v="100"/>
    <n v="0"/>
    <n v="460.5"/>
    <n v="65.785714285714292"/>
    <x v="3"/>
    <x v="20"/>
    <x v="7"/>
    <x v="1"/>
  </r>
  <r>
    <s v="807912171839"/>
    <n v="807912"/>
    <s v="NARESH KUMAR"/>
    <n v="171839"/>
    <s v="SARAWAGI CEMENT AGENCY"/>
    <n v="20"/>
    <n v="106"/>
    <n v="85"/>
    <n v="81.5"/>
    <n v="4.5"/>
    <n v="95"/>
    <n v="95"/>
    <n v="487"/>
    <n v="69.571428571428569"/>
    <x v="3"/>
    <x v="20"/>
    <x v="7"/>
    <x v="1"/>
  </r>
  <r>
    <s v="808569171839"/>
    <n v="808569"/>
    <s v="KANDOI TRADERS"/>
    <n v="171839"/>
    <s v="SARAWAGI CEMENT AGENCY"/>
    <n v="61.5"/>
    <n v="120"/>
    <n v="130"/>
    <n v="119"/>
    <n v="28.5"/>
    <n v="100.5"/>
    <n v="75"/>
    <n v="634.5"/>
    <n v="90.642857142857139"/>
    <x v="3"/>
    <x v="20"/>
    <x v="7"/>
    <x v="1"/>
  </r>
  <r>
    <s v="809102171839"/>
    <n v="809102"/>
    <s v="MAYANK ENTERPRISES"/>
    <n v="171839"/>
    <s v="SARAWAGI CEMENT AGENCY"/>
    <n v="15"/>
    <n v="115"/>
    <n v="115"/>
    <n v="62"/>
    <n v="59.5"/>
    <n v="60.5"/>
    <n v="0"/>
    <n v="427"/>
    <n v="61"/>
    <x v="3"/>
    <x v="20"/>
    <x v="7"/>
    <x v="1"/>
  </r>
  <r>
    <s v="809426171839"/>
    <n v="809426"/>
    <s v="RAJENDER"/>
    <n v="171839"/>
    <s v="SARAWAGI CEMENT AGENCY"/>
    <n v="0"/>
    <n v="40"/>
    <n v="19.5"/>
    <n v="32.5"/>
    <n v="4.5"/>
    <n v="30"/>
    <n v="30"/>
    <n v="156.5"/>
    <n v="22.357142857142858"/>
    <x v="0"/>
    <x v="20"/>
    <x v="7"/>
    <x v="1"/>
  </r>
  <r>
    <s v="811647171839"/>
    <n v="811647"/>
    <s v="HIRALAL"/>
    <n v="171839"/>
    <s v="SARAWAGI CEMENT AGENCY"/>
    <n v="10"/>
    <n v="76"/>
    <n v="69"/>
    <n v="67"/>
    <n v="24.5"/>
    <n v="45"/>
    <n v="50"/>
    <n v="341.5"/>
    <n v="48.785714285714285"/>
    <x v="5"/>
    <x v="20"/>
    <x v="7"/>
    <x v="1"/>
  </r>
  <r>
    <s v="811686171839"/>
    <n v="811686"/>
    <s v="OMPARKASH"/>
    <n v="171839"/>
    <s v="SARAWAGI CEMENT AGENCY"/>
    <n v="61.5"/>
    <n v="128"/>
    <n v="100"/>
    <n v="107"/>
    <n v="31.5"/>
    <n v="105"/>
    <n v="95"/>
    <n v="628"/>
    <n v="89.714285714285708"/>
    <x v="3"/>
    <x v="20"/>
    <x v="7"/>
    <x v="1"/>
  </r>
  <r>
    <s v="811918171839"/>
    <n v="811918"/>
    <s v="ARIF MOHAMMAD"/>
    <n v="171839"/>
    <s v="SARAWAGI CEMENT AGENCY"/>
    <n v="10"/>
    <n v="27.5"/>
    <n v="57"/>
    <n v="29.5"/>
    <n v="4.5"/>
    <n v="50"/>
    <n v="40"/>
    <n v="218.5"/>
    <n v="31.214285714285715"/>
    <x v="4"/>
    <x v="20"/>
    <x v="7"/>
    <x v="1"/>
  </r>
  <r>
    <s v="814868171839"/>
    <n v="814868"/>
    <s v="PREM BUILDING MATERIAL"/>
    <n v="171839"/>
    <s v="SARAWAGI CEMENT AGENCY"/>
    <n v="20"/>
    <n v="50"/>
    <n v="72"/>
    <n v="72.8"/>
    <n v="4.5"/>
    <n v="40"/>
    <n v="40"/>
    <n v="299.3"/>
    <n v="42.75714285714286"/>
    <x v="5"/>
    <x v="20"/>
    <x v="7"/>
    <x v="1"/>
  </r>
  <r>
    <s v="815868171839"/>
    <n v="815868"/>
    <s v="KANWAR PAL"/>
    <n v="171839"/>
    <s v="SARAWAGI CEMENT AGENCY"/>
    <n v="0"/>
    <n v="0"/>
    <n v="0"/>
    <n v="0"/>
    <n v="74.5"/>
    <n v="110"/>
    <n v="50"/>
    <n v="234.5"/>
    <n v="33.5"/>
    <x v="4"/>
    <x v="20"/>
    <x v="7"/>
    <x v="1"/>
  </r>
  <r>
    <s v="806804171923"/>
    <n v="806804"/>
    <s v="RAM SINGH"/>
    <n v="171923"/>
    <s v="SHIV SHAKTI BUILDING MATERIAL"/>
    <n v="44"/>
    <n v="59"/>
    <n v="56.5"/>
    <n v="99"/>
    <n v="58"/>
    <n v="40"/>
    <n v="40"/>
    <n v="396.5"/>
    <n v="56.642857142857146"/>
    <x v="3"/>
    <x v="20"/>
    <x v="7"/>
    <x v="1"/>
  </r>
  <r>
    <s v="806805171923"/>
    <n v="806805"/>
    <s v="DARA SINGH"/>
    <n v="171923"/>
    <s v="SHIV SHAKTI BUILDING MATERIAL"/>
    <n v="25"/>
    <n v="30"/>
    <n v="45"/>
    <n v="22.5"/>
    <n v="36.5"/>
    <n v="20"/>
    <n v="15"/>
    <n v="194"/>
    <n v="27.714285714285715"/>
    <x v="0"/>
    <x v="20"/>
    <x v="7"/>
    <x v="1"/>
  </r>
  <r>
    <s v="809103171923"/>
    <n v="809103"/>
    <s v="GOPIRAM"/>
    <n v="171923"/>
    <s v="SHIV SHAKTI BUILDING MATERIAL"/>
    <n v="6.5"/>
    <n v="38"/>
    <n v="20"/>
    <n v="2.5"/>
    <n v="11"/>
    <n v="35"/>
    <n v="20"/>
    <n v="133"/>
    <n v="19"/>
    <x v="2"/>
    <x v="20"/>
    <x v="7"/>
    <x v="1"/>
  </r>
  <r>
    <s v="812109171924"/>
    <n v="812109"/>
    <s v="LILADHAR"/>
    <n v="171924"/>
    <s v="BALAJI CEMENT AGENCY"/>
    <n v="41.5"/>
    <n v="42"/>
    <n v="42"/>
    <n v="51"/>
    <n v="20"/>
    <n v="75"/>
    <n v="0"/>
    <n v="271.5"/>
    <n v="38.785714285714285"/>
    <x v="4"/>
    <x v="20"/>
    <x v="7"/>
    <x v="1"/>
  </r>
  <r>
    <s v="810298172946"/>
    <n v="810298"/>
    <s v="NAKSHATRA SINGH"/>
    <n v="172946"/>
    <s v="RIDHI SIDHI TRADERS"/>
    <n v="0"/>
    <n v="0"/>
    <n v="0"/>
    <n v="40"/>
    <n v="39"/>
    <n v="47.5"/>
    <n v="0"/>
    <n v="126.5"/>
    <n v="18.071428571428573"/>
    <x v="2"/>
    <x v="20"/>
    <x v="7"/>
    <x v="1"/>
  </r>
  <r>
    <s v="810386172946"/>
    <n v="810386"/>
    <s v="BRIJ MOHAN"/>
    <n v="172946"/>
    <s v="RIDHI SIDHI TRADERS"/>
    <n v="0"/>
    <n v="50"/>
    <n v="60"/>
    <n v="41.9"/>
    <n v="61"/>
    <n v="50"/>
    <n v="20"/>
    <n v="282.89999999999998"/>
    <n v="40.414285714285711"/>
    <x v="5"/>
    <x v="20"/>
    <x v="7"/>
    <x v="1"/>
  </r>
  <r>
    <s v="816142172946"/>
    <n v="816142"/>
    <s v="SANJAY KUMAR"/>
    <n v="172946"/>
    <s v="RIDHI SIDHI TRADERS"/>
    <n v="0"/>
    <n v="0"/>
    <n v="0"/>
    <n v="0"/>
    <n v="30"/>
    <n v="45"/>
    <n v="0"/>
    <n v="75"/>
    <n v="10.714285714285714"/>
    <x v="2"/>
    <x v="20"/>
    <x v="7"/>
    <x v="1"/>
  </r>
  <r>
    <s v="812663175340"/>
    <n v="812663"/>
    <s v="BHATI CEMENT &amp; BUILDING MATERI"/>
    <n v="175340"/>
    <s v="VISHNU CEMENT &amp; IRON STORE"/>
    <n v="1.3"/>
    <n v="0"/>
    <n v="0"/>
    <n v="21"/>
    <n v="0"/>
    <n v="0"/>
    <n v="0"/>
    <n v="22.3"/>
    <n v="3.1857142857142859"/>
    <x v="1"/>
    <x v="20"/>
    <x v="7"/>
    <x v="1"/>
  </r>
  <r>
    <s v="815899175340"/>
    <n v="815899"/>
    <s v="GANPATI BUILDING MATERIAL"/>
    <n v="175340"/>
    <s v="VISHNU CEMENT &amp; IRON STORE"/>
    <n v="0"/>
    <n v="0"/>
    <n v="0"/>
    <n v="0"/>
    <n v="50"/>
    <n v="60.05"/>
    <n v="38.5"/>
    <n v="148.55000000000001"/>
    <n v="21.221428571428572"/>
    <x v="0"/>
    <x v="20"/>
    <x v="7"/>
    <x v="1"/>
  </r>
  <r>
    <s v="815904175340"/>
    <n v="815904"/>
    <s v="SATVEER SINGH"/>
    <n v="175340"/>
    <s v="VISHNU CEMENT &amp; IRON STORE"/>
    <n v="0"/>
    <n v="0"/>
    <n v="0"/>
    <n v="0"/>
    <n v="52"/>
    <n v="60"/>
    <n v="31.5"/>
    <n v="143.5"/>
    <n v="20.5"/>
    <x v="0"/>
    <x v="20"/>
    <x v="7"/>
    <x v="1"/>
  </r>
  <r>
    <s v="814444175939"/>
    <n v="814444"/>
    <s v="KISSAN CEMENT AGENCY"/>
    <n v="175939"/>
    <s v="SHRI GURUNANAK CEMENT AGENCIES"/>
    <n v="25"/>
    <n v="56.5"/>
    <n v="75"/>
    <n v="80.3"/>
    <n v="65"/>
    <n v="19.149999999999999"/>
    <n v="25"/>
    <n v="345.95"/>
    <n v="49.421428571428571"/>
    <x v="5"/>
    <x v="20"/>
    <x v="7"/>
    <x v="1"/>
  </r>
  <r>
    <s v="815816175939"/>
    <n v="815816"/>
    <s v="RAJENDRA SINGH"/>
    <n v="175939"/>
    <s v="SHRI GURUNANAK CEMENT AGENCIES"/>
    <n v="0"/>
    <n v="0"/>
    <n v="0"/>
    <n v="0"/>
    <n v="1"/>
    <n v="36.5"/>
    <n v="25"/>
    <n v="62.5"/>
    <n v="8.9285714285714288"/>
    <x v="1"/>
    <x v="20"/>
    <x v="7"/>
    <x v="1"/>
  </r>
  <r>
    <s v="814434176097"/>
    <n v="814434"/>
    <s v="BALWANT KUMAR"/>
    <n v="176097"/>
    <s v="GODARA BUILDING MATERIAL STORE"/>
    <n v="20"/>
    <n v="59"/>
    <n v="92.5"/>
    <n v="51.5"/>
    <n v="105"/>
    <n v="97"/>
    <n v="75"/>
    <n v="500"/>
    <n v="71.428571428571431"/>
    <x v="3"/>
    <x v="20"/>
    <x v="7"/>
    <x v="1"/>
  </r>
  <r>
    <s v="814786178309"/>
    <n v="814786"/>
    <s v="MADAN LAL"/>
    <n v="178309"/>
    <s v="BALAJI BUILDING MATERIAL STORE"/>
    <n v="0"/>
    <n v="0"/>
    <n v="0"/>
    <n v="0"/>
    <n v="21.5"/>
    <n v="19"/>
    <n v="0"/>
    <n v="40.5"/>
    <n v="5.7857142857142856"/>
    <x v="1"/>
    <x v="20"/>
    <x v="7"/>
    <x v="1"/>
  </r>
  <r>
    <s v="812897202329"/>
    <n v="812897"/>
    <s v="SHYAM LAL"/>
    <n v="202329"/>
    <s v="SHREE SHYAM STONE COMPANY"/>
    <n v="27.5"/>
    <n v="37"/>
    <n v="34"/>
    <n v="58.5"/>
    <n v="41.5"/>
    <n v="42"/>
    <n v="30"/>
    <n v="270.5"/>
    <n v="38.642857142857146"/>
    <x v="4"/>
    <x v="20"/>
    <x v="7"/>
    <x v="1"/>
  </r>
  <r>
    <s v="812899202329"/>
    <n v="812899"/>
    <s v="BALAJI CEMENT STORE"/>
    <n v="202329"/>
    <s v="SHREE SHYAM STONE COMPANY"/>
    <n v="37.5"/>
    <n v="38"/>
    <n v="15"/>
    <n v="0"/>
    <n v="0"/>
    <n v="0"/>
    <n v="0"/>
    <n v="90.5"/>
    <n v="12.928571428571429"/>
    <x v="2"/>
    <x v="20"/>
    <x v="7"/>
    <x v="1"/>
  </r>
  <r>
    <s v="812069202913"/>
    <n v="812069"/>
    <s v="YOGESH IRON STORE"/>
    <n v="202913"/>
    <s v="SACHIN CEMENT STORE"/>
    <n v="4.5"/>
    <n v="15"/>
    <n v="46.5"/>
    <n v="2"/>
    <n v="22.5"/>
    <n v="15"/>
    <n v="0"/>
    <n v="105.5"/>
    <n v="15.071428571428571"/>
    <x v="2"/>
    <x v="20"/>
    <x v="7"/>
    <x v="1"/>
  </r>
  <r>
    <s v="812712202913"/>
    <n v="812712"/>
    <s v="PARDEEP KUMAR"/>
    <n v="202913"/>
    <s v="SACHIN CEMENT STORE"/>
    <n v="17.5"/>
    <n v="60"/>
    <n v="115"/>
    <n v="1"/>
    <n v="39.5"/>
    <n v="47"/>
    <n v="15"/>
    <n v="295"/>
    <n v="42.142857142857146"/>
    <x v="5"/>
    <x v="20"/>
    <x v="7"/>
    <x v="1"/>
  </r>
  <r>
    <s v="812869202913"/>
    <n v="812869"/>
    <s v="GOYAL STONE SUPPLIERS"/>
    <n v="202913"/>
    <s v="SACHIN CEMENT STORE"/>
    <n v="0"/>
    <n v="0"/>
    <n v="0"/>
    <n v="0"/>
    <n v="74"/>
    <n v="63"/>
    <n v="30"/>
    <n v="167"/>
    <n v="23.857142857142858"/>
    <x v="0"/>
    <x v="20"/>
    <x v="7"/>
    <x v="1"/>
  </r>
  <r>
    <s v="813450202913"/>
    <n v="813450"/>
    <s v="SHANKAER LAL"/>
    <n v="202913"/>
    <s v="SACHIN CEMENT STORE"/>
    <n v="24.5"/>
    <n v="52"/>
    <n v="70"/>
    <n v="21"/>
    <n v="32.5"/>
    <n v="25"/>
    <n v="0"/>
    <n v="225"/>
    <n v="32.142857142857146"/>
    <x v="4"/>
    <x v="20"/>
    <x v="7"/>
    <x v="1"/>
  </r>
  <r>
    <s v="814917202913"/>
    <n v="814917"/>
    <s v="SAROJ"/>
    <n v="202913"/>
    <s v="SACHIN CEMENT STORE"/>
    <n v="27.5"/>
    <n v="75"/>
    <n v="85"/>
    <n v="21"/>
    <n v="0"/>
    <n v="0"/>
    <n v="0"/>
    <n v="208.5"/>
    <n v="29.785714285714285"/>
    <x v="0"/>
    <x v="20"/>
    <x v="7"/>
    <x v="1"/>
  </r>
  <r>
    <s v="815600202913"/>
    <n v="815600"/>
    <s v="SRI BALAJI STONE COMPANY"/>
    <n v="202913"/>
    <s v="SACHIN CEMENT STORE"/>
    <n v="0"/>
    <n v="0"/>
    <n v="0"/>
    <n v="0"/>
    <n v="25"/>
    <n v="15"/>
    <n v="0"/>
    <n v="40"/>
    <n v="5.7142857142857144"/>
    <x v="1"/>
    <x v="20"/>
    <x v="7"/>
    <x v="1"/>
  </r>
  <r>
    <s v="815602202913"/>
    <n v="815602"/>
    <s v="JHAJHRIYA CEMENT STORE"/>
    <n v="202913"/>
    <s v="SACHIN CEMENT STORE"/>
    <n v="0"/>
    <n v="0"/>
    <n v="0"/>
    <n v="0"/>
    <n v="7.5"/>
    <n v="20"/>
    <n v="0"/>
    <n v="27.5"/>
    <n v="3.9285714285714284"/>
    <x v="1"/>
    <x v="20"/>
    <x v="7"/>
    <x v="1"/>
  </r>
  <r>
    <s v="812701202941"/>
    <n v="812701"/>
    <s v="KULDEEP KUMAR"/>
    <n v="202941"/>
    <s v="SHRI BALAJI BUILDING MATERIAL"/>
    <n v="52.5"/>
    <n v="77.5"/>
    <n v="78"/>
    <n v="85"/>
    <n v="40.5"/>
    <n v="7.5"/>
    <n v="0"/>
    <n v="341"/>
    <n v="48.714285714285715"/>
    <x v="5"/>
    <x v="20"/>
    <x v="7"/>
    <x v="1"/>
  </r>
  <r>
    <s v="812852202941"/>
    <n v="812852"/>
    <s v="JOGENDRA"/>
    <n v="202941"/>
    <s v="SHRI BALAJI BUILDING MATERIAL"/>
    <n v="37.5"/>
    <n v="53"/>
    <n v="66"/>
    <n v="62"/>
    <n v="35"/>
    <n v="7.5"/>
    <n v="30"/>
    <n v="291"/>
    <n v="41.571428571428569"/>
    <x v="5"/>
    <x v="20"/>
    <x v="7"/>
    <x v="1"/>
  </r>
  <r>
    <s v="815866202941"/>
    <n v="815866"/>
    <s v="CHHOTU LAL"/>
    <n v="202941"/>
    <s v="SHRI BALAJI BUILDING MATERIAL"/>
    <n v="0"/>
    <n v="0"/>
    <n v="0"/>
    <n v="0"/>
    <n v="40"/>
    <n v="10"/>
    <n v="0"/>
    <n v="50"/>
    <n v="7.1428571428571432"/>
    <x v="1"/>
    <x v="20"/>
    <x v="7"/>
    <x v="1"/>
  </r>
  <r>
    <s v="815867202941"/>
    <n v="815867"/>
    <s v="KARANI SINGH"/>
    <n v="202941"/>
    <s v="SHRI BALAJI BUILDING MATERIAL"/>
    <n v="0"/>
    <n v="0"/>
    <n v="0"/>
    <n v="0"/>
    <n v="10"/>
    <n v="10"/>
    <n v="35"/>
    <n v="55"/>
    <n v="7.8571428571428568"/>
    <x v="1"/>
    <x v="20"/>
    <x v="7"/>
    <x v="1"/>
  </r>
  <r>
    <s v="812903203421"/>
    <n v="812903"/>
    <s v="BHAGA RAM"/>
    <n v="203421"/>
    <s v="ANGEL CONSTRUCTION COMPANY"/>
    <n v="84"/>
    <n v="66.5"/>
    <n v="71.5"/>
    <n v="80.5"/>
    <n v="75.400000000000006"/>
    <n v="60"/>
    <n v="35"/>
    <n v="472.9"/>
    <n v="67.55714285714285"/>
    <x v="3"/>
    <x v="20"/>
    <x v="7"/>
    <x v="1"/>
  </r>
  <r>
    <s v="812949204208"/>
    <n v="812949"/>
    <s v="NARENDER"/>
    <n v="204208"/>
    <s v="NIMBIWAL BUILDING MATERIAL&amp;SUP"/>
    <n v="100"/>
    <n v="80.5"/>
    <n v="60"/>
    <n v="97.5"/>
    <n v="35"/>
    <n v="65"/>
    <n v="35"/>
    <n v="473"/>
    <n v="67.571428571428569"/>
    <x v="3"/>
    <x v="20"/>
    <x v="7"/>
    <x v="1"/>
  </r>
  <r>
    <s v="808154204318"/>
    <n v="808154"/>
    <s v="NIMIWAL STONE COMPANY"/>
    <n v="204318"/>
    <s v="KISAN BUILDING MATERIAL"/>
    <n v="20"/>
    <n v="14"/>
    <n v="40"/>
    <n v="37"/>
    <n v="25.5"/>
    <n v="37.5"/>
    <n v="15"/>
    <n v="189"/>
    <n v="27"/>
    <x v="0"/>
    <x v="20"/>
    <x v="7"/>
    <x v="1"/>
  </r>
  <r>
    <s v="808492204318"/>
    <n v="808492"/>
    <s v="ALADIN KHAN"/>
    <n v="204318"/>
    <s v="KISAN BUILDING MATERIAL"/>
    <n v="7.5"/>
    <n v="0"/>
    <n v="0"/>
    <n v="0"/>
    <n v="0"/>
    <n v="0"/>
    <n v="0"/>
    <n v="7.5"/>
    <n v="1.0714285714285714"/>
    <x v="1"/>
    <x v="20"/>
    <x v="7"/>
    <x v="1"/>
  </r>
  <r>
    <s v="813388204318"/>
    <n v="813388"/>
    <s v="SUNIL KUMAR"/>
    <n v="204318"/>
    <s v="KISAN BUILDING MATERIAL"/>
    <n v="20"/>
    <n v="17"/>
    <n v="43"/>
    <n v="46"/>
    <n v="14"/>
    <n v="26.700000000000003"/>
    <n v="30"/>
    <n v="196.7"/>
    <n v="28.099999999999998"/>
    <x v="0"/>
    <x v="20"/>
    <x v="7"/>
    <x v="1"/>
  </r>
  <r>
    <s v="813619204318"/>
    <n v="813619"/>
    <s v="AMAJAD KHAN"/>
    <n v="204318"/>
    <s v="KISAN BUILDING MATERIAL"/>
    <n v="43.5"/>
    <n v="80"/>
    <n v="74"/>
    <n v="51"/>
    <n v="55"/>
    <n v="40"/>
    <n v="50"/>
    <n v="393.5"/>
    <n v="56.214285714285715"/>
    <x v="3"/>
    <x v="20"/>
    <x v="7"/>
    <x v="1"/>
  </r>
  <r>
    <s v="815134204318"/>
    <n v="815134"/>
    <s v="BHAJN LAL"/>
    <n v="204318"/>
    <s v="KISAN BUILDING MATERIAL"/>
    <n v="0"/>
    <n v="0"/>
    <n v="25"/>
    <n v="36"/>
    <n v="28"/>
    <n v="23"/>
    <n v="15"/>
    <n v="127"/>
    <n v="18.142857142857142"/>
    <x v="2"/>
    <x v="20"/>
    <x v="7"/>
    <x v="1"/>
  </r>
  <r>
    <s v="815815204318"/>
    <n v="815815"/>
    <s v="KUNAN MAL"/>
    <n v="204318"/>
    <s v="KISAN BUILDING MATERIAL"/>
    <n v="0"/>
    <n v="0"/>
    <n v="0"/>
    <n v="0"/>
    <n v="24.5"/>
    <n v="25"/>
    <n v="0"/>
    <n v="49.5"/>
    <n v="7.0714285714285712"/>
    <x v="1"/>
    <x v="20"/>
    <x v="7"/>
    <x v="1"/>
  </r>
  <r>
    <s v="811686205949"/>
    <n v="811686"/>
    <s v="OMPARKASH"/>
    <n v="205949"/>
    <s v="BHAWANI CEMENT AGENCY"/>
    <n v="0"/>
    <n v="10"/>
    <n v="0"/>
    <n v="0"/>
    <n v="0"/>
    <n v="0"/>
    <n v="0"/>
    <n v="10"/>
    <n v="1.4285714285714286"/>
    <x v="1"/>
    <x v="20"/>
    <x v="7"/>
    <x v="1"/>
  </r>
  <r>
    <s v="812665205949"/>
    <n v="812665"/>
    <s v="SHANKAR LAL"/>
    <n v="205949"/>
    <s v="BHAWANI CEMENT AGENCY"/>
    <n v="20"/>
    <n v="10"/>
    <n v="312"/>
    <n v="3"/>
    <n v="33"/>
    <n v="1"/>
    <n v="75"/>
    <n v="454"/>
    <n v="64.857142857142861"/>
    <x v="3"/>
    <x v="20"/>
    <x v="7"/>
    <x v="1"/>
  </r>
  <r>
    <s v="813366205949"/>
    <n v="813366"/>
    <s v="PAPU"/>
    <n v="205949"/>
    <s v="BHAWANI CEMENT AGENCY"/>
    <n v="25"/>
    <n v="10"/>
    <n v="274.5"/>
    <n v="3"/>
    <n v="3"/>
    <n v="0"/>
    <n v="50"/>
    <n v="365.5"/>
    <n v="52.214285714285715"/>
    <x v="3"/>
    <x v="20"/>
    <x v="7"/>
    <x v="1"/>
  </r>
  <r>
    <s v="814433206302"/>
    <n v="814433"/>
    <s v="SAI BUILDING MATERIAL AND SUPP"/>
    <n v="206302"/>
    <s v="BALAJI CEMENT AGENCY"/>
    <n v="65.5"/>
    <n v="58"/>
    <n v="73"/>
    <n v="0"/>
    <n v="0"/>
    <n v="0"/>
    <n v="0"/>
    <n v="196.5"/>
    <n v="28.071428571428573"/>
    <x v="0"/>
    <x v="20"/>
    <x v="7"/>
    <x v="1"/>
  </r>
  <r>
    <s v="815934206302"/>
    <n v="815934"/>
    <s v="MANGI LAL"/>
    <n v="206302"/>
    <s v="BALAJI CEMENT AGENCY"/>
    <n v="0"/>
    <n v="0"/>
    <n v="0"/>
    <n v="0"/>
    <n v="98"/>
    <n v="97.5"/>
    <n v="50"/>
    <n v="245.5"/>
    <n v="35.071428571428569"/>
    <x v="4"/>
    <x v="20"/>
    <x v="7"/>
    <x v="1"/>
  </r>
  <r>
    <s v="816109206302"/>
    <n v="816109"/>
    <s v="BALAJI CONSTRUCTION COMPANY"/>
    <n v="206302"/>
    <s v="BALAJI CEMENT AGENCY"/>
    <n v="0"/>
    <n v="0"/>
    <n v="0"/>
    <n v="0"/>
    <n v="20"/>
    <n v="131.5"/>
    <n v="60"/>
    <n v="211.5"/>
    <n v="30.214285714285715"/>
    <x v="4"/>
    <x v="20"/>
    <x v="7"/>
    <x v="1"/>
  </r>
  <r>
    <s v="815870209130"/>
    <n v="815870"/>
    <s v="HIRA LAL"/>
    <n v="209130"/>
    <s v="CHOUDHARY BUILDING MATERIAL"/>
    <n v="0"/>
    <n v="0"/>
    <n v="0"/>
    <n v="0"/>
    <n v="70"/>
    <n v="112.5"/>
    <n v="100"/>
    <n v="282.5"/>
    <n v="40.357142857142854"/>
    <x v="5"/>
    <x v="20"/>
    <x v="7"/>
    <x v="1"/>
  </r>
  <r>
    <s v="816719209130"/>
    <n v="816719"/>
    <s v="SHRI BALAJI TILES UDYOG"/>
    <n v="209130"/>
    <s v="CHOUDHARY BUILDING MATERIAL"/>
    <n v="0"/>
    <n v="0"/>
    <n v="0"/>
    <n v="0"/>
    <n v="0"/>
    <n v="0"/>
    <n v="30"/>
    <n v="30"/>
    <n v="4.2857142857142856"/>
    <x v="1"/>
    <x v="20"/>
    <x v="7"/>
    <x v="1"/>
  </r>
  <r>
    <s v="802376119031"/>
    <n v="802376"/>
    <s v="CHHABRA BUILDING MATERIAL STOR"/>
    <n v="119031"/>
    <s v="RAMESH CHANDRA RAJENDRA KUMAR"/>
    <n v="125"/>
    <n v="130"/>
    <n v="30"/>
    <n v="60"/>
    <n v="10"/>
    <n v="0"/>
    <n v="0"/>
    <n v="355"/>
    <n v="50.714285714285715"/>
    <x v="3"/>
    <x v="21"/>
    <x v="7"/>
    <x v="1"/>
  </r>
  <r>
    <s v="803769119031"/>
    <n v="803769"/>
    <s v="AGGARWAL PAINTS &amp; BUILDING MAT"/>
    <n v="119031"/>
    <s v="RAMESH CHANDRA RAJENDRA KUMAR"/>
    <n v="0"/>
    <n v="0"/>
    <n v="0"/>
    <n v="0"/>
    <n v="13"/>
    <n v="65"/>
    <n v="0"/>
    <n v="78"/>
    <n v="11.142857142857142"/>
    <x v="2"/>
    <x v="21"/>
    <x v="7"/>
    <x v="1"/>
  </r>
  <r>
    <s v="803770119031"/>
    <n v="803770"/>
    <s v="R S BUILDING MATERIAL STORE"/>
    <n v="119031"/>
    <s v="RAMESH CHANDRA RAJENDRA KUMAR"/>
    <n v="250"/>
    <n v="121"/>
    <n v="72"/>
    <n v="146"/>
    <n v="121"/>
    <n v="121"/>
    <n v="115"/>
    <n v="946"/>
    <n v="135.14285714285714"/>
    <x v="3"/>
    <x v="21"/>
    <x v="7"/>
    <x v="1"/>
  </r>
  <r>
    <s v="804876119031"/>
    <n v="804876"/>
    <s v="GAUR BUILDING MATERIAL"/>
    <n v="119031"/>
    <s v="RAMESH CHANDRA RAJENDRA KUMAR"/>
    <n v="0"/>
    <n v="0"/>
    <n v="0"/>
    <n v="0"/>
    <n v="20"/>
    <n v="105"/>
    <n v="10"/>
    <n v="135"/>
    <n v="19.285714285714285"/>
    <x v="2"/>
    <x v="21"/>
    <x v="7"/>
    <x v="1"/>
  </r>
  <r>
    <s v="808147119031"/>
    <n v="808147"/>
    <s v="PAREEK TRADERS"/>
    <n v="119031"/>
    <s v="RAMESH CHANDRA RAJENDRA KUMAR"/>
    <n v="60"/>
    <n v="53"/>
    <n v="47"/>
    <n v="43.8"/>
    <n v="81"/>
    <n v="61.5"/>
    <n v="50"/>
    <n v="396.3"/>
    <n v="56.614285714285714"/>
    <x v="3"/>
    <x v="21"/>
    <x v="7"/>
    <x v="1"/>
  </r>
  <r>
    <s v="809620119031"/>
    <n v="809620"/>
    <s v="BRAR CEMENT AGENCY"/>
    <n v="119031"/>
    <s v="RAMESH CHANDRA RAJENDRA KUMAR"/>
    <n v="20"/>
    <n v="20"/>
    <n v="0"/>
    <n v="0"/>
    <n v="25"/>
    <n v="0"/>
    <n v="0"/>
    <n v="65"/>
    <n v="9.2857142857142865"/>
    <x v="1"/>
    <x v="21"/>
    <x v="7"/>
    <x v="1"/>
  </r>
  <r>
    <s v="809794119031"/>
    <n v="809794"/>
    <s v="SUBHASH BAJAJ AND SONS"/>
    <n v="119031"/>
    <s v="RAMESH CHANDRA RAJENDRA KUMAR"/>
    <n v="56.45"/>
    <n v="20"/>
    <n v="77.5"/>
    <n v="20"/>
    <n v="22"/>
    <n v="0"/>
    <n v="0"/>
    <n v="195.95"/>
    <n v="27.99285714285714"/>
    <x v="0"/>
    <x v="21"/>
    <x v="7"/>
    <x v="1"/>
  </r>
  <r>
    <s v="810798119031"/>
    <n v="810798"/>
    <s v="PREM KUMAR SINGLA"/>
    <n v="119031"/>
    <s v="RAMESH CHANDRA RAJENDRA KUMAR"/>
    <n v="81.5"/>
    <n v="95.75"/>
    <n v="152.5"/>
    <n v="110.9"/>
    <n v="92"/>
    <n v="133"/>
    <n v="95"/>
    <n v="760.65"/>
    <n v="108.66428571428571"/>
    <x v="3"/>
    <x v="21"/>
    <x v="7"/>
    <x v="1"/>
  </r>
  <r>
    <s v="811315119031"/>
    <n v="811315"/>
    <s v="SEEMA RANI"/>
    <n v="119031"/>
    <s v="RAMESH CHANDRA RAJENDRA KUMAR"/>
    <n v="43"/>
    <n v="18.850000000000001"/>
    <n v="136.5"/>
    <n v="17.5"/>
    <n v="115"/>
    <n v="42"/>
    <n v="35"/>
    <n v="407.85"/>
    <n v="58.26428571428572"/>
    <x v="3"/>
    <x v="21"/>
    <x v="7"/>
    <x v="1"/>
  </r>
  <r>
    <s v="812838119031"/>
    <n v="812838"/>
    <s v="CHANDER SHEKHAR"/>
    <n v="119031"/>
    <s v="RAMESH CHANDRA RAJENDRA KUMAR"/>
    <n v="64"/>
    <n v="85"/>
    <n v="145.5"/>
    <n v="123.85"/>
    <n v="87"/>
    <n v="125"/>
    <n v="105"/>
    <n v="735.35"/>
    <n v="105.05"/>
    <x v="3"/>
    <x v="21"/>
    <x v="7"/>
    <x v="1"/>
  </r>
  <r>
    <s v="814789119031"/>
    <n v="814789"/>
    <s v="ROSHAN BUILDERS AND SUPPLIERS"/>
    <n v="119031"/>
    <s v="RAMESH CHANDRA RAJENDRA KUMAR"/>
    <n v="0"/>
    <n v="183"/>
    <n v="153.5"/>
    <n v="250"/>
    <n v="210.8"/>
    <n v="214"/>
    <n v="170"/>
    <n v="1181.3"/>
    <n v="168.75714285714284"/>
    <x v="3"/>
    <x v="21"/>
    <x v="7"/>
    <x v="1"/>
  </r>
  <r>
    <s v="814790119031"/>
    <n v="814790"/>
    <s v="NISHAN SINGH"/>
    <n v="119031"/>
    <s v="RAMESH CHANDRA RAJENDRA KUMAR"/>
    <n v="0"/>
    <n v="0"/>
    <n v="0"/>
    <n v="45"/>
    <n v="113"/>
    <n v="95.5"/>
    <n v="100"/>
    <n v="353.5"/>
    <n v="50.5"/>
    <x v="3"/>
    <x v="21"/>
    <x v="7"/>
    <x v="1"/>
  </r>
  <r>
    <s v="816144119031"/>
    <n v="816144"/>
    <s v="SHRI BALAJI TRADERS"/>
    <n v="119031"/>
    <s v="RAMESH CHANDRA RAJENDRA KUMAR"/>
    <n v="0"/>
    <n v="0"/>
    <n v="0"/>
    <n v="0"/>
    <n v="32.700000000000003"/>
    <n v="85"/>
    <n v="60"/>
    <n v="177.7"/>
    <n v="25.385714285714283"/>
    <x v="0"/>
    <x v="21"/>
    <x v="7"/>
    <x v="1"/>
  </r>
  <r>
    <s v="816477119031"/>
    <n v="816477"/>
    <s v="ASHUKA SHUTTERING AND BUILDING"/>
    <n v="119031"/>
    <s v="RAMESH CHANDRA RAJENDRA KUMAR"/>
    <n v="0"/>
    <n v="0"/>
    <n v="0"/>
    <n v="0"/>
    <n v="0"/>
    <n v="83.35"/>
    <n v="60"/>
    <n v="143.35"/>
    <n v="20.478571428571428"/>
    <x v="0"/>
    <x v="21"/>
    <x v="7"/>
    <x v="1"/>
  </r>
  <r>
    <s v="807393119177"/>
    <n v="807393"/>
    <s v="VIKRAMJEET"/>
    <n v="119177"/>
    <s v="G.S.SALES CORPORATION"/>
    <n v="37"/>
    <n v="31.5"/>
    <n v="0"/>
    <n v="22"/>
    <n v="0"/>
    <n v="0"/>
    <n v="1"/>
    <n v="91.5"/>
    <n v="13.071428571428571"/>
    <x v="2"/>
    <x v="21"/>
    <x v="7"/>
    <x v="1"/>
  </r>
  <r>
    <s v="807394119177"/>
    <n v="807394"/>
    <s v="JASVEER SINGH"/>
    <n v="119177"/>
    <s v="G.S.SALES CORPORATION"/>
    <n v="45"/>
    <n v="20"/>
    <n v="0"/>
    <n v="0"/>
    <n v="0"/>
    <n v="0"/>
    <n v="0"/>
    <n v="65"/>
    <n v="9.2857142857142865"/>
    <x v="1"/>
    <x v="21"/>
    <x v="7"/>
    <x v="1"/>
  </r>
  <r>
    <s v="812551119177"/>
    <n v="812551"/>
    <s v="VARUN GOYAL"/>
    <n v="119177"/>
    <s v="G.S.SALES CORPORATION"/>
    <n v="0"/>
    <n v="0"/>
    <n v="0"/>
    <n v="23"/>
    <n v="0"/>
    <n v="0"/>
    <n v="0"/>
    <n v="23"/>
    <n v="3.2857142857142856"/>
    <x v="1"/>
    <x v="21"/>
    <x v="7"/>
    <x v="1"/>
  </r>
  <r>
    <s v="814790119177"/>
    <n v="814790"/>
    <s v="NISHAN SINGH"/>
    <n v="119177"/>
    <s v="G.S.SALES CORPORATION"/>
    <n v="82"/>
    <n v="35"/>
    <n v="0"/>
    <n v="0"/>
    <n v="0"/>
    <n v="0"/>
    <n v="0"/>
    <n v="117"/>
    <n v="16.714285714285715"/>
    <x v="2"/>
    <x v="21"/>
    <x v="7"/>
    <x v="1"/>
  </r>
  <r>
    <s v="803240119227"/>
    <n v="803240"/>
    <s v="SHIVANGI CEMENT AGENCY"/>
    <n v="119227"/>
    <s v="KHEM CHAND &amp; SONS"/>
    <n v="51"/>
    <n v="10"/>
    <n v="50.5"/>
    <n v="48.5"/>
    <n v="10"/>
    <n v="47"/>
    <n v="42"/>
    <n v="259"/>
    <n v="37"/>
    <x v="4"/>
    <x v="21"/>
    <x v="7"/>
    <x v="1"/>
  </r>
  <r>
    <s v="803885119263"/>
    <n v="803885"/>
    <s v="SUNIL CEMENT AGENCY"/>
    <n v="119263"/>
    <s v="KUKKAR ENTERPRISES"/>
    <n v="33"/>
    <n v="33"/>
    <n v="70"/>
    <n v="41"/>
    <n v="43.5"/>
    <n v="67.599999999999994"/>
    <n v="36.4"/>
    <n v="324.5"/>
    <n v="46.357142857142854"/>
    <x v="5"/>
    <x v="21"/>
    <x v="7"/>
    <x v="1"/>
  </r>
  <r>
    <s v="804082119263"/>
    <n v="804082"/>
    <s v="KAMRA CEMENT AGENCY"/>
    <n v="119263"/>
    <s v="KUKKAR ENTERPRISES"/>
    <n v="128"/>
    <n v="94.5"/>
    <n v="69.5"/>
    <n v="62.5"/>
    <n v="78.75"/>
    <n v="85"/>
    <n v="25"/>
    <n v="543.25"/>
    <n v="77.607142857142861"/>
    <x v="3"/>
    <x v="21"/>
    <x v="7"/>
    <x v="1"/>
  </r>
  <r>
    <s v="804833119263"/>
    <n v="804833"/>
    <s v="BAWEJA CEMENT AGENCY"/>
    <n v="119263"/>
    <s v="KUKKAR ENTERPRISES"/>
    <n v="43"/>
    <n v="62"/>
    <n v="25"/>
    <n v="33"/>
    <n v="19.5"/>
    <n v="91.5"/>
    <n v="33"/>
    <n v="307"/>
    <n v="43.857142857142854"/>
    <x v="5"/>
    <x v="21"/>
    <x v="7"/>
    <x v="1"/>
  </r>
  <r>
    <s v="808443119263"/>
    <n v="808443"/>
    <s v="SONU CEMENT AGENCY"/>
    <n v="119263"/>
    <s v="KUKKAR ENTERPRISES"/>
    <n v="10"/>
    <n v="37"/>
    <n v="34.5"/>
    <n v="32"/>
    <n v="54"/>
    <n v="58.5"/>
    <n v="19"/>
    <n v="245"/>
    <n v="35"/>
    <x v="4"/>
    <x v="21"/>
    <x v="7"/>
    <x v="1"/>
  </r>
  <r>
    <s v="810222119263"/>
    <n v="810222"/>
    <s v="INDER SAIN"/>
    <n v="119263"/>
    <s v="KUKKAR ENTERPRISES"/>
    <n v="37"/>
    <n v="27"/>
    <n v="35"/>
    <n v="90"/>
    <n v="44.5"/>
    <n v="63"/>
    <n v="50"/>
    <n v="346.5"/>
    <n v="49.5"/>
    <x v="5"/>
    <x v="21"/>
    <x v="7"/>
    <x v="1"/>
  </r>
  <r>
    <s v="802068141556"/>
    <n v="802068"/>
    <s v="JAI BAJRANG PAD STORE"/>
    <n v="141556"/>
    <s v="GYANI BUILDING MATERIALS"/>
    <n v="35"/>
    <n v="40"/>
    <n v="32"/>
    <n v="33"/>
    <n v="15"/>
    <n v="30"/>
    <n v="10"/>
    <n v="195"/>
    <n v="27.857142857142858"/>
    <x v="0"/>
    <x v="21"/>
    <x v="7"/>
    <x v="1"/>
  </r>
  <r>
    <s v="804080141556"/>
    <n v="804080"/>
    <s v="JAIMINI PED STORE"/>
    <n v="141556"/>
    <s v="GYANI BUILDING MATERIALS"/>
    <n v="50"/>
    <n v="112"/>
    <n v="131.5"/>
    <n v="65"/>
    <n v="60"/>
    <n v="96.5"/>
    <n v="70"/>
    <n v="585"/>
    <n v="83.571428571428569"/>
    <x v="3"/>
    <x v="21"/>
    <x v="7"/>
    <x v="1"/>
  </r>
  <r>
    <s v="806939141556"/>
    <n v="806939"/>
    <s v="GOKUL PAD STORE"/>
    <n v="141556"/>
    <s v="GYANI BUILDING MATERIALS"/>
    <n v="98.5"/>
    <n v="109.5"/>
    <n v="111"/>
    <n v="86.5"/>
    <n v="61"/>
    <n v="84.5"/>
    <n v="30"/>
    <n v="581"/>
    <n v="83"/>
    <x v="3"/>
    <x v="21"/>
    <x v="7"/>
    <x v="1"/>
  </r>
  <r>
    <s v="808487141556"/>
    <n v="808487"/>
    <s v="KHAN PAD STORE"/>
    <n v="141556"/>
    <s v="GYANI BUILDING MATERIALS"/>
    <n v="63.5"/>
    <n v="124"/>
    <n v="89.5"/>
    <n v="129.5"/>
    <n v="62"/>
    <n v="65"/>
    <n v="50"/>
    <n v="583.5"/>
    <n v="83.357142857142861"/>
    <x v="3"/>
    <x v="21"/>
    <x v="7"/>
    <x v="1"/>
  </r>
  <r>
    <s v="808496141556"/>
    <n v="808496"/>
    <s v="RAJASTHAN CEMENT AGENCY"/>
    <n v="141556"/>
    <s v="GYANI BUILDING MATERIALS"/>
    <n v="102.5"/>
    <n v="125.5"/>
    <n v="103"/>
    <n v="84.5"/>
    <n v="75"/>
    <n v="54.5"/>
    <n v="45"/>
    <n v="590"/>
    <n v="84.285714285714292"/>
    <x v="3"/>
    <x v="21"/>
    <x v="7"/>
    <x v="1"/>
  </r>
  <r>
    <s v="808497141556"/>
    <n v="808497"/>
    <s v="K S BUILDING MATERIAL"/>
    <n v="141556"/>
    <s v="GYANI BUILDING MATERIALS"/>
    <n v="66"/>
    <n v="76.5"/>
    <n v="71.5"/>
    <n v="71.5"/>
    <n v="56.5"/>
    <n v="32.5"/>
    <n v="20"/>
    <n v="394.5"/>
    <n v="56.357142857142854"/>
    <x v="3"/>
    <x v="21"/>
    <x v="7"/>
    <x v="1"/>
  </r>
  <r>
    <s v="808610141556"/>
    <n v="808610"/>
    <s v="BALAJI PROVISIONAL STORE"/>
    <n v="141556"/>
    <s v="GYANI BUILDING MATERIALS"/>
    <n v="17"/>
    <n v="45"/>
    <n v="77"/>
    <n v="64"/>
    <n v="30"/>
    <n v="96.5"/>
    <n v="0"/>
    <n v="329.5"/>
    <n v="47.071428571428569"/>
    <x v="5"/>
    <x v="21"/>
    <x v="7"/>
    <x v="1"/>
  </r>
  <r>
    <s v="809781141556"/>
    <n v="809781"/>
    <s v="SANDHU BUILDING MATERIAL"/>
    <n v="141556"/>
    <s v="GYANI BUILDING MATERIALS"/>
    <n v="45"/>
    <n v="82"/>
    <n v="91"/>
    <n v="76.5"/>
    <n v="35"/>
    <n v="50"/>
    <n v="5"/>
    <n v="384.5"/>
    <n v="54.928571428571431"/>
    <x v="3"/>
    <x v="21"/>
    <x v="7"/>
    <x v="1"/>
  </r>
  <r>
    <s v="812563141556"/>
    <n v="812563"/>
    <s v="SAVETA CEMENT AGENCY"/>
    <n v="141556"/>
    <s v="GYANI BUILDING MATERIALS"/>
    <n v="43.5"/>
    <n v="59.5"/>
    <n v="57"/>
    <n v="31.5"/>
    <n v="55"/>
    <n v="17.5"/>
    <n v="10"/>
    <n v="274"/>
    <n v="39.142857142857146"/>
    <x v="4"/>
    <x v="21"/>
    <x v="7"/>
    <x v="1"/>
  </r>
  <r>
    <s v="816094141556"/>
    <n v="816094"/>
    <s v="SHIVA BUILDING MATERIAL"/>
    <n v="141556"/>
    <s v="GYANI BUILDING MATERIALS"/>
    <n v="0"/>
    <n v="0"/>
    <n v="0"/>
    <n v="0"/>
    <n v="49"/>
    <n v="51.5"/>
    <n v="30"/>
    <n v="130.5"/>
    <n v="18.642857142857142"/>
    <x v="2"/>
    <x v="21"/>
    <x v="7"/>
    <x v="1"/>
  </r>
  <r>
    <s v="816095141556"/>
    <n v="816095"/>
    <s v="BALAJI PAD STORE"/>
    <n v="141556"/>
    <s v="GYANI BUILDING MATERIALS"/>
    <n v="0"/>
    <n v="0"/>
    <n v="0"/>
    <n v="0"/>
    <n v="15"/>
    <n v="0"/>
    <n v="30"/>
    <n v="45"/>
    <n v="6.4285714285714288"/>
    <x v="1"/>
    <x v="21"/>
    <x v="7"/>
    <x v="1"/>
  </r>
  <r>
    <s v="807711142843"/>
    <n v="807711"/>
    <s v="HARJINDER SINGH"/>
    <n v="142843"/>
    <s v="GURUNANAK IRON STORE"/>
    <n v="126"/>
    <n v="113.5"/>
    <n v="74.5"/>
    <n v="117.05"/>
    <n v="77.25"/>
    <n v="105"/>
    <n v="25"/>
    <n v="638.29999999999995"/>
    <n v="91.185714285714283"/>
    <x v="3"/>
    <x v="21"/>
    <x v="7"/>
    <x v="1"/>
  </r>
  <r>
    <s v="808172142843"/>
    <n v="808172"/>
    <s v="PUNJAB IRON STORE"/>
    <n v="142843"/>
    <s v="GURUNANAK IRON STORE"/>
    <n v="171.35"/>
    <n v="89"/>
    <n v="121.5"/>
    <n v="116"/>
    <n v="104"/>
    <n v="153.5"/>
    <n v="135"/>
    <n v="890.35"/>
    <n v="127.19285714285715"/>
    <x v="3"/>
    <x v="21"/>
    <x v="7"/>
    <x v="1"/>
  </r>
  <r>
    <s v="808934142843"/>
    <n v="808934"/>
    <s v="DEEP BUILDING MATERIAL"/>
    <n v="142843"/>
    <s v="GURUNANAK IRON STORE"/>
    <n v="79"/>
    <n v="91"/>
    <n v="60"/>
    <n v="110.5"/>
    <n v="93"/>
    <n v="110"/>
    <n v="83"/>
    <n v="626.5"/>
    <n v="89.5"/>
    <x v="3"/>
    <x v="21"/>
    <x v="7"/>
    <x v="1"/>
  </r>
  <r>
    <s v="809621142843"/>
    <n v="809621"/>
    <s v="ANIL KUMAR"/>
    <n v="142843"/>
    <s v="GURUNANAK IRON STORE"/>
    <n v="25"/>
    <n v="37"/>
    <n v="91"/>
    <n v="12"/>
    <n v="50"/>
    <n v="75"/>
    <n v="25"/>
    <n v="315"/>
    <n v="45"/>
    <x v="5"/>
    <x v="21"/>
    <x v="7"/>
    <x v="1"/>
  </r>
  <r>
    <s v="810387142843"/>
    <n v="810387"/>
    <s v="GARG ENTERPRISES"/>
    <n v="142843"/>
    <s v="GURUNANAK IRON STORE"/>
    <n v="25"/>
    <n v="21"/>
    <n v="91"/>
    <n v="15"/>
    <n v="129"/>
    <n v="67.55"/>
    <n v="50"/>
    <n v="398.55"/>
    <n v="56.93571428571429"/>
    <x v="3"/>
    <x v="21"/>
    <x v="7"/>
    <x v="1"/>
  </r>
  <r>
    <s v="810653142843"/>
    <n v="810653"/>
    <s v="VIJAY KUMAR"/>
    <n v="142843"/>
    <s v="GURUNANAK IRON STORE"/>
    <n v="67"/>
    <n v="30"/>
    <n v="50.5"/>
    <n v="42.5"/>
    <n v="56.5"/>
    <n v="55"/>
    <n v="25"/>
    <n v="326.5"/>
    <n v="46.642857142857146"/>
    <x v="5"/>
    <x v="21"/>
    <x v="7"/>
    <x v="1"/>
  </r>
  <r>
    <s v="812823142843"/>
    <n v="812823"/>
    <s v="NARATARAM NEELKAMAL"/>
    <n v="142843"/>
    <s v="GURUNANAK IRON STORE"/>
    <n v="12.5"/>
    <n v="45.5"/>
    <n v="59"/>
    <n v="61.5"/>
    <n v="93.9"/>
    <n v="70"/>
    <n v="45"/>
    <n v="387.4"/>
    <n v="55.342857142857142"/>
    <x v="3"/>
    <x v="21"/>
    <x v="7"/>
    <x v="1"/>
  </r>
  <r>
    <s v="814672142843"/>
    <n v="814672"/>
    <s v="SIYAL BUILDING MATERIAL"/>
    <n v="142843"/>
    <s v="GURUNANAK IRON STORE"/>
    <n v="0"/>
    <n v="19.5"/>
    <n v="128"/>
    <n v="77.5"/>
    <n v="126.15"/>
    <n v="70.95"/>
    <n v="42"/>
    <n v="464.09999999999997"/>
    <n v="66.3"/>
    <x v="3"/>
    <x v="21"/>
    <x v="7"/>
    <x v="1"/>
  </r>
  <r>
    <s v="805572148629"/>
    <n v="805572"/>
    <s v="BRIJ PARKASH BUILDING MATERIAL"/>
    <n v="148629"/>
    <s v="AGGARWAL SANITARY &amp; PIPE STORE"/>
    <n v="56.5"/>
    <n v="40"/>
    <n v="43"/>
    <n v="0"/>
    <n v="0"/>
    <n v="0"/>
    <n v="0"/>
    <n v="139.5"/>
    <n v="19.928571428571427"/>
    <x v="2"/>
    <x v="21"/>
    <x v="7"/>
    <x v="1"/>
  </r>
  <r>
    <s v="806620148629"/>
    <n v="806620"/>
    <s v="TULSI PIPE STORE"/>
    <n v="148629"/>
    <s v="AGGARWAL SANITARY &amp; PIPE STORE"/>
    <n v="10"/>
    <n v="29.5"/>
    <n v="10"/>
    <n v="30"/>
    <n v="74"/>
    <n v="67.5"/>
    <n v="25"/>
    <n v="246"/>
    <n v="35.142857142857146"/>
    <x v="4"/>
    <x v="21"/>
    <x v="7"/>
    <x v="1"/>
  </r>
  <r>
    <s v="805545149764"/>
    <n v="805545"/>
    <s v="JAI SHREE LAKSHMI PAD &amp; BUILDI"/>
    <n v="149764"/>
    <s v="JMD CEMENT &amp; IRON STORE"/>
    <n v="126.5"/>
    <n v="93"/>
    <n v="70"/>
    <n v="134"/>
    <n v="92"/>
    <n v="86.5"/>
    <n v="90"/>
    <n v="692"/>
    <n v="98.857142857142861"/>
    <x v="3"/>
    <x v="21"/>
    <x v="7"/>
    <x v="1"/>
  </r>
  <r>
    <s v="808611149764"/>
    <n v="808611"/>
    <s v="NEW BALAJI BUILDING MATERIAL"/>
    <n v="149764"/>
    <s v="JMD CEMENT &amp; IRON STORE"/>
    <n v="148"/>
    <n v="90"/>
    <n v="92"/>
    <n v="155.5"/>
    <n v="90"/>
    <n v="125"/>
    <n v="115"/>
    <n v="815.5"/>
    <n v="116.5"/>
    <x v="3"/>
    <x v="21"/>
    <x v="7"/>
    <x v="1"/>
  </r>
  <r>
    <s v="810155149764"/>
    <n v="810155"/>
    <s v="SRI RAM FABRICATION"/>
    <n v="149764"/>
    <s v="JMD CEMENT &amp; IRON STORE"/>
    <n v="128.5"/>
    <n v="86.5"/>
    <n v="48"/>
    <n v="85"/>
    <n v="70"/>
    <n v="96.5"/>
    <n v="95"/>
    <n v="609.5"/>
    <n v="87.071428571428569"/>
    <x v="3"/>
    <x v="21"/>
    <x v="7"/>
    <x v="1"/>
  </r>
  <r>
    <s v="815871149764"/>
    <n v="815871"/>
    <s v="TARUN BANSAL"/>
    <n v="149764"/>
    <s v="JMD CEMENT &amp; IRON STORE"/>
    <n v="0"/>
    <n v="0"/>
    <n v="0"/>
    <n v="0"/>
    <n v="127"/>
    <n v="145.5"/>
    <n v="135"/>
    <n v="407.5"/>
    <n v="58.214285714285715"/>
    <x v="3"/>
    <x v="21"/>
    <x v="7"/>
    <x v="1"/>
  </r>
  <r>
    <s v="803501172942"/>
    <n v="803501"/>
    <s v="RANA BUILDING MATERIAL STORE"/>
    <n v="172942"/>
    <s v="LAXMI IRON STORE"/>
    <n v="15"/>
    <n v="15"/>
    <n v="0"/>
    <n v="10"/>
    <n v="0"/>
    <n v="0"/>
    <n v="0"/>
    <n v="40"/>
    <n v="5.7142857142857144"/>
    <x v="1"/>
    <x v="21"/>
    <x v="7"/>
    <x v="1"/>
  </r>
  <r>
    <s v="807976172942"/>
    <n v="807976"/>
    <s v="AAYUSH BUILDING MATERIAL"/>
    <n v="172942"/>
    <s v="LAXMI IRON STORE"/>
    <n v="30"/>
    <n v="41"/>
    <n v="88"/>
    <n v="64.5"/>
    <n v="101"/>
    <n v="81.5"/>
    <n v="42"/>
    <n v="448"/>
    <n v="64"/>
    <x v="3"/>
    <x v="21"/>
    <x v="7"/>
    <x v="1"/>
  </r>
  <r>
    <s v="808229172942"/>
    <n v="808229"/>
    <s v="DAYAMA BUILDING MATERIAL STORE"/>
    <n v="172942"/>
    <s v="LAXMI IRON STORE"/>
    <n v="15"/>
    <n v="20"/>
    <n v="34"/>
    <n v="37"/>
    <n v="32"/>
    <n v="15"/>
    <n v="15"/>
    <n v="168"/>
    <n v="24"/>
    <x v="0"/>
    <x v="21"/>
    <x v="7"/>
    <x v="1"/>
  </r>
  <r>
    <s v="808495172942"/>
    <n v="808495"/>
    <s v="LALCHAND BUILDING MATERIAL"/>
    <n v="172942"/>
    <s v="LAXMI IRON STORE"/>
    <n v="20"/>
    <n v="76.5"/>
    <n v="71.5"/>
    <n v="76.5"/>
    <n v="62"/>
    <n v="46"/>
    <n v="0"/>
    <n v="352.5"/>
    <n v="50.357142857142854"/>
    <x v="3"/>
    <x v="21"/>
    <x v="7"/>
    <x v="1"/>
  </r>
  <r>
    <s v="814459172942"/>
    <n v="814459"/>
    <s v="S L IRON STORE"/>
    <n v="172942"/>
    <s v="LAXMI IRON STORE"/>
    <n v="108"/>
    <n v="70.5"/>
    <n v="138"/>
    <n v="112"/>
    <n v="119"/>
    <n v="157.5"/>
    <n v="80"/>
    <n v="785"/>
    <n v="112.14285714285714"/>
    <x v="3"/>
    <x v="21"/>
    <x v="7"/>
    <x v="1"/>
  </r>
  <r>
    <s v="814791172942"/>
    <n v="814791"/>
    <s v="SHRI BALAJI BUILDING MATERIAL"/>
    <n v="172942"/>
    <s v="LAXMI IRON STORE"/>
    <n v="15"/>
    <n v="41.5"/>
    <n v="32"/>
    <n v="62.5"/>
    <n v="51"/>
    <n v="30"/>
    <n v="35"/>
    <n v="267"/>
    <n v="38.142857142857146"/>
    <x v="4"/>
    <x v="21"/>
    <x v="7"/>
    <x v="1"/>
  </r>
  <r>
    <s v="815947172942"/>
    <n v="815947"/>
    <s v="REWARI BUILDING MATERIAL STORE"/>
    <n v="172942"/>
    <s v="LAXMI IRON STORE"/>
    <n v="0"/>
    <n v="0"/>
    <n v="0"/>
    <n v="0"/>
    <n v="85"/>
    <n v="65"/>
    <n v="35"/>
    <n v="185"/>
    <n v="26.428571428571427"/>
    <x v="0"/>
    <x v="21"/>
    <x v="7"/>
    <x v="1"/>
  </r>
  <r>
    <s v="809180174299"/>
    <n v="809180"/>
    <s v="MAHADEV INT UDHYOG"/>
    <n v="174299"/>
    <s v="DEEPAK CEMENT AGENCY"/>
    <n v="20"/>
    <n v="15"/>
    <n v="0"/>
    <n v="0"/>
    <n v="0"/>
    <n v="28"/>
    <n v="0"/>
    <n v="63"/>
    <n v="9"/>
    <x v="1"/>
    <x v="21"/>
    <x v="7"/>
    <x v="1"/>
  </r>
  <r>
    <s v="809205174299"/>
    <n v="809205"/>
    <s v="GANPATI TRADERS"/>
    <n v="174299"/>
    <s v="DEEPAK CEMENT AGENCY"/>
    <n v="39"/>
    <n v="22"/>
    <n v="17"/>
    <n v="51"/>
    <n v="69"/>
    <n v="35"/>
    <n v="0"/>
    <n v="233"/>
    <n v="33.285714285714285"/>
    <x v="4"/>
    <x v="21"/>
    <x v="7"/>
    <x v="1"/>
  </r>
  <r>
    <s v="808309177104"/>
    <n v="808309"/>
    <s v="SWAMI PAD STORE"/>
    <n v="177104"/>
    <s v="GARG SUPPLIERS"/>
    <n v="15"/>
    <n v="10"/>
    <n v="23.5"/>
    <n v="29"/>
    <n v="19"/>
    <n v="49"/>
    <n v="7.5"/>
    <n v="153"/>
    <n v="21.857142857142858"/>
    <x v="0"/>
    <x v="21"/>
    <x v="7"/>
    <x v="1"/>
  </r>
  <r>
    <s v="809267177104"/>
    <n v="809267"/>
    <s v="RAJENDER KUMAR"/>
    <n v="177104"/>
    <s v="GARG SUPPLIERS"/>
    <n v="62"/>
    <n v="79"/>
    <n v="107"/>
    <n v="100"/>
    <n v="120"/>
    <n v="97.65"/>
    <n v="38"/>
    <n v="603.65"/>
    <n v="86.23571428571428"/>
    <x v="3"/>
    <x v="21"/>
    <x v="7"/>
    <x v="1"/>
  </r>
  <r>
    <s v="812807177104"/>
    <n v="812807"/>
    <s v="DHANNARAM"/>
    <n v="177104"/>
    <s v="GARG SUPPLIERS"/>
    <n v="10"/>
    <n v="0"/>
    <n v="0"/>
    <n v="12.5"/>
    <n v="12"/>
    <n v="0"/>
    <n v="0"/>
    <n v="34.5"/>
    <n v="4.9285714285714288"/>
    <x v="1"/>
    <x v="21"/>
    <x v="7"/>
    <x v="1"/>
  </r>
  <r>
    <s v="812821177104"/>
    <n v="812821"/>
    <s v="AMAR CHAND"/>
    <n v="177104"/>
    <s v="GARG SUPPLIERS"/>
    <n v="10"/>
    <n v="20"/>
    <n v="19.5"/>
    <n v="22.5"/>
    <n v="16"/>
    <n v="20"/>
    <n v="7.5"/>
    <n v="115.5"/>
    <n v="16.5"/>
    <x v="2"/>
    <x v="21"/>
    <x v="7"/>
    <x v="1"/>
  </r>
  <r>
    <s v="815168177104"/>
    <n v="815168"/>
    <s v="ISMAIL KHAN"/>
    <n v="177104"/>
    <s v="GARG SUPPLIERS"/>
    <n v="0"/>
    <n v="0"/>
    <n v="0"/>
    <n v="0"/>
    <n v="0"/>
    <n v="79.5"/>
    <n v="14"/>
    <n v="93.5"/>
    <n v="13.357142857142858"/>
    <x v="2"/>
    <x v="21"/>
    <x v="7"/>
    <x v="1"/>
  </r>
  <r>
    <s v="812838179869"/>
    <n v="812838"/>
    <s v="CHANDER SHEKHAR"/>
    <n v="179869"/>
    <s v="SHREE BALAJI CEMENT"/>
    <n v="0"/>
    <n v="5"/>
    <n v="0"/>
    <n v="0"/>
    <n v="0"/>
    <n v="0"/>
    <n v="0"/>
    <n v="5"/>
    <n v="0.7142857142857143"/>
    <x v="1"/>
    <x v="21"/>
    <x v="7"/>
    <x v="1"/>
  </r>
  <r>
    <s v="815168179944"/>
    <n v="815168"/>
    <s v="ISMAIL KHAN"/>
    <n v="179944"/>
    <s v="GOYAL TRADERS"/>
    <n v="0"/>
    <n v="0"/>
    <n v="35"/>
    <n v="26.5"/>
    <n v="35.5"/>
    <n v="0"/>
    <n v="0"/>
    <n v="97"/>
    <n v="13.857142857142858"/>
    <x v="2"/>
    <x v="21"/>
    <x v="7"/>
    <x v="1"/>
  </r>
  <r>
    <s v="812551203137"/>
    <n v="812551"/>
    <s v="VARUN GOYAL"/>
    <n v="203137"/>
    <s v="GOYAL BUILDING MATERIAL STORE"/>
    <n v="124.5"/>
    <n v="113"/>
    <n v="92"/>
    <n v="0"/>
    <n v="0"/>
    <n v="45"/>
    <n v="65"/>
    <n v="439.5"/>
    <n v="62.785714285714285"/>
    <x v="3"/>
    <x v="21"/>
    <x v="7"/>
    <x v="1"/>
  </r>
  <r>
    <s v="807682206219"/>
    <n v="807682"/>
    <s v="G L ENTERPRISES"/>
    <n v="206219"/>
    <s v="SALASAR TRADERS"/>
    <n v="60"/>
    <n v="94"/>
    <n v="59"/>
    <n v="20"/>
    <n v="54.65"/>
    <n v="35"/>
    <n v="15"/>
    <n v="337.65"/>
    <n v="48.23571428571428"/>
    <x v="5"/>
    <x v="21"/>
    <x v="7"/>
    <x v="1"/>
  </r>
  <r>
    <s v="807684206219"/>
    <n v="807684"/>
    <s v="VERMA BUILDING MATERIAL"/>
    <n v="206219"/>
    <s v="SALASAR TRADERS"/>
    <n v="59.75"/>
    <n v="44.5"/>
    <n v="70.5"/>
    <n v="85.45"/>
    <n v="47"/>
    <n v="57.5"/>
    <n v="0"/>
    <n v="364.7"/>
    <n v="52.1"/>
    <x v="3"/>
    <x v="21"/>
    <x v="7"/>
    <x v="1"/>
  </r>
  <r>
    <s v="807883206219"/>
    <n v="807883"/>
    <s v="YOGESH BUILDING MATERIAL"/>
    <n v="206219"/>
    <s v="SALASAR TRADERS"/>
    <n v="129.5"/>
    <n v="61.6"/>
    <n v="112"/>
    <n v="127.5"/>
    <n v="138"/>
    <n v="56"/>
    <n v="15"/>
    <n v="639.6"/>
    <n v="91.371428571428581"/>
    <x v="3"/>
    <x v="21"/>
    <x v="7"/>
    <x v="1"/>
  </r>
  <r>
    <s v="807887206219"/>
    <n v="807887"/>
    <s v="VIKASH TRADING COMPANY"/>
    <n v="206219"/>
    <s v="SALASAR TRADERS"/>
    <n v="22"/>
    <n v="72"/>
    <n v="75"/>
    <n v="23.5"/>
    <n v="36"/>
    <n v="71"/>
    <n v="10"/>
    <n v="309.5"/>
    <n v="44.214285714285715"/>
    <x v="5"/>
    <x v="21"/>
    <x v="7"/>
    <x v="1"/>
  </r>
  <r>
    <s v="808448206219"/>
    <n v="808448"/>
    <s v="NANDIWAL PESTICIDES"/>
    <n v="206219"/>
    <s v="SALASAR TRADERS"/>
    <n v="84.5"/>
    <n v="126.05000000000001"/>
    <n v="72"/>
    <n v="107.95"/>
    <n v="80"/>
    <n v="108.1"/>
    <n v="47"/>
    <n v="625.6"/>
    <n v="89.371428571428581"/>
    <x v="3"/>
    <x v="21"/>
    <x v="7"/>
    <x v="1"/>
  </r>
  <r>
    <s v="809780206219"/>
    <n v="809780"/>
    <s v="BALRAM VERMA"/>
    <n v="206219"/>
    <s v="SALASAR TRADERS"/>
    <n v="77"/>
    <n v="50.45"/>
    <n v="53"/>
    <n v="62.5"/>
    <n v="56.7"/>
    <n v="56"/>
    <n v="78"/>
    <n v="433.65"/>
    <n v="61.949999999999996"/>
    <x v="3"/>
    <x v="21"/>
    <x v="7"/>
    <x v="1"/>
  </r>
  <r>
    <s v="810105206219"/>
    <n v="810105"/>
    <s v="VIKAS SHARMA"/>
    <n v="206219"/>
    <s v="SALASAR TRADERS"/>
    <n v="116.5"/>
    <n v="30"/>
    <n v="53"/>
    <n v="52.5"/>
    <n v="54"/>
    <n v="76"/>
    <n v="10"/>
    <n v="392"/>
    <n v="56"/>
    <x v="3"/>
    <x v="21"/>
    <x v="7"/>
    <x v="1"/>
  </r>
  <r>
    <s v="810799206219"/>
    <n v="810799"/>
    <s v="SHYAM LAL"/>
    <n v="206219"/>
    <s v="SALASAR TRADERS"/>
    <n v="42"/>
    <n v="43.5"/>
    <n v="42"/>
    <n v="24"/>
    <n v="42"/>
    <n v="45.05"/>
    <n v="0"/>
    <n v="238.55"/>
    <n v="34.078571428571429"/>
    <x v="4"/>
    <x v="21"/>
    <x v="7"/>
    <x v="1"/>
  </r>
  <r>
    <s v="811510206219"/>
    <n v="811510"/>
    <s v="SATPAL"/>
    <n v="206219"/>
    <s v="SALASAR TRADERS"/>
    <n v="72.5"/>
    <n v="54"/>
    <n v="44"/>
    <n v="46"/>
    <n v="78.900000000000006"/>
    <n v="33"/>
    <n v="20"/>
    <n v="348.4"/>
    <n v="49.771428571428565"/>
    <x v="5"/>
    <x v="21"/>
    <x v="7"/>
    <x v="1"/>
  </r>
  <r>
    <s v="811871206219"/>
    <n v="811871"/>
    <s v="PANKAJ GARG"/>
    <n v="206219"/>
    <s v="SALASAR TRADERS"/>
    <n v="81.25"/>
    <n v="68.5"/>
    <n v="151.5"/>
    <n v="87"/>
    <n v="110"/>
    <n v="142.5"/>
    <n v="58"/>
    <n v="698.75"/>
    <n v="99.821428571428569"/>
    <x v="3"/>
    <x v="21"/>
    <x v="7"/>
    <x v="1"/>
  </r>
  <r>
    <s v="814257206219"/>
    <n v="814257"/>
    <s v="SHESH KARAN BISHNOI"/>
    <n v="206219"/>
    <s v="SALASAR TRADERS"/>
    <n v="101.5"/>
    <n v="117.65"/>
    <n v="107.5"/>
    <n v="125.25"/>
    <n v="45"/>
    <n v="20"/>
    <n v="0"/>
    <n v="516.9"/>
    <n v="73.842857142857142"/>
    <x v="3"/>
    <x v="21"/>
    <x v="7"/>
    <x v="1"/>
  </r>
  <r>
    <s v="815167206219"/>
    <n v="815167"/>
    <s v="SANDHU SANITARY &amp;CEMENT STORE"/>
    <n v="206219"/>
    <s v="SALASAR TRADERS"/>
    <n v="0"/>
    <n v="0"/>
    <n v="121"/>
    <n v="128"/>
    <n v="115"/>
    <n v="127.45"/>
    <n v="52"/>
    <n v="543.45000000000005"/>
    <n v="77.635714285714286"/>
    <x v="3"/>
    <x v="21"/>
    <x v="7"/>
    <x v="1"/>
  </r>
  <r>
    <s v="815512206219"/>
    <n v="815512"/>
    <s v="ROSHAN LAL"/>
    <n v="206219"/>
    <s v="SALASAR TRADERS"/>
    <n v="0"/>
    <n v="0"/>
    <n v="0"/>
    <n v="48"/>
    <n v="44.5"/>
    <n v="65.650000000000006"/>
    <n v="10"/>
    <n v="168.15"/>
    <n v="24.021428571428572"/>
    <x v="0"/>
    <x v="21"/>
    <x v="7"/>
    <x v="1"/>
  </r>
  <r>
    <s v="816290209497"/>
    <n v="816290"/>
    <s v="KEVLEEN BUILDING MATERIAL"/>
    <n v="209497"/>
    <s v="GURSAANJ IRON STORE"/>
    <n v="0"/>
    <n v="0"/>
    <n v="0"/>
    <n v="0"/>
    <n v="0"/>
    <n v="70"/>
    <n v="37"/>
    <n v="107"/>
    <n v="15.285714285714286"/>
    <x v="2"/>
    <x v="21"/>
    <x v="7"/>
    <x v="1"/>
  </r>
  <r>
    <s v="802094122282"/>
    <n v="802094"/>
    <s v="HANUMAN TRADERS"/>
    <n v="122282"/>
    <s v="PIPARA SALES"/>
    <n v="25.5"/>
    <n v="30"/>
    <n v="40"/>
    <n v="41"/>
    <n v="35"/>
    <n v="16"/>
    <n v="28"/>
    <n v="215.5"/>
    <n v="30.785714285714285"/>
    <x v="4"/>
    <x v="22"/>
    <x v="8"/>
    <x v="2"/>
  </r>
  <r>
    <s v="802095122282"/>
    <n v="802095"/>
    <s v="MAWADA TRADERS"/>
    <n v="122282"/>
    <s v="PIPARA SALES"/>
    <n v="30"/>
    <n v="40"/>
    <n v="48"/>
    <n v="41"/>
    <n v="36"/>
    <n v="8.5"/>
    <n v="30"/>
    <n v="233.5"/>
    <n v="33.357142857142854"/>
    <x v="4"/>
    <x v="22"/>
    <x v="8"/>
    <x v="2"/>
  </r>
  <r>
    <s v="802100122282"/>
    <n v="802100"/>
    <s v="RAWAT CEMENT SUPPLIERS"/>
    <n v="122282"/>
    <s v="PIPARA SALES"/>
    <n v="23"/>
    <n v="25"/>
    <n v="10"/>
    <n v="37"/>
    <n v="25.5"/>
    <n v="8.5"/>
    <n v="17"/>
    <n v="146"/>
    <n v="20.857142857142858"/>
    <x v="0"/>
    <x v="22"/>
    <x v="8"/>
    <x v="2"/>
  </r>
  <r>
    <s v="802196122282"/>
    <n v="802196"/>
    <s v="BHERV SINGH BHATI"/>
    <n v="122282"/>
    <s v="PIPARA SALES"/>
    <n v="32.5"/>
    <n v="28"/>
    <n v="27"/>
    <n v="37"/>
    <n v="25"/>
    <n v="14.5"/>
    <n v="10"/>
    <n v="174"/>
    <n v="24.857142857142858"/>
    <x v="0"/>
    <x v="22"/>
    <x v="8"/>
    <x v="2"/>
  </r>
  <r>
    <s v="803003122282"/>
    <n v="803003"/>
    <s v="PADAM CEMENT AGENCY"/>
    <n v="122282"/>
    <s v="PIPARA SALES"/>
    <n v="74"/>
    <n v="44"/>
    <n v="86.5"/>
    <n v="83.65"/>
    <n v="55.5"/>
    <n v="52.8"/>
    <n v="19.5"/>
    <n v="415.95"/>
    <n v="59.421428571428571"/>
    <x v="3"/>
    <x v="22"/>
    <x v="8"/>
    <x v="2"/>
  </r>
  <r>
    <s v="802088170248"/>
    <n v="802088"/>
    <s v="RISHABH TRADERS"/>
    <n v="170248"/>
    <s v="MAHAVEER ENTERPRISES"/>
    <n v="10"/>
    <n v="0"/>
    <n v="10"/>
    <n v="10"/>
    <n v="22"/>
    <n v="22.5"/>
    <n v="0"/>
    <n v="74.5"/>
    <n v="10.642857142857142"/>
    <x v="2"/>
    <x v="22"/>
    <x v="8"/>
    <x v="2"/>
  </r>
  <r>
    <s v="802161170248"/>
    <n v="802161"/>
    <s v="KISAN BUILDING MATERIAL"/>
    <n v="170248"/>
    <s v="MAHAVEER ENTERPRISES"/>
    <n v="15"/>
    <n v="18.5"/>
    <n v="20"/>
    <n v="25"/>
    <n v="48.5"/>
    <n v="27.5"/>
    <n v="35.25"/>
    <n v="189.75"/>
    <n v="27.107142857142858"/>
    <x v="0"/>
    <x v="22"/>
    <x v="8"/>
    <x v="2"/>
  </r>
  <r>
    <s v="805752170248"/>
    <n v="805752"/>
    <s v="VINAYAK TRADERS"/>
    <n v="170248"/>
    <s v="MAHAVEER ENTERPRISES"/>
    <n v="30"/>
    <n v="10"/>
    <n v="80"/>
    <n v="50"/>
    <n v="25"/>
    <n v="22.5"/>
    <n v="12"/>
    <n v="229.5"/>
    <n v="32.785714285714285"/>
    <x v="4"/>
    <x v="22"/>
    <x v="8"/>
    <x v="2"/>
  </r>
  <r>
    <s v="805986170248"/>
    <n v="805986"/>
    <s v="POOJA SAINETRY AND HARDWARE AN"/>
    <n v="170248"/>
    <s v="MAHAVEER ENTERPRISES"/>
    <n v="1"/>
    <n v="15"/>
    <n v="37"/>
    <n v="28.75"/>
    <n v="27"/>
    <n v="18.5"/>
    <n v="35"/>
    <n v="162.25"/>
    <n v="23.178571428571427"/>
    <x v="0"/>
    <x v="22"/>
    <x v="8"/>
    <x v="2"/>
  </r>
  <r>
    <s v="806178170248"/>
    <n v="806178"/>
    <s v="BALAJI TRADERS"/>
    <n v="170248"/>
    <s v="MAHAVEER ENTERPRISES"/>
    <n v="3.5"/>
    <n v="0"/>
    <n v="0"/>
    <n v="0"/>
    <n v="0"/>
    <n v="0"/>
    <n v="0"/>
    <n v="3.5"/>
    <n v="0.5"/>
    <x v="1"/>
    <x v="22"/>
    <x v="8"/>
    <x v="2"/>
  </r>
  <r>
    <s v="807151170248"/>
    <n v="807151"/>
    <s v="APEX GRANITE AND MARBLES"/>
    <n v="170248"/>
    <s v="MAHAVEER ENTERPRISES"/>
    <n v="13"/>
    <n v="30"/>
    <n v="25"/>
    <n v="31"/>
    <n v="46.75"/>
    <n v="20"/>
    <n v="50"/>
    <n v="215.75"/>
    <n v="30.821428571428573"/>
    <x v="4"/>
    <x v="22"/>
    <x v="8"/>
    <x v="2"/>
  </r>
  <r>
    <s v="807611170248"/>
    <n v="807611"/>
    <s v="GANPATI TRADERS"/>
    <n v="170248"/>
    <s v="MAHAVEER ENTERPRISES"/>
    <n v="30"/>
    <n v="42"/>
    <n v="30"/>
    <n v="13"/>
    <n v="0"/>
    <n v="0"/>
    <n v="0"/>
    <n v="115"/>
    <n v="16.428571428571427"/>
    <x v="2"/>
    <x v="22"/>
    <x v="8"/>
    <x v="2"/>
  </r>
  <r>
    <s v="808429170248"/>
    <n v="808429"/>
    <s v="SHREE LAXMI SANITARY AND HARDW"/>
    <n v="170248"/>
    <s v="MAHAVEER ENTERPRISES"/>
    <n v="72"/>
    <n v="67.5"/>
    <n v="88.5"/>
    <n v="75"/>
    <n v="73"/>
    <n v="46.5"/>
    <n v="40"/>
    <n v="462.5"/>
    <n v="66.071428571428569"/>
    <x v="3"/>
    <x v="22"/>
    <x v="8"/>
    <x v="2"/>
  </r>
  <r>
    <s v="808893170248"/>
    <n v="808893"/>
    <s v="SRINATH TRADERS"/>
    <n v="170248"/>
    <s v="MAHAVEER ENTERPRISES"/>
    <n v="104.5"/>
    <n v="31"/>
    <n v="61"/>
    <n v="60"/>
    <n v="15"/>
    <n v="10"/>
    <n v="10"/>
    <n v="291.5"/>
    <n v="41.642857142857146"/>
    <x v="5"/>
    <x v="22"/>
    <x v="8"/>
    <x v="2"/>
  </r>
  <r>
    <s v="808931170248"/>
    <n v="808931"/>
    <s v="SHREE GOVIND TRADERS"/>
    <n v="170248"/>
    <s v="MAHAVEER ENTERPRISES"/>
    <n v="1"/>
    <n v="0"/>
    <n v="0"/>
    <n v="0"/>
    <n v="10"/>
    <n v="7.5"/>
    <n v="0"/>
    <n v="18.5"/>
    <n v="2.6428571428571428"/>
    <x v="1"/>
    <x v="22"/>
    <x v="8"/>
    <x v="2"/>
  </r>
  <r>
    <s v="810919170248"/>
    <n v="810919"/>
    <s v="IMPERIAL INFRA"/>
    <n v="170248"/>
    <s v="MAHAVEER ENTERPRISES"/>
    <n v="1"/>
    <n v="20"/>
    <n v="0"/>
    <n v="10"/>
    <n v="17.5"/>
    <n v="10.5"/>
    <n v="0"/>
    <n v="59"/>
    <n v="8.4285714285714288"/>
    <x v="1"/>
    <x v="22"/>
    <x v="8"/>
    <x v="2"/>
  </r>
  <r>
    <s v="811064170248"/>
    <n v="811064"/>
    <s v="SHREE SHYAM SANITARY AND HARDW"/>
    <n v="170248"/>
    <s v="MAHAVEER ENTERPRISES"/>
    <n v="1"/>
    <n v="0"/>
    <n v="1.25"/>
    <n v="0"/>
    <n v="29.25"/>
    <n v="7.5"/>
    <n v="10"/>
    <n v="49"/>
    <n v="7"/>
    <x v="1"/>
    <x v="22"/>
    <x v="8"/>
    <x v="2"/>
  </r>
  <r>
    <s v="811139170248"/>
    <n v="811139"/>
    <s v="YUVRAJ CEMENT SALES"/>
    <n v="170248"/>
    <s v="MAHAVEER ENTERPRISES"/>
    <n v="3"/>
    <n v="0"/>
    <n v="0"/>
    <n v="0"/>
    <n v="0"/>
    <n v="0"/>
    <n v="0"/>
    <n v="3"/>
    <n v="0.42857142857142855"/>
    <x v="1"/>
    <x v="22"/>
    <x v="8"/>
    <x v="2"/>
  </r>
  <r>
    <s v="811781170248"/>
    <n v="811781"/>
    <s v="HARI OM TRADING COMPANY"/>
    <n v="170248"/>
    <s v="MAHAVEER ENTERPRISES"/>
    <n v="4"/>
    <n v="0"/>
    <n v="0"/>
    <n v="0"/>
    <n v="0"/>
    <n v="0"/>
    <n v="0"/>
    <n v="4"/>
    <n v="0.5714285714285714"/>
    <x v="1"/>
    <x v="22"/>
    <x v="8"/>
    <x v="2"/>
  </r>
  <r>
    <s v="812706170248"/>
    <n v="812706"/>
    <s v="GHATA RANI KISHAN SEVA KENDRA"/>
    <n v="170248"/>
    <s v="MAHAVEER ENTERPRISES"/>
    <n v="13"/>
    <n v="0"/>
    <n v="10"/>
    <n v="10"/>
    <n v="0"/>
    <n v="0"/>
    <n v="0"/>
    <n v="33"/>
    <n v="4.7142857142857144"/>
    <x v="1"/>
    <x v="22"/>
    <x v="8"/>
    <x v="2"/>
  </r>
  <r>
    <s v="812893170248"/>
    <n v="812893"/>
    <s v="ARIHANT BUILDING MATERIAL SUPP"/>
    <n v="170248"/>
    <s v="MAHAVEER ENTERPRISES"/>
    <n v="5"/>
    <n v="0"/>
    <n v="1"/>
    <n v="0"/>
    <n v="7"/>
    <n v="7.5"/>
    <n v="0"/>
    <n v="20.5"/>
    <n v="2.9285714285714284"/>
    <x v="1"/>
    <x v="22"/>
    <x v="8"/>
    <x v="2"/>
  </r>
  <r>
    <s v="812902170248"/>
    <n v="812902"/>
    <s v="SEEMA SHARMA"/>
    <n v="170248"/>
    <s v="MAHAVEER ENTERPRISES"/>
    <n v="1"/>
    <n v="15"/>
    <n v="0"/>
    <n v="10"/>
    <n v="12"/>
    <n v="7.5"/>
    <n v="0"/>
    <n v="45.5"/>
    <n v="6.5"/>
    <x v="1"/>
    <x v="22"/>
    <x v="8"/>
    <x v="2"/>
  </r>
  <r>
    <s v="812905170248"/>
    <n v="812905"/>
    <s v="SHREE MAHALAXMI TILES &amp; CEMENT"/>
    <n v="170248"/>
    <s v="MAHAVEER ENTERPRISES"/>
    <n v="5"/>
    <n v="10"/>
    <n v="7"/>
    <n v="10"/>
    <n v="12"/>
    <n v="7.5"/>
    <n v="20"/>
    <n v="71.5"/>
    <n v="10.214285714285714"/>
    <x v="2"/>
    <x v="22"/>
    <x v="8"/>
    <x v="2"/>
  </r>
  <r>
    <s v="813188170248"/>
    <n v="813188"/>
    <s v="OM TRADING COMPANY"/>
    <n v="170248"/>
    <s v="MAHAVEER ENTERPRISES"/>
    <n v="0"/>
    <n v="0"/>
    <n v="3.5"/>
    <n v="0"/>
    <n v="0"/>
    <n v="0"/>
    <n v="0"/>
    <n v="3.5"/>
    <n v="0.5"/>
    <x v="1"/>
    <x v="22"/>
    <x v="8"/>
    <x v="2"/>
  </r>
  <r>
    <s v="813374170248"/>
    <n v="813374"/>
    <s v="BANWARI KHATIK"/>
    <n v="170248"/>
    <s v="MAHAVEER ENTERPRISES"/>
    <n v="31"/>
    <n v="50"/>
    <n v="45"/>
    <n v="90"/>
    <n v="30"/>
    <n v="44.25"/>
    <n v="50.5"/>
    <n v="340.75"/>
    <n v="48.678571428571431"/>
    <x v="5"/>
    <x v="22"/>
    <x v="8"/>
    <x v="2"/>
  </r>
  <r>
    <s v="813935170248"/>
    <n v="813935"/>
    <s v="ABHAY SINGH RAJPUT"/>
    <n v="170248"/>
    <s v="MAHAVEER ENTERPRISES"/>
    <n v="80"/>
    <n v="60"/>
    <n v="40"/>
    <n v="30"/>
    <n v="20"/>
    <n v="20"/>
    <n v="20"/>
    <n v="270"/>
    <n v="38.571428571428569"/>
    <x v="4"/>
    <x v="22"/>
    <x v="8"/>
    <x v="2"/>
  </r>
  <r>
    <s v="814001170248"/>
    <n v="814001"/>
    <s v="SUNIL SHARMA"/>
    <n v="170248"/>
    <s v="MAHAVEER ENTERPRISES"/>
    <n v="5"/>
    <n v="47.5"/>
    <n v="40"/>
    <n v="66.25"/>
    <n v="72.25"/>
    <n v="36"/>
    <n v="35"/>
    <n v="302"/>
    <n v="43.142857142857146"/>
    <x v="5"/>
    <x v="22"/>
    <x v="8"/>
    <x v="2"/>
  </r>
  <r>
    <s v="814034170248"/>
    <n v="814034"/>
    <s v="RANVEER SINGH RATHORE"/>
    <n v="170248"/>
    <s v="MAHAVEER ENTERPRISES"/>
    <n v="10"/>
    <n v="0"/>
    <n v="0"/>
    <n v="0"/>
    <n v="0"/>
    <n v="0"/>
    <n v="0"/>
    <n v="10"/>
    <n v="1.4285714285714286"/>
    <x v="1"/>
    <x v="22"/>
    <x v="8"/>
    <x v="2"/>
  </r>
  <r>
    <s v="814297170248"/>
    <n v="814297"/>
    <s v="PRASHANT KOTHARI"/>
    <n v="170248"/>
    <s v="MAHAVEER ENTERPRISES"/>
    <n v="10"/>
    <n v="0.75"/>
    <n v="0"/>
    <n v="0"/>
    <n v="27"/>
    <n v="20.5"/>
    <n v="42.5"/>
    <n v="100.75"/>
    <n v="14.392857142857142"/>
    <x v="2"/>
    <x v="22"/>
    <x v="8"/>
    <x v="2"/>
  </r>
  <r>
    <s v="809181171685"/>
    <n v="809181"/>
    <s v="CHARBHUJA SALES"/>
    <n v="171685"/>
    <s v="GANPATI TRADERS"/>
    <n v="0"/>
    <n v="0"/>
    <n v="10"/>
    <n v="0"/>
    <n v="0"/>
    <n v="0"/>
    <n v="0"/>
    <n v="10"/>
    <n v="1.4285714285714286"/>
    <x v="1"/>
    <x v="22"/>
    <x v="8"/>
    <x v="2"/>
  </r>
  <r>
    <s v="807026171909"/>
    <n v="807026"/>
    <s v="ANKIT LADDHA"/>
    <n v="171909"/>
    <s v="SAI NATH BUILDING MATERIALS"/>
    <n v="43.5"/>
    <n v="40.75"/>
    <n v="78.25"/>
    <n v="58.5"/>
    <n v="78.25"/>
    <n v="13"/>
    <n v="21"/>
    <n v="333.25"/>
    <n v="47.607142857142854"/>
    <x v="5"/>
    <x v="22"/>
    <x v="8"/>
    <x v="2"/>
  </r>
  <r>
    <s v="808374175049"/>
    <n v="808374"/>
    <s v="VEER SINGH GURJAR"/>
    <n v="175049"/>
    <s v="KASHISH ENTERPRISES"/>
    <n v="133"/>
    <n v="126"/>
    <n v="121.95"/>
    <n v="97.5"/>
    <n v="97"/>
    <n v="56.2"/>
    <n v="47"/>
    <n v="678.65000000000009"/>
    <n v="96.950000000000017"/>
    <x v="3"/>
    <x v="22"/>
    <x v="8"/>
    <x v="2"/>
  </r>
  <r>
    <s v="808852175049"/>
    <n v="808852"/>
    <s v="JETHU RAM GURJAR"/>
    <n v="175049"/>
    <s v="KASHISH ENTERPRISES"/>
    <n v="45"/>
    <n v="25"/>
    <n v="35"/>
    <n v="42.5"/>
    <n v="32"/>
    <n v="40"/>
    <n v="25"/>
    <n v="244.5"/>
    <n v="34.928571428571431"/>
    <x v="4"/>
    <x v="22"/>
    <x v="8"/>
    <x v="2"/>
  </r>
  <r>
    <s v="811860175049"/>
    <n v="811860"/>
    <s v="PAWAN KUMAR CHHIPA"/>
    <n v="175049"/>
    <s v="KASHISH ENTERPRISES"/>
    <n v="0"/>
    <n v="0"/>
    <n v="0"/>
    <n v="0"/>
    <n v="1"/>
    <n v="0"/>
    <n v="0"/>
    <n v="1"/>
    <n v="0.14285714285714285"/>
    <x v="1"/>
    <x v="22"/>
    <x v="8"/>
    <x v="2"/>
  </r>
  <r>
    <s v="811869175049"/>
    <n v="811869"/>
    <s v="JIVAN LAL GURJAR"/>
    <n v="175049"/>
    <s v="KASHISH ENTERPRISES"/>
    <n v="5"/>
    <n v="5"/>
    <n v="10"/>
    <n v="5"/>
    <n v="11"/>
    <n v="6"/>
    <n v="0"/>
    <n v="42"/>
    <n v="6"/>
    <x v="1"/>
    <x v="22"/>
    <x v="8"/>
    <x v="2"/>
  </r>
  <r>
    <s v="813182175049"/>
    <n v="813182"/>
    <s v="MANOJ GURJAR"/>
    <n v="175049"/>
    <s v="KASHISH ENTERPRISES"/>
    <n v="11"/>
    <n v="15"/>
    <n v="50"/>
    <n v="18"/>
    <n v="40"/>
    <n v="30"/>
    <n v="15"/>
    <n v="179"/>
    <n v="25.571428571428573"/>
    <x v="0"/>
    <x v="22"/>
    <x v="8"/>
    <x v="2"/>
  </r>
  <r>
    <s v="813184175049"/>
    <n v="813184"/>
    <s v="RAMSWROOP VYAS"/>
    <n v="175049"/>
    <s v="KASHISH ENTERPRISES"/>
    <n v="35"/>
    <n v="20"/>
    <n v="89.5"/>
    <n v="80.900000000000006"/>
    <n v="42.5"/>
    <n v="40"/>
    <n v="25"/>
    <n v="332.9"/>
    <n v="47.557142857142857"/>
    <x v="5"/>
    <x v="22"/>
    <x v="8"/>
    <x v="2"/>
  </r>
  <r>
    <s v="814034175049"/>
    <n v="814034"/>
    <s v="RANVEER SINGH RATHORE"/>
    <n v="175049"/>
    <s v="KASHISH ENTERPRISES"/>
    <n v="40"/>
    <n v="15"/>
    <n v="30"/>
    <n v="52.5"/>
    <n v="34"/>
    <n v="42.5"/>
    <n v="25"/>
    <n v="239"/>
    <n v="34.142857142857146"/>
    <x v="4"/>
    <x v="22"/>
    <x v="8"/>
    <x v="2"/>
  </r>
  <r>
    <s v="814091175049"/>
    <n v="814091"/>
    <s v="MAHESH KUMAR RAO"/>
    <n v="175049"/>
    <s v="KASHISH ENTERPRISES"/>
    <n v="15"/>
    <n v="0"/>
    <n v="20"/>
    <n v="10"/>
    <n v="0"/>
    <n v="0"/>
    <n v="0"/>
    <n v="45"/>
    <n v="6.4285714285714288"/>
    <x v="1"/>
    <x v="22"/>
    <x v="8"/>
    <x v="2"/>
  </r>
  <r>
    <s v="814676175049"/>
    <n v="814676"/>
    <s v="BEMATA ENTERPRISES"/>
    <n v="175049"/>
    <s v="KASHISH ENTERPRISES"/>
    <n v="25"/>
    <n v="16"/>
    <n v="50"/>
    <n v="32.5"/>
    <n v="32"/>
    <n v="25"/>
    <n v="0"/>
    <n v="180.5"/>
    <n v="25.785714285714285"/>
    <x v="0"/>
    <x v="22"/>
    <x v="8"/>
    <x v="2"/>
  </r>
  <r>
    <s v="814823175049"/>
    <n v="814823"/>
    <s v="DEVENDRA KUMAR REGAR"/>
    <n v="175049"/>
    <s v="KASHISH ENTERPRISES"/>
    <n v="45"/>
    <n v="20"/>
    <n v="75"/>
    <n v="45"/>
    <n v="32"/>
    <n v="39.5"/>
    <n v="10"/>
    <n v="266.5"/>
    <n v="38.071428571428569"/>
    <x v="4"/>
    <x v="22"/>
    <x v="8"/>
    <x v="2"/>
  </r>
  <r>
    <s v="815046175049"/>
    <n v="815046"/>
    <s v="ALTAF HUSSAIN"/>
    <n v="175049"/>
    <s v="KASHISH ENTERPRISES"/>
    <n v="0"/>
    <n v="13"/>
    <n v="32"/>
    <n v="8.5"/>
    <n v="4"/>
    <n v="0"/>
    <n v="0"/>
    <n v="57.5"/>
    <n v="8.2142857142857135"/>
    <x v="1"/>
    <x v="22"/>
    <x v="8"/>
    <x v="2"/>
  </r>
  <r>
    <s v="815047175049"/>
    <n v="815047"/>
    <s v="NAVDURGA ENTERPRISES"/>
    <n v="175049"/>
    <s v="KASHISH ENTERPRISES"/>
    <n v="0"/>
    <n v="20"/>
    <n v="25"/>
    <n v="12.5"/>
    <n v="4"/>
    <n v="0"/>
    <n v="0"/>
    <n v="61.5"/>
    <n v="8.7857142857142865"/>
    <x v="1"/>
    <x v="22"/>
    <x v="8"/>
    <x v="2"/>
  </r>
  <r>
    <s v="815824175049"/>
    <n v="815824"/>
    <s v="KALU RAM GURJAR"/>
    <n v="175049"/>
    <s v="KASHISH ENTERPRISES"/>
    <n v="0"/>
    <n v="0"/>
    <n v="0"/>
    <n v="0"/>
    <n v="58.5"/>
    <n v="42.5"/>
    <n v="61"/>
    <n v="162"/>
    <n v="23.142857142857142"/>
    <x v="0"/>
    <x v="22"/>
    <x v="8"/>
    <x v="2"/>
  </r>
  <r>
    <s v="816299175049"/>
    <n v="816299"/>
    <s v="OM SINGH"/>
    <n v="175049"/>
    <s v="KASHISH ENTERPRISES"/>
    <n v="0"/>
    <n v="0"/>
    <n v="0"/>
    <n v="0"/>
    <n v="0"/>
    <n v="42.5"/>
    <n v="35"/>
    <n v="77.5"/>
    <n v="11.071428571428571"/>
    <x v="2"/>
    <x v="22"/>
    <x v="8"/>
    <x v="2"/>
  </r>
  <r>
    <s v="807911175680"/>
    <n v="807911"/>
    <s v="MUKESH KUMAR JAIN"/>
    <n v="175680"/>
    <s v="ADINATH TRADERS"/>
    <n v="30"/>
    <n v="2"/>
    <n v="171.75"/>
    <n v="13.4"/>
    <n v="103.25"/>
    <n v="69.25"/>
    <n v="14"/>
    <n v="403.65"/>
    <n v="57.664285714285711"/>
    <x v="3"/>
    <x v="22"/>
    <x v="8"/>
    <x v="2"/>
  </r>
  <r>
    <s v="813681175848"/>
    <n v="813681"/>
    <s v="NARENDRA KUMAR PARASHAR"/>
    <n v="175848"/>
    <s v="PURAWAT ENTERPRISERS"/>
    <n v="0"/>
    <n v="0"/>
    <n v="22.25"/>
    <n v="10"/>
    <n v="65"/>
    <n v="40"/>
    <n v="20"/>
    <n v="157.25"/>
    <n v="22.464285714285715"/>
    <x v="0"/>
    <x v="22"/>
    <x v="8"/>
    <x v="2"/>
  </r>
  <r>
    <s v="813867175848"/>
    <n v="813867"/>
    <s v="SHIV SINGH RANAWAT"/>
    <n v="175848"/>
    <s v="PURAWAT ENTERPRISERS"/>
    <n v="8.5"/>
    <n v="15.5"/>
    <n v="50"/>
    <n v="10"/>
    <n v="40"/>
    <n v="59.25"/>
    <n v="19"/>
    <n v="202.25"/>
    <n v="28.892857142857142"/>
    <x v="0"/>
    <x v="22"/>
    <x v="8"/>
    <x v="2"/>
  </r>
  <r>
    <s v="813932175848"/>
    <n v="813932"/>
    <s v="RAMESHWAR LAL BALAI"/>
    <n v="175848"/>
    <s v="PURAWAT ENTERPRISERS"/>
    <n v="41"/>
    <n v="114"/>
    <n v="50"/>
    <n v="82"/>
    <n v="90"/>
    <n v="40"/>
    <n v="19"/>
    <n v="436"/>
    <n v="62.285714285714285"/>
    <x v="3"/>
    <x v="22"/>
    <x v="8"/>
    <x v="2"/>
  </r>
  <r>
    <s v="814226175848"/>
    <n v="814226"/>
    <s v="ARJUN SINGH"/>
    <n v="175848"/>
    <s v="PURAWAT ENTERPRISERS"/>
    <n v="51.25"/>
    <n v="106.5"/>
    <n v="45.5"/>
    <n v="149.5"/>
    <n v="58"/>
    <n v="62"/>
    <n v="25"/>
    <n v="497.75"/>
    <n v="71.107142857142861"/>
    <x v="3"/>
    <x v="22"/>
    <x v="8"/>
    <x v="2"/>
  </r>
  <r>
    <s v="809181177202"/>
    <n v="809181"/>
    <s v="CHARBHUJA SALES"/>
    <n v="177202"/>
    <s v="GIRIRAJ TRADERS"/>
    <n v="45"/>
    <n v="40"/>
    <n v="30"/>
    <n v="40"/>
    <n v="37.549999999999997"/>
    <n v="1"/>
    <n v="11"/>
    <n v="204.55"/>
    <n v="29.221428571428572"/>
    <x v="0"/>
    <x v="22"/>
    <x v="8"/>
    <x v="2"/>
  </r>
  <r>
    <s v="809424177202"/>
    <n v="809424"/>
    <s v="RISHABH TRADERS"/>
    <n v="177202"/>
    <s v="GIRIRAJ TRADERS"/>
    <n v="0"/>
    <n v="0"/>
    <n v="0"/>
    <n v="0"/>
    <n v="0"/>
    <n v="1.5"/>
    <n v="0"/>
    <n v="1.5"/>
    <n v="0.21428571428571427"/>
    <x v="1"/>
    <x v="22"/>
    <x v="8"/>
    <x v="2"/>
  </r>
  <r>
    <s v="812703177202"/>
    <n v="812703"/>
    <s v="LAXMAN SINGH"/>
    <n v="177202"/>
    <s v="GIRIRAJ TRADERS"/>
    <n v="20"/>
    <n v="20"/>
    <n v="0"/>
    <n v="0"/>
    <n v="12.95"/>
    <n v="1"/>
    <n v="0"/>
    <n v="53.95"/>
    <n v="7.7071428571428573"/>
    <x v="1"/>
    <x v="22"/>
    <x v="8"/>
    <x v="2"/>
  </r>
  <r>
    <s v="809117177259"/>
    <n v="809117"/>
    <s v="RAHUL CHATWANI"/>
    <n v="177259"/>
    <s v="R R CAPITAL"/>
    <n v="10"/>
    <n v="0"/>
    <n v="0"/>
    <n v="10"/>
    <n v="0"/>
    <n v="0"/>
    <n v="10"/>
    <n v="30"/>
    <n v="4.2857142857142856"/>
    <x v="1"/>
    <x v="22"/>
    <x v="8"/>
    <x v="2"/>
  </r>
  <r>
    <s v="809422177259"/>
    <n v="809422"/>
    <s v="RAM PAL KHANDELWAL"/>
    <n v="177259"/>
    <s v="R R CAPITAL"/>
    <n v="0"/>
    <n v="0"/>
    <n v="0"/>
    <n v="10"/>
    <n v="0"/>
    <n v="0"/>
    <n v="0"/>
    <n v="10"/>
    <n v="1.4285714285714286"/>
    <x v="1"/>
    <x v="22"/>
    <x v="8"/>
    <x v="2"/>
  </r>
  <r>
    <s v="808856178511"/>
    <n v="808856"/>
    <s v="MANISH KUMAR CHHIPA"/>
    <n v="178511"/>
    <s v="AMBIKA DISTRIBUTORS"/>
    <n v="34.5"/>
    <n v="75"/>
    <n v="64.5"/>
    <n v="69.75"/>
    <n v="7"/>
    <n v="11"/>
    <n v="10"/>
    <n v="271.75"/>
    <n v="38.821428571428569"/>
    <x v="4"/>
    <x v="22"/>
    <x v="8"/>
    <x v="2"/>
  </r>
  <r>
    <s v="809182178511"/>
    <n v="809182"/>
    <s v="RAJARAM PARASHAR"/>
    <n v="178511"/>
    <s v="AMBIKA DISTRIBUTORS"/>
    <n v="37"/>
    <n v="71"/>
    <n v="22"/>
    <n v="34.5"/>
    <n v="7"/>
    <n v="17.5"/>
    <n v="16"/>
    <n v="205"/>
    <n v="29.285714285714285"/>
    <x v="0"/>
    <x v="22"/>
    <x v="8"/>
    <x v="2"/>
  </r>
  <r>
    <s v="811913178511"/>
    <n v="811913"/>
    <s v="JAMEEL MOHAMMED PINARA"/>
    <n v="178511"/>
    <s v="AMBIKA DISTRIBUTORS"/>
    <n v="5"/>
    <n v="5"/>
    <n v="0"/>
    <n v="10"/>
    <n v="0"/>
    <n v="0"/>
    <n v="0"/>
    <n v="20"/>
    <n v="2.8571428571428572"/>
    <x v="1"/>
    <x v="22"/>
    <x v="8"/>
    <x v="2"/>
  </r>
  <r>
    <s v="814250178511"/>
    <n v="814250"/>
    <s v="LADU LAL TELI"/>
    <n v="178511"/>
    <s v="AMBIKA DISTRIBUTORS"/>
    <n v="5"/>
    <n v="5"/>
    <n v="0"/>
    <n v="0"/>
    <n v="0"/>
    <n v="0"/>
    <n v="0"/>
    <n v="10"/>
    <n v="1.4285714285714286"/>
    <x v="1"/>
    <x v="22"/>
    <x v="8"/>
    <x v="2"/>
  </r>
  <r>
    <s v="813040201091"/>
    <n v="813040"/>
    <s v="SHREE BALAJI BUILDING MATERIAL"/>
    <n v="201091"/>
    <s v="SIDHI VINAYAK SANITARY HOUSE"/>
    <n v="10"/>
    <n v="20"/>
    <n v="17.5"/>
    <n v="0"/>
    <n v="0"/>
    <n v="0"/>
    <n v="0"/>
    <n v="47.5"/>
    <n v="6.7857142857142856"/>
    <x v="1"/>
    <x v="22"/>
    <x v="8"/>
    <x v="2"/>
  </r>
  <r>
    <s v="808316204030"/>
    <n v="808316"/>
    <s v="DHARMESH KUMAWAT"/>
    <n v="204030"/>
    <s v="DEVA LAL KUMAWAT"/>
    <n v="104.25"/>
    <n v="54"/>
    <n v="136.25"/>
    <n v="26"/>
    <n v="40.25"/>
    <n v="36"/>
    <n v="39"/>
    <n v="435.75"/>
    <n v="62.25"/>
    <x v="3"/>
    <x v="22"/>
    <x v="8"/>
    <x v="2"/>
  </r>
  <r>
    <s v="813375204030"/>
    <n v="813375"/>
    <s v="RAM LAL GADARI"/>
    <n v="204030"/>
    <s v="DEVA LAL KUMAWAT"/>
    <n v="0"/>
    <n v="1"/>
    <n v="0"/>
    <n v="0"/>
    <n v="0"/>
    <n v="10"/>
    <n v="0"/>
    <n v="11"/>
    <n v="1.5714285714285714"/>
    <x v="1"/>
    <x v="22"/>
    <x v="8"/>
    <x v="2"/>
  </r>
  <r>
    <s v="814415204030"/>
    <n v="814415"/>
    <s v="DEV KISHAN BALAI"/>
    <n v="204030"/>
    <s v="DEVA LAL KUMAWAT"/>
    <n v="0"/>
    <n v="1"/>
    <n v="0"/>
    <n v="0"/>
    <n v="0"/>
    <n v="1"/>
    <n v="0"/>
    <n v="2"/>
    <n v="0.2857142857142857"/>
    <x v="1"/>
    <x v="22"/>
    <x v="8"/>
    <x v="2"/>
  </r>
  <r>
    <s v="811780205591"/>
    <n v="811780"/>
    <s v="ARIHANT JEENGAR"/>
    <n v="205591"/>
    <s v="ROOP RAJAT TRADING CO"/>
    <n v="10"/>
    <n v="50"/>
    <n v="40"/>
    <n v="89"/>
    <n v="52.5"/>
    <n v="50"/>
    <n v="10"/>
    <n v="301.5"/>
    <n v="43.071428571428569"/>
    <x v="5"/>
    <x v="22"/>
    <x v="8"/>
    <x v="2"/>
  </r>
  <r>
    <s v="814152205591"/>
    <n v="814152"/>
    <s v="SHALU JAIN"/>
    <n v="205591"/>
    <s v="ROOP RAJAT TRADING CO"/>
    <n v="239"/>
    <n v="327.5"/>
    <n v="315.5"/>
    <n v="277.95"/>
    <n v="253.75"/>
    <n v="273.5"/>
    <n v="195"/>
    <n v="1882.2"/>
    <n v="268.8857142857143"/>
    <x v="3"/>
    <x v="22"/>
    <x v="8"/>
    <x v="2"/>
  </r>
  <r>
    <s v="814311205591"/>
    <n v="814311"/>
    <s v="ABHINAV AUTOMOBILES"/>
    <n v="205591"/>
    <s v="ROOP RAJAT TRADING CO"/>
    <n v="0.5"/>
    <n v="10"/>
    <n v="0"/>
    <n v="0"/>
    <n v="21"/>
    <n v="4"/>
    <n v="10"/>
    <n v="45.5"/>
    <n v="6.5"/>
    <x v="1"/>
    <x v="22"/>
    <x v="8"/>
    <x v="2"/>
  </r>
  <r>
    <s v="814380205591"/>
    <n v="814380"/>
    <s v="BAJRANG CEMENT SUPPLIERS"/>
    <n v="205591"/>
    <s v="ROOP RAJAT TRADING CO"/>
    <n v="0.5"/>
    <n v="7.5"/>
    <n v="0"/>
    <n v="10"/>
    <n v="1"/>
    <n v="4"/>
    <n v="0"/>
    <n v="23"/>
    <n v="3.2857142857142856"/>
    <x v="1"/>
    <x v="22"/>
    <x v="8"/>
    <x v="2"/>
  </r>
  <r>
    <s v="814414205591"/>
    <n v="814414"/>
    <s v="K M STONE SUPPLIERS"/>
    <n v="205591"/>
    <s v="ROOP RAJAT TRADING CO"/>
    <n v="45"/>
    <n v="56"/>
    <n v="120"/>
    <n v="103"/>
    <n v="61"/>
    <n v="4"/>
    <n v="50"/>
    <n v="439"/>
    <n v="62.714285714285715"/>
    <x v="3"/>
    <x v="22"/>
    <x v="8"/>
    <x v="2"/>
  </r>
  <r>
    <s v="814506205591"/>
    <n v="814506"/>
    <s v="CHAWANDA TRADERS"/>
    <n v="205591"/>
    <s v="ROOP RAJAT TRADING CO"/>
    <n v="97"/>
    <n v="127"/>
    <n v="137"/>
    <n v="70"/>
    <n v="51.75"/>
    <n v="66.5"/>
    <n v="30"/>
    <n v="579.25"/>
    <n v="82.75"/>
    <x v="3"/>
    <x v="22"/>
    <x v="8"/>
    <x v="2"/>
  </r>
  <r>
    <s v="814683205591"/>
    <n v="814683"/>
    <s v="JAGDISH SUTHAR"/>
    <n v="205591"/>
    <s v="ROOP RAJAT TRADING CO"/>
    <n v="71"/>
    <n v="24"/>
    <n v="132.75"/>
    <n v="50"/>
    <n v="72.5"/>
    <n v="54"/>
    <n v="2.5"/>
    <n v="406.75"/>
    <n v="58.107142857142854"/>
    <x v="3"/>
    <x v="22"/>
    <x v="8"/>
    <x v="2"/>
  </r>
  <r>
    <s v="814710205591"/>
    <n v="814710"/>
    <s v="KAMLESH KUMAR TATED"/>
    <n v="205591"/>
    <s v="ROOP RAJAT TRADING CO"/>
    <n v="20.5"/>
    <n v="15"/>
    <n v="30"/>
    <n v="1"/>
    <n v="11"/>
    <n v="4"/>
    <n v="0"/>
    <n v="81.5"/>
    <n v="11.642857142857142"/>
    <x v="2"/>
    <x v="22"/>
    <x v="8"/>
    <x v="2"/>
  </r>
  <r>
    <s v="814756205591"/>
    <n v="814756"/>
    <s v="RAM LAL KUMHAR"/>
    <n v="205591"/>
    <s v="ROOP RAJAT TRADING CO"/>
    <n v="110.5"/>
    <n v="165"/>
    <n v="248"/>
    <n v="195"/>
    <n v="114.5"/>
    <n v="127"/>
    <n v="20"/>
    <n v="980"/>
    <n v="140"/>
    <x v="3"/>
    <x v="22"/>
    <x v="8"/>
    <x v="2"/>
  </r>
  <r>
    <s v="814757205591"/>
    <n v="814757"/>
    <s v="KAILASH CHANDRA SHARMA"/>
    <n v="205591"/>
    <s v="ROOP RAJAT TRADING CO"/>
    <n v="75.5"/>
    <n v="5"/>
    <n v="47.25"/>
    <n v="109"/>
    <n v="68"/>
    <n v="4"/>
    <n v="0"/>
    <n v="308.75"/>
    <n v="44.107142857142854"/>
    <x v="5"/>
    <x v="22"/>
    <x v="8"/>
    <x v="2"/>
  </r>
  <r>
    <s v="814972205591"/>
    <n v="814972"/>
    <s v="VISHNU CEMENT AGENCY"/>
    <n v="205591"/>
    <s v="ROOP RAJAT TRADING CO"/>
    <n v="30"/>
    <n v="30"/>
    <n v="60.5"/>
    <n v="143"/>
    <n v="219"/>
    <n v="177"/>
    <n v="40"/>
    <n v="699.5"/>
    <n v="99.928571428571431"/>
    <x v="3"/>
    <x v="22"/>
    <x v="8"/>
    <x v="2"/>
  </r>
  <r>
    <s v="814979205591"/>
    <n v="814979"/>
    <s v="SATYANARAYAN KUMAWAT"/>
    <n v="205591"/>
    <s v="ROOP RAJAT TRADING CO"/>
    <n v="0"/>
    <n v="0"/>
    <n v="14"/>
    <n v="0"/>
    <n v="0.5"/>
    <n v="4"/>
    <n v="0"/>
    <n v="18.5"/>
    <n v="2.6428571428571428"/>
    <x v="1"/>
    <x v="22"/>
    <x v="8"/>
    <x v="2"/>
  </r>
  <r>
    <s v="814980205591"/>
    <n v="814980"/>
    <s v="RAMESHWAR LAL JAT"/>
    <n v="205591"/>
    <s v="ROOP RAJAT TRADING CO"/>
    <n v="10"/>
    <n v="15"/>
    <n v="8.25"/>
    <n v="1"/>
    <n v="1"/>
    <n v="4"/>
    <n v="0"/>
    <n v="39.25"/>
    <n v="5.6071428571428568"/>
    <x v="1"/>
    <x v="22"/>
    <x v="8"/>
    <x v="2"/>
  </r>
  <r>
    <s v="815002205591"/>
    <n v="815002"/>
    <s v="MANGI LAL"/>
    <n v="205591"/>
    <s v="ROOP RAJAT TRADING CO"/>
    <n v="20"/>
    <n v="10"/>
    <n v="40"/>
    <n v="1"/>
    <n v="1"/>
    <n v="0"/>
    <n v="0"/>
    <n v="72"/>
    <n v="10.285714285714286"/>
    <x v="2"/>
    <x v="22"/>
    <x v="8"/>
    <x v="2"/>
  </r>
  <r>
    <s v="815127205591"/>
    <n v="815127"/>
    <s v="SURESH CHANDRA SHARMA"/>
    <n v="205591"/>
    <s v="ROOP RAJAT TRADING CO"/>
    <n v="0"/>
    <n v="0"/>
    <n v="30"/>
    <n v="26.5"/>
    <n v="8"/>
    <n v="0"/>
    <n v="20"/>
    <n v="84.5"/>
    <n v="12.071428571428571"/>
    <x v="2"/>
    <x v="22"/>
    <x v="8"/>
    <x v="2"/>
  </r>
  <r>
    <s v="815253205591"/>
    <n v="815253"/>
    <s v="RINKU VYAS"/>
    <n v="205591"/>
    <s v="ROOP RAJAT TRADING CO"/>
    <n v="0"/>
    <n v="0"/>
    <n v="30"/>
    <n v="112.75"/>
    <n v="103.5"/>
    <n v="59"/>
    <n v="52.5"/>
    <n v="357.75"/>
    <n v="51.107142857142854"/>
    <x v="3"/>
    <x v="22"/>
    <x v="8"/>
    <x v="2"/>
  </r>
  <r>
    <s v="815473205591"/>
    <n v="815473"/>
    <s v="SOHAN LAL TELI"/>
    <n v="205591"/>
    <s v="ROOP RAJAT TRADING CO"/>
    <n v="0"/>
    <n v="0"/>
    <n v="0"/>
    <n v="0"/>
    <n v="0"/>
    <n v="4"/>
    <n v="0"/>
    <n v="4"/>
    <n v="0.5714285714285714"/>
    <x v="1"/>
    <x v="22"/>
    <x v="8"/>
    <x v="2"/>
  </r>
  <r>
    <s v="815823205591"/>
    <n v="815823"/>
    <s v="SHANTI LAL TIWARI"/>
    <n v="205591"/>
    <s v="ROOP RAJAT TRADING CO"/>
    <n v="0"/>
    <n v="0"/>
    <n v="0"/>
    <n v="0"/>
    <n v="2"/>
    <n v="15"/>
    <n v="60"/>
    <n v="77"/>
    <n v="11"/>
    <x v="2"/>
    <x v="22"/>
    <x v="8"/>
    <x v="2"/>
  </r>
  <r>
    <s v="815849205591"/>
    <n v="815849"/>
    <s v="ROHIT PAREEK"/>
    <n v="205591"/>
    <s v="ROOP RAJAT TRADING CO"/>
    <n v="0"/>
    <n v="0"/>
    <n v="0"/>
    <n v="0"/>
    <n v="25.5"/>
    <n v="4"/>
    <n v="16.2"/>
    <n v="45.7"/>
    <n v="6.5285714285714294"/>
    <x v="1"/>
    <x v="22"/>
    <x v="8"/>
    <x v="2"/>
  </r>
  <r>
    <s v="816014205591"/>
    <n v="816014"/>
    <s v="RAMESHVAR LAL SHARMA"/>
    <n v="205591"/>
    <s v="ROOP RAJAT TRADING CO"/>
    <n v="0"/>
    <n v="0"/>
    <n v="0"/>
    <n v="0"/>
    <n v="0"/>
    <n v="14"/>
    <n v="20"/>
    <n v="34"/>
    <n v="4.8571428571428568"/>
    <x v="1"/>
    <x v="22"/>
    <x v="8"/>
    <x v="2"/>
  </r>
  <r>
    <s v="816015205591"/>
    <n v="816015"/>
    <s v="MADAN LAL RAJMAL SUTHAR"/>
    <n v="205591"/>
    <s v="ROOP RAJAT TRADING CO"/>
    <n v="0"/>
    <n v="0"/>
    <n v="0"/>
    <n v="0"/>
    <n v="0"/>
    <n v="4"/>
    <n v="40"/>
    <n v="44"/>
    <n v="6.2857142857142856"/>
    <x v="1"/>
    <x v="22"/>
    <x v="8"/>
    <x v="2"/>
  </r>
  <r>
    <s v="814631206529"/>
    <n v="814631"/>
    <s v="SATYANARAYAN VAISHNAV"/>
    <n v="206529"/>
    <s v="GOPAL KRISHAN DHUPPAD"/>
    <n v="50"/>
    <n v="66.5"/>
    <n v="134"/>
    <n v="85.5"/>
    <n v="128.5"/>
    <n v="47"/>
    <n v="10"/>
    <n v="521.5"/>
    <n v="74.5"/>
    <x v="3"/>
    <x v="22"/>
    <x v="8"/>
    <x v="2"/>
  </r>
  <r>
    <s v="816405205591"/>
    <n v="816405"/>
    <s v="RANI DEVI REGAR"/>
    <n v="205591"/>
    <s v="ROOP RAJAT TRADING CO"/>
    <n v="0"/>
    <n v="0"/>
    <n v="0"/>
    <n v="0"/>
    <n v="0"/>
    <n v="0"/>
    <n v="10"/>
    <n v="10"/>
    <n v="1.4285714285714286"/>
    <x v="1"/>
    <x v="22"/>
    <x v="8"/>
    <x v="2"/>
  </r>
  <r>
    <s v="816580175848"/>
    <n v="816580"/>
    <s v="KHEMRAJ"/>
    <n v="175848"/>
    <s v="PURAWAT ENTERPRISERS"/>
    <n v="0"/>
    <n v="0"/>
    <n v="0"/>
    <n v="0"/>
    <n v="0"/>
    <n v="0"/>
    <n v="55"/>
    <n v="55"/>
    <n v="7.8571428571428568"/>
    <x v="1"/>
    <x v="22"/>
    <x v="8"/>
    <x v="2"/>
  </r>
  <r>
    <s v="816626170248"/>
    <n v="816626"/>
    <s v="ROHIT AJMERA"/>
    <n v="170248"/>
    <s v="MAHAVEER ENTERPRISES"/>
    <n v="0"/>
    <n v="0"/>
    <n v="0"/>
    <n v="0"/>
    <n v="0"/>
    <n v="0"/>
    <n v="20"/>
    <n v="20"/>
    <n v="2.8571428571428572"/>
    <x v="1"/>
    <x v="22"/>
    <x v="8"/>
    <x v="2"/>
  </r>
  <r>
    <s v="803193119905"/>
    <n v="803193"/>
    <s v="CHHAGAN LAL DHAKAR"/>
    <n v="119905"/>
    <s v="FRIENDS AGENCIES"/>
    <n v="37.5"/>
    <n v="25"/>
    <n v="26"/>
    <n v="35.75"/>
    <n v="29.25"/>
    <n v="6.25"/>
    <n v="12.5"/>
    <n v="172.25"/>
    <n v="24.607142857142858"/>
    <x v="0"/>
    <x v="23"/>
    <x v="8"/>
    <x v="2"/>
  </r>
  <r>
    <s v="806471119905"/>
    <n v="806471"/>
    <s v="SURAJMAL JAT"/>
    <n v="119905"/>
    <s v="FRIENDS AGENCIES"/>
    <n v="0"/>
    <n v="12.5"/>
    <n v="44.5"/>
    <n v="53.75"/>
    <n v="35.25"/>
    <n v="0"/>
    <n v="0"/>
    <n v="146"/>
    <n v="20.857142857142858"/>
    <x v="0"/>
    <x v="23"/>
    <x v="8"/>
    <x v="2"/>
  </r>
  <r>
    <s v="806101170392"/>
    <n v="806101"/>
    <s v="BHARAT IRON &amp; HARDWARE"/>
    <n v="170392"/>
    <s v="JYOTI SUPPLIERS"/>
    <n v="75"/>
    <n v="10"/>
    <n v="48.5"/>
    <n v="95.5"/>
    <n v="60.5"/>
    <n v="35"/>
    <n v="49"/>
    <n v="373.5"/>
    <n v="53.357142857142854"/>
    <x v="3"/>
    <x v="23"/>
    <x v="8"/>
    <x v="2"/>
  </r>
  <r>
    <s v="806339170392"/>
    <n v="806339"/>
    <s v="JAI SHANI DEV KIRANA STORE"/>
    <n v="170392"/>
    <s v="JYOTI SUPPLIERS"/>
    <n v="14"/>
    <n v="52.75"/>
    <n v="29"/>
    <n v="40"/>
    <n v="51"/>
    <n v="28"/>
    <n v="10"/>
    <n v="224.75"/>
    <n v="32.107142857142854"/>
    <x v="4"/>
    <x v="23"/>
    <x v="8"/>
    <x v="2"/>
  </r>
  <r>
    <s v="806466170392"/>
    <n v="806466"/>
    <s v="CHOUDHARY KIRANA STORE"/>
    <n v="170392"/>
    <s v="JYOTI SUPPLIERS"/>
    <n v="10"/>
    <n v="30"/>
    <n v="10"/>
    <n v="7"/>
    <n v="0"/>
    <n v="0"/>
    <n v="10"/>
    <n v="67"/>
    <n v="9.5714285714285712"/>
    <x v="1"/>
    <x v="23"/>
    <x v="8"/>
    <x v="2"/>
  </r>
  <r>
    <s v="806472170392"/>
    <n v="806472"/>
    <s v="ANGARHNATH BUILDING MATERIAL S"/>
    <n v="170392"/>
    <s v="JYOTI SUPPLIERS"/>
    <n v="50"/>
    <n v="99"/>
    <n v="140"/>
    <n v="100"/>
    <n v="51"/>
    <n v="33"/>
    <n v="31.55"/>
    <n v="504.55"/>
    <n v="72.078571428571436"/>
    <x v="3"/>
    <x v="23"/>
    <x v="8"/>
    <x v="2"/>
  </r>
  <r>
    <s v="808145170392"/>
    <n v="808145"/>
    <s v="MOHAN LAL AHIR"/>
    <n v="170392"/>
    <s v="JYOTI SUPPLIERS"/>
    <n v="0"/>
    <n v="30"/>
    <n v="10"/>
    <n v="53.35"/>
    <n v="0"/>
    <n v="0"/>
    <n v="0"/>
    <n v="93.35"/>
    <n v="13.335714285714285"/>
    <x v="2"/>
    <x v="23"/>
    <x v="8"/>
    <x v="2"/>
  </r>
  <r>
    <s v="808157170392"/>
    <n v="808157"/>
    <s v="DHAKAR TRADERS &amp; SUPPLIERS"/>
    <n v="170392"/>
    <s v="JYOTI SUPPLIERS"/>
    <n v="28.75"/>
    <n v="57.5"/>
    <n v="120"/>
    <n v="100"/>
    <n v="85"/>
    <n v="30"/>
    <n v="10"/>
    <n v="431.25"/>
    <n v="61.607142857142854"/>
    <x v="3"/>
    <x v="23"/>
    <x v="8"/>
    <x v="2"/>
  </r>
  <r>
    <s v="808181170392"/>
    <n v="808181"/>
    <s v="PATIDAR SUPPLIERS"/>
    <n v="170392"/>
    <s v="JYOTI SUPPLIERS"/>
    <n v="10"/>
    <n v="39"/>
    <n v="10"/>
    <n v="30"/>
    <n v="0"/>
    <n v="0"/>
    <n v="10"/>
    <n v="99"/>
    <n v="14.142857142857142"/>
    <x v="2"/>
    <x v="23"/>
    <x v="8"/>
    <x v="2"/>
  </r>
  <r>
    <s v="808775170392"/>
    <n v="808775"/>
    <s v="MAA CHAMUNDA BUILDING MATERIAL"/>
    <n v="170392"/>
    <s v="JYOTI SUPPLIERS"/>
    <n v="62.75"/>
    <n v="20"/>
    <n v="30"/>
    <n v="40"/>
    <n v="51"/>
    <n v="20"/>
    <n v="0"/>
    <n v="223.75"/>
    <n v="31.964285714285715"/>
    <x v="4"/>
    <x v="23"/>
    <x v="8"/>
    <x v="2"/>
  </r>
  <r>
    <s v="808930170392"/>
    <n v="808930"/>
    <s v="JAGRITI AGENCIES"/>
    <n v="170392"/>
    <s v="JYOTI SUPPLIERS"/>
    <n v="13.25"/>
    <n v="0"/>
    <n v="20"/>
    <n v="0"/>
    <n v="0"/>
    <n v="0"/>
    <n v="0"/>
    <n v="33.25"/>
    <n v="4.75"/>
    <x v="1"/>
    <x v="23"/>
    <x v="8"/>
    <x v="2"/>
  </r>
  <r>
    <s v="809326170392"/>
    <n v="809326"/>
    <s v="SHREE CHARBHUJA  GENERAL STORE"/>
    <n v="170392"/>
    <s v="JYOTI SUPPLIERS"/>
    <n v="30"/>
    <n v="22.5"/>
    <n v="57.5"/>
    <n v="40"/>
    <n v="41"/>
    <n v="0"/>
    <n v="10"/>
    <n v="201"/>
    <n v="28.714285714285715"/>
    <x v="0"/>
    <x v="23"/>
    <x v="8"/>
    <x v="2"/>
  </r>
  <r>
    <s v="809334170392"/>
    <n v="809334"/>
    <s v="CHOUDHARY ENTERPRISES"/>
    <n v="170392"/>
    <s v="JYOTI SUPPLIERS"/>
    <n v="10"/>
    <n v="60"/>
    <n v="50"/>
    <n v="40"/>
    <n v="0"/>
    <n v="0"/>
    <n v="10"/>
    <n v="170"/>
    <n v="24.285714285714285"/>
    <x v="0"/>
    <x v="23"/>
    <x v="8"/>
    <x v="2"/>
  </r>
  <r>
    <s v="812049170392"/>
    <n v="812049"/>
    <s v="UDAY LAL SHARMA"/>
    <n v="170392"/>
    <s v="JYOTI SUPPLIERS"/>
    <n v="165"/>
    <n v="119.5"/>
    <n v="234.1"/>
    <n v="181"/>
    <n v="105.25"/>
    <n v="45"/>
    <n v="15"/>
    <n v="864.85"/>
    <n v="123.55"/>
    <x v="3"/>
    <x v="23"/>
    <x v="8"/>
    <x v="2"/>
  </r>
  <r>
    <s v="812545170392"/>
    <n v="812545"/>
    <s v="RAKESH KUMAWAT"/>
    <n v="170392"/>
    <s v="JYOTI SUPPLIERS"/>
    <n v="10"/>
    <n v="0"/>
    <n v="0"/>
    <n v="0"/>
    <n v="0"/>
    <n v="0"/>
    <n v="0"/>
    <n v="10"/>
    <n v="1.4285714285714286"/>
    <x v="1"/>
    <x v="23"/>
    <x v="8"/>
    <x v="2"/>
  </r>
  <r>
    <s v="812565170392"/>
    <n v="812565"/>
    <s v="PRAKASH CHANDRA SHARMA"/>
    <n v="170392"/>
    <s v="JYOTI SUPPLIERS"/>
    <n v="10"/>
    <n v="20"/>
    <n v="15"/>
    <n v="40"/>
    <n v="20"/>
    <n v="0"/>
    <n v="0"/>
    <n v="105"/>
    <n v="15"/>
    <x v="2"/>
    <x v="23"/>
    <x v="8"/>
    <x v="2"/>
  </r>
  <r>
    <s v="812747170392"/>
    <n v="812747"/>
    <s v="ENGINEERING CHOICE"/>
    <n v="170392"/>
    <s v="JYOTI SUPPLIERS"/>
    <n v="40"/>
    <n v="0"/>
    <n v="0"/>
    <n v="0"/>
    <n v="0"/>
    <n v="0"/>
    <n v="0"/>
    <n v="40"/>
    <n v="5.7142857142857144"/>
    <x v="1"/>
    <x v="23"/>
    <x v="8"/>
    <x v="2"/>
  </r>
  <r>
    <s v="813210170392"/>
    <n v="813210"/>
    <s v="PRABHU LAL SALVI"/>
    <n v="170392"/>
    <s v="JYOTI SUPPLIERS"/>
    <n v="10"/>
    <n v="0"/>
    <n v="0"/>
    <n v="40"/>
    <n v="0"/>
    <n v="0"/>
    <n v="0"/>
    <n v="50"/>
    <n v="7.1428571428571432"/>
    <x v="1"/>
    <x v="23"/>
    <x v="8"/>
    <x v="2"/>
  </r>
  <r>
    <s v="813567170392"/>
    <n v="813567"/>
    <s v="SANGAM BUILDERS"/>
    <n v="170392"/>
    <s v="JYOTI SUPPLIERS"/>
    <n v="113.5"/>
    <n v="51.75"/>
    <n v="79.5"/>
    <n v="120"/>
    <n v="51"/>
    <n v="40"/>
    <n v="10"/>
    <n v="465.75"/>
    <n v="66.535714285714292"/>
    <x v="3"/>
    <x v="23"/>
    <x v="8"/>
    <x v="2"/>
  </r>
  <r>
    <s v="814093170392"/>
    <n v="814093"/>
    <s v="OM PRAKASH AHIR"/>
    <n v="170392"/>
    <s v="JYOTI SUPPLIERS"/>
    <n v="208.6"/>
    <n v="118"/>
    <n v="41.5"/>
    <n v="70"/>
    <n v="115"/>
    <n v="141.75"/>
    <n v="145"/>
    <n v="839.85"/>
    <n v="119.97857142857143"/>
    <x v="3"/>
    <x v="23"/>
    <x v="8"/>
    <x v="2"/>
  </r>
  <r>
    <s v="814755170392"/>
    <n v="814755"/>
    <s v="SHREE HARDA MAHARANI ENTERPRIS"/>
    <n v="170392"/>
    <s v="JYOTI SUPPLIERS"/>
    <n v="50"/>
    <n v="0"/>
    <n v="0"/>
    <n v="0"/>
    <n v="0"/>
    <n v="0"/>
    <n v="0"/>
    <n v="50"/>
    <n v="7.1428571428571432"/>
    <x v="1"/>
    <x v="23"/>
    <x v="8"/>
    <x v="2"/>
  </r>
  <r>
    <s v="814977170392"/>
    <n v="814977"/>
    <s v="DINESH JAT"/>
    <n v="170392"/>
    <s v="JYOTI SUPPLIERS"/>
    <n v="55"/>
    <n v="92.5"/>
    <n v="110"/>
    <n v="69"/>
    <n v="31"/>
    <n v="0"/>
    <n v="0"/>
    <n v="357.5"/>
    <n v="51.071428571428569"/>
    <x v="3"/>
    <x v="23"/>
    <x v="8"/>
    <x v="2"/>
  </r>
  <r>
    <s v="815439170392"/>
    <n v="815439"/>
    <s v="BHAVYA SALES"/>
    <n v="170392"/>
    <s v="JYOTI SUPPLIERS"/>
    <n v="0"/>
    <n v="0"/>
    <n v="0"/>
    <n v="324.5"/>
    <n v="303.5"/>
    <n v="322"/>
    <n v="142.5"/>
    <n v="1092.5"/>
    <n v="156.07142857142858"/>
    <x v="3"/>
    <x v="23"/>
    <x v="8"/>
    <x v="2"/>
  </r>
  <r>
    <s v="805276170606"/>
    <n v="805276"/>
    <s v="CHARBHUJA CONSTRUCTION"/>
    <n v="170606"/>
    <s v="SHREE SANWARIYA CONSTRUCTION"/>
    <n v="10"/>
    <n v="67"/>
    <n v="64"/>
    <n v="45"/>
    <n v="60"/>
    <n v="51"/>
    <n v="35"/>
    <n v="332"/>
    <n v="47.428571428571431"/>
    <x v="5"/>
    <x v="23"/>
    <x v="8"/>
    <x v="2"/>
  </r>
  <r>
    <s v="806337170606"/>
    <n v="806337"/>
    <s v="KRISHNA BEEJ BHANDAR"/>
    <n v="170606"/>
    <s v="SHREE SANWARIYA CONSTRUCTION"/>
    <n v="80"/>
    <n v="67.5"/>
    <n v="27"/>
    <n v="89.5"/>
    <n v="50"/>
    <n v="20"/>
    <n v="43"/>
    <n v="377"/>
    <n v="53.857142857142854"/>
    <x v="3"/>
    <x v="23"/>
    <x v="8"/>
    <x v="2"/>
  </r>
  <r>
    <s v="813532170606"/>
    <n v="813532"/>
    <s v="SHREE KRISHNA ENTERPRISES"/>
    <n v="170606"/>
    <s v="SHREE SANWARIYA CONSTRUCTION"/>
    <n v="67.75"/>
    <n v="48.25"/>
    <n v="35"/>
    <n v="36"/>
    <n v="24.5"/>
    <n v="31.25"/>
    <n v="15"/>
    <n v="257.75"/>
    <n v="36.821428571428569"/>
    <x v="4"/>
    <x v="23"/>
    <x v="8"/>
    <x v="2"/>
  </r>
  <r>
    <s v="803293170846"/>
    <n v="803293"/>
    <s v="BALAJI BUILDING MATERIAL SUPPL"/>
    <n v="170846"/>
    <s v="SANGAM ENTERPRISES"/>
    <n v="10"/>
    <n v="44.5"/>
    <n v="27"/>
    <n v="27"/>
    <n v="50.75"/>
    <n v="33"/>
    <n v="0"/>
    <n v="192.25"/>
    <n v="27.464285714285715"/>
    <x v="0"/>
    <x v="23"/>
    <x v="8"/>
    <x v="2"/>
  </r>
  <r>
    <s v="811036170846"/>
    <n v="811036"/>
    <s v="JAGDISH CHANDAR KUMAWAT"/>
    <n v="170846"/>
    <s v="SANGAM ENTERPRISES"/>
    <n v="0"/>
    <n v="25.75"/>
    <n v="0"/>
    <n v="18.5"/>
    <n v="0"/>
    <n v="20"/>
    <n v="0"/>
    <n v="64.25"/>
    <n v="9.1785714285714288"/>
    <x v="1"/>
    <x v="23"/>
    <x v="8"/>
    <x v="2"/>
  </r>
  <r>
    <s v="812760170846"/>
    <n v="812760"/>
    <s v="KANHIYA LAL TELI"/>
    <n v="170846"/>
    <s v="SANGAM ENTERPRISES"/>
    <n v="60.5"/>
    <n v="32.25"/>
    <n v="31.5"/>
    <n v="17"/>
    <n v="52.25"/>
    <n v="56.25"/>
    <n v="12"/>
    <n v="261.75"/>
    <n v="37.392857142857146"/>
    <x v="4"/>
    <x v="23"/>
    <x v="8"/>
    <x v="2"/>
  </r>
  <r>
    <s v="816328171457"/>
    <n v="816328"/>
    <s v="ABHISHEK TRADERS"/>
    <n v="171457"/>
    <s v="PARAS TRADING COMPANY"/>
    <n v="0"/>
    <n v="0"/>
    <n v="0"/>
    <n v="0"/>
    <n v="0"/>
    <n v="20"/>
    <n v="0"/>
    <n v="20"/>
    <n v="2.8571428571428572"/>
    <x v="1"/>
    <x v="23"/>
    <x v="8"/>
    <x v="2"/>
  </r>
  <r>
    <s v="809333172640"/>
    <n v="809333"/>
    <s v="NEEL KAMAL  CEMENT SUPPLIERS"/>
    <n v="172640"/>
    <s v="KUSHAL TRADERS"/>
    <n v="55"/>
    <n v="123"/>
    <n v="55"/>
    <n v="301.5"/>
    <n v="93.5"/>
    <n v="177.5"/>
    <n v="70"/>
    <n v="875.5"/>
    <n v="125.07142857142857"/>
    <x v="3"/>
    <x v="23"/>
    <x v="8"/>
    <x v="2"/>
  </r>
  <r>
    <s v="810991172640"/>
    <n v="810991"/>
    <s v="SHREE SANWARIYA CONSTRUCTION"/>
    <n v="172640"/>
    <s v="KUSHAL TRADERS"/>
    <n v="0"/>
    <n v="20"/>
    <n v="10"/>
    <n v="17.5"/>
    <n v="42.5"/>
    <n v="10"/>
    <n v="20"/>
    <n v="120"/>
    <n v="17.142857142857142"/>
    <x v="2"/>
    <x v="23"/>
    <x v="8"/>
    <x v="2"/>
  </r>
  <r>
    <s v="811172172640"/>
    <n v="811172"/>
    <s v="SAMAY BUILD TECH"/>
    <n v="172640"/>
    <s v="KUSHAL TRADERS"/>
    <n v="36"/>
    <n v="20"/>
    <n v="118.75"/>
    <n v="149"/>
    <n v="76"/>
    <n v="92"/>
    <n v="55"/>
    <n v="546.75"/>
    <n v="78.107142857142861"/>
    <x v="3"/>
    <x v="23"/>
    <x v="8"/>
    <x v="2"/>
  </r>
  <r>
    <s v="811648172640"/>
    <n v="811648"/>
    <s v="VIKAS JAIN"/>
    <n v="172640"/>
    <s v="KUSHAL TRADERS"/>
    <n v="17"/>
    <n v="10"/>
    <n v="17.5"/>
    <n v="24"/>
    <n v="30"/>
    <n v="15"/>
    <n v="0"/>
    <n v="113.5"/>
    <n v="16.214285714285715"/>
    <x v="2"/>
    <x v="23"/>
    <x v="8"/>
    <x v="2"/>
  </r>
  <r>
    <s v="813124172640"/>
    <n v="813124"/>
    <s v="TEJKARAN AGARWAL"/>
    <n v="172640"/>
    <s v="KUSHAL TRADERS"/>
    <n v="137"/>
    <n v="0"/>
    <n v="0"/>
    <n v="0"/>
    <n v="0"/>
    <n v="10"/>
    <n v="0"/>
    <n v="147"/>
    <n v="21"/>
    <x v="0"/>
    <x v="23"/>
    <x v="8"/>
    <x v="2"/>
  </r>
  <r>
    <s v="813160172640"/>
    <n v="813160"/>
    <s v="SHREE SHYAM TRADERS"/>
    <n v="172640"/>
    <s v="KUSHAL TRADERS"/>
    <n v="0"/>
    <n v="26"/>
    <n v="0"/>
    <n v="35"/>
    <n v="0"/>
    <n v="15"/>
    <n v="0"/>
    <n v="76"/>
    <n v="10.857142857142858"/>
    <x v="2"/>
    <x v="23"/>
    <x v="8"/>
    <x v="2"/>
  </r>
  <r>
    <s v="813433172640"/>
    <n v="813433"/>
    <s v="SHUBHAM KUMAWAT"/>
    <n v="172640"/>
    <s v="KUSHAL TRADERS"/>
    <n v="0"/>
    <n v="18"/>
    <n v="81.25"/>
    <n v="90"/>
    <n v="90"/>
    <n v="25"/>
    <n v="0"/>
    <n v="304.25"/>
    <n v="43.464285714285715"/>
    <x v="5"/>
    <x v="23"/>
    <x v="8"/>
    <x v="2"/>
  </r>
  <r>
    <s v="813725172640"/>
    <n v="813725"/>
    <s v="CHARBHUJA CEMENT SUPPLIERS"/>
    <n v="172640"/>
    <s v="KUSHAL TRADERS"/>
    <n v="130"/>
    <n v="109.75"/>
    <n v="60"/>
    <n v="0"/>
    <n v="65"/>
    <n v="35"/>
    <n v="62.5"/>
    <n v="462.25"/>
    <n v="66.035714285714292"/>
    <x v="3"/>
    <x v="23"/>
    <x v="8"/>
    <x v="2"/>
  </r>
  <r>
    <s v="814186172640"/>
    <n v="814186"/>
    <s v="VISHNU SHARMA"/>
    <n v="172640"/>
    <s v="KUSHAL TRADERS"/>
    <n v="70"/>
    <n v="60"/>
    <n v="20"/>
    <n v="62.5"/>
    <n v="80"/>
    <n v="35"/>
    <n v="20"/>
    <n v="347.5"/>
    <n v="49.642857142857146"/>
    <x v="5"/>
    <x v="23"/>
    <x v="8"/>
    <x v="2"/>
  </r>
  <r>
    <s v="814349172640"/>
    <n v="814349"/>
    <s v="SIDDHARTH VYAS"/>
    <n v="172640"/>
    <s v="KUSHAL TRADERS"/>
    <n v="48"/>
    <n v="60"/>
    <n v="30"/>
    <n v="30"/>
    <n v="80"/>
    <n v="77.5"/>
    <n v="43"/>
    <n v="368.5"/>
    <n v="52.642857142857146"/>
    <x v="3"/>
    <x v="23"/>
    <x v="8"/>
    <x v="2"/>
  </r>
  <r>
    <s v="814845172640"/>
    <n v="814845"/>
    <s v="SHIV KRIPA ENTERPRISES"/>
    <n v="172640"/>
    <s v="KUSHAL TRADERS"/>
    <n v="15"/>
    <n v="151"/>
    <n v="59.5"/>
    <n v="29"/>
    <n v="0"/>
    <n v="10"/>
    <n v="0"/>
    <n v="264.5"/>
    <n v="37.785714285714285"/>
    <x v="4"/>
    <x v="23"/>
    <x v="8"/>
    <x v="2"/>
  </r>
  <r>
    <s v="815441172640"/>
    <n v="815441"/>
    <s v="RONAK PAGARIYA"/>
    <n v="172640"/>
    <s v="KUSHAL TRADERS"/>
    <n v="0"/>
    <n v="0"/>
    <n v="0"/>
    <n v="250"/>
    <n v="135.75"/>
    <n v="173"/>
    <n v="55"/>
    <n v="613.75"/>
    <n v="87.678571428571431"/>
    <x v="3"/>
    <x v="23"/>
    <x v="8"/>
    <x v="2"/>
  </r>
  <r>
    <s v="809327172648"/>
    <n v="809327"/>
    <s v="SHREE SANWARIYA CEMENT AGENCY"/>
    <n v="172648"/>
    <s v="JOGNIYA BUILDERS"/>
    <n v="46.5"/>
    <n v="50"/>
    <n v="74"/>
    <n v="45"/>
    <n v="70"/>
    <n v="17"/>
    <n v="5"/>
    <n v="307.5"/>
    <n v="43.928571428571431"/>
    <x v="5"/>
    <x v="23"/>
    <x v="8"/>
    <x v="2"/>
  </r>
  <r>
    <s v="811682174631"/>
    <n v="811682"/>
    <s v="KAJOD"/>
    <n v="174631"/>
    <s v="OM TRADERS"/>
    <n v="88.5"/>
    <n v="136"/>
    <n v="144"/>
    <n v="87.75"/>
    <n v="51"/>
    <n v="68.5"/>
    <n v="36.25"/>
    <n v="612"/>
    <n v="87.428571428571431"/>
    <x v="3"/>
    <x v="23"/>
    <x v="8"/>
    <x v="2"/>
  </r>
  <r>
    <s v="811863174631"/>
    <n v="811863"/>
    <s v="MUKESH KUMAR"/>
    <n v="174631"/>
    <s v="OM TRADERS"/>
    <n v="124.5"/>
    <n v="161.5"/>
    <n v="121.4"/>
    <n v="112.25"/>
    <n v="133"/>
    <n v="66"/>
    <n v="30"/>
    <n v="748.65"/>
    <n v="106.95"/>
    <x v="3"/>
    <x v="23"/>
    <x v="8"/>
    <x v="2"/>
  </r>
  <r>
    <s v="813324174631"/>
    <n v="813324"/>
    <s v="SHREE SHIV STONE SUPPLIERS"/>
    <n v="174631"/>
    <s v="OM TRADERS"/>
    <n v="94.5"/>
    <n v="27.5"/>
    <n v="19.5"/>
    <n v="19.5"/>
    <n v="62.5"/>
    <n v="3"/>
    <n v="2"/>
    <n v="228.5"/>
    <n v="32.642857142857146"/>
    <x v="4"/>
    <x v="23"/>
    <x v="8"/>
    <x v="2"/>
  </r>
  <r>
    <s v="815184174631"/>
    <n v="815184"/>
    <s v="RAJESH DHAKAD"/>
    <n v="174631"/>
    <s v="OM TRADERS"/>
    <n v="0"/>
    <n v="0"/>
    <n v="46.5"/>
    <n v="66.75"/>
    <n v="30"/>
    <n v="10"/>
    <n v="0"/>
    <n v="153.25"/>
    <n v="21.892857142857142"/>
    <x v="0"/>
    <x v="23"/>
    <x v="8"/>
    <x v="2"/>
  </r>
  <r>
    <s v="815482174631"/>
    <n v="815482"/>
    <s v="PRAKASH CHANDRA DHAKER"/>
    <n v="174631"/>
    <s v="OM TRADERS"/>
    <n v="0"/>
    <n v="0"/>
    <n v="0"/>
    <n v="91"/>
    <n v="134.5"/>
    <n v="59.5"/>
    <n v="46.5"/>
    <n v="331.5"/>
    <n v="47.357142857142854"/>
    <x v="5"/>
    <x v="23"/>
    <x v="8"/>
    <x v="2"/>
  </r>
  <r>
    <s v="813453175312"/>
    <n v="813453"/>
    <s v="NAHAR CEMENT SUPPLIERS"/>
    <n v="175312"/>
    <s v="MOSAM TRADERS"/>
    <n v="36"/>
    <n v="0"/>
    <n v="0"/>
    <n v="0"/>
    <n v="0"/>
    <n v="0"/>
    <n v="0"/>
    <n v="36"/>
    <n v="5.1428571428571432"/>
    <x v="1"/>
    <x v="23"/>
    <x v="8"/>
    <x v="2"/>
  </r>
  <r>
    <s v="807595177093"/>
    <n v="807595"/>
    <s v="BHAGWATI  LAL JAT"/>
    <n v="177093"/>
    <s v="CHOUDHARY TRADERS"/>
    <n v="44.5"/>
    <n v="48"/>
    <n v="62.75"/>
    <n v="67"/>
    <n v="104.5"/>
    <n v="82"/>
    <n v="25"/>
    <n v="433.75"/>
    <n v="61.964285714285715"/>
    <x v="3"/>
    <x v="23"/>
    <x v="8"/>
    <x v="2"/>
  </r>
  <r>
    <s v="808120177093"/>
    <n v="808120"/>
    <s v="SHREE VISHAL CONSTRUCTION"/>
    <n v="177093"/>
    <s v="CHOUDHARY TRADERS"/>
    <n v="10"/>
    <n v="57"/>
    <n v="28.5"/>
    <n v="51.25"/>
    <n v="44.5"/>
    <n v="30"/>
    <n v="40"/>
    <n v="261.25"/>
    <n v="37.321428571428569"/>
    <x v="4"/>
    <x v="23"/>
    <x v="8"/>
    <x v="2"/>
  </r>
  <r>
    <s v="808121177093"/>
    <n v="808121"/>
    <s v="YASHWANT TRADING COMPANY"/>
    <n v="177093"/>
    <s v="CHOUDHARY TRADERS"/>
    <n v="19"/>
    <n v="18.75"/>
    <n v="39.75"/>
    <n v="30"/>
    <n v="5"/>
    <n v="7"/>
    <n v="0"/>
    <n v="119.5"/>
    <n v="17.071428571428573"/>
    <x v="2"/>
    <x v="23"/>
    <x v="8"/>
    <x v="2"/>
  </r>
  <r>
    <s v="809332177093"/>
    <n v="809332"/>
    <s v="MEHTA TRADERS"/>
    <n v="177093"/>
    <s v="CHOUDHARY TRADERS"/>
    <n v="84.75"/>
    <n v="20.25"/>
    <n v="30"/>
    <n v="60"/>
    <n v="90.5"/>
    <n v="68.75"/>
    <n v="10"/>
    <n v="364.25"/>
    <n v="52.035714285714285"/>
    <x v="3"/>
    <x v="23"/>
    <x v="8"/>
    <x v="2"/>
  </r>
  <r>
    <s v="814458177093"/>
    <n v="814458"/>
    <s v="KRISHNA BUILDERS"/>
    <n v="177093"/>
    <s v="CHOUDHARY TRADERS"/>
    <n v="0"/>
    <n v="18.75"/>
    <n v="20"/>
    <n v="7.5"/>
    <n v="0"/>
    <n v="0"/>
    <n v="0"/>
    <n v="46.25"/>
    <n v="6.6071428571428568"/>
    <x v="1"/>
    <x v="23"/>
    <x v="8"/>
    <x v="2"/>
  </r>
  <r>
    <s v="814862177093"/>
    <n v="814862"/>
    <s v="CHAUHAN TRADERS"/>
    <n v="177093"/>
    <s v="CHOUDHARY TRADERS"/>
    <n v="13"/>
    <n v="20.5"/>
    <n v="24.5"/>
    <n v="6"/>
    <n v="0"/>
    <n v="0"/>
    <n v="0"/>
    <n v="64"/>
    <n v="9.1428571428571423"/>
    <x v="1"/>
    <x v="23"/>
    <x v="8"/>
    <x v="2"/>
  </r>
  <r>
    <s v="811173177290"/>
    <n v="811173"/>
    <s v="PREM RAJ SUTHAR"/>
    <n v="177290"/>
    <s v="SHREE CHARBHUJA BUILDING MATER"/>
    <n v="14"/>
    <n v="30"/>
    <n v="30"/>
    <n v="13"/>
    <n v="1"/>
    <n v="20"/>
    <n v="0"/>
    <n v="108"/>
    <n v="15.428571428571429"/>
    <x v="2"/>
    <x v="23"/>
    <x v="8"/>
    <x v="2"/>
  </r>
  <r>
    <s v="812545177727"/>
    <n v="812545"/>
    <s v="RAKESH KUMAWAT"/>
    <n v="177727"/>
    <s v="SIDDHI ENTERPRISES"/>
    <n v="43"/>
    <n v="40"/>
    <n v="10"/>
    <n v="80"/>
    <n v="121"/>
    <n v="76.5"/>
    <n v="51.5"/>
    <n v="422"/>
    <n v="60.285714285714285"/>
    <x v="3"/>
    <x v="23"/>
    <x v="8"/>
    <x v="2"/>
  </r>
  <r>
    <s v="810128178003"/>
    <n v="810128"/>
    <s v="PRABHU LAL MALI"/>
    <n v="178003"/>
    <s v="SHREE JI BUILDING MATERIAL SUP"/>
    <n v="50"/>
    <n v="0"/>
    <n v="0"/>
    <n v="14"/>
    <n v="10"/>
    <n v="20"/>
    <n v="10"/>
    <n v="104"/>
    <n v="14.857142857142858"/>
    <x v="2"/>
    <x v="23"/>
    <x v="8"/>
    <x v="2"/>
  </r>
  <r>
    <s v="810129178003"/>
    <n v="810129"/>
    <s v="MADHAV LAL MENARIYA"/>
    <n v="178003"/>
    <s v="SHREE JI BUILDING MATERIAL SUP"/>
    <n v="27.5"/>
    <n v="10"/>
    <n v="0"/>
    <n v="20"/>
    <n v="10"/>
    <n v="10"/>
    <n v="16"/>
    <n v="93.5"/>
    <n v="13.357142857142858"/>
    <x v="2"/>
    <x v="23"/>
    <x v="8"/>
    <x v="2"/>
  </r>
  <r>
    <s v="810130178003"/>
    <n v="810130"/>
    <s v="SHREE SANWALIYA CONSTRUCTION"/>
    <n v="178003"/>
    <s v="SHREE JI BUILDING MATERIAL SUP"/>
    <n v="0"/>
    <n v="30"/>
    <n v="0"/>
    <n v="60"/>
    <n v="0"/>
    <n v="5"/>
    <n v="9"/>
    <n v="104"/>
    <n v="14.857142857142858"/>
    <x v="2"/>
    <x v="23"/>
    <x v="8"/>
    <x v="2"/>
  </r>
  <r>
    <s v="811663178003"/>
    <n v="811663"/>
    <s v="POOJA BEEJ BHANDAR"/>
    <n v="178003"/>
    <s v="SHREE JI BUILDING MATERIAL SUP"/>
    <n v="0"/>
    <n v="10"/>
    <n v="10"/>
    <n v="20"/>
    <n v="0"/>
    <n v="10"/>
    <n v="0"/>
    <n v="50"/>
    <n v="7.1428571428571432"/>
    <x v="1"/>
    <x v="23"/>
    <x v="8"/>
    <x v="2"/>
  </r>
  <r>
    <s v="813368178003"/>
    <n v="813368"/>
    <s v="SHREE SANWALIYA BUILDING MATER"/>
    <n v="178003"/>
    <s v="SHREE JI BUILDING MATERIAL SUP"/>
    <n v="61.5"/>
    <n v="35"/>
    <n v="0"/>
    <n v="20"/>
    <n v="50"/>
    <n v="39.5"/>
    <n v="21"/>
    <n v="227"/>
    <n v="32.428571428571431"/>
    <x v="4"/>
    <x v="23"/>
    <x v="8"/>
    <x v="2"/>
  </r>
  <r>
    <s v="814679178003"/>
    <n v="814679"/>
    <s v="RUPLAL JAT"/>
    <n v="178003"/>
    <s v="SHREE JI BUILDING MATERIAL SUP"/>
    <n v="93.5"/>
    <n v="166"/>
    <n v="127.75"/>
    <n v="107.75"/>
    <n v="156.5"/>
    <n v="21.75"/>
    <n v="75"/>
    <n v="748.25"/>
    <n v="106.89285714285714"/>
    <x v="3"/>
    <x v="23"/>
    <x v="8"/>
    <x v="2"/>
  </r>
  <r>
    <s v="815987178003"/>
    <n v="815987"/>
    <s v="SOHAN LAL TELI"/>
    <n v="178003"/>
    <s v="SHREE JI BUILDING MATERIAL SUP"/>
    <n v="0"/>
    <n v="0"/>
    <n v="0"/>
    <n v="0"/>
    <n v="10"/>
    <n v="37"/>
    <n v="25.5"/>
    <n v="72.5"/>
    <n v="10.357142857142858"/>
    <x v="2"/>
    <x v="23"/>
    <x v="8"/>
    <x v="2"/>
  </r>
  <r>
    <s v="811864178062"/>
    <n v="811864"/>
    <s v="KANHAIYA LAL KUMAWAT"/>
    <n v="178062"/>
    <s v="SHRI SATYAM BUILDERS"/>
    <n v="55.5"/>
    <n v="27.5"/>
    <n v="52"/>
    <n v="23"/>
    <n v="39.5"/>
    <n v="30"/>
    <n v="15"/>
    <n v="242.5"/>
    <n v="34.642857142857146"/>
    <x v="4"/>
    <x v="23"/>
    <x v="8"/>
    <x v="2"/>
  </r>
  <r>
    <s v="815547178062"/>
    <n v="815547"/>
    <s v="RADHESHYAM KUMAWAT"/>
    <n v="178062"/>
    <s v="SHRI SATYAM BUILDERS"/>
    <n v="0"/>
    <n v="0"/>
    <n v="0"/>
    <n v="0"/>
    <n v="77"/>
    <n v="26"/>
    <n v="7"/>
    <n v="110"/>
    <n v="15.714285714285714"/>
    <x v="2"/>
    <x v="23"/>
    <x v="8"/>
    <x v="2"/>
  </r>
  <r>
    <s v="812344202635"/>
    <n v="812344"/>
    <s v="SUNIL TELI"/>
    <n v="202635"/>
    <s v="KALIKA BUILDING MATERIAL SUPPL"/>
    <n v="0"/>
    <n v="0"/>
    <n v="0"/>
    <n v="28.5"/>
    <n v="20"/>
    <n v="0"/>
    <n v="6"/>
    <n v="54.5"/>
    <n v="7.7857142857142856"/>
    <x v="1"/>
    <x v="23"/>
    <x v="8"/>
    <x v="2"/>
  </r>
  <r>
    <s v="808145203484"/>
    <n v="808145"/>
    <s v="MOHAN LAL AHIR"/>
    <n v="203484"/>
    <s v="SHREE AMBESH BUILDING MATERIAL"/>
    <n v="40"/>
    <n v="15"/>
    <n v="0"/>
    <n v="0"/>
    <n v="0"/>
    <n v="0"/>
    <n v="0"/>
    <n v="55"/>
    <n v="7.8571428571428568"/>
    <x v="1"/>
    <x v="23"/>
    <x v="8"/>
    <x v="2"/>
  </r>
  <r>
    <s v="815820203484"/>
    <n v="815820"/>
    <s v="SHREE BHERUNATH CEMENT SUPPLIE"/>
    <n v="203484"/>
    <s v="SHREE AMBESH BUILDING MATERIAL"/>
    <n v="0"/>
    <n v="0"/>
    <n v="0"/>
    <n v="0"/>
    <n v="50.5"/>
    <n v="30"/>
    <n v="2.5"/>
    <n v="83"/>
    <n v="11.857142857142858"/>
    <x v="2"/>
    <x v="23"/>
    <x v="8"/>
    <x v="2"/>
  </r>
  <r>
    <s v="812545204375"/>
    <n v="812545"/>
    <s v="RAKESH KUMAWAT"/>
    <n v="204375"/>
    <s v="JAI MATESHWARI CONSTRUCTION"/>
    <n v="0"/>
    <n v="4"/>
    <n v="0"/>
    <n v="0"/>
    <n v="0"/>
    <n v="0"/>
    <n v="0"/>
    <n v="4"/>
    <n v="0.5714285714285714"/>
    <x v="1"/>
    <x v="23"/>
    <x v="8"/>
    <x v="2"/>
  </r>
  <r>
    <s v="806100205370"/>
    <n v="806100"/>
    <s v="SOLANKI FERTILIZERS"/>
    <n v="205370"/>
    <s v="KANTHALIYA ENTERPRISES"/>
    <n v="30"/>
    <n v="8.5"/>
    <n v="30"/>
    <n v="25"/>
    <n v="20"/>
    <n v="10"/>
    <n v="20"/>
    <n v="143.5"/>
    <n v="20.5"/>
    <x v="0"/>
    <x v="23"/>
    <x v="8"/>
    <x v="2"/>
  </r>
  <r>
    <s v="809315205370"/>
    <n v="809315"/>
    <s v="SHREE GOPAL KRISHNA DAIRY FARM"/>
    <n v="205370"/>
    <s v="KANTHALIYA ENTERPRISES"/>
    <n v="71.5"/>
    <n v="68"/>
    <n v="7.5"/>
    <n v="50"/>
    <n v="62"/>
    <n v="30"/>
    <n v="5"/>
    <n v="294"/>
    <n v="42"/>
    <x v="5"/>
    <x v="23"/>
    <x v="8"/>
    <x v="2"/>
  </r>
  <r>
    <s v="809325205370"/>
    <n v="809325"/>
    <s v="DILIP KUMAR PARAS MAL"/>
    <n v="205370"/>
    <s v="KANTHALIYA ENTERPRISES"/>
    <n v="35.5"/>
    <n v="34"/>
    <n v="10"/>
    <n v="43"/>
    <n v="20"/>
    <n v="10"/>
    <n v="5"/>
    <n v="157.5"/>
    <n v="22.5"/>
    <x v="0"/>
    <x v="23"/>
    <x v="8"/>
    <x v="2"/>
  </r>
  <r>
    <s v="811672205370"/>
    <n v="811672"/>
    <s v="BHERAV TRADERS"/>
    <n v="205370"/>
    <s v="KANTHALIYA ENTERPRISES"/>
    <n v="97"/>
    <n v="115.5"/>
    <n v="88"/>
    <n v="98.25"/>
    <n v="134"/>
    <n v="40"/>
    <n v="19"/>
    <n v="591.75"/>
    <n v="84.535714285714292"/>
    <x v="3"/>
    <x v="23"/>
    <x v="8"/>
    <x v="2"/>
  </r>
  <r>
    <s v="812630205370"/>
    <n v="812630"/>
    <s v="BHAGWATI LAL MENARIYA"/>
    <n v="205370"/>
    <s v="KANTHALIYA ENTERPRISES"/>
    <n v="63"/>
    <n v="60"/>
    <n v="16.5"/>
    <n v="20"/>
    <n v="51"/>
    <n v="14"/>
    <n v="5"/>
    <n v="229.5"/>
    <n v="32.785714285714285"/>
    <x v="4"/>
    <x v="23"/>
    <x v="8"/>
    <x v="2"/>
  </r>
  <r>
    <s v="813228205370"/>
    <n v="813228"/>
    <s v="PARAS RAM DHAKAR"/>
    <n v="205370"/>
    <s v="KANTHALIYA ENTERPRISES"/>
    <n v="68.5"/>
    <n v="80"/>
    <n v="50"/>
    <n v="137"/>
    <n v="51"/>
    <n v="10"/>
    <n v="10"/>
    <n v="406.5"/>
    <n v="58.071428571428569"/>
    <x v="3"/>
    <x v="23"/>
    <x v="8"/>
    <x v="2"/>
  </r>
  <r>
    <s v="813291205370"/>
    <n v="813291"/>
    <s v="NAKSHTRAMAL MEGHWAL"/>
    <n v="205370"/>
    <s v="KANTHALIYA ENTERPRISES"/>
    <n v="34"/>
    <n v="36"/>
    <n v="40"/>
    <n v="10"/>
    <n v="21"/>
    <n v="10"/>
    <n v="0"/>
    <n v="151"/>
    <n v="21.571428571428573"/>
    <x v="0"/>
    <x v="23"/>
    <x v="8"/>
    <x v="2"/>
  </r>
  <r>
    <s v="813312205370"/>
    <n v="813312"/>
    <s v="SHREE RAM KHAD BIJ BHANDAR"/>
    <n v="205370"/>
    <s v="KANTHALIYA ENTERPRISES"/>
    <n v="0"/>
    <n v="29.5"/>
    <n v="0"/>
    <n v="10"/>
    <n v="51"/>
    <n v="20"/>
    <n v="0"/>
    <n v="110.5"/>
    <n v="15.785714285714286"/>
    <x v="2"/>
    <x v="23"/>
    <x v="8"/>
    <x v="2"/>
  </r>
  <r>
    <s v="810132207643"/>
    <n v="810132"/>
    <s v="SHREE SANWALIYA TRADERS"/>
    <n v="207643"/>
    <s v="SHREE SANWALIYA TRADERS"/>
    <n v="10"/>
    <n v="0"/>
    <n v="0"/>
    <n v="0"/>
    <n v="0"/>
    <n v="0"/>
    <n v="0"/>
    <n v="10"/>
    <n v="1.4285714285714286"/>
    <x v="1"/>
    <x v="23"/>
    <x v="8"/>
    <x v="2"/>
  </r>
  <r>
    <s v="811034207643"/>
    <n v="811034"/>
    <s v="AJAY KUMAR SALVI"/>
    <n v="207643"/>
    <s v="SHREE SANWALIYA TRADERS"/>
    <n v="0"/>
    <n v="0"/>
    <n v="40"/>
    <n v="0"/>
    <n v="0"/>
    <n v="5"/>
    <n v="0"/>
    <n v="45"/>
    <n v="6.4285714285714288"/>
    <x v="1"/>
    <x v="23"/>
    <x v="8"/>
    <x v="2"/>
  </r>
  <r>
    <s v="811782207643"/>
    <n v="811782"/>
    <s v="PRADEEP DHAKER"/>
    <n v="207643"/>
    <s v="SHREE SANWALIYA TRADERS"/>
    <n v="0"/>
    <n v="0"/>
    <n v="10"/>
    <n v="0"/>
    <n v="0"/>
    <n v="0"/>
    <n v="0"/>
    <n v="10"/>
    <n v="1.4285714285714286"/>
    <x v="1"/>
    <x v="23"/>
    <x v="8"/>
    <x v="2"/>
  </r>
  <r>
    <s v="813364207643"/>
    <n v="813364"/>
    <s v="MUKESH"/>
    <n v="207643"/>
    <s v="SHREE SANWALIYA TRADERS"/>
    <n v="16.5"/>
    <n v="25"/>
    <n v="0"/>
    <n v="53.4"/>
    <n v="0"/>
    <n v="7"/>
    <n v="0"/>
    <n v="101.9"/>
    <n v="14.557142857142859"/>
    <x v="2"/>
    <x v="23"/>
    <x v="8"/>
    <x v="2"/>
  </r>
  <r>
    <s v="814214207643"/>
    <n v="814214"/>
    <s v="SHRI SAI ENTERPRISES"/>
    <n v="207643"/>
    <s v="SHREE SANWALIYA TRADERS"/>
    <n v="20"/>
    <n v="35"/>
    <n v="72.55"/>
    <n v="88.2"/>
    <n v="10"/>
    <n v="24"/>
    <n v="10"/>
    <n v="259.75"/>
    <n v="37.107142857142854"/>
    <x v="4"/>
    <x v="23"/>
    <x v="8"/>
    <x v="2"/>
  </r>
  <r>
    <s v="815021207643"/>
    <n v="815021"/>
    <s v="SHREE DEV CEMENT AGENCY"/>
    <n v="207643"/>
    <s v="SHREE SANWALIYA TRADERS"/>
    <n v="0"/>
    <n v="20"/>
    <n v="15"/>
    <n v="35"/>
    <n v="0"/>
    <n v="5.5"/>
    <n v="0"/>
    <n v="75.5"/>
    <n v="10.785714285714286"/>
    <x v="2"/>
    <x v="23"/>
    <x v="8"/>
    <x v="2"/>
  </r>
  <r>
    <s v="815451207643"/>
    <n v="815451"/>
    <s v="HIMANSHI ENTERPRISES"/>
    <n v="207643"/>
    <s v="SHREE SANWALIYA TRADERS"/>
    <n v="0"/>
    <n v="0"/>
    <n v="0"/>
    <n v="80.95"/>
    <n v="35"/>
    <n v="30"/>
    <n v="0"/>
    <n v="145.94999999999999"/>
    <n v="20.849999999999998"/>
    <x v="0"/>
    <x v="23"/>
    <x v="8"/>
    <x v="2"/>
  </r>
  <r>
    <s v="815480207643"/>
    <n v="815480"/>
    <s v="MAA KALIKA CONSTRUCTION"/>
    <n v="207643"/>
    <s v="SHREE SANWALIYA TRADERS"/>
    <n v="0"/>
    <n v="0"/>
    <n v="0"/>
    <n v="86.5"/>
    <n v="52"/>
    <n v="30"/>
    <n v="25"/>
    <n v="193.5"/>
    <n v="27.642857142857142"/>
    <x v="0"/>
    <x v="23"/>
    <x v="8"/>
    <x v="2"/>
  </r>
  <r>
    <s v="815821207643"/>
    <n v="815821"/>
    <s v="SHYAM LAL LODHA"/>
    <n v="207643"/>
    <s v="SHREE SANWALIYA TRADERS"/>
    <n v="0"/>
    <n v="0"/>
    <n v="0"/>
    <n v="0"/>
    <n v="0"/>
    <n v="18"/>
    <n v="10"/>
    <n v="28"/>
    <n v="4"/>
    <x v="1"/>
    <x v="23"/>
    <x v="8"/>
    <x v="2"/>
  </r>
  <r>
    <s v="816388208028"/>
    <n v="816388"/>
    <s v="VINAYAK ENTERPRISES"/>
    <n v="208028"/>
    <s v="LAXKAR ENTERPRISES"/>
    <n v="0"/>
    <n v="0"/>
    <n v="0"/>
    <n v="0"/>
    <n v="0"/>
    <n v="37"/>
    <n v="16"/>
    <n v="53"/>
    <n v="7.5714285714285712"/>
    <x v="1"/>
    <x v="23"/>
    <x v="8"/>
    <x v="2"/>
  </r>
  <r>
    <s v="813491208032"/>
    <n v="813491"/>
    <s v="AKASH SOMANI"/>
    <n v="208032"/>
    <s v="AKASH MACHINERY MART"/>
    <n v="0"/>
    <n v="5"/>
    <n v="83.25"/>
    <n v="14.5"/>
    <n v="97.25"/>
    <n v="71.5"/>
    <n v="24.5"/>
    <n v="296"/>
    <n v="42.285714285714285"/>
    <x v="5"/>
    <x v="23"/>
    <x v="8"/>
    <x v="2"/>
  </r>
  <r>
    <s v="815633208508"/>
    <n v="815633"/>
    <s v="HARISH BAHRANI"/>
    <n v="208508"/>
    <s v="HIND ENTERPRISES"/>
    <n v="0"/>
    <n v="0"/>
    <n v="0"/>
    <n v="0"/>
    <n v="115.75"/>
    <n v="183.25"/>
    <n v="126"/>
    <n v="425"/>
    <n v="60.714285714285715"/>
    <x v="3"/>
    <x v="23"/>
    <x v="8"/>
    <x v="2"/>
  </r>
  <r>
    <s v="810131178836"/>
    <n v="810131"/>
    <s v="SHREE VISHWAKARMA TRADING"/>
    <n v="178836"/>
    <s v="JAI SHAKTI STONE CUTTING &amp; SUP"/>
    <n v="0"/>
    <n v="0"/>
    <n v="0"/>
    <n v="0"/>
    <n v="0"/>
    <n v="1"/>
    <n v="2"/>
    <n v="3"/>
    <n v="0.42857142857142855"/>
    <x v="1"/>
    <x v="23"/>
    <x v="8"/>
    <x v="2"/>
  </r>
  <r>
    <s v="812747208032"/>
    <n v="812747"/>
    <s v="ENGINEERING CHOICE"/>
    <n v="208032"/>
    <s v="AKASH MACHINERY MART"/>
    <n v="0"/>
    <n v="0"/>
    <n v="0"/>
    <n v="0"/>
    <n v="0"/>
    <n v="0"/>
    <n v="26.2"/>
    <n v="26.2"/>
    <n v="3.7428571428571429"/>
    <x v="1"/>
    <x v="23"/>
    <x v="8"/>
    <x v="2"/>
  </r>
  <r>
    <s v="814862208032"/>
    <n v="814862"/>
    <s v="CHAUHAN TRADERS"/>
    <n v="208032"/>
    <s v="AKASH MACHINERY MART"/>
    <n v="0"/>
    <n v="0"/>
    <n v="0"/>
    <n v="0"/>
    <n v="0"/>
    <n v="0"/>
    <n v="17"/>
    <n v="17"/>
    <n v="2.4285714285714284"/>
    <x v="1"/>
    <x v="23"/>
    <x v="8"/>
    <x v="2"/>
  </r>
  <r>
    <s v="813938140847"/>
    <n v="813938"/>
    <s v="RAMESH NATH JOGI"/>
    <n v="140847"/>
    <s v="AMIT AGENCY"/>
    <n v="45"/>
    <n v="75"/>
    <n v="60"/>
    <n v="40"/>
    <n v="30.5"/>
    <n v="35"/>
    <n v="25"/>
    <n v="310.5"/>
    <n v="44.357142857142854"/>
    <x v="5"/>
    <x v="24"/>
    <x v="8"/>
    <x v="2"/>
  </r>
  <r>
    <s v="807726140850"/>
    <n v="807726"/>
    <s v="RATAN LAL MEENA"/>
    <n v="140850"/>
    <s v="MAHAVEER SANITARY &amp; CEMENT AGE"/>
    <n v="0"/>
    <n v="20"/>
    <n v="30"/>
    <n v="20"/>
    <n v="25"/>
    <n v="10"/>
    <n v="10"/>
    <n v="115"/>
    <n v="16.428571428571427"/>
    <x v="2"/>
    <x v="24"/>
    <x v="8"/>
    <x v="2"/>
  </r>
  <r>
    <s v="808227140850"/>
    <n v="808227"/>
    <s v="DHARMENDRA KALAL"/>
    <n v="140850"/>
    <s v="MAHAVEER SANITARY &amp; CEMENT AGE"/>
    <n v="33"/>
    <n v="60"/>
    <n v="55"/>
    <n v="60"/>
    <n v="54.4"/>
    <n v="61"/>
    <n v="10"/>
    <n v="333.4"/>
    <n v="47.628571428571426"/>
    <x v="5"/>
    <x v="24"/>
    <x v="8"/>
    <x v="2"/>
  </r>
  <r>
    <s v="810908140850"/>
    <n v="810908"/>
    <s v="TEJ PAL"/>
    <n v="140850"/>
    <s v="MAHAVEER SANITARY &amp; CEMENT AGE"/>
    <n v="20"/>
    <n v="20"/>
    <n v="65"/>
    <n v="40"/>
    <n v="40"/>
    <n v="35"/>
    <n v="0"/>
    <n v="220"/>
    <n v="31.428571428571427"/>
    <x v="4"/>
    <x v="24"/>
    <x v="8"/>
    <x v="2"/>
  </r>
  <r>
    <s v="814038140850"/>
    <n v="814038"/>
    <s v="BADAMI LAL BHANWARA"/>
    <n v="140850"/>
    <s v="MAHAVEER SANITARY &amp; CEMENT AGE"/>
    <n v="45"/>
    <n v="30"/>
    <n v="60"/>
    <n v="40"/>
    <n v="58"/>
    <n v="57.5"/>
    <n v="45"/>
    <n v="335.5"/>
    <n v="47.928571428571431"/>
    <x v="5"/>
    <x v="24"/>
    <x v="8"/>
    <x v="2"/>
  </r>
  <r>
    <s v="815863140850"/>
    <n v="815863"/>
    <s v="RAJMAL MEENA"/>
    <n v="140850"/>
    <s v="MAHAVEER SANITARY &amp; CEMENT AGE"/>
    <n v="0"/>
    <n v="0"/>
    <n v="0"/>
    <n v="0"/>
    <n v="65"/>
    <n v="35"/>
    <n v="10"/>
    <n v="110"/>
    <n v="15.714285714285714"/>
    <x v="2"/>
    <x v="24"/>
    <x v="8"/>
    <x v="2"/>
  </r>
  <r>
    <s v="808570173310"/>
    <n v="808570"/>
    <s v="SHANTI LAL PRAJAPAT"/>
    <n v="173310"/>
    <s v="NAGORA  &amp; COMPANY"/>
    <n v="30"/>
    <n v="30"/>
    <n v="20"/>
    <n v="30"/>
    <n v="31"/>
    <n v="23.75"/>
    <n v="0"/>
    <n v="164.75"/>
    <n v="23.535714285714285"/>
    <x v="0"/>
    <x v="24"/>
    <x v="8"/>
    <x v="2"/>
  </r>
  <r>
    <s v="808613173310"/>
    <n v="808613"/>
    <s v="NARENDRA SHARMA"/>
    <n v="173310"/>
    <s v="NAGORA  &amp; COMPANY"/>
    <n v="20"/>
    <n v="4"/>
    <n v="20"/>
    <n v="10"/>
    <n v="0"/>
    <n v="0"/>
    <n v="10"/>
    <n v="64"/>
    <n v="9.1428571428571423"/>
    <x v="1"/>
    <x v="24"/>
    <x v="8"/>
    <x v="2"/>
  </r>
  <r>
    <s v="808958173310"/>
    <n v="808958"/>
    <s v="BALU RAM MEENA"/>
    <n v="173310"/>
    <s v="NAGORA  &amp; COMPANY"/>
    <n v="20"/>
    <n v="20"/>
    <n v="41"/>
    <n v="50"/>
    <n v="30"/>
    <n v="10"/>
    <n v="0"/>
    <n v="171"/>
    <n v="24.428571428571427"/>
    <x v="0"/>
    <x v="24"/>
    <x v="8"/>
    <x v="2"/>
  </r>
  <r>
    <s v="811138173310"/>
    <n v="811138"/>
    <s v="NILESH JAIN"/>
    <n v="173310"/>
    <s v="NAGORA  &amp; COMPANY"/>
    <n v="50"/>
    <n v="49.5"/>
    <n v="101"/>
    <n v="77"/>
    <n v="60.5"/>
    <n v="50.75"/>
    <n v="55.5"/>
    <n v="444.25"/>
    <n v="63.464285714285715"/>
    <x v="3"/>
    <x v="24"/>
    <x v="8"/>
    <x v="2"/>
  </r>
  <r>
    <s v="813148173310"/>
    <n v="813148"/>
    <s v="NARAYAN LAL"/>
    <n v="173310"/>
    <s v="NAGORA  &amp; COMPANY"/>
    <n v="60"/>
    <n v="15"/>
    <n v="58.75"/>
    <n v="54.7"/>
    <n v="52"/>
    <n v="22"/>
    <n v="20"/>
    <n v="282.45"/>
    <n v="40.35"/>
    <x v="5"/>
    <x v="24"/>
    <x v="8"/>
    <x v="2"/>
  </r>
  <r>
    <s v="813568173310"/>
    <n v="813568"/>
    <s v="HANSMUKH DOSI"/>
    <n v="173310"/>
    <s v="NAGORA  &amp; COMPANY"/>
    <n v="37"/>
    <n v="35"/>
    <n v="65"/>
    <n v="0"/>
    <n v="0"/>
    <n v="0"/>
    <n v="0"/>
    <n v="137"/>
    <n v="19.571428571428573"/>
    <x v="2"/>
    <x v="24"/>
    <x v="8"/>
    <x v="2"/>
  </r>
  <r>
    <s v="808186173528"/>
    <n v="808186"/>
    <s v="RADHESHYAM DHAKAR"/>
    <n v="173528"/>
    <s v="DHAKER TRADERS &amp; SUPPLIERS"/>
    <n v="39.5"/>
    <n v="5"/>
    <n v="0"/>
    <n v="10"/>
    <n v="10"/>
    <n v="0"/>
    <n v="20"/>
    <n v="84.5"/>
    <n v="12.071428571428571"/>
    <x v="2"/>
    <x v="24"/>
    <x v="8"/>
    <x v="2"/>
  </r>
  <r>
    <s v="809550173528"/>
    <n v="809550"/>
    <s v="MAHESH BUILDERS"/>
    <n v="173528"/>
    <s v="DHAKER TRADERS &amp; SUPPLIERS"/>
    <n v="65"/>
    <n v="20"/>
    <n v="0"/>
    <n v="52"/>
    <n v="67.5"/>
    <n v="43"/>
    <n v="32.5"/>
    <n v="280"/>
    <n v="40"/>
    <x v="5"/>
    <x v="24"/>
    <x v="8"/>
    <x v="2"/>
  </r>
  <r>
    <s v="806668177631"/>
    <n v="806668"/>
    <s v="HARIOM SHARMA"/>
    <n v="177631"/>
    <s v="KAMAL ENTERPRISES"/>
    <n v="54.6"/>
    <n v="80"/>
    <n v="83.5"/>
    <n v="15"/>
    <n v="0"/>
    <n v="35.25"/>
    <n v="5"/>
    <n v="273.35000000000002"/>
    <n v="39.050000000000004"/>
    <x v="4"/>
    <x v="24"/>
    <x v="8"/>
    <x v="2"/>
  </r>
  <r>
    <s v="806669177631"/>
    <n v="806669"/>
    <s v="SHIV SHAKTI KHAD BEEJ BHANDAR"/>
    <n v="177631"/>
    <s v="KAMAL ENTERPRISES"/>
    <n v="5"/>
    <n v="0"/>
    <n v="0"/>
    <n v="0"/>
    <n v="0"/>
    <n v="0"/>
    <n v="0"/>
    <n v="5"/>
    <n v="0.7142857142857143"/>
    <x v="1"/>
    <x v="24"/>
    <x v="8"/>
    <x v="2"/>
  </r>
  <r>
    <s v="808891177631"/>
    <n v="808891"/>
    <s v="LALIT KUMAR NAGORA"/>
    <n v="177631"/>
    <s v="KAMAL ENTERPRISES"/>
    <n v="15"/>
    <n v="0"/>
    <n v="10"/>
    <n v="0"/>
    <n v="0"/>
    <n v="0"/>
    <n v="0"/>
    <n v="25"/>
    <n v="3.5714285714285716"/>
    <x v="1"/>
    <x v="24"/>
    <x v="8"/>
    <x v="2"/>
  </r>
  <r>
    <s v="813301178004"/>
    <n v="813301"/>
    <s v="GUNWANT PRAJAPAT"/>
    <n v="178004"/>
    <s v="ANUSHIL ENTERPRISES"/>
    <n v="34"/>
    <n v="45"/>
    <n v="50"/>
    <n v="68"/>
    <n v="53"/>
    <n v="40"/>
    <n v="10"/>
    <n v="300"/>
    <n v="42.857142857142854"/>
    <x v="5"/>
    <x v="24"/>
    <x v="8"/>
    <x v="2"/>
  </r>
  <r>
    <s v="815832178266"/>
    <n v="815832"/>
    <s v="HIND STONE SUPPLIERS"/>
    <n v="178266"/>
    <s v="VARDHMAN IRON AND BUILDMART"/>
    <n v="0"/>
    <n v="0"/>
    <n v="0"/>
    <n v="0"/>
    <n v="60"/>
    <n v="60"/>
    <n v="10"/>
    <n v="130"/>
    <n v="18.571428571428573"/>
    <x v="2"/>
    <x v="24"/>
    <x v="8"/>
    <x v="2"/>
  </r>
  <r>
    <s v="811996178695"/>
    <n v="811996"/>
    <s v="ASHOK KUMAR MEENA"/>
    <n v="178695"/>
    <s v="SEN CONSTRUCTION"/>
    <n v="50"/>
    <n v="30"/>
    <n v="49.5"/>
    <n v="30"/>
    <n v="10"/>
    <n v="20"/>
    <n v="10"/>
    <n v="199.5"/>
    <n v="28.5"/>
    <x v="0"/>
    <x v="24"/>
    <x v="8"/>
    <x v="2"/>
  </r>
  <r>
    <s v="814187178695"/>
    <n v="814187"/>
    <s v="JAYENDRA SINGH RANAWAT"/>
    <n v="178695"/>
    <s v="SEN CONSTRUCTION"/>
    <n v="50"/>
    <n v="30"/>
    <n v="75"/>
    <n v="30"/>
    <n v="10"/>
    <n v="10"/>
    <n v="10"/>
    <n v="215"/>
    <n v="30.714285714285715"/>
    <x v="4"/>
    <x v="24"/>
    <x v="8"/>
    <x v="2"/>
  </r>
  <r>
    <s v="815400202387"/>
    <n v="815400"/>
    <s v="NITESH TAILI"/>
    <n v="202387"/>
    <s v="PATIDAR BUILDING MATARIYAL"/>
    <n v="0"/>
    <n v="0"/>
    <n v="0"/>
    <n v="21.5"/>
    <n v="38"/>
    <n v="10"/>
    <n v="0"/>
    <n v="69.5"/>
    <n v="9.9285714285714288"/>
    <x v="1"/>
    <x v="24"/>
    <x v="8"/>
    <x v="2"/>
  </r>
  <r>
    <s v="816289202387"/>
    <n v="816289"/>
    <s v="TIRUPATI CONSTRUCTION"/>
    <n v="202387"/>
    <s v="PATIDAR BUILDING MATARIYAL"/>
    <n v="0"/>
    <n v="0"/>
    <n v="0"/>
    <n v="0"/>
    <n v="0"/>
    <n v="7"/>
    <n v="10"/>
    <n v="17"/>
    <n v="2.4285714285714284"/>
    <x v="1"/>
    <x v="24"/>
    <x v="8"/>
    <x v="2"/>
  </r>
  <r>
    <s v="803125203600"/>
    <n v="803125"/>
    <s v="GORANA KIRANA AND CEMENT VIKRE"/>
    <n v="203600"/>
    <s v="MANISH CEMENT AGENCY"/>
    <n v="39"/>
    <n v="30"/>
    <n v="51.5"/>
    <n v="50"/>
    <n v="20"/>
    <n v="20"/>
    <n v="10"/>
    <n v="220.5"/>
    <n v="31.5"/>
    <x v="4"/>
    <x v="24"/>
    <x v="8"/>
    <x v="2"/>
  </r>
  <r>
    <s v="808276203600"/>
    <n v="808276"/>
    <s v="OM PRAKASH CHOUDHARY"/>
    <n v="203600"/>
    <s v="MANISH CEMENT AGENCY"/>
    <n v="45"/>
    <n v="35"/>
    <n v="80"/>
    <n v="60"/>
    <n v="69"/>
    <n v="35"/>
    <n v="15"/>
    <n v="339"/>
    <n v="48.428571428571431"/>
    <x v="5"/>
    <x v="24"/>
    <x v="8"/>
    <x v="2"/>
  </r>
  <r>
    <s v="808550203600"/>
    <n v="808550"/>
    <s v="YES CONSTRUCTION AND BUILDING"/>
    <n v="203600"/>
    <s v="MANISH CEMENT AGENCY"/>
    <n v="10"/>
    <n v="0"/>
    <n v="20"/>
    <n v="10"/>
    <n v="0"/>
    <n v="0"/>
    <n v="10"/>
    <n v="50"/>
    <n v="7.1428571428571432"/>
    <x v="1"/>
    <x v="24"/>
    <x v="8"/>
    <x v="2"/>
  </r>
  <r>
    <s v="814456203600"/>
    <n v="814456"/>
    <s v="NANA LAL JAIN"/>
    <n v="203600"/>
    <s v="MANISH CEMENT AGENCY"/>
    <n v="20"/>
    <n v="40"/>
    <n v="20"/>
    <n v="20"/>
    <n v="10"/>
    <n v="10"/>
    <n v="4"/>
    <n v="124"/>
    <n v="17.714285714285715"/>
    <x v="2"/>
    <x v="24"/>
    <x v="8"/>
    <x v="2"/>
  </r>
  <r>
    <s v="814457203600"/>
    <n v="814457"/>
    <s v="JITENDRA SUTHAR"/>
    <n v="203600"/>
    <s v="MANISH CEMENT AGENCY"/>
    <n v="21"/>
    <n v="10"/>
    <n v="10"/>
    <n v="20"/>
    <n v="30"/>
    <n v="10"/>
    <n v="10"/>
    <n v="111"/>
    <n v="15.857142857142858"/>
    <x v="2"/>
    <x v="24"/>
    <x v="8"/>
    <x v="2"/>
  </r>
  <r>
    <s v="816631203600"/>
    <n v="816631"/>
    <s v="SHANKAR LAL CHOUDHARY"/>
    <n v="203600"/>
    <s v="MANISH CEMENT AGENCY"/>
    <n v="0"/>
    <n v="0"/>
    <n v="0"/>
    <n v="0"/>
    <n v="0"/>
    <n v="0"/>
    <n v="30"/>
    <n v="30"/>
    <n v="4.2857142857142856"/>
    <x v="1"/>
    <x v="24"/>
    <x v="8"/>
    <x v="2"/>
  </r>
  <r>
    <s v="801796119066"/>
    <n v="801796"/>
    <s v="AL MANSOOR TRADERS"/>
    <n v="119066"/>
    <s v="RAJENDRA KUMAR RATAN LAL JAIN"/>
    <n v="0"/>
    <n v="0"/>
    <n v="50"/>
    <n v="0"/>
    <n v="17"/>
    <n v="0"/>
    <n v="0"/>
    <n v="67"/>
    <n v="9.5714285714285712"/>
    <x v="1"/>
    <x v="25"/>
    <x v="9"/>
    <x v="2"/>
  </r>
  <r>
    <s v="803821119066"/>
    <n v="803821"/>
    <s v="ARIHANT TRADING"/>
    <n v="119066"/>
    <s v="RAJENDRA KUMAR RATAN LAL JAIN"/>
    <n v="86.35"/>
    <n v="49"/>
    <n v="199.5"/>
    <n v="61.5"/>
    <n v="91"/>
    <n v="111"/>
    <n v="102"/>
    <n v="700.35"/>
    <n v="100.05"/>
    <x v="3"/>
    <x v="25"/>
    <x v="9"/>
    <x v="2"/>
  </r>
  <r>
    <s v="803886119066"/>
    <n v="803886"/>
    <s v="SABRAS MATERIAL SUPPLIERS"/>
    <n v="119066"/>
    <s v="RAJENDRA KUMAR RATAN LAL JAIN"/>
    <n v="105"/>
    <n v="140"/>
    <n v="192"/>
    <n v="53"/>
    <n v="103"/>
    <n v="37"/>
    <n v="86"/>
    <n v="716"/>
    <n v="102.28571428571429"/>
    <x v="3"/>
    <x v="25"/>
    <x v="9"/>
    <x v="2"/>
  </r>
  <r>
    <s v="804430119066"/>
    <n v="804430"/>
    <s v="PATIDAR CONSTRUCTION AND BUILD"/>
    <n v="119066"/>
    <s v="RAJENDRA KUMAR RATAN LAL JAIN"/>
    <n v="0"/>
    <n v="83"/>
    <n v="10"/>
    <n v="15"/>
    <n v="17"/>
    <n v="17"/>
    <n v="0"/>
    <n v="142"/>
    <n v="20.285714285714285"/>
    <x v="0"/>
    <x v="25"/>
    <x v="9"/>
    <x v="2"/>
  </r>
  <r>
    <s v="805325119066"/>
    <n v="805325"/>
    <s v="RAJASTHAN TRADERS"/>
    <n v="119066"/>
    <s v="RAJENDRA KUMAR RATAN LAL JAIN"/>
    <n v="0"/>
    <n v="85"/>
    <n v="131"/>
    <n v="29.5"/>
    <n v="53"/>
    <n v="64"/>
    <n v="43"/>
    <n v="405.5"/>
    <n v="57.928571428571431"/>
    <x v="3"/>
    <x v="25"/>
    <x v="9"/>
    <x v="2"/>
  </r>
  <r>
    <s v="806212119066"/>
    <n v="806212"/>
    <s v="MAHAVEER TRADERS"/>
    <n v="119066"/>
    <s v="RAJENDRA KUMAR RATAN LAL JAIN"/>
    <n v="0"/>
    <n v="35"/>
    <n v="30"/>
    <n v="0"/>
    <n v="2"/>
    <n v="0"/>
    <n v="0"/>
    <n v="67"/>
    <n v="9.5714285714285712"/>
    <x v="1"/>
    <x v="25"/>
    <x v="9"/>
    <x v="2"/>
  </r>
  <r>
    <s v="807265119066"/>
    <n v="807265"/>
    <s v="PREM CHAND KALAL"/>
    <n v="119066"/>
    <s v="RAJENDRA KUMAR RATAN LAL JAIN"/>
    <n v="0"/>
    <n v="0"/>
    <n v="75"/>
    <n v="0"/>
    <n v="37"/>
    <n v="54.5"/>
    <n v="1"/>
    <n v="167.5"/>
    <n v="23.928571428571427"/>
    <x v="0"/>
    <x v="25"/>
    <x v="9"/>
    <x v="2"/>
  </r>
  <r>
    <s v="807430119066"/>
    <n v="807430"/>
    <s v="ANIKET BUILDING MATERIAL"/>
    <n v="119066"/>
    <s v="RAJENDRA KUMAR RATAN LAL JAIN"/>
    <n v="0"/>
    <n v="0"/>
    <n v="0"/>
    <n v="0"/>
    <n v="0"/>
    <n v="54"/>
    <n v="1"/>
    <n v="55"/>
    <n v="7.8571428571428568"/>
    <x v="1"/>
    <x v="25"/>
    <x v="9"/>
    <x v="2"/>
  </r>
  <r>
    <s v="808317119066"/>
    <n v="808317"/>
    <s v="RANJANA PANCHAL"/>
    <n v="119066"/>
    <s v="RAJENDRA KUMAR RATAN LAL JAIN"/>
    <n v="77.5"/>
    <n v="112"/>
    <n v="179"/>
    <n v="91"/>
    <n v="111"/>
    <n v="48"/>
    <n v="102"/>
    <n v="720.5"/>
    <n v="102.92857142857143"/>
    <x v="3"/>
    <x v="25"/>
    <x v="9"/>
    <x v="2"/>
  </r>
  <r>
    <s v="808318119066"/>
    <n v="808318"/>
    <s v="MAHALAXMI TRADERS"/>
    <n v="119066"/>
    <s v="RAJENDRA KUMAR RATAN LAL JAIN"/>
    <n v="81.150000000000006"/>
    <n v="94"/>
    <n v="105"/>
    <n v="60.4"/>
    <n v="54"/>
    <n v="3"/>
    <n v="52"/>
    <n v="449.54999999999995"/>
    <n v="64.221428571428561"/>
    <x v="3"/>
    <x v="25"/>
    <x v="9"/>
    <x v="2"/>
  </r>
  <r>
    <s v="809989119066"/>
    <n v="809989"/>
    <s v="VIKAS CONSTRUCTION AND BUILDIN"/>
    <n v="119066"/>
    <s v="RAJENDRA KUMAR RATAN LAL JAIN"/>
    <n v="50"/>
    <n v="55"/>
    <n v="76"/>
    <n v="74.2"/>
    <n v="3"/>
    <n v="54"/>
    <n v="52"/>
    <n v="364.2"/>
    <n v="52.028571428571425"/>
    <x v="3"/>
    <x v="25"/>
    <x v="9"/>
    <x v="2"/>
  </r>
  <r>
    <s v="811386119066"/>
    <n v="811386"/>
    <s v="LUCKY TRADERS"/>
    <n v="119066"/>
    <s v="RAJENDRA KUMAR RATAN LAL JAIN"/>
    <n v="70"/>
    <n v="122"/>
    <n v="160"/>
    <n v="3"/>
    <n v="107"/>
    <n v="104"/>
    <n v="36"/>
    <n v="602"/>
    <n v="86"/>
    <x v="3"/>
    <x v="25"/>
    <x v="9"/>
    <x v="2"/>
  </r>
  <r>
    <s v="811543119066"/>
    <n v="811543"/>
    <s v="VAIBHAV LAXMI ENTERPRISES"/>
    <n v="119066"/>
    <s v="RAJENDRA KUMAR RATAN LAL JAIN"/>
    <n v="35"/>
    <n v="0"/>
    <n v="15"/>
    <n v="0"/>
    <n v="3"/>
    <n v="3"/>
    <n v="0"/>
    <n v="56"/>
    <n v="8"/>
    <x v="1"/>
    <x v="25"/>
    <x v="9"/>
    <x v="2"/>
  </r>
  <r>
    <s v="811776119066"/>
    <n v="811776"/>
    <s v="VIDHYA SAGAR TRADERS"/>
    <n v="119066"/>
    <s v="RAJENDRA KUMAR RATAN LAL JAIN"/>
    <n v="0"/>
    <n v="38.5"/>
    <n v="0"/>
    <n v="0"/>
    <n v="0"/>
    <n v="0"/>
    <n v="0"/>
    <n v="38.5"/>
    <n v="5.5"/>
    <x v="1"/>
    <x v="25"/>
    <x v="9"/>
    <x v="2"/>
  </r>
  <r>
    <s v="812730119066"/>
    <n v="812730"/>
    <s v="BHOLENATH CONSTRUCTION"/>
    <n v="119066"/>
    <s v="RAJENDRA KUMAR RATAN LAL JAIN"/>
    <n v="62.5"/>
    <n v="67.5"/>
    <n v="20"/>
    <n v="0"/>
    <n v="53"/>
    <n v="3"/>
    <n v="1"/>
    <n v="207"/>
    <n v="29.571428571428573"/>
    <x v="0"/>
    <x v="25"/>
    <x v="9"/>
    <x v="2"/>
  </r>
  <r>
    <s v="812759119066"/>
    <n v="812759"/>
    <s v="VINAYAK TRADERS"/>
    <n v="119066"/>
    <s v="RAJENDRA KUMAR RATAN LAL JAIN"/>
    <n v="5"/>
    <n v="0"/>
    <n v="101.75"/>
    <n v="24.5"/>
    <n v="31"/>
    <n v="53"/>
    <n v="119"/>
    <n v="334.25"/>
    <n v="47.75"/>
    <x v="5"/>
    <x v="25"/>
    <x v="9"/>
    <x v="2"/>
  </r>
  <r>
    <s v="813256119066"/>
    <n v="813256"/>
    <s v="BHAWANI &amp; BROTHERS"/>
    <n v="119066"/>
    <s v="RAJENDRA KUMAR RATAN LAL JAIN"/>
    <n v="0"/>
    <n v="0"/>
    <n v="0"/>
    <n v="53"/>
    <n v="54"/>
    <n v="0"/>
    <n v="1"/>
    <n v="108"/>
    <n v="15.428571428571429"/>
    <x v="2"/>
    <x v="25"/>
    <x v="9"/>
    <x v="2"/>
  </r>
  <r>
    <s v="813293119066"/>
    <n v="813293"/>
    <s v="NILESH &amp; BROTHERS"/>
    <n v="119066"/>
    <s v="RAJENDRA KUMAR RATAN LAL JAIN"/>
    <n v="0"/>
    <n v="0"/>
    <n v="0"/>
    <n v="53"/>
    <n v="0"/>
    <n v="0"/>
    <n v="1"/>
    <n v="54"/>
    <n v="7.7142857142857144"/>
    <x v="1"/>
    <x v="25"/>
    <x v="9"/>
    <x v="2"/>
  </r>
  <r>
    <s v="814387119066"/>
    <n v="814387"/>
    <s v="KHODIYAR CONSTRUCTION &amp; DEVELO"/>
    <n v="119066"/>
    <s v="RAJENDRA KUMAR RATAN LAL JAIN"/>
    <n v="28"/>
    <n v="0"/>
    <n v="0"/>
    <n v="0"/>
    <n v="52"/>
    <n v="53.45"/>
    <n v="1"/>
    <n v="134.44999999999999"/>
    <n v="19.207142857142856"/>
    <x v="2"/>
    <x v="25"/>
    <x v="9"/>
    <x v="2"/>
  </r>
  <r>
    <s v="815236119066"/>
    <n v="815236"/>
    <s v="KHOTHARI SAPLYRAYS AND CON"/>
    <n v="119066"/>
    <s v="RAJENDRA KUMAR RATAN LAL JAIN"/>
    <n v="0"/>
    <n v="0"/>
    <n v="101.1"/>
    <n v="53"/>
    <n v="51"/>
    <n v="37"/>
    <n v="1"/>
    <n v="243.1"/>
    <n v="34.728571428571428"/>
    <x v="4"/>
    <x v="25"/>
    <x v="9"/>
    <x v="2"/>
  </r>
  <r>
    <s v="816329119066"/>
    <n v="816329"/>
    <s v="ISHITA TRADERS"/>
    <n v="119066"/>
    <s v="RAJENDRA KUMAR RATAN LAL JAIN"/>
    <n v="0"/>
    <n v="0"/>
    <n v="0"/>
    <n v="0"/>
    <n v="0"/>
    <n v="157"/>
    <n v="137"/>
    <n v="294"/>
    <n v="42"/>
    <x v="5"/>
    <x v="25"/>
    <x v="9"/>
    <x v="2"/>
  </r>
  <r>
    <s v="804243122377"/>
    <n v="804243"/>
    <s v="SHIVAMBA CONSTRUCTION"/>
    <n v="122377"/>
    <s v="NILKANTH CONSTRUCTION"/>
    <n v="80"/>
    <n v="191.65"/>
    <n v="197.5"/>
    <n v="170"/>
    <n v="130"/>
    <n v="105"/>
    <n v="96"/>
    <n v="970.15"/>
    <n v="138.59285714285713"/>
    <x v="3"/>
    <x v="25"/>
    <x v="9"/>
    <x v="2"/>
  </r>
  <r>
    <s v="805185122377"/>
    <n v="805185"/>
    <s v="KK ENTERPRISES"/>
    <n v="122377"/>
    <s v="NILKANTH CONSTRUCTION"/>
    <n v="155"/>
    <n v="113.5"/>
    <n v="165"/>
    <n v="170"/>
    <n v="135"/>
    <n v="135"/>
    <n v="115"/>
    <n v="988.5"/>
    <n v="141.21428571428572"/>
    <x v="3"/>
    <x v="25"/>
    <x v="9"/>
    <x v="2"/>
  </r>
  <r>
    <s v="806651122377"/>
    <n v="806651"/>
    <s v="MAYUR TRADERS"/>
    <n v="122377"/>
    <s v="NILKANTH CONSTRUCTION"/>
    <n v="0"/>
    <n v="40"/>
    <n v="85"/>
    <n v="40"/>
    <n v="45"/>
    <n v="22"/>
    <n v="20"/>
    <n v="252"/>
    <n v="36"/>
    <x v="4"/>
    <x v="25"/>
    <x v="9"/>
    <x v="2"/>
  </r>
  <r>
    <s v="806802122377"/>
    <n v="806802"/>
    <s v="JAIMAA KHIMAJ CONSTRUCTION"/>
    <n v="122377"/>
    <s v="NILKANTH CONSTRUCTION"/>
    <n v="92"/>
    <n v="95"/>
    <n v="85"/>
    <n v="67"/>
    <n v="60"/>
    <n v="45"/>
    <n v="95"/>
    <n v="539"/>
    <n v="77"/>
    <x v="3"/>
    <x v="25"/>
    <x v="9"/>
    <x v="2"/>
  </r>
  <r>
    <s v="808941122377"/>
    <n v="808941"/>
    <s v="PATIDAR KRISHI SEWA KENDRA"/>
    <n v="122377"/>
    <s v="NILKANTH CONSTRUCTION"/>
    <n v="55"/>
    <n v="110"/>
    <n v="157"/>
    <n v="119"/>
    <n v="90"/>
    <n v="50"/>
    <n v="10"/>
    <n v="591"/>
    <n v="84.428571428571431"/>
    <x v="3"/>
    <x v="25"/>
    <x v="9"/>
    <x v="2"/>
  </r>
  <r>
    <s v="809221122377"/>
    <n v="809221"/>
    <s v="STAR CONSTRUCTION"/>
    <n v="122377"/>
    <s v="NILKANTH CONSTRUCTION"/>
    <n v="0"/>
    <n v="10"/>
    <n v="0"/>
    <n v="0"/>
    <n v="0"/>
    <n v="0"/>
    <n v="0"/>
    <n v="10"/>
    <n v="1.4285714285714286"/>
    <x v="1"/>
    <x v="25"/>
    <x v="9"/>
    <x v="2"/>
  </r>
  <r>
    <s v="809457122377"/>
    <n v="809457"/>
    <s v="KANTI LAL PANCHAL"/>
    <n v="122377"/>
    <s v="NILKANTH CONSTRUCTION"/>
    <n v="40"/>
    <n v="45"/>
    <n v="52"/>
    <n v="20"/>
    <n v="37.5"/>
    <n v="20"/>
    <n v="10"/>
    <n v="224.5"/>
    <n v="32.071428571428569"/>
    <x v="4"/>
    <x v="25"/>
    <x v="9"/>
    <x v="2"/>
  </r>
  <r>
    <s v="810839122377"/>
    <n v="810839"/>
    <s v="MAESTRO NAGRIK SEVA KENDRA"/>
    <n v="122377"/>
    <s v="NILKANTH CONSTRUCTION"/>
    <n v="103"/>
    <n v="171"/>
    <n v="190"/>
    <n v="155"/>
    <n v="95"/>
    <n v="85"/>
    <n v="80"/>
    <n v="879"/>
    <n v="125.57142857142857"/>
    <x v="3"/>
    <x v="25"/>
    <x v="9"/>
    <x v="2"/>
  </r>
  <r>
    <s v="813254122377"/>
    <n v="813254"/>
    <s v="MAA KHEMAJ CONSTRUCTION &amp; SUPP"/>
    <n v="122377"/>
    <s v="NILKANTH CONSTRUCTION"/>
    <n v="0"/>
    <n v="0"/>
    <n v="15"/>
    <n v="37"/>
    <n v="32.5"/>
    <n v="25"/>
    <n v="15"/>
    <n v="124.5"/>
    <n v="17.785714285714285"/>
    <x v="2"/>
    <x v="25"/>
    <x v="9"/>
    <x v="2"/>
  </r>
  <r>
    <s v="816368122377"/>
    <n v="816368"/>
    <s v="SHREE KASHT BHANJAN CONSTRUCTI"/>
    <n v="122377"/>
    <s v="NILKANTH CONSTRUCTION"/>
    <n v="0"/>
    <n v="0"/>
    <n v="0"/>
    <n v="0"/>
    <n v="0"/>
    <n v="20"/>
    <n v="80"/>
    <n v="100"/>
    <n v="14.285714285714286"/>
    <x v="2"/>
    <x v="25"/>
    <x v="9"/>
    <x v="2"/>
  </r>
  <r>
    <s v="808313140960"/>
    <n v="808313"/>
    <s v="JAYDEEP KRISHI FARM"/>
    <n v="140960"/>
    <s v="HARI OM CEMENT SUPPLIERS"/>
    <n v="0"/>
    <n v="0"/>
    <n v="0"/>
    <n v="35"/>
    <n v="0"/>
    <n v="40"/>
    <n v="0"/>
    <n v="75"/>
    <n v="10.714285714285714"/>
    <x v="2"/>
    <x v="25"/>
    <x v="9"/>
    <x v="2"/>
  </r>
  <r>
    <s v="813830140960"/>
    <n v="813830"/>
    <s v="HONEY TRADERS"/>
    <n v="140960"/>
    <s v="HARI OM CEMENT SUPPLIERS"/>
    <n v="0"/>
    <n v="0"/>
    <n v="0"/>
    <n v="0"/>
    <n v="0"/>
    <n v="15"/>
    <n v="20"/>
    <n v="35"/>
    <n v="5"/>
    <x v="1"/>
    <x v="25"/>
    <x v="9"/>
    <x v="2"/>
  </r>
  <r>
    <s v="815983140960"/>
    <n v="815983"/>
    <s v="HARIOM TRADERS"/>
    <n v="140960"/>
    <s v="HARI OM CEMENT SUPPLIERS"/>
    <n v="0"/>
    <n v="0"/>
    <n v="0"/>
    <n v="0"/>
    <n v="50"/>
    <n v="60"/>
    <n v="0"/>
    <n v="110"/>
    <n v="15.714285714285714"/>
    <x v="2"/>
    <x v="25"/>
    <x v="9"/>
    <x v="2"/>
  </r>
  <r>
    <s v="815984140960"/>
    <n v="815984"/>
    <s v="DHULCHAND S/O HIMALA"/>
    <n v="140960"/>
    <s v="HARI OM CEMENT SUPPLIERS"/>
    <n v="0"/>
    <n v="0"/>
    <n v="0"/>
    <n v="0"/>
    <n v="55"/>
    <n v="40"/>
    <n v="0"/>
    <n v="95"/>
    <n v="13.571428571428571"/>
    <x v="2"/>
    <x v="25"/>
    <x v="9"/>
    <x v="2"/>
  </r>
  <r>
    <s v="813829140984"/>
    <n v="813829"/>
    <s v="SANJAY KUMAR PURUSHOTAM SHAH"/>
    <n v="140984"/>
    <s v="SHIVANG SAINETORY &amp; HARDWARE"/>
    <n v="85"/>
    <n v="20"/>
    <n v="42"/>
    <n v="70"/>
    <n v="391"/>
    <n v="0"/>
    <n v="160"/>
    <n v="768"/>
    <n v="109.71428571428571"/>
    <x v="3"/>
    <x v="25"/>
    <x v="9"/>
    <x v="2"/>
  </r>
  <r>
    <s v="804312142269"/>
    <n v="804312"/>
    <s v="CHOUHAN CEMENT SUPPLIERS"/>
    <n v="142269"/>
    <s v="CHAMUNDA BUILDING MATERIAL SUP"/>
    <n v="125"/>
    <n v="195"/>
    <n v="234"/>
    <n v="105"/>
    <n v="140"/>
    <n v="85"/>
    <n v="140"/>
    <n v="1024"/>
    <n v="146.28571428571428"/>
    <x v="3"/>
    <x v="25"/>
    <x v="9"/>
    <x v="2"/>
  </r>
  <r>
    <s v="807997142269"/>
    <n v="807997"/>
    <s v="GOVIND KALAL"/>
    <n v="142269"/>
    <s v="CHAMUNDA BUILDING MATERIAL SUP"/>
    <n v="0"/>
    <n v="0"/>
    <n v="25"/>
    <n v="0"/>
    <n v="0"/>
    <n v="0"/>
    <n v="0"/>
    <n v="25"/>
    <n v="3.5714285714285716"/>
    <x v="1"/>
    <x v="25"/>
    <x v="9"/>
    <x v="2"/>
  </r>
  <r>
    <s v="809423142269"/>
    <n v="809423"/>
    <s v="MAHADEV CONSTRUCTION"/>
    <n v="142269"/>
    <s v="CHAMUNDA BUILDING MATERIAL SUP"/>
    <n v="20"/>
    <n v="35"/>
    <n v="0"/>
    <n v="0"/>
    <n v="70"/>
    <n v="0"/>
    <n v="0"/>
    <n v="125"/>
    <n v="17.857142857142858"/>
    <x v="2"/>
    <x v="25"/>
    <x v="9"/>
    <x v="2"/>
  </r>
  <r>
    <s v="811385142269"/>
    <n v="811385"/>
    <s v="GARV CONSTRUCTION"/>
    <n v="142269"/>
    <s v="CHAMUNDA BUILDING MATERIAL SUP"/>
    <n v="30"/>
    <n v="15"/>
    <n v="63"/>
    <n v="40"/>
    <n v="20"/>
    <n v="10"/>
    <n v="85"/>
    <n v="263"/>
    <n v="37.571428571428569"/>
    <x v="4"/>
    <x v="25"/>
    <x v="9"/>
    <x v="2"/>
  </r>
  <r>
    <s v="813198142269"/>
    <n v="813198"/>
    <s v="R K TRADERS"/>
    <n v="142269"/>
    <s v="CHAMUNDA BUILDING MATERIAL SUP"/>
    <n v="0"/>
    <n v="49"/>
    <n v="61"/>
    <n v="20"/>
    <n v="25"/>
    <n v="35"/>
    <n v="30"/>
    <n v="220"/>
    <n v="31.428571428571427"/>
    <x v="4"/>
    <x v="25"/>
    <x v="9"/>
    <x v="2"/>
  </r>
  <r>
    <s v="814084142269"/>
    <n v="814084"/>
    <s v="R B CONSTRUCTION"/>
    <n v="142269"/>
    <s v="CHAMUNDA BUILDING MATERIAL SUP"/>
    <n v="20"/>
    <n v="55"/>
    <n v="56"/>
    <n v="0"/>
    <n v="10"/>
    <n v="0"/>
    <n v="0"/>
    <n v="141"/>
    <n v="20.142857142857142"/>
    <x v="0"/>
    <x v="25"/>
    <x v="9"/>
    <x v="2"/>
  </r>
  <r>
    <s v="814824142269"/>
    <n v="814824"/>
    <s v="AKSHARA CEMENT SUPPLIERS"/>
    <n v="142269"/>
    <s v="CHAMUNDA BUILDING MATERIAL SUP"/>
    <n v="0"/>
    <n v="0"/>
    <n v="44"/>
    <n v="0"/>
    <n v="35"/>
    <n v="30"/>
    <n v="25"/>
    <n v="134"/>
    <n v="19.142857142857142"/>
    <x v="2"/>
    <x v="25"/>
    <x v="9"/>
    <x v="2"/>
  </r>
  <r>
    <s v="815395142269"/>
    <n v="815395"/>
    <s v="PANKAJ KUMAR DIXIT"/>
    <n v="142269"/>
    <s v="CHAMUNDA BUILDING MATERIAL SUP"/>
    <n v="0"/>
    <n v="0"/>
    <n v="0"/>
    <n v="0"/>
    <n v="25"/>
    <n v="0"/>
    <n v="35"/>
    <n v="60"/>
    <n v="8.5714285714285712"/>
    <x v="1"/>
    <x v="25"/>
    <x v="9"/>
    <x v="2"/>
  </r>
  <r>
    <s v="813933172798"/>
    <n v="813933"/>
    <s v="MOKSHI ENTERPRISES"/>
    <n v="172798"/>
    <s v="PANKAJ TRADERS"/>
    <n v="0"/>
    <n v="0"/>
    <n v="0"/>
    <n v="0"/>
    <n v="25"/>
    <n v="10"/>
    <n v="25"/>
    <n v="60"/>
    <n v="8.5714285714285712"/>
    <x v="1"/>
    <x v="25"/>
    <x v="9"/>
    <x v="2"/>
  </r>
  <r>
    <s v="815394172798"/>
    <n v="815394"/>
    <s v="TRIPURA CEMENT SUPPLIERS"/>
    <n v="172798"/>
    <s v="PANKAJ TRADERS"/>
    <n v="0"/>
    <n v="0"/>
    <n v="0"/>
    <n v="35"/>
    <n v="80"/>
    <n v="15"/>
    <n v="55"/>
    <n v="185"/>
    <n v="26.428571428571427"/>
    <x v="0"/>
    <x v="25"/>
    <x v="9"/>
    <x v="2"/>
  </r>
  <r>
    <s v="808676172872"/>
    <n v="808676"/>
    <s v="GARASIYA BUILDING MATERIAL SUP"/>
    <n v="172872"/>
    <s v="HARSAD KUMAR KHEM CHAND"/>
    <n v="0"/>
    <n v="0"/>
    <n v="0"/>
    <n v="0"/>
    <n v="0"/>
    <n v="10"/>
    <n v="15"/>
    <n v="25"/>
    <n v="3.5714285714285716"/>
    <x v="1"/>
    <x v="25"/>
    <x v="9"/>
    <x v="2"/>
  </r>
  <r>
    <s v="801918178764"/>
    <n v="801918"/>
    <s v="MOHIRAJ BUILDING MATERIALS"/>
    <n v="178764"/>
    <s v="PERFECT TRADERS"/>
    <n v="0"/>
    <n v="70"/>
    <n v="55"/>
    <n v="30"/>
    <n v="65"/>
    <n v="40"/>
    <n v="40"/>
    <n v="300"/>
    <n v="42.857142857142854"/>
    <x v="5"/>
    <x v="25"/>
    <x v="9"/>
    <x v="2"/>
  </r>
  <r>
    <s v="806828178764"/>
    <n v="806828"/>
    <s v="AMBIKA TRADERS"/>
    <n v="178764"/>
    <s v="PERFECT TRADERS"/>
    <n v="0"/>
    <n v="0"/>
    <n v="0"/>
    <n v="20"/>
    <n v="0"/>
    <n v="0"/>
    <n v="0"/>
    <n v="20"/>
    <n v="2.8571428571428572"/>
    <x v="1"/>
    <x v="25"/>
    <x v="9"/>
    <x v="2"/>
  </r>
  <r>
    <s v="808677178764"/>
    <n v="808677"/>
    <s v="GAUTAM LAL PATIDAR CONTRACTOR"/>
    <n v="178764"/>
    <s v="PERFECT TRADERS"/>
    <n v="0"/>
    <n v="0"/>
    <n v="15"/>
    <n v="15"/>
    <n v="0"/>
    <n v="0"/>
    <n v="0"/>
    <n v="30"/>
    <n v="4.2857142857142856"/>
    <x v="1"/>
    <x v="25"/>
    <x v="9"/>
    <x v="2"/>
  </r>
  <r>
    <s v="808938178764"/>
    <n v="808938"/>
    <s v="MANILAL BUNKAR"/>
    <n v="178764"/>
    <s v="PERFECT TRADERS"/>
    <n v="62"/>
    <n v="30"/>
    <n v="75"/>
    <n v="55"/>
    <n v="30"/>
    <n v="48"/>
    <n v="25"/>
    <n v="325"/>
    <n v="46.428571428571431"/>
    <x v="5"/>
    <x v="25"/>
    <x v="9"/>
    <x v="2"/>
  </r>
  <r>
    <s v="809142178764"/>
    <n v="809142"/>
    <s v="MEHTA SANITARY &amp; HARDWARE"/>
    <n v="178764"/>
    <s v="PERFECT TRADERS"/>
    <n v="100"/>
    <n v="40"/>
    <n v="122"/>
    <n v="156"/>
    <n v="110"/>
    <n v="100"/>
    <n v="75"/>
    <n v="703"/>
    <n v="100.42857142857143"/>
    <x v="3"/>
    <x v="25"/>
    <x v="9"/>
    <x v="2"/>
  </r>
  <r>
    <s v="811514178764"/>
    <n v="811514"/>
    <s v="AKBAR ALI AZIZ"/>
    <n v="178764"/>
    <s v="PERFECT TRADERS"/>
    <n v="45"/>
    <n v="81"/>
    <n v="162"/>
    <n v="95"/>
    <n v="95"/>
    <n v="100"/>
    <n v="70"/>
    <n v="648"/>
    <n v="92.571428571428569"/>
    <x v="3"/>
    <x v="25"/>
    <x v="9"/>
    <x v="2"/>
  </r>
  <r>
    <s v="814701178764"/>
    <n v="814701"/>
    <s v="HARSHIT BUILDING MATERIAL"/>
    <n v="178764"/>
    <s v="PERFECT TRADERS"/>
    <n v="38"/>
    <n v="40"/>
    <n v="74"/>
    <n v="45"/>
    <n v="60"/>
    <n v="62"/>
    <n v="55"/>
    <n v="374"/>
    <n v="53.428571428571431"/>
    <x v="3"/>
    <x v="25"/>
    <x v="9"/>
    <x v="2"/>
  </r>
  <r>
    <s v="813257201162"/>
    <n v="813257"/>
    <s v="NIRMALA GARASIYA"/>
    <n v="201162"/>
    <s v="SANDEEP TRADERS"/>
    <n v="60"/>
    <n v="26"/>
    <n v="0"/>
    <n v="20"/>
    <n v="25"/>
    <n v="35"/>
    <n v="30"/>
    <n v="196"/>
    <n v="28"/>
    <x v="0"/>
    <x v="25"/>
    <x v="9"/>
    <x v="2"/>
  </r>
  <r>
    <s v="814346201162"/>
    <n v="814346"/>
    <s v="PATEL SUPPLIERS"/>
    <n v="201162"/>
    <s v="SANDEEP TRADERS"/>
    <n v="80"/>
    <n v="40"/>
    <n v="0"/>
    <n v="25"/>
    <n v="45"/>
    <n v="35"/>
    <n v="40"/>
    <n v="265"/>
    <n v="37.857142857142854"/>
    <x v="4"/>
    <x v="25"/>
    <x v="9"/>
    <x v="2"/>
  </r>
  <r>
    <s v="813979203968"/>
    <n v="813979"/>
    <s v="MAA ASHAPURA BUILDING MATERIAL"/>
    <n v="203968"/>
    <s v="J J INFRA BUILD"/>
    <n v="35"/>
    <n v="0"/>
    <n v="15"/>
    <n v="0"/>
    <n v="0"/>
    <n v="20"/>
    <n v="30"/>
    <n v="100"/>
    <n v="14.285714285714286"/>
    <x v="2"/>
    <x v="25"/>
    <x v="9"/>
    <x v="2"/>
  </r>
  <r>
    <s v="816088203968"/>
    <n v="816088"/>
    <s v="SHREE BALAJI ENTERPRISES"/>
    <n v="203968"/>
    <s v="J J INFRA BUILD"/>
    <n v="0"/>
    <n v="0"/>
    <n v="0"/>
    <n v="0"/>
    <n v="0"/>
    <n v="10"/>
    <n v="40"/>
    <n v="50"/>
    <n v="7.1428571428571432"/>
    <x v="1"/>
    <x v="25"/>
    <x v="9"/>
    <x v="2"/>
  </r>
  <r>
    <s v="810158119066"/>
    <n v="810158"/>
    <s v="HEER ENTERPRISES"/>
    <n v="119066"/>
    <s v="RAJENDRA KUMAR RATAN LAL JAIN"/>
    <n v="0"/>
    <n v="0"/>
    <n v="0"/>
    <n v="0"/>
    <n v="0"/>
    <n v="0"/>
    <n v="45.9"/>
    <n v="45.9"/>
    <n v="6.5571428571428569"/>
    <x v="1"/>
    <x v="25"/>
    <x v="9"/>
    <x v="2"/>
  </r>
  <r>
    <s v="814577119066"/>
    <n v="814577"/>
    <s v="KRISHNA PLYWOOD &amp; HARDWARE"/>
    <n v="119066"/>
    <s v="RAJENDRA KUMAR RATAN LAL JAIN"/>
    <n v="0"/>
    <n v="0"/>
    <n v="0"/>
    <n v="0"/>
    <n v="0"/>
    <n v="0"/>
    <n v="1"/>
    <n v="1"/>
    <n v="0.14285714285714285"/>
    <x v="1"/>
    <x v="25"/>
    <x v="9"/>
    <x v="2"/>
  </r>
  <r>
    <s v="816330119066"/>
    <n v="816330"/>
    <s v="RAJASTHAN TRADERS"/>
    <n v="119066"/>
    <s v="RAJENDRA KUMAR RATAN LAL JAIN"/>
    <n v="0"/>
    <n v="0"/>
    <n v="0"/>
    <n v="0"/>
    <n v="0"/>
    <n v="0"/>
    <n v="1"/>
    <n v="1"/>
    <n v="0.14285714285714285"/>
    <x v="1"/>
    <x v="25"/>
    <x v="9"/>
    <x v="2"/>
  </r>
  <r>
    <s v="816442172872"/>
    <n v="816442"/>
    <s v="HARI OM ENTERPRISES"/>
    <n v="172872"/>
    <s v="HARSAD KUMAR KHEM CHAND"/>
    <n v="0"/>
    <n v="0"/>
    <n v="0"/>
    <n v="0"/>
    <n v="0"/>
    <n v="0"/>
    <n v="20"/>
    <n v="20"/>
    <n v="2.8571428571428572"/>
    <x v="1"/>
    <x v="25"/>
    <x v="9"/>
    <x v="2"/>
  </r>
  <r>
    <s v="801916119050"/>
    <n v="801916"/>
    <s v="SHREE RAM KIRANA STORE"/>
    <n v="119050"/>
    <s v="RAJASTHAN CEMENT CORPORATION"/>
    <n v="20"/>
    <n v="0"/>
    <n v="10"/>
    <n v="0"/>
    <n v="0"/>
    <n v="22.5"/>
    <n v="5"/>
    <n v="57.5"/>
    <n v="8.2142857142857135"/>
    <x v="1"/>
    <x v="26"/>
    <x v="9"/>
    <x v="2"/>
  </r>
  <r>
    <s v="802149119050"/>
    <n v="802149"/>
    <s v="PARINARY SANATRY AND COLOUR"/>
    <n v="119050"/>
    <s v="RAJASTHAN CEMENT CORPORATION"/>
    <n v="42.5"/>
    <n v="15"/>
    <n v="47"/>
    <n v="67.5"/>
    <n v="67"/>
    <n v="37"/>
    <n v="64.5"/>
    <n v="340.5"/>
    <n v="48.642857142857146"/>
    <x v="5"/>
    <x v="26"/>
    <x v="9"/>
    <x v="2"/>
  </r>
  <r>
    <s v="802841119050"/>
    <n v="802841"/>
    <s v="JITENDRA KUMAR KANHAIYA LAL KA"/>
    <n v="119050"/>
    <s v="RAJASTHAN CEMENT CORPORATION"/>
    <n v="20"/>
    <n v="0"/>
    <n v="34"/>
    <n v="25"/>
    <n v="16"/>
    <n v="17.5"/>
    <n v="5.5"/>
    <n v="118"/>
    <n v="16.857142857142858"/>
    <x v="2"/>
    <x v="26"/>
    <x v="9"/>
    <x v="2"/>
  </r>
  <r>
    <s v="802972119050"/>
    <n v="802972"/>
    <s v="MOHAN LAL PATEL S/O VEL JI PAT"/>
    <n v="119050"/>
    <s v="RAJASTHAN CEMENT CORPORATION"/>
    <n v="0"/>
    <n v="0"/>
    <n v="10"/>
    <n v="0"/>
    <n v="0"/>
    <n v="0"/>
    <n v="0"/>
    <n v="10"/>
    <n v="1.4285714285714286"/>
    <x v="1"/>
    <x v="26"/>
    <x v="9"/>
    <x v="2"/>
  </r>
  <r>
    <s v="803141119050"/>
    <n v="803141"/>
    <s v="DURGA TRADING COMPANY"/>
    <n v="119050"/>
    <s v="RAJASTHAN CEMENT CORPORATION"/>
    <n v="10"/>
    <n v="40"/>
    <n v="32.5"/>
    <n v="92"/>
    <n v="51"/>
    <n v="38"/>
    <n v="30"/>
    <n v="293.5"/>
    <n v="41.928571428571431"/>
    <x v="5"/>
    <x v="26"/>
    <x v="9"/>
    <x v="2"/>
  </r>
  <r>
    <s v="803794119050"/>
    <n v="803794"/>
    <s v="RAMAN LAL DEVNATH JI BHATI"/>
    <n v="119050"/>
    <s v="RAJASTHAN CEMENT CORPORATION"/>
    <n v="0"/>
    <n v="20"/>
    <n v="15"/>
    <n v="73.5"/>
    <n v="60"/>
    <n v="110"/>
    <n v="51"/>
    <n v="329.5"/>
    <n v="47.071428571428569"/>
    <x v="5"/>
    <x v="26"/>
    <x v="9"/>
    <x v="2"/>
  </r>
  <r>
    <s v="803832119050"/>
    <n v="803832"/>
    <s v="MOHAN LAL BAKORJI PRAJAPAT"/>
    <n v="119050"/>
    <s v="RAJASTHAN CEMENT CORPORATION"/>
    <n v="31"/>
    <n v="0"/>
    <n v="40"/>
    <n v="59.5"/>
    <n v="30"/>
    <n v="35.5"/>
    <n v="30"/>
    <n v="226"/>
    <n v="32.285714285714285"/>
    <x v="4"/>
    <x v="26"/>
    <x v="9"/>
    <x v="2"/>
  </r>
  <r>
    <s v="804898119050"/>
    <n v="804898"/>
    <s v="PATEL BUILDING MATERIAL"/>
    <n v="119050"/>
    <s v="RAJASTHAN CEMENT CORPORATION"/>
    <n v="41"/>
    <n v="0"/>
    <n v="25"/>
    <n v="22.5"/>
    <n v="15"/>
    <n v="7.5"/>
    <n v="11"/>
    <n v="122"/>
    <n v="17.428571428571427"/>
    <x v="2"/>
    <x v="26"/>
    <x v="9"/>
    <x v="2"/>
  </r>
  <r>
    <s v="805420119050"/>
    <n v="805420"/>
    <s v="PARTH CONSTRUCTION"/>
    <n v="119050"/>
    <s v="RAJASTHAN CEMENT CORPORATION"/>
    <n v="15"/>
    <n v="0"/>
    <n v="69.5"/>
    <n v="63.5"/>
    <n v="21.5"/>
    <n v="20.5"/>
    <n v="15"/>
    <n v="205"/>
    <n v="29.285714285714285"/>
    <x v="0"/>
    <x v="26"/>
    <x v="9"/>
    <x v="2"/>
  </r>
  <r>
    <s v="807626119050"/>
    <n v="807626"/>
    <s v="MAHALAXMI CONSTRUCTION"/>
    <n v="119050"/>
    <s v="RAJASTHAN CEMENT CORPORATION"/>
    <n v="10"/>
    <n v="0"/>
    <n v="35"/>
    <n v="50"/>
    <n v="37.5"/>
    <n v="27.5"/>
    <n v="10"/>
    <n v="170"/>
    <n v="24.285714285714285"/>
    <x v="0"/>
    <x v="26"/>
    <x v="9"/>
    <x v="2"/>
  </r>
  <r>
    <s v="807948119050"/>
    <n v="807948"/>
    <s v="KANKU BUILDING MATERIAL"/>
    <n v="119050"/>
    <s v="RAJASTHAN CEMENT CORPORATION"/>
    <n v="5"/>
    <n v="0"/>
    <n v="62"/>
    <n v="85"/>
    <n v="37"/>
    <n v="36.5"/>
    <n v="18.5"/>
    <n v="244"/>
    <n v="34.857142857142854"/>
    <x v="4"/>
    <x v="26"/>
    <x v="9"/>
    <x v="2"/>
  </r>
  <r>
    <s v="808082119050"/>
    <n v="808082"/>
    <s v="RATANLAL DOVACHAND JAIN"/>
    <n v="119050"/>
    <s v="RAJASTHAN CEMENT CORPORATION"/>
    <n v="0"/>
    <n v="0"/>
    <n v="16"/>
    <n v="22.5"/>
    <n v="0"/>
    <n v="17.5"/>
    <n v="0"/>
    <n v="56"/>
    <n v="8"/>
    <x v="1"/>
    <x v="26"/>
    <x v="9"/>
    <x v="2"/>
  </r>
  <r>
    <s v="808312119050"/>
    <n v="808312"/>
    <s v="BHOGI LAL SUKH LAL JAIN"/>
    <n v="119050"/>
    <s v="RAJASTHAN CEMENT CORPORATION"/>
    <n v="15"/>
    <n v="0"/>
    <n v="0"/>
    <n v="0"/>
    <n v="0"/>
    <n v="0"/>
    <n v="0"/>
    <n v="15"/>
    <n v="2.1428571428571428"/>
    <x v="1"/>
    <x v="26"/>
    <x v="9"/>
    <x v="2"/>
  </r>
  <r>
    <s v="808548119050"/>
    <n v="808548"/>
    <s v="GAJENDRA CEMENT SUPPLIERS"/>
    <n v="119050"/>
    <s v="RAJASTHAN CEMENT CORPORATION"/>
    <n v="0"/>
    <n v="0"/>
    <n v="12"/>
    <n v="25"/>
    <n v="10"/>
    <n v="7.5"/>
    <n v="20"/>
    <n v="74.5"/>
    <n v="10.642857142857142"/>
    <x v="2"/>
    <x v="26"/>
    <x v="9"/>
    <x v="2"/>
  </r>
  <r>
    <s v="808558119050"/>
    <n v="808558"/>
    <s v="PATEL DEVILAL UDHAV JI"/>
    <n v="119050"/>
    <s v="RAJASTHAN CEMENT CORPORATION"/>
    <n v="66"/>
    <n v="53.5"/>
    <n v="113.5"/>
    <n v="48.5"/>
    <n v="72"/>
    <n v="45"/>
    <n v="51"/>
    <n v="449.5"/>
    <n v="64.214285714285708"/>
    <x v="3"/>
    <x v="26"/>
    <x v="9"/>
    <x v="2"/>
  </r>
  <r>
    <s v="808559119050"/>
    <n v="808559"/>
    <s v="HANUMAN TRADERS"/>
    <n v="119050"/>
    <s v="RAJASTHAN CEMENT CORPORATION"/>
    <n v="10"/>
    <n v="10"/>
    <n v="0"/>
    <n v="10"/>
    <n v="0"/>
    <n v="10.3"/>
    <n v="10"/>
    <n v="50.3"/>
    <n v="7.1857142857142851"/>
    <x v="1"/>
    <x v="26"/>
    <x v="9"/>
    <x v="2"/>
  </r>
  <r>
    <s v="808622119050"/>
    <n v="808622"/>
    <s v="MAHAVEER KUMAR BADAMILAL"/>
    <n v="119050"/>
    <s v="RAJASTHAN CEMENT CORPORATION"/>
    <n v="51"/>
    <n v="65"/>
    <n v="270"/>
    <n v="166.5"/>
    <n v="163"/>
    <n v="111"/>
    <n v="60"/>
    <n v="886.5"/>
    <n v="126.64285714285714"/>
    <x v="3"/>
    <x v="26"/>
    <x v="9"/>
    <x v="2"/>
  </r>
  <r>
    <s v="808623119050"/>
    <n v="808623"/>
    <s v="SHIV SHAKTI CEMENT SUPPLIERS"/>
    <n v="119050"/>
    <s v="RAJASTHAN CEMENT CORPORATION"/>
    <n v="35"/>
    <n v="15"/>
    <n v="36"/>
    <n v="109"/>
    <n v="61.5"/>
    <n v="30.5"/>
    <n v="10"/>
    <n v="297"/>
    <n v="42.428571428571431"/>
    <x v="5"/>
    <x v="26"/>
    <x v="9"/>
    <x v="2"/>
  </r>
  <r>
    <s v="808895119050"/>
    <n v="808895"/>
    <s v="TOLACHAND KALAL"/>
    <n v="119050"/>
    <s v="RAJASTHAN CEMENT CORPORATION"/>
    <n v="0"/>
    <n v="0"/>
    <n v="20"/>
    <n v="25"/>
    <n v="0"/>
    <n v="0"/>
    <n v="0"/>
    <n v="45"/>
    <n v="6.4285714285714288"/>
    <x v="1"/>
    <x v="26"/>
    <x v="9"/>
    <x v="2"/>
  </r>
  <r>
    <s v="811596119050"/>
    <n v="811596"/>
    <s v="JAY AMBE STONE SUPPLIERS"/>
    <n v="119050"/>
    <s v="RAJASTHAN CEMENT CORPORATION"/>
    <n v="20"/>
    <n v="30"/>
    <n v="111"/>
    <n v="48.5"/>
    <n v="5"/>
    <n v="17.5"/>
    <n v="11"/>
    <n v="243"/>
    <n v="34.714285714285715"/>
    <x v="4"/>
    <x v="26"/>
    <x v="9"/>
    <x v="2"/>
  </r>
  <r>
    <s v="813269119050"/>
    <n v="813269"/>
    <s v="UMESH KIRANA STORE"/>
    <n v="119050"/>
    <s v="RAJASTHAN CEMENT CORPORATION"/>
    <n v="10"/>
    <n v="10"/>
    <n v="10"/>
    <n v="20"/>
    <n v="14"/>
    <n v="28"/>
    <n v="54"/>
    <n v="146"/>
    <n v="20.857142857142858"/>
    <x v="0"/>
    <x v="26"/>
    <x v="9"/>
    <x v="2"/>
  </r>
  <r>
    <s v="814140119050"/>
    <n v="814140"/>
    <s v="SAI RAM KRISHI FARM"/>
    <n v="119050"/>
    <s v="RAJASTHAN CEMENT CORPORATION"/>
    <n v="10"/>
    <n v="10"/>
    <n v="48.5"/>
    <n v="39.5"/>
    <n v="15"/>
    <n v="30.5"/>
    <n v="30"/>
    <n v="183.5"/>
    <n v="26.214285714285715"/>
    <x v="0"/>
    <x v="26"/>
    <x v="9"/>
    <x v="2"/>
  </r>
  <r>
    <s v="808328121572"/>
    <n v="808328"/>
    <s v="RAJ ELECTRIC AND MACHINERY STO"/>
    <n v="121572"/>
    <s v="FAKHRUDDIN ABDEALI LUKA WALA"/>
    <n v="10"/>
    <n v="15"/>
    <n v="25"/>
    <n v="29.5"/>
    <n v="45"/>
    <n v="37.5"/>
    <n v="20"/>
    <n v="182"/>
    <n v="26"/>
    <x v="0"/>
    <x v="26"/>
    <x v="9"/>
    <x v="2"/>
  </r>
  <r>
    <s v="809217121572"/>
    <n v="809217"/>
    <s v="SAIFEE HARDWARE"/>
    <n v="121572"/>
    <s v="FAKHRUDDIN ABDEALI LUKA WALA"/>
    <n v="20"/>
    <n v="15"/>
    <n v="35"/>
    <n v="37.5"/>
    <n v="27.5"/>
    <n v="37.5"/>
    <n v="10"/>
    <n v="182.5"/>
    <n v="26.071428571428573"/>
    <x v="0"/>
    <x v="26"/>
    <x v="9"/>
    <x v="2"/>
  </r>
  <r>
    <s v="808615121574"/>
    <n v="808615"/>
    <s v="JAY AMBE BUILDING MATERIALS"/>
    <n v="121574"/>
    <s v="TORAVAT JAYANTILAL JAVEERCHAND"/>
    <n v="15"/>
    <n v="39"/>
    <n v="92"/>
    <n v="50"/>
    <n v="15"/>
    <n v="50"/>
    <n v="0"/>
    <n v="261"/>
    <n v="37.285714285714285"/>
    <x v="4"/>
    <x v="26"/>
    <x v="9"/>
    <x v="2"/>
  </r>
  <r>
    <s v="808845121574"/>
    <n v="808845"/>
    <s v="VISHAV KARMA PATHAR GODAM"/>
    <n v="121574"/>
    <s v="TORAVAT JAYANTILAL JAVEERCHAND"/>
    <n v="20"/>
    <n v="57"/>
    <n v="100"/>
    <n v="70"/>
    <n v="51"/>
    <n v="51"/>
    <n v="29"/>
    <n v="378"/>
    <n v="54"/>
    <x v="3"/>
    <x v="26"/>
    <x v="9"/>
    <x v="2"/>
  </r>
  <r>
    <s v="802151121706"/>
    <n v="802151"/>
    <s v="AMUL KUMAR ISHWAR LAL"/>
    <n v="121706"/>
    <s v="ANKIT TRADERS"/>
    <n v="70"/>
    <n v="98"/>
    <n v="268"/>
    <n v="275"/>
    <n v="369"/>
    <n v="277"/>
    <n v="205"/>
    <n v="1562"/>
    <n v="223.14285714285714"/>
    <x v="3"/>
    <x v="26"/>
    <x v="9"/>
    <x v="2"/>
  </r>
  <r>
    <s v="808837121706"/>
    <n v="808837"/>
    <s v="MEGHA TRADERS"/>
    <n v="121706"/>
    <s v="ANKIT TRADERS"/>
    <n v="0"/>
    <n v="21"/>
    <n v="30"/>
    <n v="0"/>
    <n v="0"/>
    <n v="0"/>
    <n v="30"/>
    <n v="81"/>
    <n v="11.571428571428571"/>
    <x v="2"/>
    <x v="26"/>
    <x v="9"/>
    <x v="2"/>
  </r>
  <r>
    <s v="803794142332"/>
    <n v="803794"/>
    <s v="RAMAN LAL DEVNATH JI BHATI"/>
    <n v="142332"/>
    <s v="SANTOSH KIRANA AND CEMENT"/>
    <n v="20"/>
    <n v="0"/>
    <n v="0"/>
    <n v="0"/>
    <n v="0"/>
    <n v="0"/>
    <n v="0"/>
    <n v="20"/>
    <n v="2.8571428571428572"/>
    <x v="1"/>
    <x v="26"/>
    <x v="9"/>
    <x v="2"/>
  </r>
  <r>
    <s v="810560142332"/>
    <n v="810560"/>
    <s v="JAYNTILAL PARMAR"/>
    <n v="142332"/>
    <s v="SANTOSH KIRANA AND CEMENT"/>
    <n v="15"/>
    <n v="52.5"/>
    <n v="80"/>
    <n v="70"/>
    <n v="65"/>
    <n v="47.5"/>
    <n v="40"/>
    <n v="370"/>
    <n v="52.857142857142854"/>
    <x v="3"/>
    <x v="26"/>
    <x v="9"/>
    <x v="2"/>
  </r>
  <r>
    <s v="815836142332"/>
    <n v="815836"/>
    <s v="RUDRAKSH AUTO PARTS"/>
    <n v="142332"/>
    <s v="SANTOSH KIRANA AND CEMENT"/>
    <n v="0"/>
    <n v="0"/>
    <n v="0"/>
    <n v="0"/>
    <n v="40"/>
    <n v="22.5"/>
    <n v="0"/>
    <n v="62.5"/>
    <n v="8.9285714285714288"/>
    <x v="1"/>
    <x v="26"/>
    <x v="9"/>
    <x v="2"/>
  </r>
  <r>
    <s v="816189144279"/>
    <n v="816189"/>
    <s v="SHANTILAL RAKHABCHAND JAIN"/>
    <n v="144279"/>
    <s v="SHREE PADAMAVATI TRADERS"/>
    <n v="0"/>
    <n v="0"/>
    <n v="0"/>
    <n v="0"/>
    <n v="0"/>
    <n v="50"/>
    <n v="30"/>
    <n v="80"/>
    <n v="11.428571428571429"/>
    <x v="2"/>
    <x v="26"/>
    <x v="9"/>
    <x v="2"/>
  </r>
  <r>
    <s v="809368144447"/>
    <n v="809368"/>
    <s v="ARVIND KIRANA STORE"/>
    <n v="144447"/>
    <s v="PARAS ENTERPRISES"/>
    <n v="25"/>
    <n v="25"/>
    <n v="45"/>
    <n v="59.5"/>
    <n v="62.5"/>
    <n v="37.5"/>
    <n v="30"/>
    <n v="284.5"/>
    <n v="40.642857142857146"/>
    <x v="5"/>
    <x v="26"/>
    <x v="9"/>
    <x v="2"/>
  </r>
  <r>
    <s v="810274144447"/>
    <n v="810274"/>
    <s v="LEHARI VASTU SHASTRA &amp; CONSULT"/>
    <n v="144447"/>
    <s v="PARAS ENTERPRISES"/>
    <n v="20"/>
    <n v="0"/>
    <n v="30"/>
    <n v="30"/>
    <n v="38.5"/>
    <n v="30"/>
    <n v="20"/>
    <n v="168.5"/>
    <n v="24.071428571428573"/>
    <x v="0"/>
    <x v="26"/>
    <x v="9"/>
    <x v="2"/>
  </r>
  <r>
    <s v="812507144447"/>
    <n v="812507"/>
    <s v="MEWAR MILK COLLECTION CENTER"/>
    <n v="144447"/>
    <s v="PARAS ENTERPRISES"/>
    <n v="0"/>
    <n v="0"/>
    <n v="10"/>
    <n v="15"/>
    <n v="20"/>
    <n v="0"/>
    <n v="0"/>
    <n v="45"/>
    <n v="6.4285714285714288"/>
    <x v="1"/>
    <x v="26"/>
    <x v="9"/>
    <x v="2"/>
  </r>
  <r>
    <s v="813647144447"/>
    <n v="813647"/>
    <s v="POOJA CONSTRUCTION"/>
    <n v="144447"/>
    <s v="PARAS ENTERPRISES"/>
    <n v="5"/>
    <n v="2.5"/>
    <n v="10"/>
    <n v="13"/>
    <n v="0"/>
    <n v="0"/>
    <n v="0"/>
    <n v="30.5"/>
    <n v="4.3571428571428568"/>
    <x v="1"/>
    <x v="26"/>
    <x v="9"/>
    <x v="2"/>
  </r>
  <r>
    <s v="815016144447"/>
    <n v="815016"/>
    <s v="MAA TRIPURA CEMENT SUPPLIERS"/>
    <n v="144447"/>
    <s v="PARAS ENTERPRISES"/>
    <n v="10"/>
    <n v="65"/>
    <n v="70"/>
    <n v="33"/>
    <n v="22"/>
    <n v="37.5"/>
    <n v="20"/>
    <n v="257.5"/>
    <n v="36.785714285714285"/>
    <x v="4"/>
    <x v="26"/>
    <x v="9"/>
    <x v="2"/>
  </r>
  <r>
    <s v="809418144747"/>
    <n v="809418"/>
    <s v="HARI OM CONSTRUCTION"/>
    <n v="144747"/>
    <s v="ROOP ENTERPRISES"/>
    <n v="0"/>
    <n v="0"/>
    <n v="35"/>
    <n v="0"/>
    <n v="0"/>
    <n v="0"/>
    <n v="0"/>
    <n v="35"/>
    <n v="5"/>
    <x v="1"/>
    <x v="26"/>
    <x v="9"/>
    <x v="2"/>
  </r>
  <r>
    <s v="814011144747"/>
    <n v="814011"/>
    <s v="BAJRANG BUILDING MATERIALS"/>
    <n v="144747"/>
    <s v="ROOP ENTERPRISES"/>
    <n v="15"/>
    <n v="7"/>
    <n v="80"/>
    <n v="75"/>
    <n v="20"/>
    <n v="0"/>
    <n v="0"/>
    <n v="197"/>
    <n v="28.142857142857142"/>
    <x v="0"/>
    <x v="26"/>
    <x v="9"/>
    <x v="2"/>
  </r>
  <r>
    <s v="814048144747"/>
    <n v="814048"/>
    <s v="JETHOLESHWAR ENTERPRISES"/>
    <n v="144747"/>
    <s v="ROOP ENTERPRISES"/>
    <n v="15"/>
    <n v="192.5"/>
    <n v="190"/>
    <n v="187"/>
    <n v="170.5"/>
    <n v="145.5"/>
    <n v="63.5"/>
    <n v="964"/>
    <n v="137.71428571428572"/>
    <x v="3"/>
    <x v="26"/>
    <x v="9"/>
    <x v="2"/>
  </r>
  <r>
    <s v="815232144747"/>
    <n v="815232"/>
    <s v="FAKHRI ENTERPRISES"/>
    <n v="144747"/>
    <s v="ROOP ENTERPRISES"/>
    <n v="0"/>
    <n v="0"/>
    <n v="35"/>
    <n v="74"/>
    <n v="52"/>
    <n v="69.5"/>
    <n v="20"/>
    <n v="250.5"/>
    <n v="35.785714285714285"/>
    <x v="4"/>
    <x v="26"/>
    <x v="9"/>
    <x v="2"/>
  </r>
  <r>
    <s v="808198144804"/>
    <n v="808198"/>
    <s v="SHIV LAL PRABHU LALAJI PATEL"/>
    <n v="144804"/>
    <s v="MANGAL JI MADHAV JI"/>
    <n v="0"/>
    <n v="0"/>
    <n v="20"/>
    <n v="32.5"/>
    <n v="5"/>
    <n v="20"/>
    <n v="27.5"/>
    <n v="105"/>
    <n v="15"/>
    <x v="2"/>
    <x v="26"/>
    <x v="9"/>
    <x v="2"/>
  </r>
  <r>
    <s v="808792144804"/>
    <n v="808792"/>
    <s v="HONEY TRADERS"/>
    <n v="144804"/>
    <s v="MANGAL JI MADHAV JI"/>
    <n v="0"/>
    <n v="20"/>
    <n v="40"/>
    <n v="27.5"/>
    <n v="27.5"/>
    <n v="31"/>
    <n v="20"/>
    <n v="166"/>
    <n v="23.714285714285715"/>
    <x v="0"/>
    <x v="26"/>
    <x v="9"/>
    <x v="2"/>
  </r>
  <r>
    <s v="813277146910"/>
    <n v="813277"/>
    <s v="KAVITA TRADERS"/>
    <n v="146910"/>
    <s v="KOTHARI KANTILAL SHANKARLAL"/>
    <n v="5"/>
    <n v="20"/>
    <n v="20"/>
    <n v="41"/>
    <n v="7.5"/>
    <n v="25"/>
    <n v="5"/>
    <n v="123.5"/>
    <n v="17.642857142857142"/>
    <x v="2"/>
    <x v="26"/>
    <x v="9"/>
    <x v="2"/>
  </r>
  <r>
    <s v="813279146910"/>
    <n v="813279"/>
    <s v="ASHISH MANISH TRADERS"/>
    <n v="146910"/>
    <s v="KOTHARI KANTILAL SHANKARLAL"/>
    <n v="5"/>
    <n v="10"/>
    <n v="5"/>
    <n v="25"/>
    <n v="22.5"/>
    <n v="45"/>
    <n v="20"/>
    <n v="132.5"/>
    <n v="18.928571428571427"/>
    <x v="2"/>
    <x v="26"/>
    <x v="9"/>
    <x v="2"/>
  </r>
  <r>
    <s v="812757147110"/>
    <n v="812757"/>
    <s v="KALPESH  PATEL"/>
    <n v="147110"/>
    <s v="RAKESH PATEL"/>
    <n v="30"/>
    <n v="35"/>
    <n v="30.5"/>
    <n v="22.5"/>
    <n v="5"/>
    <n v="5"/>
    <n v="0"/>
    <n v="128"/>
    <n v="18.285714285714285"/>
    <x v="2"/>
    <x v="26"/>
    <x v="9"/>
    <x v="2"/>
  </r>
  <r>
    <s v="808310172084"/>
    <n v="808310"/>
    <s v="GOPAL LAL PATIDAR"/>
    <n v="172084"/>
    <s v="PRAJAPATI BUILDING MATERIAL"/>
    <n v="20"/>
    <n v="30"/>
    <n v="65"/>
    <n v="70"/>
    <n v="40"/>
    <n v="20"/>
    <n v="15"/>
    <n v="260"/>
    <n v="37.142857142857146"/>
    <x v="4"/>
    <x v="26"/>
    <x v="9"/>
    <x v="2"/>
  </r>
  <r>
    <s v="810159172084"/>
    <n v="810159"/>
    <s v="MAHADEV BUILDING MATERIAL"/>
    <n v="172084"/>
    <s v="PRAJAPATI BUILDING MATERIAL"/>
    <n v="30"/>
    <n v="80"/>
    <n v="50"/>
    <n v="77.5"/>
    <n v="70"/>
    <n v="41"/>
    <n v="60"/>
    <n v="408.5"/>
    <n v="58.357142857142854"/>
    <x v="3"/>
    <x v="26"/>
    <x v="9"/>
    <x v="2"/>
  </r>
  <r>
    <s v="812267172084"/>
    <n v="812267"/>
    <s v="OM SAI BUILDING MATERIAL &amp; CON"/>
    <n v="172084"/>
    <s v="PRAJAPATI BUILDING MATERIAL"/>
    <n v="135"/>
    <n v="108"/>
    <n v="117"/>
    <n v="132.5"/>
    <n v="65"/>
    <n v="106"/>
    <n v="60"/>
    <n v="723.5"/>
    <n v="103.35714285714286"/>
    <x v="3"/>
    <x v="26"/>
    <x v="9"/>
    <x v="2"/>
  </r>
  <r>
    <s v="814013172084"/>
    <n v="814013"/>
    <s v="MAYAL TRADERS"/>
    <n v="172084"/>
    <s v="PRAJAPATI BUILDING MATERIAL"/>
    <n v="0"/>
    <n v="0"/>
    <n v="0"/>
    <n v="10"/>
    <n v="0"/>
    <n v="15"/>
    <n v="10"/>
    <n v="35"/>
    <n v="5"/>
    <x v="1"/>
    <x v="26"/>
    <x v="9"/>
    <x v="2"/>
  </r>
  <r>
    <s v="814596172084"/>
    <n v="814596"/>
    <s v="MADHAV LAL &amp; SONS"/>
    <n v="172084"/>
    <s v="PRAJAPATI BUILDING MATERIAL"/>
    <n v="50"/>
    <n v="70"/>
    <n v="95"/>
    <n v="89"/>
    <n v="55"/>
    <n v="95"/>
    <n v="50"/>
    <n v="504"/>
    <n v="72"/>
    <x v="3"/>
    <x v="26"/>
    <x v="9"/>
    <x v="2"/>
  </r>
  <r>
    <s v="808552173728"/>
    <n v="808552"/>
    <s v="SAI TRADERS"/>
    <n v="173728"/>
    <s v="LAXMI CEMANT AND BUILDING MATE"/>
    <n v="43"/>
    <n v="57.5"/>
    <n v="25"/>
    <n v="65"/>
    <n v="25"/>
    <n v="103.95"/>
    <n v="8"/>
    <n v="327.45"/>
    <n v="46.778571428571425"/>
    <x v="5"/>
    <x v="26"/>
    <x v="9"/>
    <x v="2"/>
  </r>
  <r>
    <s v="813679173728"/>
    <n v="813679"/>
    <s v="BASANTI TRADERS"/>
    <n v="173728"/>
    <s v="LAXMI CEMANT AND BUILDING MATE"/>
    <n v="41"/>
    <n v="42.5"/>
    <n v="10"/>
    <n v="60"/>
    <n v="30"/>
    <n v="53.5"/>
    <n v="0"/>
    <n v="237"/>
    <n v="33.857142857142854"/>
    <x v="4"/>
    <x v="26"/>
    <x v="9"/>
    <x v="2"/>
  </r>
  <r>
    <s v="815906174377"/>
    <n v="815906"/>
    <s v="SHREEJI CONSTRUCTION"/>
    <n v="174377"/>
    <s v="PATIDAR CEMENT CORPORATION"/>
    <n v="0"/>
    <n v="0"/>
    <n v="0"/>
    <n v="0"/>
    <n v="0"/>
    <n v="42.5"/>
    <n v="18.5"/>
    <n v="61"/>
    <n v="8.7142857142857135"/>
    <x v="1"/>
    <x v="26"/>
    <x v="9"/>
    <x v="2"/>
  </r>
  <r>
    <s v="813060174558"/>
    <n v="813060"/>
    <s v="SHIV SHAKTI TRADERS"/>
    <n v="174558"/>
    <s v="HARI OM MATERIAL SUPPLIERS"/>
    <n v="0"/>
    <n v="0"/>
    <n v="0"/>
    <n v="35"/>
    <n v="44.5"/>
    <n v="27.5"/>
    <n v="0"/>
    <n v="107"/>
    <n v="15.285714285714286"/>
    <x v="2"/>
    <x v="26"/>
    <x v="9"/>
    <x v="2"/>
  </r>
  <r>
    <s v="802210174756"/>
    <n v="802210"/>
    <s v="ANNAPURNA CEMENT SUPPLIERS"/>
    <n v="174756"/>
    <s v="SHAH TRADERS"/>
    <n v="30"/>
    <n v="10"/>
    <n v="25"/>
    <n v="67.5"/>
    <n v="20"/>
    <n v="0"/>
    <n v="15"/>
    <n v="167.5"/>
    <n v="23.928571428571427"/>
    <x v="0"/>
    <x v="26"/>
    <x v="9"/>
    <x v="2"/>
  </r>
  <r>
    <s v="802371174756"/>
    <n v="802371"/>
    <s v="PATIDAR TRADING COMPANY"/>
    <n v="174756"/>
    <s v="SHAH TRADERS"/>
    <n v="12"/>
    <n v="15"/>
    <n v="20"/>
    <n v="56.5"/>
    <n v="35"/>
    <n v="7.5"/>
    <n v="42.5"/>
    <n v="188.5"/>
    <n v="26.928571428571427"/>
    <x v="0"/>
    <x v="26"/>
    <x v="9"/>
    <x v="2"/>
  </r>
  <r>
    <s v="802968174756"/>
    <n v="802968"/>
    <s v="VEER PRAKASH CHOTA LAL JAIN"/>
    <n v="174756"/>
    <s v="SHAH TRADERS"/>
    <n v="15"/>
    <n v="22.5"/>
    <n v="40"/>
    <n v="32.5"/>
    <n v="15"/>
    <n v="23.5"/>
    <n v="20"/>
    <n v="168.5"/>
    <n v="24.071428571428573"/>
    <x v="0"/>
    <x v="26"/>
    <x v="9"/>
    <x v="2"/>
  </r>
  <r>
    <s v="802972174756"/>
    <n v="802972"/>
    <s v="MOHAN LAL PATEL S/O VEL JI PAT"/>
    <n v="174756"/>
    <s v="SHAH TRADERS"/>
    <n v="0"/>
    <n v="17"/>
    <n v="15"/>
    <n v="17.5"/>
    <n v="16"/>
    <n v="10"/>
    <n v="0"/>
    <n v="75.5"/>
    <n v="10.785714285714286"/>
    <x v="2"/>
    <x v="26"/>
    <x v="9"/>
    <x v="2"/>
  </r>
  <r>
    <s v="804050174756"/>
    <n v="804050"/>
    <s v="NILESH TRADERS"/>
    <n v="174756"/>
    <s v="SHAH TRADERS"/>
    <n v="30"/>
    <n v="34.5"/>
    <n v="45"/>
    <n v="70"/>
    <n v="15"/>
    <n v="13"/>
    <n v="25"/>
    <n v="232.5"/>
    <n v="33.214285714285715"/>
    <x v="4"/>
    <x v="26"/>
    <x v="9"/>
    <x v="2"/>
  </r>
  <r>
    <s v="808618174756"/>
    <n v="808618"/>
    <s v="HAVCHAND KALAL"/>
    <n v="174756"/>
    <s v="SHAH TRADERS"/>
    <n v="30"/>
    <n v="12"/>
    <n v="50"/>
    <n v="26"/>
    <n v="30"/>
    <n v="12"/>
    <n v="7.5"/>
    <n v="167.5"/>
    <n v="23.928571428571427"/>
    <x v="0"/>
    <x v="26"/>
    <x v="9"/>
    <x v="2"/>
  </r>
  <r>
    <s v="808894174756"/>
    <n v="808894"/>
    <s v="POPATLAL KALAL"/>
    <n v="174756"/>
    <s v="SHAH TRADERS"/>
    <n v="23.5"/>
    <n v="25"/>
    <n v="45"/>
    <n v="38.5"/>
    <n v="15"/>
    <n v="14"/>
    <n v="0"/>
    <n v="161"/>
    <n v="23"/>
    <x v="0"/>
    <x v="26"/>
    <x v="9"/>
    <x v="2"/>
  </r>
  <r>
    <s v="809420174756"/>
    <n v="809420"/>
    <s v="HITESH KALAL"/>
    <n v="174756"/>
    <s v="SHAH TRADERS"/>
    <n v="0"/>
    <n v="15"/>
    <n v="38"/>
    <n v="45"/>
    <n v="15"/>
    <n v="17.5"/>
    <n v="12"/>
    <n v="142.5"/>
    <n v="20.357142857142858"/>
    <x v="0"/>
    <x v="26"/>
    <x v="9"/>
    <x v="2"/>
  </r>
  <r>
    <s v="811047174756"/>
    <n v="811047"/>
    <s v="RAI SINGH AND SANTOSH KUNWAR"/>
    <n v="174756"/>
    <s v="SHAH TRADERS"/>
    <n v="25"/>
    <n v="35"/>
    <n v="66.25"/>
    <n v="26"/>
    <n v="35"/>
    <n v="22.5"/>
    <n v="47.5"/>
    <n v="257.25"/>
    <n v="36.75"/>
    <x v="4"/>
    <x v="26"/>
    <x v="9"/>
    <x v="2"/>
  </r>
  <r>
    <s v="812317174756"/>
    <n v="812317"/>
    <s v="AMRIT LAL SUTHAR"/>
    <n v="174756"/>
    <s v="SHAH TRADERS"/>
    <n v="10"/>
    <n v="25"/>
    <n v="45"/>
    <n v="73.5"/>
    <n v="30"/>
    <n v="27"/>
    <n v="17.5"/>
    <n v="228"/>
    <n v="32.571428571428569"/>
    <x v="4"/>
    <x v="26"/>
    <x v="9"/>
    <x v="2"/>
  </r>
  <r>
    <s v="815837174756"/>
    <n v="815837"/>
    <s v="AANJANA MATERIAL SUPPLIERS"/>
    <n v="174756"/>
    <s v="SHAH TRADERS"/>
    <n v="0"/>
    <n v="0"/>
    <n v="0"/>
    <n v="0"/>
    <n v="5"/>
    <n v="3"/>
    <n v="0"/>
    <n v="8"/>
    <n v="1.1428571428571428"/>
    <x v="1"/>
    <x v="26"/>
    <x v="9"/>
    <x v="2"/>
  </r>
  <r>
    <s v="813302177092"/>
    <n v="813302"/>
    <s v="KHUSHI ENTERPRISE"/>
    <n v="177092"/>
    <s v="RAJARAM BUILDING AND ELECTRICA"/>
    <n v="10"/>
    <n v="0"/>
    <n v="0"/>
    <n v="0"/>
    <n v="0"/>
    <n v="0"/>
    <n v="0"/>
    <n v="10"/>
    <n v="1.4285714285714286"/>
    <x v="1"/>
    <x v="26"/>
    <x v="9"/>
    <x v="2"/>
  </r>
  <r>
    <s v="813303177092"/>
    <n v="813303"/>
    <s v="MAHADEV ELECTRICALS"/>
    <n v="177092"/>
    <s v="RAJARAM BUILDING AND ELECTRICA"/>
    <n v="10"/>
    <n v="0"/>
    <n v="0"/>
    <n v="0"/>
    <n v="0"/>
    <n v="30"/>
    <n v="27.5"/>
    <n v="67.5"/>
    <n v="9.6428571428571423"/>
    <x v="1"/>
    <x v="26"/>
    <x v="9"/>
    <x v="2"/>
  </r>
  <r>
    <s v="813651178223"/>
    <n v="813651"/>
    <s v="JAI KALYAN PASHU AAHAR &amp; BUILD"/>
    <n v="178223"/>
    <s v="M V TRADERS"/>
    <n v="0"/>
    <n v="0"/>
    <n v="20"/>
    <n v="35"/>
    <n v="10"/>
    <n v="0"/>
    <n v="0"/>
    <n v="65"/>
    <n v="9.2857142857142865"/>
    <x v="1"/>
    <x v="26"/>
    <x v="9"/>
    <x v="2"/>
  </r>
  <r>
    <s v="805828178818"/>
    <n v="805828"/>
    <s v="THOBJI PATIDAR"/>
    <n v="178818"/>
    <s v="SHIV CORPORATION"/>
    <n v="0"/>
    <n v="0"/>
    <n v="0"/>
    <n v="0"/>
    <n v="10"/>
    <n v="10"/>
    <n v="0"/>
    <n v="20"/>
    <n v="2.8571428571428572"/>
    <x v="1"/>
    <x v="26"/>
    <x v="9"/>
    <x v="2"/>
  </r>
  <r>
    <s v="810841179755"/>
    <n v="810841"/>
    <s v="RAKESH STONE SUPPLIERS"/>
    <n v="179755"/>
    <s v="R &amp; K ENTERPRISES"/>
    <n v="20"/>
    <n v="35"/>
    <n v="55"/>
    <n v="75"/>
    <n v="77"/>
    <n v="40"/>
    <n v="35"/>
    <n v="337"/>
    <n v="48.142857142857146"/>
    <x v="5"/>
    <x v="26"/>
    <x v="9"/>
    <x v="2"/>
  </r>
  <r>
    <s v="813674179755"/>
    <n v="813674"/>
    <s v="BHAVIKA TRADERS"/>
    <n v="179755"/>
    <s v="R &amp; K ENTERPRISES"/>
    <n v="12"/>
    <n v="25"/>
    <n v="50"/>
    <n v="55"/>
    <n v="20"/>
    <n v="0"/>
    <n v="10"/>
    <n v="172"/>
    <n v="24.571428571428573"/>
    <x v="0"/>
    <x v="26"/>
    <x v="9"/>
    <x v="2"/>
  </r>
  <r>
    <s v="813834179755"/>
    <n v="813834"/>
    <s v="SIDDHI VINAYAK TIMBER AND KARS"/>
    <n v="179755"/>
    <s v="R &amp; K ENTERPRISES"/>
    <n v="0"/>
    <n v="43.5"/>
    <n v="85"/>
    <n v="30"/>
    <n v="27.5"/>
    <n v="16"/>
    <n v="30"/>
    <n v="232"/>
    <n v="33.142857142857146"/>
    <x v="4"/>
    <x v="26"/>
    <x v="9"/>
    <x v="2"/>
  </r>
  <r>
    <s v="814603179755"/>
    <n v="814603"/>
    <s v="NILKANTH CONSTRUCTION"/>
    <n v="179755"/>
    <s v="R &amp; K ENTERPRISES"/>
    <n v="10"/>
    <n v="0"/>
    <n v="30"/>
    <n v="30"/>
    <n v="22.5"/>
    <n v="35"/>
    <n v="24"/>
    <n v="151.5"/>
    <n v="21.642857142857142"/>
    <x v="0"/>
    <x v="26"/>
    <x v="9"/>
    <x v="2"/>
  </r>
  <r>
    <s v="814013202709"/>
    <n v="814013"/>
    <s v="MAYAL TRADERS"/>
    <n v="202709"/>
    <s v="GAYATRI TRADING COMPANY"/>
    <n v="32"/>
    <n v="15"/>
    <n v="0"/>
    <n v="0"/>
    <n v="0"/>
    <n v="20"/>
    <n v="0"/>
    <n v="67"/>
    <n v="9.5714285714285712"/>
    <x v="1"/>
    <x v="26"/>
    <x v="9"/>
    <x v="2"/>
  </r>
  <r>
    <s v="803954202842"/>
    <n v="803954"/>
    <s v="BHAGYA LAXMI TRADERS"/>
    <n v="202842"/>
    <s v="M.R.TRADING COMPANY"/>
    <n v="0"/>
    <n v="10"/>
    <n v="0"/>
    <n v="0"/>
    <n v="0"/>
    <n v="0"/>
    <n v="0"/>
    <n v="10"/>
    <n v="1.4285714285714286"/>
    <x v="1"/>
    <x v="26"/>
    <x v="9"/>
    <x v="2"/>
  </r>
  <r>
    <s v="808312202842"/>
    <n v="808312"/>
    <s v="BHOGI LAL SUKH LAL JAIN"/>
    <n v="202842"/>
    <s v="M.R.TRADING COMPANY"/>
    <n v="70"/>
    <n v="51"/>
    <n v="88"/>
    <n v="85"/>
    <n v="80"/>
    <n v="89.7"/>
    <n v="25"/>
    <n v="488.7"/>
    <n v="69.814285714285717"/>
    <x v="3"/>
    <x v="26"/>
    <x v="9"/>
    <x v="2"/>
  </r>
  <r>
    <s v="808928202842"/>
    <n v="808928"/>
    <s v="KUMKUM KIRANA STORE"/>
    <n v="202842"/>
    <s v="M.R.TRADING COMPANY"/>
    <n v="30"/>
    <n v="52"/>
    <n v="100"/>
    <n v="52.5"/>
    <n v="60"/>
    <n v="96.5"/>
    <n v="25"/>
    <n v="416"/>
    <n v="59.428571428571431"/>
    <x v="3"/>
    <x v="26"/>
    <x v="9"/>
    <x v="2"/>
  </r>
  <r>
    <s v="813105202842"/>
    <n v="813105"/>
    <s v="OM SAI KIRANA AND GENERAL STOR"/>
    <n v="202842"/>
    <s v="M.R.TRADING COMPANY"/>
    <n v="0"/>
    <n v="0"/>
    <n v="14"/>
    <n v="39.5"/>
    <n v="45"/>
    <n v="57.5"/>
    <n v="20"/>
    <n v="176"/>
    <n v="25.142857142857142"/>
    <x v="0"/>
    <x v="26"/>
    <x v="9"/>
    <x v="2"/>
  </r>
  <r>
    <s v="808895202881"/>
    <n v="808895"/>
    <s v="TOLACHAND KALAL"/>
    <n v="202881"/>
    <s v="MS SANITARY &amp; PAINTS"/>
    <n v="0"/>
    <n v="0"/>
    <n v="20"/>
    <n v="0"/>
    <n v="0"/>
    <n v="0"/>
    <n v="0"/>
    <n v="20"/>
    <n v="2.8571428571428572"/>
    <x v="1"/>
    <x v="26"/>
    <x v="9"/>
    <x v="2"/>
  </r>
  <r>
    <s v="811254202881"/>
    <n v="811254"/>
    <s v="BHARAT LAL PATIDAR"/>
    <n v="202881"/>
    <s v="MS SANITARY &amp; PAINTS"/>
    <n v="0"/>
    <n v="0"/>
    <n v="20"/>
    <n v="0"/>
    <n v="0"/>
    <n v="0"/>
    <n v="0"/>
    <n v="20"/>
    <n v="2.8571428571428572"/>
    <x v="1"/>
    <x v="26"/>
    <x v="9"/>
    <x v="2"/>
  </r>
  <r>
    <s v="814141202881"/>
    <n v="814141"/>
    <s v="NEW SB HARDWARE AND BUILDING M"/>
    <n v="202881"/>
    <s v="MS SANITARY &amp; PAINTS"/>
    <n v="55"/>
    <n v="34"/>
    <n v="35"/>
    <n v="68.5"/>
    <n v="122"/>
    <n v="30"/>
    <n v="50"/>
    <n v="394.5"/>
    <n v="56.357142857142854"/>
    <x v="3"/>
    <x v="26"/>
    <x v="9"/>
    <x v="2"/>
  </r>
  <r>
    <s v="812267203330"/>
    <n v="812267"/>
    <s v="OM SAI BUILDING MATERIAL &amp; CON"/>
    <n v="203330"/>
    <s v="VIKAS TRADING COMPANY"/>
    <n v="35"/>
    <n v="0"/>
    <n v="0"/>
    <n v="0"/>
    <n v="0"/>
    <n v="0"/>
    <n v="0"/>
    <n v="35"/>
    <n v="5"/>
    <x v="1"/>
    <x v="26"/>
    <x v="9"/>
    <x v="2"/>
  </r>
  <r>
    <s v="814013204933"/>
    <n v="814013"/>
    <s v="MAYAL TRADERS"/>
    <n v="204933"/>
    <s v="KUTUBUDDIN FAKHRUDDIN EZZY"/>
    <n v="0"/>
    <n v="0"/>
    <n v="0"/>
    <n v="11"/>
    <n v="0"/>
    <n v="0"/>
    <n v="0"/>
    <n v="11"/>
    <n v="1.5714285714285714"/>
    <x v="1"/>
    <x v="26"/>
    <x v="9"/>
    <x v="2"/>
  </r>
  <r>
    <s v="805828208066"/>
    <n v="805828"/>
    <s v="THOBJI PATIDAR"/>
    <n v="208066"/>
    <s v="SHIV CORPORATION"/>
    <n v="10"/>
    <n v="25"/>
    <n v="60"/>
    <n v="50"/>
    <n v="34"/>
    <n v="44"/>
    <n v="38.5"/>
    <n v="261.5"/>
    <n v="37.357142857142854"/>
    <x v="4"/>
    <x v="26"/>
    <x v="9"/>
    <x v="2"/>
  </r>
  <r>
    <s v="811254208066"/>
    <n v="811254"/>
    <s v="BHARAT LAL PATIDAR"/>
    <n v="208066"/>
    <s v="SHIV CORPORATION"/>
    <n v="0"/>
    <n v="0"/>
    <n v="0"/>
    <n v="0"/>
    <n v="9.5"/>
    <n v="16"/>
    <n v="5"/>
    <n v="30.5"/>
    <n v="4.3571428571428568"/>
    <x v="1"/>
    <x v="26"/>
    <x v="9"/>
    <x v="2"/>
  </r>
  <r>
    <s v="816501119050"/>
    <n v="816501"/>
    <s v="AMBIKA CONSTRUCTION &amp; BUILDING"/>
    <n v="119050"/>
    <s v="RAJASTHAN CEMENT CORPORATION"/>
    <n v="0"/>
    <n v="0"/>
    <n v="0"/>
    <n v="0"/>
    <n v="0"/>
    <n v="15"/>
    <n v="0"/>
    <n v="15"/>
    <n v="2.1428571428571428"/>
    <x v="1"/>
    <x v="26"/>
    <x v="9"/>
    <x v="2"/>
  </r>
  <r>
    <s v="813834146402"/>
    <n v="813834"/>
    <s v="SIDDHI VINAYAK TIMBER AND KARS"/>
    <n v="146402"/>
    <s v="VIJAY KUMAR AJIT PRASAD"/>
    <n v="0"/>
    <n v="0"/>
    <n v="0"/>
    <n v="0"/>
    <n v="0"/>
    <n v="0"/>
    <n v="10"/>
    <n v="10"/>
    <n v="1.4285714285714286"/>
    <x v="1"/>
    <x v="26"/>
    <x v="9"/>
    <x v="2"/>
  </r>
  <r>
    <s v="816324146910"/>
    <n v="816324"/>
    <s v="MRP CONSTRUCTION AND SUPPLIERS"/>
    <n v="146910"/>
    <s v="KOTHARI KANTILAL SHANKARLAL"/>
    <n v="0"/>
    <n v="0"/>
    <n v="0"/>
    <n v="0"/>
    <n v="0"/>
    <n v="0"/>
    <n v="5"/>
    <n v="5"/>
    <n v="0.7142857142857143"/>
    <x v="1"/>
    <x v="26"/>
    <x v="9"/>
    <x v="2"/>
  </r>
  <r>
    <s v="812617173298"/>
    <n v="812617"/>
    <s v="SHREE GIRRAJ JI TRADERS"/>
    <n v="173298"/>
    <s v="RAKHI AGRO SALES"/>
    <n v="20"/>
    <n v="70"/>
    <n v="40"/>
    <n v="30"/>
    <n v="20"/>
    <n v="40"/>
    <n v="0"/>
    <n v="220"/>
    <n v="31.428571428571427"/>
    <x v="4"/>
    <x v="27"/>
    <x v="10"/>
    <x v="2"/>
  </r>
  <r>
    <s v="814693173298"/>
    <n v="814693"/>
    <s v="DOLI NAGAR ENTERPRISES"/>
    <n v="173298"/>
    <s v="RAKHI AGRO SALES"/>
    <n v="50"/>
    <n v="0"/>
    <n v="40"/>
    <n v="95"/>
    <n v="40"/>
    <n v="10"/>
    <n v="20"/>
    <n v="255"/>
    <n v="36.428571428571431"/>
    <x v="4"/>
    <x v="27"/>
    <x v="10"/>
    <x v="2"/>
  </r>
  <r>
    <s v="815314173298"/>
    <n v="815314"/>
    <s v="GIRIRAJ PRASAD NAGAR"/>
    <n v="173298"/>
    <s v="RAKHI AGRO SALES"/>
    <n v="0"/>
    <n v="0"/>
    <n v="0"/>
    <n v="0"/>
    <n v="30"/>
    <n v="20"/>
    <n v="20"/>
    <n v="70"/>
    <n v="10"/>
    <x v="2"/>
    <x v="27"/>
    <x v="10"/>
    <x v="2"/>
  </r>
  <r>
    <s v="815819173298"/>
    <n v="815819"/>
    <s v="HEMANT"/>
    <n v="173298"/>
    <s v="RAKHI AGRO SALES"/>
    <n v="0"/>
    <n v="0"/>
    <n v="0"/>
    <n v="0"/>
    <n v="30"/>
    <n v="70"/>
    <n v="60"/>
    <n v="160"/>
    <n v="22.857142857142858"/>
    <x v="0"/>
    <x v="27"/>
    <x v="10"/>
    <x v="2"/>
  </r>
  <r>
    <s v="811681173611"/>
    <n v="811681"/>
    <s v="DHAKER CEMENT AGENCY"/>
    <n v="173611"/>
    <s v="AMBIKA TRADERS"/>
    <n v="10"/>
    <n v="0"/>
    <n v="0"/>
    <n v="0"/>
    <n v="0"/>
    <n v="0"/>
    <n v="10"/>
    <n v="20"/>
    <n v="2.8571428571428572"/>
    <x v="1"/>
    <x v="27"/>
    <x v="10"/>
    <x v="2"/>
  </r>
  <r>
    <s v="811897173611"/>
    <n v="811897"/>
    <s v="SHREE DHAKAD BUILDING MATERIAL"/>
    <n v="173611"/>
    <s v="AMBIKA TRADERS"/>
    <n v="10"/>
    <n v="0"/>
    <n v="35"/>
    <n v="20"/>
    <n v="0"/>
    <n v="40"/>
    <n v="0"/>
    <n v="105"/>
    <n v="15"/>
    <x v="2"/>
    <x v="27"/>
    <x v="10"/>
    <x v="2"/>
  </r>
  <r>
    <s v="814507173611"/>
    <n v="814507"/>
    <s v="RAJARAM KUMAWAT"/>
    <n v="173611"/>
    <s v="AMBIKA TRADERS"/>
    <n v="30"/>
    <n v="10"/>
    <n v="0"/>
    <n v="10"/>
    <n v="0"/>
    <n v="0"/>
    <n v="10"/>
    <n v="60"/>
    <n v="8.5714285714285712"/>
    <x v="1"/>
    <x v="27"/>
    <x v="10"/>
    <x v="2"/>
  </r>
  <r>
    <s v="807305173865"/>
    <n v="807305"/>
    <s v="SUMAN CEMENT AGENCY"/>
    <n v="173865"/>
    <s v="BHARDWAJ TRADERS"/>
    <n v="0"/>
    <n v="0"/>
    <n v="20"/>
    <n v="25"/>
    <n v="0"/>
    <n v="0"/>
    <n v="0"/>
    <n v="45"/>
    <n v="6.4285714285714288"/>
    <x v="1"/>
    <x v="27"/>
    <x v="10"/>
    <x v="2"/>
  </r>
  <r>
    <s v="813099173865"/>
    <n v="813099"/>
    <s v="MAHADEV CEMENT AGENCY"/>
    <n v="173865"/>
    <s v="BHARDWAJ TRADERS"/>
    <n v="20"/>
    <n v="20"/>
    <n v="65"/>
    <n v="20"/>
    <n v="0"/>
    <n v="20"/>
    <n v="10"/>
    <n v="155"/>
    <n v="22.142857142857142"/>
    <x v="0"/>
    <x v="27"/>
    <x v="10"/>
    <x v="2"/>
  </r>
  <r>
    <s v="813101173865"/>
    <n v="813101"/>
    <s v="KRISHNA VATAR"/>
    <n v="173865"/>
    <s v="BHARDWAJ TRADERS"/>
    <n v="0"/>
    <n v="0"/>
    <n v="0"/>
    <n v="25"/>
    <n v="0"/>
    <n v="0"/>
    <n v="0"/>
    <n v="25"/>
    <n v="3.5714285714285716"/>
    <x v="1"/>
    <x v="27"/>
    <x v="10"/>
    <x v="2"/>
  </r>
  <r>
    <s v="813118173865"/>
    <n v="813118"/>
    <s v="SHUBH DEEP KRISHI MANDIR"/>
    <n v="173865"/>
    <s v="BHARDWAJ TRADERS"/>
    <n v="20"/>
    <n v="0"/>
    <n v="18.5"/>
    <n v="25"/>
    <n v="0"/>
    <n v="0"/>
    <n v="0"/>
    <n v="63.5"/>
    <n v="9.0714285714285712"/>
    <x v="1"/>
    <x v="27"/>
    <x v="10"/>
    <x v="2"/>
  </r>
  <r>
    <s v="815635173865"/>
    <n v="815635"/>
    <s v="MAHENDRA KUMAR"/>
    <n v="173865"/>
    <s v="BHARDWAJ TRADERS"/>
    <n v="0"/>
    <n v="0"/>
    <n v="0"/>
    <n v="42"/>
    <n v="40"/>
    <n v="0"/>
    <n v="35"/>
    <n v="117"/>
    <n v="16.714285714285715"/>
    <x v="2"/>
    <x v="27"/>
    <x v="10"/>
    <x v="2"/>
  </r>
  <r>
    <s v="811093176844"/>
    <n v="811093"/>
    <s v="YOGENDRA GOYAL"/>
    <n v="176844"/>
    <s v="MITTAL BUILDING MATERIAL"/>
    <n v="0"/>
    <n v="20"/>
    <n v="60"/>
    <n v="55"/>
    <n v="20"/>
    <n v="20"/>
    <n v="32"/>
    <n v="207"/>
    <n v="29.571428571428573"/>
    <x v="0"/>
    <x v="27"/>
    <x v="10"/>
    <x v="2"/>
  </r>
  <r>
    <s v="811165176844"/>
    <n v="811165"/>
    <s v="ROHIT KUMAR MITTAL"/>
    <n v="176844"/>
    <s v="MITTAL BUILDING MATERIAL"/>
    <n v="0"/>
    <n v="30"/>
    <n v="30"/>
    <n v="67"/>
    <n v="15"/>
    <n v="47"/>
    <n v="20"/>
    <n v="209"/>
    <n v="29.857142857142858"/>
    <x v="0"/>
    <x v="27"/>
    <x v="10"/>
    <x v="2"/>
  </r>
  <r>
    <s v="811681177425"/>
    <n v="811681"/>
    <s v="DHAKER CEMENT AGENCY"/>
    <n v="177425"/>
    <s v="KRISHNA FERTILIZERS"/>
    <n v="75"/>
    <n v="0"/>
    <n v="52"/>
    <n v="45"/>
    <n v="10"/>
    <n v="20"/>
    <n v="10"/>
    <n v="212"/>
    <n v="30.285714285714285"/>
    <x v="4"/>
    <x v="27"/>
    <x v="10"/>
    <x v="2"/>
  </r>
  <r>
    <s v="814539201654"/>
    <n v="814539"/>
    <s v="ARIHANT TRADERS"/>
    <n v="201654"/>
    <s v="GARG TRADERS"/>
    <n v="10"/>
    <n v="70"/>
    <n v="20"/>
    <n v="0"/>
    <n v="0"/>
    <n v="0"/>
    <n v="0"/>
    <n v="100"/>
    <n v="14.285714285714286"/>
    <x v="2"/>
    <x v="27"/>
    <x v="10"/>
    <x v="2"/>
  </r>
  <r>
    <s v="812723202980"/>
    <n v="812723"/>
    <s v="MAHAVEER MEHTA"/>
    <n v="202980"/>
    <s v="KAPIL TRADERS"/>
    <n v="147"/>
    <n v="126"/>
    <n v="146.5"/>
    <n v="154"/>
    <n v="0"/>
    <n v="0"/>
    <n v="0"/>
    <n v="573.5"/>
    <n v="81.928571428571431"/>
    <x v="3"/>
    <x v="27"/>
    <x v="10"/>
    <x v="2"/>
  </r>
  <r>
    <s v="815503202980"/>
    <n v="815503"/>
    <s v="JAY NARAYAN NAGAR"/>
    <n v="202980"/>
    <s v="KAPIL TRADERS"/>
    <n v="0"/>
    <n v="0"/>
    <n v="0"/>
    <n v="35"/>
    <n v="0"/>
    <n v="20"/>
    <n v="15"/>
    <n v="70"/>
    <n v="10"/>
    <x v="2"/>
    <x v="27"/>
    <x v="10"/>
    <x v="2"/>
  </r>
  <r>
    <s v="815822202980"/>
    <n v="815822"/>
    <s v="BAJRANG TILES &amp; SANITARY"/>
    <n v="202980"/>
    <s v="KAPIL TRADERS"/>
    <n v="0"/>
    <n v="0"/>
    <n v="0"/>
    <n v="0"/>
    <n v="0"/>
    <n v="41.95"/>
    <n v="42"/>
    <n v="83.95"/>
    <n v="11.992857142857144"/>
    <x v="2"/>
    <x v="27"/>
    <x v="10"/>
    <x v="2"/>
  </r>
  <r>
    <s v="814693204304"/>
    <n v="814693"/>
    <s v="DOLI NAGAR ENTERPRISES"/>
    <n v="204304"/>
    <s v="SHREE KRISHNA FERTILIZERS KRIS"/>
    <n v="0"/>
    <n v="0"/>
    <n v="0"/>
    <n v="0"/>
    <n v="0"/>
    <n v="34"/>
    <n v="0"/>
    <n v="34"/>
    <n v="4.8571428571428568"/>
    <x v="1"/>
    <x v="27"/>
    <x v="10"/>
    <x v="2"/>
  </r>
  <r>
    <s v="814992205620"/>
    <n v="814992"/>
    <s v="KANHIYA LAL"/>
    <n v="205620"/>
    <s v="NISHANT JAISWAL"/>
    <n v="0"/>
    <n v="0"/>
    <n v="0"/>
    <n v="5.25"/>
    <n v="0"/>
    <n v="0"/>
    <n v="0"/>
    <n v="5.25"/>
    <n v="0.75"/>
    <x v="1"/>
    <x v="27"/>
    <x v="10"/>
    <x v="2"/>
  </r>
  <r>
    <s v="814978207895"/>
    <n v="814978"/>
    <s v="SHRI RAM KRISHI SEVA KENDRA"/>
    <n v="207895"/>
    <s v="NISHANT ASSOCIATES"/>
    <n v="45"/>
    <n v="80"/>
    <n v="0"/>
    <n v="0"/>
    <n v="0"/>
    <n v="0"/>
    <n v="0"/>
    <n v="125"/>
    <n v="17.857142857142858"/>
    <x v="2"/>
    <x v="27"/>
    <x v="10"/>
    <x v="2"/>
  </r>
  <r>
    <s v="814992207895"/>
    <n v="814992"/>
    <s v="KANHIYA LAL"/>
    <n v="207895"/>
    <s v="NISHANT ASSOCIATES"/>
    <n v="331"/>
    <n v="434.5"/>
    <n v="284"/>
    <n v="158.75"/>
    <n v="30"/>
    <n v="223"/>
    <n v="33"/>
    <n v="1494.25"/>
    <n v="213.46428571428572"/>
    <x v="3"/>
    <x v="27"/>
    <x v="10"/>
    <x v="2"/>
  </r>
  <r>
    <s v="815027207895"/>
    <n v="815027"/>
    <s v="JAGDISH PRASAD MEWARA"/>
    <n v="207895"/>
    <s v="NISHANT ASSOCIATES"/>
    <n v="0"/>
    <n v="215.5"/>
    <n v="374.5"/>
    <n v="342.25"/>
    <n v="370.5"/>
    <n v="171.25"/>
    <n v="40"/>
    <n v="1514"/>
    <n v="216.28571428571428"/>
    <x v="3"/>
    <x v="27"/>
    <x v="10"/>
    <x v="2"/>
  </r>
  <r>
    <s v="815438208284"/>
    <n v="815438"/>
    <s v="RAMDEV GOCHAR"/>
    <n v="208284"/>
    <s v="SHREE AMAN TRADERS"/>
    <n v="0"/>
    <n v="0"/>
    <n v="0"/>
    <n v="21.5"/>
    <n v="10"/>
    <n v="10"/>
    <n v="0"/>
    <n v="41.5"/>
    <n v="5.9285714285714288"/>
    <x v="1"/>
    <x v="27"/>
    <x v="10"/>
    <x v="2"/>
  </r>
  <r>
    <s v="815905201654"/>
    <n v="815905"/>
    <s v="RAM SHWROOP GOSWAMI"/>
    <n v="201654"/>
    <s v="GARG TRADERS"/>
    <n v="0"/>
    <n v="0"/>
    <n v="0"/>
    <n v="0"/>
    <n v="0"/>
    <n v="0"/>
    <n v="67.5"/>
    <n v="67.5"/>
    <n v="9.6428571428571423"/>
    <x v="1"/>
    <x v="27"/>
    <x v="10"/>
    <x v="2"/>
  </r>
  <r>
    <s v="804888143113"/>
    <n v="804888"/>
    <s v="DEV TRADERS"/>
    <n v="143113"/>
    <s v="SHREE RADHE GOPAL TRDERS"/>
    <n v="43"/>
    <n v="105"/>
    <n v="95"/>
    <n v="136"/>
    <n v="152"/>
    <n v="158"/>
    <n v="109"/>
    <n v="798"/>
    <n v="114"/>
    <x v="3"/>
    <x v="28"/>
    <x v="10"/>
    <x v="2"/>
  </r>
  <r>
    <s v="807812143113"/>
    <n v="807812"/>
    <s v="SUWALKA CEMENT AGENCY"/>
    <n v="143113"/>
    <s v="SHREE RADHE GOPAL TRDERS"/>
    <n v="15"/>
    <n v="45"/>
    <n v="42"/>
    <n v="10"/>
    <n v="40"/>
    <n v="35"/>
    <n v="61"/>
    <n v="248"/>
    <n v="35.428571428571431"/>
    <x v="4"/>
    <x v="28"/>
    <x v="10"/>
    <x v="2"/>
  </r>
  <r>
    <s v="813022143113"/>
    <n v="813022"/>
    <s v="SHREE DEV TRADERS"/>
    <n v="143113"/>
    <s v="SHREE RADHE GOPAL TRDERS"/>
    <n v="22"/>
    <n v="0"/>
    <n v="0"/>
    <n v="0"/>
    <n v="0"/>
    <n v="0"/>
    <n v="0"/>
    <n v="22"/>
    <n v="3.1428571428571428"/>
    <x v="1"/>
    <x v="28"/>
    <x v="10"/>
    <x v="2"/>
  </r>
  <r>
    <s v="804746143114"/>
    <n v="804746"/>
    <s v="RANG LAL CONTRACTOR"/>
    <n v="143114"/>
    <s v="RAJESH TRADING COMPANY"/>
    <n v="45"/>
    <n v="10"/>
    <n v="20"/>
    <n v="13.5"/>
    <n v="20"/>
    <n v="5"/>
    <n v="0"/>
    <n v="113.5"/>
    <n v="16.214285714285715"/>
    <x v="2"/>
    <x v="28"/>
    <x v="10"/>
    <x v="2"/>
  </r>
  <r>
    <s v="804992143114"/>
    <n v="804992"/>
    <s v="SHRI GANPATI CONSTRUCTION &amp; BU"/>
    <n v="143114"/>
    <s v="RAJESH TRADING COMPANY"/>
    <n v="0"/>
    <n v="15"/>
    <n v="0"/>
    <n v="12.75"/>
    <n v="5"/>
    <n v="13"/>
    <n v="0"/>
    <n v="45.75"/>
    <n v="6.5357142857142856"/>
    <x v="1"/>
    <x v="28"/>
    <x v="10"/>
    <x v="2"/>
  </r>
  <r>
    <s v="807490143114"/>
    <n v="807490"/>
    <s v="MAA AASHAPALA CONSTRUCTION COM"/>
    <n v="143114"/>
    <s v="RAJESH TRADING COMPANY"/>
    <n v="0"/>
    <n v="0"/>
    <n v="0"/>
    <n v="0"/>
    <n v="0"/>
    <n v="7"/>
    <n v="0"/>
    <n v="7"/>
    <n v="1"/>
    <x v="1"/>
    <x v="28"/>
    <x v="10"/>
    <x v="2"/>
  </r>
  <r>
    <s v="808732143114"/>
    <n v="808732"/>
    <s v="MAA BHAGWATI CONSTRUCTION"/>
    <n v="143114"/>
    <s v="RAJESH TRADING COMPANY"/>
    <n v="86"/>
    <n v="50"/>
    <n v="60.95"/>
    <n v="26.5"/>
    <n v="37.5"/>
    <n v="76"/>
    <n v="55"/>
    <n v="391.95"/>
    <n v="55.99285714285714"/>
    <x v="3"/>
    <x v="28"/>
    <x v="10"/>
    <x v="2"/>
  </r>
  <r>
    <s v="811088143114"/>
    <n v="811088"/>
    <s v="DEVENDRA KUMAR JAIN"/>
    <n v="143114"/>
    <s v="RAJESH TRADING COMPANY"/>
    <n v="53"/>
    <n v="15"/>
    <n v="95.5"/>
    <n v="102.5"/>
    <n v="87.5"/>
    <n v="70"/>
    <n v="15"/>
    <n v="438.5"/>
    <n v="62.642857142857146"/>
    <x v="3"/>
    <x v="28"/>
    <x v="10"/>
    <x v="2"/>
  </r>
  <r>
    <s v="811588143114"/>
    <n v="811588"/>
    <s v="SATYA NARAYAN NAMA"/>
    <n v="143114"/>
    <s v="RAJESH TRADING COMPANY"/>
    <n v="0"/>
    <n v="0"/>
    <n v="20"/>
    <n v="0"/>
    <n v="0"/>
    <n v="0"/>
    <n v="0"/>
    <n v="20"/>
    <n v="2.8571428571428572"/>
    <x v="1"/>
    <x v="28"/>
    <x v="10"/>
    <x v="2"/>
  </r>
  <r>
    <s v="811891143114"/>
    <n v="811891"/>
    <s v="SHRI DEV CONTRACTOR"/>
    <n v="143114"/>
    <s v="RAJESH TRADING COMPANY"/>
    <n v="0"/>
    <n v="0"/>
    <n v="0"/>
    <n v="0"/>
    <n v="7"/>
    <n v="7"/>
    <n v="0"/>
    <n v="14"/>
    <n v="2"/>
    <x v="1"/>
    <x v="28"/>
    <x v="10"/>
    <x v="2"/>
  </r>
  <r>
    <s v="815275143114"/>
    <n v="815275"/>
    <s v="MEHTA TRADERS"/>
    <n v="143114"/>
    <s v="RAJESH TRADING COMPANY"/>
    <n v="0"/>
    <n v="0"/>
    <n v="0"/>
    <n v="4.5"/>
    <n v="0"/>
    <n v="2"/>
    <n v="0"/>
    <n v="6.5"/>
    <n v="0.9285714285714286"/>
    <x v="1"/>
    <x v="28"/>
    <x v="10"/>
    <x v="2"/>
  </r>
  <r>
    <s v="804365143148"/>
    <n v="804365"/>
    <s v="NAVEEN CEMENT AGENCY"/>
    <n v="143148"/>
    <s v="R.N. YADAV ARA MACHINE"/>
    <n v="15"/>
    <n v="20"/>
    <n v="35"/>
    <n v="45"/>
    <n v="0"/>
    <n v="0"/>
    <n v="20"/>
    <n v="135"/>
    <n v="19.285714285714285"/>
    <x v="2"/>
    <x v="28"/>
    <x v="10"/>
    <x v="2"/>
  </r>
  <r>
    <s v="805810143148"/>
    <n v="805810"/>
    <s v="JAI HANUMAN CEMENT AGENCY"/>
    <n v="143148"/>
    <s v="R.N. YADAV ARA MACHINE"/>
    <n v="37.5"/>
    <n v="52.5"/>
    <n v="91"/>
    <n v="45"/>
    <n v="29.5"/>
    <n v="25"/>
    <n v="52"/>
    <n v="332.5"/>
    <n v="47.5"/>
    <x v="5"/>
    <x v="28"/>
    <x v="10"/>
    <x v="2"/>
  </r>
  <r>
    <s v="805848143148"/>
    <n v="805848"/>
    <s v="HARI OM CEMENT AGENCY"/>
    <n v="143148"/>
    <s v="R.N. YADAV ARA MACHINE"/>
    <n v="15"/>
    <n v="25"/>
    <n v="21"/>
    <n v="22.5"/>
    <n v="0"/>
    <n v="0"/>
    <n v="0"/>
    <n v="83.5"/>
    <n v="11.928571428571429"/>
    <x v="2"/>
    <x v="28"/>
    <x v="10"/>
    <x v="2"/>
  </r>
  <r>
    <s v="807706143148"/>
    <n v="807706"/>
    <s v="VISHNU CEMENT AGENCY AND CONTR"/>
    <n v="143148"/>
    <s v="R.N. YADAV ARA MACHINE"/>
    <n v="30"/>
    <n v="55"/>
    <n v="45"/>
    <n v="57.5"/>
    <n v="0"/>
    <n v="35"/>
    <n v="50"/>
    <n v="272.5"/>
    <n v="38.928571428571431"/>
    <x v="4"/>
    <x v="28"/>
    <x v="10"/>
    <x v="2"/>
  </r>
  <r>
    <s v="815834143148"/>
    <n v="815834"/>
    <s v="JAI AMBAY SAINI"/>
    <n v="143148"/>
    <s v="R.N. YADAV ARA MACHINE"/>
    <n v="0"/>
    <n v="0"/>
    <n v="0"/>
    <n v="0"/>
    <n v="0"/>
    <n v="20"/>
    <n v="30"/>
    <n v="50"/>
    <n v="7.1428571428571432"/>
    <x v="1"/>
    <x v="28"/>
    <x v="10"/>
    <x v="2"/>
  </r>
  <r>
    <s v="805810172193"/>
    <n v="805810"/>
    <s v="JAI HANUMAN CEMENT AGENCY"/>
    <n v="172193"/>
    <s v="VARDHMAN CEMENT AGENCY"/>
    <n v="40"/>
    <n v="0"/>
    <n v="0"/>
    <n v="0"/>
    <n v="0"/>
    <n v="0"/>
    <n v="0"/>
    <n v="40"/>
    <n v="5.7142857142857144"/>
    <x v="1"/>
    <x v="28"/>
    <x v="10"/>
    <x v="2"/>
  </r>
  <r>
    <s v="810084172193"/>
    <n v="810084"/>
    <s v="BALAJI TRADERS"/>
    <n v="172193"/>
    <s v="VARDHMAN CEMENT AGENCY"/>
    <n v="10"/>
    <n v="20"/>
    <n v="15"/>
    <n v="13.5"/>
    <n v="16.5"/>
    <n v="3"/>
    <n v="0"/>
    <n v="78"/>
    <n v="11.142857142857142"/>
    <x v="2"/>
    <x v="28"/>
    <x v="10"/>
    <x v="2"/>
  </r>
  <r>
    <s v="812059172193"/>
    <n v="812059"/>
    <s v="HANUMAN PRASAD MEENA"/>
    <n v="172193"/>
    <s v="VARDHMAN CEMENT AGENCY"/>
    <n v="45"/>
    <n v="80"/>
    <n v="30"/>
    <n v="44.5"/>
    <n v="30"/>
    <n v="39"/>
    <n v="10"/>
    <n v="278.5"/>
    <n v="39.785714285714285"/>
    <x v="4"/>
    <x v="28"/>
    <x v="10"/>
    <x v="2"/>
  </r>
  <r>
    <s v="813023172193"/>
    <n v="813023"/>
    <s v="OMA SHANKAR MEENA"/>
    <n v="172193"/>
    <s v="VARDHMAN CEMENT AGENCY"/>
    <n v="0"/>
    <n v="0"/>
    <n v="0"/>
    <n v="3"/>
    <n v="3.5"/>
    <n v="3"/>
    <n v="0"/>
    <n v="9.5"/>
    <n v="1.3571428571428572"/>
    <x v="1"/>
    <x v="28"/>
    <x v="10"/>
    <x v="2"/>
  </r>
  <r>
    <s v="814298173749"/>
    <n v="814298"/>
    <s v="LEKHRAJ JAIN"/>
    <n v="173749"/>
    <s v="NIDHI ENTERPRISES"/>
    <n v="8.5"/>
    <n v="73"/>
    <n v="135.5"/>
    <n v="87.5"/>
    <n v="85"/>
    <n v="2.5"/>
    <n v="42.55"/>
    <n v="434.55"/>
    <n v="62.078571428571429"/>
    <x v="3"/>
    <x v="28"/>
    <x v="10"/>
    <x v="2"/>
  </r>
  <r>
    <s v="814436173749"/>
    <n v="814436"/>
    <s v="DEV CEMENT AGENCY"/>
    <n v="173749"/>
    <s v="NIDHI ENTERPRISES"/>
    <n v="17.5"/>
    <n v="16"/>
    <n v="0"/>
    <n v="10"/>
    <n v="9.75"/>
    <n v="2.5"/>
    <n v="10"/>
    <n v="65.75"/>
    <n v="9.3928571428571423"/>
    <x v="1"/>
    <x v="28"/>
    <x v="10"/>
    <x v="2"/>
  </r>
  <r>
    <s v="815306179891"/>
    <n v="815306"/>
    <s v="ARIF HUSSAIN"/>
    <n v="179891"/>
    <s v="DOSTI CONSTRUCTION"/>
    <n v="0"/>
    <n v="0"/>
    <n v="45"/>
    <n v="157"/>
    <n v="55"/>
    <n v="65"/>
    <n v="69"/>
    <n v="391"/>
    <n v="55.857142857142854"/>
    <x v="3"/>
    <x v="28"/>
    <x v="10"/>
    <x v="2"/>
  </r>
  <r>
    <s v="811588202204"/>
    <n v="811588"/>
    <s v="SATYA NARAYAN NAMA"/>
    <n v="202204"/>
    <s v="NEERAJ &amp; BROTHERS"/>
    <n v="47.5"/>
    <n v="0"/>
    <n v="65.5"/>
    <n v="93"/>
    <n v="10"/>
    <n v="104"/>
    <n v="35"/>
    <n v="355"/>
    <n v="50.714285714285715"/>
    <x v="3"/>
    <x v="28"/>
    <x v="10"/>
    <x v="2"/>
  </r>
  <r>
    <s v="812005202427"/>
    <n v="812005"/>
    <s v="LALURAM GURJAR"/>
    <n v="202427"/>
    <s v="JAIN KHAD BHANDAR"/>
    <n v="31"/>
    <n v="80"/>
    <n v="84"/>
    <n v="90"/>
    <n v="82.5"/>
    <n v="85.5"/>
    <n v="10"/>
    <n v="463"/>
    <n v="66.142857142857139"/>
    <x v="3"/>
    <x v="28"/>
    <x v="10"/>
    <x v="2"/>
  </r>
  <r>
    <s v="812572202428"/>
    <n v="812572"/>
    <s v="DESHRAJ KUMAWAT"/>
    <n v="202428"/>
    <s v="JAIN HARDWARE AND BUILDING MAT"/>
    <n v="0"/>
    <n v="20"/>
    <n v="27.5"/>
    <n v="17"/>
    <n v="34.1"/>
    <n v="52.85"/>
    <n v="0"/>
    <n v="151.44999999999999"/>
    <n v="21.635714285714283"/>
    <x v="0"/>
    <x v="28"/>
    <x v="10"/>
    <x v="2"/>
  </r>
  <r>
    <s v="812616202428"/>
    <n v="812616"/>
    <s v="JAI MATA DI ENTERPRISES &amp; CEME"/>
    <n v="202428"/>
    <s v="JAIN HARDWARE AND BUILDING MAT"/>
    <n v="50.75"/>
    <n v="20"/>
    <n v="182.5"/>
    <n v="52.25"/>
    <n v="63"/>
    <n v="71.650000000000006"/>
    <n v="0"/>
    <n v="440.15"/>
    <n v="62.878571428571426"/>
    <x v="3"/>
    <x v="28"/>
    <x v="10"/>
    <x v="2"/>
  </r>
  <r>
    <s v="815466202428"/>
    <n v="815466"/>
    <s v="DEV NARAYAN KRISHI SEWA KENDRA"/>
    <n v="202428"/>
    <s v="JAIN HARDWARE AND BUILDING MAT"/>
    <n v="0"/>
    <n v="0"/>
    <n v="0"/>
    <n v="60.5"/>
    <n v="47.9"/>
    <n v="31.5"/>
    <n v="0"/>
    <n v="139.9"/>
    <n v="19.985714285714288"/>
    <x v="2"/>
    <x v="28"/>
    <x v="10"/>
    <x v="2"/>
  </r>
  <r>
    <s v="807707207977"/>
    <n v="807707"/>
    <s v="SHUBHAM CEMENT AGENCY"/>
    <n v="207977"/>
    <s v="YASH TRADERS"/>
    <n v="0"/>
    <n v="0"/>
    <n v="0"/>
    <n v="10"/>
    <n v="20"/>
    <n v="39"/>
    <n v="15"/>
    <n v="84"/>
    <n v="12"/>
    <x v="2"/>
    <x v="28"/>
    <x v="10"/>
    <x v="2"/>
  </r>
  <r>
    <s v="811191207977"/>
    <n v="811191"/>
    <s v="MONU KUMAR TELI"/>
    <n v="207977"/>
    <s v="YASH TRADERS"/>
    <n v="20"/>
    <n v="35"/>
    <n v="20"/>
    <n v="27"/>
    <n v="30"/>
    <n v="6"/>
    <n v="10"/>
    <n v="148"/>
    <n v="21.142857142857142"/>
    <x v="0"/>
    <x v="28"/>
    <x v="10"/>
    <x v="2"/>
  </r>
  <r>
    <s v="811403207977"/>
    <n v="811403"/>
    <s v="AHASAN HUSSAIN CONTRACTOR"/>
    <n v="207977"/>
    <s v="YASH TRADERS"/>
    <n v="0"/>
    <n v="0"/>
    <n v="0"/>
    <n v="0"/>
    <n v="0"/>
    <n v="6"/>
    <n v="5"/>
    <n v="11"/>
    <n v="1.5714285714285714"/>
    <x v="1"/>
    <x v="28"/>
    <x v="10"/>
    <x v="2"/>
  </r>
  <r>
    <s v="813376207977"/>
    <n v="813376"/>
    <s v="SANJAY JAIN"/>
    <n v="207977"/>
    <s v="YASH TRADERS"/>
    <n v="50"/>
    <n v="55"/>
    <n v="135"/>
    <n v="97"/>
    <n v="50"/>
    <n v="68.05"/>
    <n v="70"/>
    <n v="525.04999999999995"/>
    <n v="75.007142857142853"/>
    <x v="3"/>
    <x v="28"/>
    <x v="10"/>
    <x v="2"/>
  </r>
  <r>
    <s v="813438207977"/>
    <n v="813438"/>
    <s v="JAY JAGDAMBA KRISHI SEWA KENDR"/>
    <n v="207977"/>
    <s v="YASH TRADERS"/>
    <n v="13"/>
    <n v="30"/>
    <n v="20"/>
    <n v="27"/>
    <n v="0"/>
    <n v="6"/>
    <n v="5"/>
    <n v="101"/>
    <n v="14.428571428571429"/>
    <x v="2"/>
    <x v="28"/>
    <x v="10"/>
    <x v="2"/>
  </r>
  <r>
    <s v="814031207977"/>
    <n v="814031"/>
    <s v="SHREE GURUKRIPA CEMENT AGENCY"/>
    <n v="207977"/>
    <s v="YASH TRADERS"/>
    <n v="0"/>
    <n v="0"/>
    <n v="0"/>
    <n v="0"/>
    <n v="0"/>
    <n v="6"/>
    <n v="10"/>
    <n v="16"/>
    <n v="2.2857142857142856"/>
    <x v="1"/>
    <x v="28"/>
    <x v="10"/>
    <x v="2"/>
  </r>
  <r>
    <s v="814483207977"/>
    <n v="814483"/>
    <s v="NAGAR ENTERPRISES"/>
    <n v="207977"/>
    <s v="YASH TRADERS"/>
    <n v="0"/>
    <n v="10"/>
    <n v="0"/>
    <n v="0"/>
    <n v="0"/>
    <n v="6"/>
    <n v="5"/>
    <n v="21"/>
    <n v="3"/>
    <x v="1"/>
    <x v="28"/>
    <x v="10"/>
    <x v="2"/>
  </r>
  <r>
    <s v="814522207977"/>
    <n v="814522"/>
    <s v="BALAJI CEMENT AGENCY"/>
    <n v="207977"/>
    <s v="YASH TRADERS"/>
    <n v="0"/>
    <n v="0"/>
    <n v="0"/>
    <n v="9.5"/>
    <n v="0"/>
    <n v="6"/>
    <n v="5"/>
    <n v="20.5"/>
    <n v="2.9285714285714284"/>
    <x v="1"/>
    <x v="28"/>
    <x v="10"/>
    <x v="2"/>
  </r>
  <r>
    <s v="814625207977"/>
    <n v="814625"/>
    <s v="SHRI RAM FERTILIZER"/>
    <n v="207977"/>
    <s v="YASH TRADERS"/>
    <n v="10"/>
    <n v="0"/>
    <n v="20"/>
    <n v="45"/>
    <n v="30"/>
    <n v="20"/>
    <n v="10"/>
    <n v="135"/>
    <n v="19.285714285714285"/>
    <x v="2"/>
    <x v="28"/>
    <x v="10"/>
    <x v="2"/>
  </r>
  <r>
    <s v="815274207977"/>
    <n v="815274"/>
    <s v="NEHA TRADERS"/>
    <n v="207977"/>
    <s v="YASH TRADERS"/>
    <n v="0"/>
    <n v="0"/>
    <n v="0"/>
    <n v="9.5"/>
    <n v="5"/>
    <n v="6"/>
    <n v="5"/>
    <n v="25.5"/>
    <n v="3.6428571428571428"/>
    <x v="1"/>
    <x v="28"/>
    <x v="10"/>
    <x v="2"/>
  </r>
  <r>
    <s v="815609207977"/>
    <n v="815609"/>
    <s v="PARMESWAR KUMAR BAHEDIYA"/>
    <n v="207977"/>
    <s v="YASH TRADERS"/>
    <n v="0"/>
    <n v="0"/>
    <n v="0"/>
    <n v="0"/>
    <n v="15"/>
    <n v="21"/>
    <n v="0"/>
    <n v="36"/>
    <n v="5.1428571428571432"/>
    <x v="1"/>
    <x v="28"/>
    <x v="10"/>
    <x v="2"/>
  </r>
  <r>
    <s v="816239207977"/>
    <n v="816239"/>
    <s v="HARSHITA ENTERPRISES"/>
    <n v="207977"/>
    <s v="YASH TRADERS"/>
    <n v="0"/>
    <n v="0"/>
    <n v="0"/>
    <n v="0"/>
    <n v="0"/>
    <n v="18"/>
    <n v="28"/>
    <n v="46"/>
    <n v="6.5714285714285712"/>
    <x v="1"/>
    <x v="28"/>
    <x v="10"/>
    <x v="2"/>
  </r>
  <r>
    <s v="807490173749"/>
    <n v="807490"/>
    <s v="MAA AASHAPALA CONSTRUCTION COM"/>
    <n v="173749"/>
    <s v="NIDHI ENTERPRISES"/>
    <n v="0"/>
    <n v="0"/>
    <n v="0"/>
    <n v="0"/>
    <n v="0"/>
    <n v="2.5"/>
    <n v="0"/>
    <n v="2.5"/>
    <n v="0.35714285714285715"/>
    <x v="1"/>
    <x v="28"/>
    <x v="10"/>
    <x v="2"/>
  </r>
  <r>
    <s v="811134173749"/>
    <n v="811134"/>
    <s v="ANKUR ENTERPRISES"/>
    <n v="173749"/>
    <s v="NIDHI ENTERPRISES"/>
    <n v="0"/>
    <n v="0"/>
    <n v="0"/>
    <n v="0"/>
    <n v="0"/>
    <n v="2.5"/>
    <n v="0"/>
    <n v="2.5"/>
    <n v="0.35714285714285715"/>
    <x v="1"/>
    <x v="28"/>
    <x v="10"/>
    <x v="2"/>
  </r>
  <r>
    <s v="811481179891"/>
    <n v="811481"/>
    <s v="M R NIYAJEE TRADERS"/>
    <n v="179891"/>
    <s v="DOSTI CONSTRUCTION"/>
    <n v="0"/>
    <n v="0"/>
    <n v="0"/>
    <n v="0"/>
    <n v="0"/>
    <n v="1"/>
    <n v="0"/>
    <n v="1"/>
    <n v="0.14285714285714285"/>
    <x v="1"/>
    <x v="28"/>
    <x v="10"/>
    <x v="2"/>
  </r>
  <r>
    <s v="812616207977"/>
    <n v="812616"/>
    <s v="JAI MATA DI ENTERPRISES &amp; CEME"/>
    <n v="207977"/>
    <s v="YASH TRADERS"/>
    <n v="0"/>
    <n v="0"/>
    <n v="0"/>
    <n v="0"/>
    <n v="0"/>
    <n v="5"/>
    <n v="0"/>
    <n v="5"/>
    <n v="0.7142857142857143"/>
    <x v="1"/>
    <x v="28"/>
    <x v="10"/>
    <x v="2"/>
  </r>
  <r>
    <s v="816576143114"/>
    <n v="816576"/>
    <s v="MAHAVEER TRADERS"/>
    <n v="143114"/>
    <s v="RAJESH TRADING COMPANY"/>
    <n v="0"/>
    <n v="0"/>
    <n v="0"/>
    <n v="0"/>
    <n v="0"/>
    <n v="5"/>
    <n v="0"/>
    <n v="5"/>
    <n v="0.7142857142857143"/>
    <x v="1"/>
    <x v="28"/>
    <x v="10"/>
    <x v="2"/>
  </r>
  <r>
    <s v="814381170958"/>
    <n v="814381"/>
    <s v="DHAKAD CONSTRUCTION"/>
    <n v="170958"/>
    <s v="JAI SHRI CONSTRUCTION"/>
    <n v="0"/>
    <n v="15"/>
    <n v="0"/>
    <n v="0"/>
    <n v="0"/>
    <n v="0"/>
    <n v="0"/>
    <n v="15"/>
    <n v="2.1428571428571428"/>
    <x v="1"/>
    <x v="29"/>
    <x v="10"/>
    <x v="2"/>
  </r>
  <r>
    <s v="814481170958"/>
    <n v="814481"/>
    <s v="DHAKAD KRISHI SEVA KENDRA"/>
    <n v="170958"/>
    <s v="JAI SHRI CONSTRUCTION"/>
    <n v="0"/>
    <n v="55"/>
    <n v="80"/>
    <n v="25"/>
    <n v="0"/>
    <n v="0"/>
    <n v="0"/>
    <n v="160"/>
    <n v="22.857142857142858"/>
    <x v="0"/>
    <x v="29"/>
    <x v="10"/>
    <x v="2"/>
  </r>
  <r>
    <s v="814504170958"/>
    <n v="814504"/>
    <s v="MAHAKAL ENTERPRISES"/>
    <n v="170958"/>
    <s v="JAI SHRI CONSTRUCTION"/>
    <n v="0"/>
    <n v="55"/>
    <n v="25"/>
    <n v="0"/>
    <n v="0"/>
    <n v="0"/>
    <n v="0"/>
    <n v="80"/>
    <n v="11.428571428571429"/>
    <x v="2"/>
    <x v="29"/>
    <x v="10"/>
    <x v="2"/>
  </r>
  <r>
    <s v="815830170958"/>
    <n v="815830"/>
    <s v="JAI MATA DI MATERIAL SUPPLIERS"/>
    <n v="170958"/>
    <s v="JAI SHRI CONSTRUCTION"/>
    <n v="0"/>
    <n v="0"/>
    <n v="0"/>
    <n v="0"/>
    <n v="7.5"/>
    <n v="50"/>
    <n v="25"/>
    <n v="82.5"/>
    <n v="11.785714285714286"/>
    <x v="2"/>
    <x v="29"/>
    <x v="10"/>
    <x v="2"/>
  </r>
  <r>
    <s v="812571173750"/>
    <n v="812571"/>
    <s v="DURGA TRADERS"/>
    <n v="173750"/>
    <s v="SISODIYA TRADERS"/>
    <n v="17.5"/>
    <n v="0"/>
    <n v="0"/>
    <n v="0"/>
    <n v="0"/>
    <n v="0"/>
    <n v="0"/>
    <n v="17.5"/>
    <n v="2.5"/>
    <x v="1"/>
    <x v="29"/>
    <x v="10"/>
    <x v="2"/>
  </r>
  <r>
    <s v="806360173865"/>
    <n v="806360"/>
    <s v="KAPIL TRADERS"/>
    <n v="173865"/>
    <s v="BHARDWAJ TRADERS"/>
    <n v="85"/>
    <n v="80"/>
    <n v="65"/>
    <n v="72"/>
    <n v="35"/>
    <n v="15"/>
    <n v="37"/>
    <n v="389"/>
    <n v="55.571428571428569"/>
    <x v="3"/>
    <x v="29"/>
    <x v="10"/>
    <x v="2"/>
  </r>
  <r>
    <s v="809004175662"/>
    <n v="809004"/>
    <s v="GOUR CEMENT AGENCY"/>
    <n v="175662"/>
    <s v="VINAYAK CONSTRUCTION COMPANY"/>
    <n v="30"/>
    <n v="30"/>
    <n v="71"/>
    <n v="40"/>
    <n v="0"/>
    <n v="35"/>
    <n v="0"/>
    <n v="206"/>
    <n v="29.428571428571427"/>
    <x v="0"/>
    <x v="29"/>
    <x v="10"/>
    <x v="2"/>
  </r>
  <r>
    <s v="812615177069"/>
    <n v="812615"/>
    <s v="LODHA BUILDING MATERIAL SUPPLI"/>
    <n v="177069"/>
    <s v="LOVEVANSHI ENTERPRISES"/>
    <n v="45"/>
    <n v="105"/>
    <n v="55"/>
    <n v="45"/>
    <n v="70"/>
    <n v="25"/>
    <n v="10"/>
    <n v="355"/>
    <n v="50.714285714285715"/>
    <x v="3"/>
    <x v="29"/>
    <x v="10"/>
    <x v="2"/>
  </r>
  <r>
    <s v="813053177069"/>
    <n v="813053"/>
    <s v="TANWAR CEMENT AGENCY"/>
    <n v="177069"/>
    <s v="LOVEVANSHI ENTERPRISES"/>
    <n v="0"/>
    <n v="25"/>
    <n v="55"/>
    <n v="0"/>
    <n v="0"/>
    <n v="30"/>
    <n v="0"/>
    <n v="110"/>
    <n v="15.714285714285714"/>
    <x v="2"/>
    <x v="29"/>
    <x v="10"/>
    <x v="2"/>
  </r>
  <r>
    <s v="815961177069"/>
    <n v="815961"/>
    <s v="JAIN TRADERS"/>
    <n v="177069"/>
    <s v="LOVEVANSHI ENTERPRISES"/>
    <n v="0"/>
    <n v="0"/>
    <n v="0"/>
    <n v="0"/>
    <n v="25"/>
    <n v="35"/>
    <n v="25"/>
    <n v="85"/>
    <n v="12.142857142857142"/>
    <x v="2"/>
    <x v="29"/>
    <x v="10"/>
    <x v="2"/>
  </r>
  <r>
    <s v="811549178150"/>
    <n v="811549"/>
    <s v="NISHA ENTERPRISES"/>
    <n v="178150"/>
    <s v="FALODI KIRANA STORE"/>
    <n v="0"/>
    <n v="10"/>
    <n v="20"/>
    <n v="25"/>
    <n v="15"/>
    <n v="22.5"/>
    <n v="15"/>
    <n v="107.5"/>
    <n v="15.357142857142858"/>
    <x v="2"/>
    <x v="29"/>
    <x v="10"/>
    <x v="2"/>
  </r>
  <r>
    <s v="811892178150"/>
    <n v="811892"/>
    <s v="FALODI KIRANA STORE"/>
    <n v="178150"/>
    <s v="FALODI KIRANA STORE"/>
    <n v="91.5"/>
    <n v="70"/>
    <n v="52.5"/>
    <n v="70"/>
    <n v="0"/>
    <n v="18"/>
    <n v="0"/>
    <n v="302"/>
    <n v="43.142857142857146"/>
    <x v="5"/>
    <x v="29"/>
    <x v="10"/>
    <x v="2"/>
  </r>
  <r>
    <s v="813633178150"/>
    <n v="813633"/>
    <s v="SISODIYA TRADING COMPANY"/>
    <n v="178150"/>
    <s v="FALODI KIRANA STORE"/>
    <n v="0"/>
    <n v="0"/>
    <n v="0"/>
    <n v="0"/>
    <n v="15"/>
    <n v="0"/>
    <n v="0"/>
    <n v="15"/>
    <n v="2.1428571428571428"/>
    <x v="1"/>
    <x v="29"/>
    <x v="10"/>
    <x v="2"/>
  </r>
  <r>
    <s v="814470178150"/>
    <n v="814470"/>
    <s v="FALODI CONSTRUCTION"/>
    <n v="178150"/>
    <s v="FALODI KIRANA STORE"/>
    <n v="62"/>
    <n v="130"/>
    <n v="55"/>
    <n v="114.5"/>
    <n v="110"/>
    <n v="167.5"/>
    <n v="62.5"/>
    <n v="701.5"/>
    <n v="100.21428571428571"/>
    <x v="3"/>
    <x v="29"/>
    <x v="10"/>
    <x v="2"/>
  </r>
  <r>
    <s v="812778179907"/>
    <n v="812778"/>
    <s v="SHREE SAI SUPPLIERS"/>
    <n v="179907"/>
    <s v="SWETA STONE"/>
    <n v="10"/>
    <n v="10"/>
    <n v="20"/>
    <n v="0"/>
    <n v="0"/>
    <n v="5"/>
    <n v="0"/>
    <n v="45"/>
    <n v="6.4285714285714288"/>
    <x v="1"/>
    <x v="29"/>
    <x v="10"/>
    <x v="2"/>
  </r>
  <r>
    <s v="806359179908"/>
    <n v="806359"/>
    <s v="CHANDRA SHREE ENTERPRISES"/>
    <n v="179908"/>
    <s v="SANWLA ENTERPRISES"/>
    <n v="15"/>
    <n v="0"/>
    <n v="15"/>
    <n v="0"/>
    <n v="0"/>
    <n v="0"/>
    <n v="0"/>
    <n v="30"/>
    <n v="4.2857142857142856"/>
    <x v="1"/>
    <x v="29"/>
    <x v="10"/>
    <x v="2"/>
  </r>
  <r>
    <s v="807439179908"/>
    <n v="807439"/>
    <s v="MANSURI TRADERS"/>
    <n v="179908"/>
    <s v="SANWLA ENTERPRISES"/>
    <n v="0"/>
    <n v="50"/>
    <n v="40"/>
    <n v="40"/>
    <n v="25"/>
    <n v="35"/>
    <n v="0"/>
    <n v="190"/>
    <n v="27.142857142857142"/>
    <x v="0"/>
    <x v="29"/>
    <x v="10"/>
    <x v="2"/>
  </r>
  <r>
    <s v="811546179908"/>
    <n v="811546"/>
    <s v="LUCKY BUILDING MATERIAL"/>
    <n v="179908"/>
    <s v="SANWLA ENTERPRISES"/>
    <n v="45"/>
    <n v="50"/>
    <n v="15"/>
    <n v="35"/>
    <n v="30"/>
    <n v="41"/>
    <n v="20"/>
    <n v="236"/>
    <n v="33.714285714285715"/>
    <x v="4"/>
    <x v="29"/>
    <x v="10"/>
    <x v="2"/>
  </r>
  <r>
    <s v="811547179908"/>
    <n v="811547"/>
    <s v="ADITYA ENTERPRISES"/>
    <n v="179908"/>
    <s v="SANWLA ENTERPRISES"/>
    <n v="15"/>
    <n v="10"/>
    <n v="0"/>
    <n v="7.5"/>
    <n v="0"/>
    <n v="0"/>
    <n v="0"/>
    <n v="32.5"/>
    <n v="4.6428571428571432"/>
    <x v="1"/>
    <x v="29"/>
    <x v="10"/>
    <x v="2"/>
  </r>
  <r>
    <s v="812060179908"/>
    <n v="812060"/>
    <s v="PATIDAR BROTHERS"/>
    <n v="179908"/>
    <s v="SANWLA ENTERPRISES"/>
    <n v="10"/>
    <n v="20"/>
    <n v="76"/>
    <n v="35"/>
    <n v="12.5"/>
    <n v="25"/>
    <n v="0"/>
    <n v="178.5"/>
    <n v="25.5"/>
    <x v="0"/>
    <x v="29"/>
    <x v="10"/>
    <x v="2"/>
  </r>
  <r>
    <s v="812065179908"/>
    <n v="812065"/>
    <s v="SISODIYA CONSTRUCTION AND SUPP"/>
    <n v="179908"/>
    <s v="SANWLA ENTERPRISES"/>
    <n v="35"/>
    <n v="0"/>
    <n v="0"/>
    <n v="35"/>
    <n v="0"/>
    <n v="22"/>
    <n v="0"/>
    <n v="92"/>
    <n v="13.142857142857142"/>
    <x v="2"/>
    <x v="29"/>
    <x v="10"/>
    <x v="2"/>
  </r>
  <r>
    <s v="813048179908"/>
    <n v="813048"/>
    <s v="BHAGWAN CONSTRUCTION"/>
    <n v="179908"/>
    <s v="SANWLA ENTERPRISES"/>
    <n v="0"/>
    <n v="10"/>
    <n v="0"/>
    <n v="0"/>
    <n v="0"/>
    <n v="30"/>
    <n v="0"/>
    <n v="40"/>
    <n v="5.7142857142857144"/>
    <x v="1"/>
    <x v="29"/>
    <x v="10"/>
    <x v="2"/>
  </r>
  <r>
    <s v="812409202225"/>
    <n v="812409"/>
    <s v="RATHORE CEMENT AGENCY"/>
    <n v="202225"/>
    <s v="ASTOLIA INDUSTRIES"/>
    <n v="72.5"/>
    <n v="52"/>
    <n v="13.5"/>
    <n v="35"/>
    <n v="15"/>
    <n v="15"/>
    <n v="0"/>
    <n v="203"/>
    <n v="29"/>
    <x v="0"/>
    <x v="29"/>
    <x v="10"/>
    <x v="2"/>
  </r>
  <r>
    <s v="812780202225"/>
    <n v="812780"/>
    <s v="SHREE KRISHANA BUILDING MATERI"/>
    <n v="202225"/>
    <s v="ASTOLIA INDUSTRIES"/>
    <n v="87.5"/>
    <n v="75"/>
    <n v="40"/>
    <n v="24"/>
    <n v="20"/>
    <n v="15"/>
    <n v="0"/>
    <n v="261.5"/>
    <n v="37.357142857142854"/>
    <x v="4"/>
    <x v="29"/>
    <x v="10"/>
    <x v="2"/>
  </r>
  <r>
    <s v="813150202225"/>
    <n v="813150"/>
    <s v="JAI DURGA TRADERS"/>
    <n v="202225"/>
    <s v="ASTOLIA INDUSTRIES"/>
    <n v="30"/>
    <n v="55"/>
    <n v="60"/>
    <n v="35"/>
    <n v="0"/>
    <n v="0"/>
    <n v="0"/>
    <n v="180"/>
    <n v="25.714285714285715"/>
    <x v="0"/>
    <x v="29"/>
    <x v="10"/>
    <x v="2"/>
  </r>
  <r>
    <s v="813635202225"/>
    <n v="813635"/>
    <s v="M R SHARMA BUILDING MATERIAL S"/>
    <n v="202225"/>
    <s v="ASTOLIA INDUSTRIES"/>
    <n v="124.5"/>
    <n v="69"/>
    <n v="50"/>
    <n v="56.5"/>
    <n v="30"/>
    <n v="42.5"/>
    <n v="15"/>
    <n v="387.5"/>
    <n v="55.357142857142854"/>
    <x v="3"/>
    <x v="29"/>
    <x v="10"/>
    <x v="2"/>
  </r>
  <r>
    <s v="814484202225"/>
    <n v="814484"/>
    <s v="GOLANIA TRADERS"/>
    <n v="202225"/>
    <s v="ASTOLIA INDUSTRIES"/>
    <n v="47.5"/>
    <n v="25"/>
    <n v="25"/>
    <n v="25"/>
    <n v="0"/>
    <n v="15"/>
    <n v="26"/>
    <n v="163.5"/>
    <n v="23.357142857142858"/>
    <x v="0"/>
    <x v="29"/>
    <x v="10"/>
    <x v="2"/>
  </r>
  <r>
    <s v="815636202225"/>
    <n v="815636"/>
    <s v="RAJLAXMI TRADERS"/>
    <n v="202225"/>
    <s v="ASTOLIA INDUSTRIES"/>
    <n v="0"/>
    <n v="0"/>
    <n v="0"/>
    <n v="10"/>
    <n v="0"/>
    <n v="25"/>
    <n v="20"/>
    <n v="55"/>
    <n v="7.8571428571428568"/>
    <x v="1"/>
    <x v="29"/>
    <x v="10"/>
    <x v="2"/>
  </r>
  <r>
    <s v="816013202225"/>
    <n v="816013"/>
    <s v="KHUSHBU TRADERS"/>
    <n v="202225"/>
    <s v="ASTOLIA INDUSTRIES"/>
    <n v="0"/>
    <n v="0"/>
    <n v="0"/>
    <n v="0"/>
    <n v="0"/>
    <n v="7.5"/>
    <n v="0"/>
    <n v="7.5"/>
    <n v="1.0714285714285714"/>
    <x v="1"/>
    <x v="29"/>
    <x v="10"/>
    <x v="2"/>
  </r>
  <r>
    <s v="814308204243"/>
    <n v="814308"/>
    <s v="LUCKY RET STACK"/>
    <n v="204243"/>
    <s v="SHRI SHIVAM TRADERS"/>
    <n v="10"/>
    <n v="35"/>
    <n v="0"/>
    <n v="0"/>
    <n v="10"/>
    <n v="0"/>
    <n v="0"/>
    <n v="55"/>
    <n v="7.8571428571428568"/>
    <x v="1"/>
    <x v="29"/>
    <x v="10"/>
    <x v="2"/>
  </r>
  <r>
    <s v="816114204243"/>
    <n v="816114"/>
    <s v="MAHADEV KISHAN SEVA KENDRA"/>
    <n v="204243"/>
    <s v="SHRI SHIVAM TRADERS"/>
    <n v="0"/>
    <n v="0"/>
    <n v="0"/>
    <n v="0"/>
    <n v="0"/>
    <n v="20"/>
    <n v="0"/>
    <n v="20"/>
    <n v="2.8571428571428572"/>
    <x v="1"/>
    <x v="29"/>
    <x v="10"/>
    <x v="2"/>
  </r>
  <r>
    <s v="811547204869"/>
    <n v="811547"/>
    <s v="ADITYA ENTERPRISES"/>
    <n v="204869"/>
    <s v="SISODIYA TRADERS"/>
    <n v="0"/>
    <n v="0"/>
    <n v="0"/>
    <n v="6.5"/>
    <n v="0"/>
    <n v="0"/>
    <n v="0"/>
    <n v="6.5"/>
    <n v="0.9285714285714286"/>
    <x v="1"/>
    <x v="29"/>
    <x v="10"/>
    <x v="2"/>
  </r>
  <r>
    <s v="811549204869"/>
    <n v="811549"/>
    <s v="NISHA ENTERPRISES"/>
    <n v="204869"/>
    <s v="SISODIYA TRADERS"/>
    <n v="0"/>
    <n v="0"/>
    <n v="0"/>
    <n v="0"/>
    <n v="15"/>
    <n v="0"/>
    <n v="0"/>
    <n v="15"/>
    <n v="2.1428571428571428"/>
    <x v="1"/>
    <x v="29"/>
    <x v="10"/>
    <x v="2"/>
  </r>
  <r>
    <s v="813377204869"/>
    <n v="813377"/>
    <s v="BALAJI ELECTRICALS AND HARDWAR"/>
    <n v="204869"/>
    <s v="SISODIYA TRADERS"/>
    <n v="15"/>
    <n v="30"/>
    <n v="0"/>
    <n v="0"/>
    <n v="0"/>
    <n v="0"/>
    <n v="0"/>
    <n v="45"/>
    <n v="6.4285714285714288"/>
    <x v="1"/>
    <x v="29"/>
    <x v="10"/>
    <x v="2"/>
  </r>
  <r>
    <s v="813632204869"/>
    <n v="813632"/>
    <s v="BALAJI ENTERPRISES"/>
    <n v="204869"/>
    <s v="SISODIYA TRADERS"/>
    <n v="9"/>
    <n v="38"/>
    <n v="103"/>
    <n v="155"/>
    <n v="0"/>
    <n v="126.5"/>
    <n v="85"/>
    <n v="516.5"/>
    <n v="73.785714285714292"/>
    <x v="3"/>
    <x v="29"/>
    <x v="10"/>
    <x v="2"/>
  </r>
  <r>
    <s v="813633204869"/>
    <n v="813633"/>
    <s v="SISODIYA TRADING COMPANY"/>
    <n v="204869"/>
    <s v="SISODIYA TRADERS"/>
    <n v="351.5"/>
    <n v="194.5"/>
    <n v="137.5"/>
    <n v="221"/>
    <n v="152.75"/>
    <n v="67"/>
    <n v="105"/>
    <n v="1229.25"/>
    <n v="175.60714285714286"/>
    <x v="3"/>
    <x v="29"/>
    <x v="10"/>
    <x v="2"/>
  </r>
  <r>
    <s v="813638204869"/>
    <n v="813638"/>
    <s v="SHREE ENTERPRISES"/>
    <n v="204869"/>
    <s v="SISODIYA TRADERS"/>
    <n v="34.5"/>
    <n v="12.5"/>
    <n v="12.5"/>
    <n v="42.5"/>
    <n v="0"/>
    <n v="0"/>
    <n v="25"/>
    <n v="127"/>
    <n v="18.142857142857142"/>
    <x v="2"/>
    <x v="29"/>
    <x v="10"/>
    <x v="2"/>
  </r>
  <r>
    <s v="815831207290"/>
    <n v="815831"/>
    <s v="DASAYA KRISHI SEVA KENDRA"/>
    <n v="207290"/>
    <s v="RAGESHWARI SUPPLIERS AND CONST"/>
    <n v="0"/>
    <n v="0"/>
    <n v="0"/>
    <n v="0"/>
    <n v="0"/>
    <n v="15"/>
    <n v="0"/>
    <n v="15"/>
    <n v="2.1428571428571428"/>
    <x v="1"/>
    <x v="29"/>
    <x v="10"/>
    <x v="2"/>
  </r>
  <r>
    <s v="815273207809"/>
    <n v="815273"/>
    <s v="SIDDHY VINAYAK IRRIGATION SHOP"/>
    <n v="207809"/>
    <s v="SHIV MAHIMA TRADERS"/>
    <n v="0"/>
    <n v="0"/>
    <n v="0"/>
    <n v="22.5"/>
    <n v="0"/>
    <n v="7.5"/>
    <n v="0"/>
    <n v="30"/>
    <n v="4.2857142857142856"/>
    <x v="1"/>
    <x v="29"/>
    <x v="10"/>
    <x v="2"/>
  </r>
  <r>
    <s v="816551202225"/>
    <n v="816551"/>
    <s v="DEV SHREE ENTERPRISES"/>
    <n v="202225"/>
    <s v="ASTOLIA INDUSTRIES"/>
    <n v="0"/>
    <n v="0"/>
    <n v="0"/>
    <n v="0"/>
    <n v="0"/>
    <n v="20"/>
    <n v="0"/>
    <n v="20"/>
    <n v="2.8571428571428572"/>
    <x v="1"/>
    <x v="29"/>
    <x v="10"/>
    <x v="2"/>
  </r>
  <r>
    <s v="816651209990"/>
    <n v="816651"/>
    <s v="HANUMAN TRADERS"/>
    <n v="209990"/>
    <s v="DHAKAD KRISHI SEVA KENDRA,"/>
    <n v="0"/>
    <n v="0"/>
    <n v="0"/>
    <n v="0"/>
    <n v="0"/>
    <n v="0"/>
    <n v="20"/>
    <n v="20"/>
    <n v="2.8571428571428572"/>
    <x v="1"/>
    <x v="29"/>
    <x v="10"/>
    <x v="2"/>
  </r>
  <r>
    <s v="811118141905"/>
    <n v="811118"/>
    <s v="PRIYANKA BUILDING CONTRACTOR"/>
    <n v="141905"/>
    <s v="BS ENTERPRISES"/>
    <n v="40"/>
    <n v="51"/>
    <n v="0"/>
    <n v="30"/>
    <n v="37"/>
    <n v="20"/>
    <n v="13"/>
    <n v="191"/>
    <n v="27.285714285714285"/>
    <x v="0"/>
    <x v="30"/>
    <x v="10"/>
    <x v="2"/>
  </r>
  <r>
    <s v="812195141905"/>
    <n v="812195"/>
    <s v="SHARMA CEMENT AGENCY"/>
    <n v="141905"/>
    <s v="BS ENTERPRISES"/>
    <n v="10"/>
    <n v="10"/>
    <n v="24.5"/>
    <n v="22"/>
    <n v="8"/>
    <n v="15.75"/>
    <n v="2.5"/>
    <n v="92.75"/>
    <n v="13.25"/>
    <x v="2"/>
    <x v="30"/>
    <x v="10"/>
    <x v="2"/>
  </r>
  <r>
    <s v="813056141905"/>
    <n v="813056"/>
    <s v="KRISHNA BUILDING MATERIAL SUPP"/>
    <n v="141905"/>
    <s v="BS ENTERPRISES"/>
    <n v="20"/>
    <n v="20"/>
    <n v="10"/>
    <n v="0"/>
    <n v="32.5"/>
    <n v="28.25"/>
    <n v="7.5"/>
    <n v="118.25"/>
    <n v="16.892857142857142"/>
    <x v="2"/>
    <x v="30"/>
    <x v="10"/>
    <x v="2"/>
  </r>
  <r>
    <s v="806999171578"/>
    <n v="806999"/>
    <s v="BABA TRADING COMPANY"/>
    <n v="171578"/>
    <s v="KOTA BUILDMAT"/>
    <n v="25"/>
    <n v="10"/>
    <n v="35"/>
    <n v="70"/>
    <n v="37.5"/>
    <n v="40"/>
    <n v="5"/>
    <n v="222.5"/>
    <n v="31.785714285714285"/>
    <x v="4"/>
    <x v="30"/>
    <x v="10"/>
    <x v="2"/>
  </r>
  <r>
    <s v="807570171578"/>
    <n v="807570"/>
    <s v="HARI ENTERPRISES"/>
    <n v="171578"/>
    <s v="KOTA BUILDMAT"/>
    <n v="15"/>
    <n v="55"/>
    <n v="25"/>
    <n v="55"/>
    <n v="12.5"/>
    <n v="55"/>
    <n v="20"/>
    <n v="237.5"/>
    <n v="33.928571428571431"/>
    <x v="4"/>
    <x v="30"/>
    <x v="10"/>
    <x v="2"/>
  </r>
  <r>
    <s v="807811171578"/>
    <n v="807811"/>
    <s v="SHRI GANESH STONE TRADERS"/>
    <n v="171578"/>
    <s v="KOTA BUILDMAT"/>
    <n v="0"/>
    <n v="0"/>
    <n v="10"/>
    <n v="0"/>
    <n v="0"/>
    <n v="0"/>
    <n v="0"/>
    <n v="10"/>
    <n v="1.4285714285714286"/>
    <x v="1"/>
    <x v="30"/>
    <x v="10"/>
    <x v="2"/>
  </r>
  <r>
    <s v="807975171578"/>
    <n v="807975"/>
    <s v="DEEP SHREE BUILDING MATERIAL"/>
    <n v="171578"/>
    <s v="KOTA BUILDMAT"/>
    <n v="20"/>
    <n v="20"/>
    <n v="0"/>
    <n v="0"/>
    <n v="0"/>
    <n v="0"/>
    <n v="0"/>
    <n v="40"/>
    <n v="5.7142857142857144"/>
    <x v="1"/>
    <x v="30"/>
    <x v="10"/>
    <x v="2"/>
  </r>
  <r>
    <s v="807987171578"/>
    <n v="807987"/>
    <s v="DHAKAD KRISHI SEVA KENDRA"/>
    <n v="171578"/>
    <s v="KOTA BUILDMAT"/>
    <n v="33.75"/>
    <n v="95"/>
    <n v="151.5"/>
    <n v="80"/>
    <n v="65"/>
    <n v="50"/>
    <n v="20"/>
    <n v="495.25"/>
    <n v="70.75"/>
    <x v="3"/>
    <x v="30"/>
    <x v="10"/>
    <x v="2"/>
  </r>
  <r>
    <s v="809295171578"/>
    <n v="809295"/>
    <s v="EXCELLENT  BUILDING MATERIAL S"/>
    <n v="171578"/>
    <s v="KOTA BUILDMAT"/>
    <n v="60"/>
    <n v="125"/>
    <n v="185"/>
    <n v="177"/>
    <n v="122"/>
    <n v="101"/>
    <n v="92"/>
    <n v="862"/>
    <n v="123.14285714285714"/>
    <x v="3"/>
    <x v="30"/>
    <x v="10"/>
    <x v="2"/>
  </r>
  <r>
    <s v="809656171578"/>
    <n v="809656"/>
    <s v="SAI TONU ENTERPRISES"/>
    <n v="171578"/>
    <s v="KOTA BUILDMAT"/>
    <n v="0"/>
    <n v="5"/>
    <n v="0"/>
    <n v="25"/>
    <n v="10"/>
    <n v="0"/>
    <n v="0"/>
    <n v="40"/>
    <n v="5.7142857142857144"/>
    <x v="1"/>
    <x v="30"/>
    <x v="10"/>
    <x v="2"/>
  </r>
  <r>
    <s v="813167171578"/>
    <n v="813167"/>
    <s v="KRISHNA TRADERS"/>
    <n v="171578"/>
    <s v="KOTA BUILDMAT"/>
    <n v="20"/>
    <n v="50"/>
    <n v="30"/>
    <n v="62.5"/>
    <n v="47.5"/>
    <n v="30"/>
    <n v="21"/>
    <n v="261"/>
    <n v="37.285714285714285"/>
    <x v="4"/>
    <x v="30"/>
    <x v="10"/>
    <x v="2"/>
  </r>
  <r>
    <s v="813215171578"/>
    <n v="813215"/>
    <s v="SHREE SHYAM ENTERPRISES"/>
    <n v="171578"/>
    <s v="KOTA BUILDMAT"/>
    <n v="46"/>
    <n v="10"/>
    <n v="10"/>
    <n v="56"/>
    <n v="52.5"/>
    <n v="40"/>
    <n v="42"/>
    <n v="256.5"/>
    <n v="36.642857142857146"/>
    <x v="4"/>
    <x v="30"/>
    <x v="10"/>
    <x v="2"/>
  </r>
  <r>
    <s v="813413171578"/>
    <n v="813413"/>
    <s v="M B TRADERS"/>
    <n v="171578"/>
    <s v="KOTA BUILDMAT"/>
    <n v="5"/>
    <n v="15"/>
    <n v="15"/>
    <n v="20"/>
    <n v="25"/>
    <n v="17.5"/>
    <n v="0"/>
    <n v="97.5"/>
    <n v="13.928571428571429"/>
    <x v="2"/>
    <x v="30"/>
    <x v="10"/>
    <x v="2"/>
  </r>
  <r>
    <s v="813802171578"/>
    <n v="813802"/>
    <s v="SHREE KRISHNA TRADERS"/>
    <n v="171578"/>
    <s v="KOTA BUILDMAT"/>
    <n v="0"/>
    <n v="10"/>
    <n v="0"/>
    <n v="0"/>
    <n v="10"/>
    <n v="25"/>
    <n v="10"/>
    <n v="55"/>
    <n v="7.8571428571428568"/>
    <x v="1"/>
    <x v="30"/>
    <x v="10"/>
    <x v="2"/>
  </r>
  <r>
    <s v="814768171578"/>
    <n v="814768"/>
    <s v="HETAKSHI BUILDMAT BUILDING MAT"/>
    <n v="171578"/>
    <s v="KOTA BUILDMAT"/>
    <n v="25"/>
    <n v="72.150000000000006"/>
    <n v="92.5"/>
    <n v="85"/>
    <n v="61.5"/>
    <n v="52.5"/>
    <n v="8"/>
    <n v="396.65"/>
    <n v="56.664285714285711"/>
    <x v="3"/>
    <x v="30"/>
    <x v="10"/>
    <x v="2"/>
  </r>
  <r>
    <s v="815084171578"/>
    <n v="815084"/>
    <s v="SHRI SAANWALIYA JI CERAMICS"/>
    <n v="171578"/>
    <s v="KOTA BUILDMAT"/>
    <n v="0"/>
    <n v="30"/>
    <n v="150"/>
    <n v="78.150000000000006"/>
    <n v="70"/>
    <n v="67"/>
    <n v="65"/>
    <n v="460.15"/>
    <n v="65.73571428571428"/>
    <x v="3"/>
    <x v="30"/>
    <x v="10"/>
    <x v="2"/>
  </r>
  <r>
    <s v="815111171578"/>
    <n v="815111"/>
    <s v="BALAJI BUILDING MATERIAL SUPPL"/>
    <n v="171578"/>
    <s v="KOTA BUILDMAT"/>
    <n v="0"/>
    <n v="0"/>
    <n v="110"/>
    <n v="107.5"/>
    <n v="50"/>
    <n v="67.5"/>
    <n v="20"/>
    <n v="355"/>
    <n v="50.714285714285715"/>
    <x v="3"/>
    <x v="30"/>
    <x v="10"/>
    <x v="2"/>
  </r>
  <r>
    <s v="815773171578"/>
    <n v="815773"/>
    <s v="AJAY TRADERS"/>
    <n v="171578"/>
    <s v="KOTA BUILDMAT"/>
    <n v="0"/>
    <n v="0"/>
    <n v="0"/>
    <n v="0"/>
    <n v="10"/>
    <n v="15"/>
    <n v="5"/>
    <n v="30"/>
    <n v="4.2857142857142856"/>
    <x v="1"/>
    <x v="30"/>
    <x v="10"/>
    <x v="2"/>
  </r>
  <r>
    <s v="815777171578"/>
    <n v="815777"/>
    <s v="GURUKRIPA UDYOG"/>
    <n v="171578"/>
    <s v="KOTA BUILDMAT"/>
    <n v="0"/>
    <n v="0"/>
    <n v="0"/>
    <n v="0"/>
    <n v="30"/>
    <n v="14"/>
    <n v="31"/>
    <n v="75"/>
    <n v="10.714285714285714"/>
    <x v="2"/>
    <x v="30"/>
    <x v="10"/>
    <x v="2"/>
  </r>
  <r>
    <s v="816154171578"/>
    <n v="816154"/>
    <s v="SHREE KANHA BUILDING MATERIAL"/>
    <n v="171578"/>
    <s v="KOTA BUILDMAT"/>
    <n v="0"/>
    <n v="0"/>
    <n v="0"/>
    <n v="0"/>
    <n v="10"/>
    <n v="20"/>
    <n v="25"/>
    <n v="55"/>
    <n v="7.8571428571428568"/>
    <x v="1"/>
    <x v="30"/>
    <x v="10"/>
    <x v="2"/>
  </r>
  <r>
    <s v="816210171578"/>
    <n v="816210"/>
    <s v="SHREE BALAJI BUILDING MATERIAL"/>
    <n v="171578"/>
    <s v="KOTA BUILDMAT"/>
    <n v="0"/>
    <n v="0"/>
    <n v="0"/>
    <n v="0"/>
    <n v="0"/>
    <n v="7.5"/>
    <n v="15"/>
    <n v="22.5"/>
    <n v="3.2142857142857144"/>
    <x v="1"/>
    <x v="30"/>
    <x v="10"/>
    <x v="2"/>
  </r>
  <r>
    <s v="807986171887"/>
    <n v="807986"/>
    <s v="RATHORE CEMENT AGENCY"/>
    <n v="171887"/>
    <s v="CHOHAN CEMENT AGENCY"/>
    <n v="15"/>
    <n v="40"/>
    <n v="30"/>
    <n v="26"/>
    <n v="10"/>
    <n v="17.5"/>
    <n v="20"/>
    <n v="158.5"/>
    <n v="22.642857142857142"/>
    <x v="0"/>
    <x v="30"/>
    <x v="10"/>
    <x v="2"/>
  </r>
  <r>
    <s v="809016171887"/>
    <n v="809016"/>
    <s v="BALAJI TRADERS"/>
    <n v="171887"/>
    <s v="CHOHAN CEMENT AGENCY"/>
    <n v="60"/>
    <n v="32"/>
    <n v="70"/>
    <n v="6.8"/>
    <n v="25"/>
    <n v="22.5"/>
    <n v="32"/>
    <n v="248.3"/>
    <n v="35.471428571428575"/>
    <x v="4"/>
    <x v="30"/>
    <x v="10"/>
    <x v="2"/>
  </r>
  <r>
    <s v="814595171887"/>
    <n v="814595"/>
    <s v="NAGAR KIRANA STORE"/>
    <n v="171887"/>
    <s v="CHOHAN CEMENT AGENCY"/>
    <n v="30"/>
    <n v="58"/>
    <n v="62"/>
    <n v="30"/>
    <n v="13"/>
    <n v="20"/>
    <n v="0"/>
    <n v="213"/>
    <n v="30.428571428571427"/>
    <x v="4"/>
    <x v="30"/>
    <x v="10"/>
    <x v="2"/>
  </r>
  <r>
    <s v="815575171887"/>
    <n v="815575"/>
    <s v="SAT KABIR BUILDING MATERIAL AN"/>
    <n v="171887"/>
    <s v="CHOHAN CEMENT AGENCY"/>
    <n v="0"/>
    <n v="0"/>
    <n v="0"/>
    <n v="20"/>
    <n v="15"/>
    <n v="20"/>
    <n v="10"/>
    <n v="65"/>
    <n v="9.2857142857142865"/>
    <x v="1"/>
    <x v="30"/>
    <x v="10"/>
    <x v="2"/>
  </r>
  <r>
    <s v="807438174166"/>
    <n v="807438"/>
    <s v="JAIN HIND TRADERS"/>
    <n v="174166"/>
    <s v="NAMOKAR STONE TRADERS"/>
    <n v="0"/>
    <n v="35"/>
    <n v="21.5"/>
    <n v="79"/>
    <n v="37.5"/>
    <n v="95.5"/>
    <n v="104"/>
    <n v="372.5"/>
    <n v="53.214285714285715"/>
    <x v="3"/>
    <x v="30"/>
    <x v="10"/>
    <x v="2"/>
  </r>
  <r>
    <s v="807811174166"/>
    <n v="807811"/>
    <s v="SHRI GANESH STONE TRADERS"/>
    <n v="174166"/>
    <s v="NAMOKAR STONE TRADERS"/>
    <n v="106"/>
    <n v="30"/>
    <n v="251.5"/>
    <n v="156.5"/>
    <n v="77.5"/>
    <n v="90"/>
    <n v="142"/>
    <n v="853.5"/>
    <n v="121.92857142857143"/>
    <x v="3"/>
    <x v="30"/>
    <x v="10"/>
    <x v="2"/>
  </r>
  <r>
    <s v="807987174166"/>
    <n v="807987"/>
    <s v="DHAKAD KRISHI SEVA KENDRA"/>
    <n v="174166"/>
    <s v="NAMOKAR STONE TRADERS"/>
    <n v="10"/>
    <n v="0"/>
    <n v="0"/>
    <n v="0"/>
    <n v="0"/>
    <n v="0"/>
    <n v="0"/>
    <n v="10"/>
    <n v="1.4285714285714286"/>
    <x v="1"/>
    <x v="30"/>
    <x v="10"/>
    <x v="2"/>
  </r>
  <r>
    <s v="808433174166"/>
    <n v="808433"/>
    <s v="GANPATI ENTERPRISES"/>
    <n v="174166"/>
    <s v="NAMOKAR STONE TRADERS"/>
    <n v="0"/>
    <n v="7.5"/>
    <n v="10"/>
    <n v="0"/>
    <n v="0"/>
    <n v="0"/>
    <n v="0"/>
    <n v="17.5"/>
    <n v="2.5"/>
    <x v="1"/>
    <x v="30"/>
    <x v="10"/>
    <x v="2"/>
  </r>
  <r>
    <s v="810434174166"/>
    <n v="810434"/>
    <s v="SHIVRAJ SINGH SOLANKI CONTRACT"/>
    <n v="174166"/>
    <s v="NAMOKAR STONE TRADERS"/>
    <n v="15"/>
    <n v="20"/>
    <n v="55"/>
    <n v="52.5"/>
    <n v="42.5"/>
    <n v="57.5"/>
    <n v="0"/>
    <n v="242.5"/>
    <n v="34.642857142857146"/>
    <x v="4"/>
    <x v="30"/>
    <x v="10"/>
    <x v="2"/>
  </r>
  <r>
    <s v="811136174166"/>
    <n v="811136"/>
    <s v="KASHAN ENTERPRISES"/>
    <n v="174166"/>
    <s v="NAMOKAR STONE TRADERS"/>
    <n v="177"/>
    <n v="141.25"/>
    <n v="155"/>
    <n v="140"/>
    <n v="107.5"/>
    <n v="110"/>
    <n v="83"/>
    <n v="913.75"/>
    <n v="130.53571428571428"/>
    <x v="3"/>
    <x v="30"/>
    <x v="10"/>
    <x v="2"/>
  </r>
  <r>
    <s v="811192174166"/>
    <n v="811192"/>
    <s v="MONIKA TRADERS"/>
    <n v="174166"/>
    <s v="NAMOKAR STONE TRADERS"/>
    <n v="0"/>
    <n v="30"/>
    <n v="65"/>
    <n v="30"/>
    <n v="42.5"/>
    <n v="52.5"/>
    <n v="41.85"/>
    <n v="261.85000000000002"/>
    <n v="37.407142857142858"/>
    <x v="4"/>
    <x v="30"/>
    <x v="10"/>
    <x v="2"/>
  </r>
  <r>
    <s v="812282174166"/>
    <n v="812282"/>
    <s v="ANKUR TRADERS"/>
    <n v="174166"/>
    <s v="NAMOKAR STONE TRADERS"/>
    <n v="117.6"/>
    <n v="40"/>
    <n v="133.75"/>
    <n v="93.4"/>
    <n v="70.5"/>
    <n v="94.95"/>
    <n v="56"/>
    <n v="606.20000000000005"/>
    <n v="86.600000000000009"/>
    <x v="3"/>
    <x v="30"/>
    <x v="10"/>
    <x v="2"/>
  </r>
  <r>
    <s v="812395174166"/>
    <n v="812395"/>
    <s v="P B GROVER AND SONS"/>
    <n v="174166"/>
    <s v="NAMOKAR STONE TRADERS"/>
    <n v="0"/>
    <n v="0"/>
    <n v="15"/>
    <n v="0"/>
    <n v="0"/>
    <n v="0"/>
    <n v="0"/>
    <n v="15"/>
    <n v="2.1428571428571428"/>
    <x v="1"/>
    <x v="30"/>
    <x v="10"/>
    <x v="2"/>
  </r>
  <r>
    <s v="812483174166"/>
    <n v="812483"/>
    <s v="SHREE PANCHMUKHI TRADERS"/>
    <n v="174166"/>
    <s v="NAMOKAR STONE TRADERS"/>
    <n v="0"/>
    <n v="10"/>
    <n v="0"/>
    <n v="25"/>
    <n v="30"/>
    <n v="20"/>
    <n v="10"/>
    <n v="95"/>
    <n v="13.571428571428571"/>
    <x v="2"/>
    <x v="30"/>
    <x v="10"/>
    <x v="2"/>
  </r>
  <r>
    <s v="814236174166"/>
    <n v="814236"/>
    <s v="RANO BUILDING MATERIAL"/>
    <n v="174166"/>
    <s v="NAMOKAR STONE TRADERS"/>
    <n v="126"/>
    <n v="57.5"/>
    <n v="45"/>
    <n v="111"/>
    <n v="40.5"/>
    <n v="50"/>
    <n v="125"/>
    <n v="555"/>
    <n v="79.285714285714292"/>
    <x v="3"/>
    <x v="30"/>
    <x v="10"/>
    <x v="2"/>
  </r>
  <r>
    <s v="814425174166"/>
    <n v="814425"/>
    <s v="ROHIT TRADERS"/>
    <n v="174166"/>
    <s v="NAMOKAR STONE TRADERS"/>
    <n v="121.9"/>
    <n v="42"/>
    <n v="182"/>
    <n v="60"/>
    <n v="40"/>
    <n v="65"/>
    <n v="55"/>
    <n v="565.9"/>
    <n v="80.842857142857142"/>
    <x v="3"/>
    <x v="30"/>
    <x v="10"/>
    <x v="2"/>
  </r>
  <r>
    <s v="814498174166"/>
    <n v="814498"/>
    <s v="MODERN STEEL AND CEMENT AGENCY"/>
    <n v="174166"/>
    <s v="NAMOKAR STONE TRADERS"/>
    <n v="10"/>
    <n v="45"/>
    <n v="56.5"/>
    <n v="60"/>
    <n v="20"/>
    <n v="0"/>
    <n v="0"/>
    <n v="191.5"/>
    <n v="27.357142857142858"/>
    <x v="0"/>
    <x v="30"/>
    <x v="10"/>
    <x v="2"/>
  </r>
  <r>
    <s v="814594174166"/>
    <n v="814594"/>
    <s v="AAYUSH ENTERPRISES"/>
    <n v="174166"/>
    <s v="NAMOKAR STONE TRADERS"/>
    <n v="0"/>
    <n v="5"/>
    <n v="16.5"/>
    <n v="0"/>
    <n v="22.5"/>
    <n v="17.5"/>
    <n v="20"/>
    <n v="81.5"/>
    <n v="11.642857142857142"/>
    <x v="2"/>
    <x v="30"/>
    <x v="10"/>
    <x v="2"/>
  </r>
  <r>
    <s v="814708174166"/>
    <n v="814708"/>
    <s v="SHIV SHAKTI TRADERS"/>
    <n v="174166"/>
    <s v="NAMOKAR STONE TRADERS"/>
    <n v="0"/>
    <n v="10"/>
    <n v="20"/>
    <n v="30"/>
    <n v="27.5"/>
    <n v="27.5"/>
    <n v="20"/>
    <n v="135"/>
    <n v="19.285714285714285"/>
    <x v="2"/>
    <x v="30"/>
    <x v="10"/>
    <x v="2"/>
  </r>
  <r>
    <s v="814767174166"/>
    <n v="814767"/>
    <s v="DHAKAD CONSTRUCTION AND MATERI"/>
    <n v="174166"/>
    <s v="NAMOKAR STONE TRADERS"/>
    <n v="5.65"/>
    <n v="85"/>
    <n v="76.5"/>
    <n v="124.5"/>
    <n v="66"/>
    <n v="57.5"/>
    <n v="125"/>
    <n v="540.15"/>
    <n v="77.164285714285711"/>
    <x v="3"/>
    <x v="30"/>
    <x v="10"/>
    <x v="2"/>
  </r>
  <r>
    <s v="815630174166"/>
    <n v="815630"/>
    <s v="SHIV TRADERS"/>
    <n v="174166"/>
    <s v="NAMOKAR STONE TRADERS"/>
    <n v="0"/>
    <n v="0"/>
    <n v="0"/>
    <n v="0"/>
    <n v="40"/>
    <n v="17.5"/>
    <n v="0"/>
    <n v="57.5"/>
    <n v="8.2142857142857135"/>
    <x v="1"/>
    <x v="30"/>
    <x v="10"/>
    <x v="2"/>
  </r>
  <r>
    <s v="815850174166"/>
    <n v="815850"/>
    <s v="BALAJI ASSOCIATES"/>
    <n v="174166"/>
    <s v="NAMOKAR STONE TRADERS"/>
    <n v="0"/>
    <n v="0"/>
    <n v="0"/>
    <n v="0"/>
    <n v="0"/>
    <n v="17.5"/>
    <n v="20"/>
    <n v="37.5"/>
    <n v="5.3571428571428568"/>
    <x v="1"/>
    <x v="30"/>
    <x v="10"/>
    <x v="2"/>
  </r>
  <r>
    <s v="816157174166"/>
    <n v="816157"/>
    <s v="NEW MARYAM CONSTRUCTION"/>
    <n v="174166"/>
    <s v="NAMOKAR STONE TRADERS"/>
    <n v="0"/>
    <n v="0"/>
    <n v="0"/>
    <n v="0"/>
    <n v="0"/>
    <n v="60"/>
    <n v="38"/>
    <n v="98"/>
    <n v="14"/>
    <x v="2"/>
    <x v="30"/>
    <x v="10"/>
    <x v="2"/>
  </r>
  <r>
    <s v="811182174316"/>
    <n v="811182"/>
    <s v="SHREE DHARNEDHAR JI BUILDING M"/>
    <n v="174316"/>
    <s v="DHAKAD BUILDING MATERIALS SUPP"/>
    <n v="54"/>
    <n v="67"/>
    <n v="40"/>
    <n v="37"/>
    <n v="30"/>
    <n v="25"/>
    <n v="20"/>
    <n v="273"/>
    <n v="39"/>
    <x v="4"/>
    <x v="30"/>
    <x v="10"/>
    <x v="2"/>
  </r>
  <r>
    <s v="812627174316"/>
    <n v="812627"/>
    <s v="NAGAR CEMENT AGENCY"/>
    <n v="174316"/>
    <s v="DHAKAD BUILDING MATERIALS SUPP"/>
    <n v="25"/>
    <n v="45"/>
    <n v="37"/>
    <n v="0"/>
    <n v="15"/>
    <n v="20"/>
    <n v="0"/>
    <n v="142"/>
    <n v="20.285714285714285"/>
    <x v="0"/>
    <x v="30"/>
    <x v="10"/>
    <x v="2"/>
  </r>
  <r>
    <s v="815490174384"/>
    <n v="815490"/>
    <s v="ISHIKA BUILDING MATERIAL SUPPL"/>
    <n v="174384"/>
    <s v="PANCHWATI GRANITES &amp; TILES"/>
    <n v="0"/>
    <n v="0"/>
    <n v="0"/>
    <n v="7"/>
    <n v="10"/>
    <n v="7.5"/>
    <n v="7.5"/>
    <n v="32"/>
    <n v="4.5714285714285712"/>
    <x v="1"/>
    <x v="30"/>
    <x v="10"/>
    <x v="2"/>
  </r>
  <r>
    <s v="809179175856"/>
    <n v="809179"/>
    <s v="KRISHNA ENTERPRISES"/>
    <n v="175856"/>
    <s v="SUMAN AGENCY"/>
    <n v="23"/>
    <n v="41"/>
    <n v="105"/>
    <n v="30"/>
    <n v="20"/>
    <n v="61"/>
    <n v="45"/>
    <n v="325"/>
    <n v="46.428571428571431"/>
    <x v="5"/>
    <x v="30"/>
    <x v="10"/>
    <x v="2"/>
  </r>
  <r>
    <s v="811136175856"/>
    <n v="811136"/>
    <s v="KASHAN ENTERPRISES"/>
    <n v="175856"/>
    <s v="SUMAN AGENCY"/>
    <n v="25"/>
    <n v="0"/>
    <n v="0"/>
    <n v="0"/>
    <n v="0"/>
    <n v="0"/>
    <n v="0"/>
    <n v="25"/>
    <n v="3.5714285714285716"/>
    <x v="1"/>
    <x v="30"/>
    <x v="10"/>
    <x v="2"/>
  </r>
  <r>
    <s v="812880175856"/>
    <n v="812880"/>
    <s v="AJAY BUILDING MATERIAL"/>
    <n v="175856"/>
    <s v="SUMAN AGENCY"/>
    <n v="0"/>
    <n v="5"/>
    <n v="25"/>
    <n v="14"/>
    <n v="10"/>
    <n v="0"/>
    <n v="10"/>
    <n v="64"/>
    <n v="9.1428571428571423"/>
    <x v="1"/>
    <x v="30"/>
    <x v="10"/>
    <x v="2"/>
  </r>
  <r>
    <s v="813009175856"/>
    <n v="813009"/>
    <s v="MEENA CEMENT AGENCY"/>
    <n v="175856"/>
    <s v="SUMAN AGENCY"/>
    <n v="20"/>
    <n v="30"/>
    <n v="20"/>
    <n v="20"/>
    <n v="10"/>
    <n v="39"/>
    <n v="0"/>
    <n v="139"/>
    <n v="19.857142857142858"/>
    <x v="2"/>
    <x v="30"/>
    <x v="10"/>
    <x v="2"/>
  </r>
  <r>
    <s v="813167175856"/>
    <n v="813167"/>
    <s v="KRISHNA TRADERS"/>
    <n v="175856"/>
    <s v="SUMAN AGENCY"/>
    <n v="0"/>
    <n v="0"/>
    <n v="0"/>
    <n v="13"/>
    <n v="0"/>
    <n v="0"/>
    <n v="0"/>
    <n v="13"/>
    <n v="1.8571428571428572"/>
    <x v="1"/>
    <x v="30"/>
    <x v="10"/>
    <x v="2"/>
  </r>
  <r>
    <s v="814909176363"/>
    <n v="814909"/>
    <s v="JAI MATA DI BUILDING MATERIAL"/>
    <n v="176363"/>
    <s v="SANWALIYA TRADERS"/>
    <n v="10"/>
    <n v="35"/>
    <n v="29"/>
    <n v="70"/>
    <n v="30"/>
    <n v="17.5"/>
    <n v="17.5"/>
    <n v="209"/>
    <n v="29.857142857142858"/>
    <x v="0"/>
    <x v="30"/>
    <x v="10"/>
    <x v="2"/>
  </r>
  <r>
    <s v="812884205620"/>
    <n v="812884"/>
    <s v="MAHAKAL ASSOCIATES"/>
    <n v="205620"/>
    <s v="NISHANT JAISWAL"/>
    <n v="200"/>
    <n v="42.5"/>
    <n v="30"/>
    <n v="0"/>
    <n v="0"/>
    <n v="0"/>
    <n v="0"/>
    <n v="272.5"/>
    <n v="38.928571428571431"/>
    <x v="4"/>
    <x v="30"/>
    <x v="10"/>
    <x v="2"/>
  </r>
  <r>
    <s v="813734205620"/>
    <n v="813734"/>
    <s v="KISHOR SINGH JHALA"/>
    <n v="205620"/>
    <s v="NISHANT JAISWAL"/>
    <n v="444.75"/>
    <n v="169.25"/>
    <n v="159"/>
    <n v="109.5"/>
    <n v="33.25"/>
    <n v="60"/>
    <n v="0"/>
    <n v="975.75"/>
    <n v="139.39285714285714"/>
    <x v="3"/>
    <x v="30"/>
    <x v="10"/>
    <x v="2"/>
  </r>
  <r>
    <s v="815342205620"/>
    <n v="815342"/>
    <s v="LUCKY CEMENT AND STEELS"/>
    <n v="205620"/>
    <s v="NISHANT JAISWAL"/>
    <n v="0"/>
    <n v="0"/>
    <n v="0"/>
    <n v="10.5"/>
    <n v="0"/>
    <n v="0"/>
    <n v="0"/>
    <n v="10.5"/>
    <n v="1.5"/>
    <x v="1"/>
    <x v="30"/>
    <x v="10"/>
    <x v="2"/>
  </r>
  <r>
    <s v="811896205840"/>
    <n v="811896"/>
    <s v="MEHATA KHAD BHANDAR"/>
    <n v="205840"/>
    <s v="KUCHHAL STEEL MARKETING"/>
    <n v="20"/>
    <n v="10"/>
    <n v="50"/>
    <n v="28"/>
    <n v="0"/>
    <n v="20"/>
    <n v="15"/>
    <n v="143"/>
    <n v="20.428571428571427"/>
    <x v="0"/>
    <x v="30"/>
    <x v="10"/>
    <x v="2"/>
  </r>
  <r>
    <s v="814117205840"/>
    <n v="814117"/>
    <s v="JAI AMBEY STEEL"/>
    <n v="205840"/>
    <s v="KUCHHAL STEEL MARKETING"/>
    <n v="5"/>
    <n v="15"/>
    <n v="25"/>
    <n v="10"/>
    <n v="0"/>
    <n v="0"/>
    <n v="15"/>
    <n v="70"/>
    <n v="10"/>
    <x v="2"/>
    <x v="30"/>
    <x v="10"/>
    <x v="2"/>
  </r>
  <r>
    <s v="814151205840"/>
    <n v="814151"/>
    <s v="KUCHHAL TRADING CORPORATION"/>
    <n v="205840"/>
    <s v="KUCHHAL STEEL MARKETING"/>
    <n v="22"/>
    <n v="37.75"/>
    <n v="130"/>
    <n v="72.5"/>
    <n v="22.25"/>
    <n v="90.75"/>
    <n v="88.3"/>
    <n v="463.55"/>
    <n v="66.221428571428575"/>
    <x v="3"/>
    <x v="30"/>
    <x v="10"/>
    <x v="2"/>
  </r>
  <r>
    <s v="813734207895"/>
    <n v="813734"/>
    <s v="KISHOR SINGH JHALA"/>
    <n v="207895"/>
    <s v="NISHANT ASSOCIATES"/>
    <n v="41"/>
    <n v="0"/>
    <n v="0"/>
    <n v="0"/>
    <n v="0"/>
    <n v="0"/>
    <n v="0"/>
    <n v="41"/>
    <n v="5.8571428571428568"/>
    <x v="1"/>
    <x v="30"/>
    <x v="10"/>
    <x v="2"/>
  </r>
  <r>
    <s v="815356207945"/>
    <n v="815356"/>
    <s v="SUFI BUILDING MATERIAL"/>
    <n v="207945"/>
    <s v="SUFI ENTERPRISES"/>
    <n v="0"/>
    <n v="0"/>
    <n v="0"/>
    <n v="101.75"/>
    <n v="15"/>
    <n v="63.5"/>
    <n v="10"/>
    <n v="190.25"/>
    <n v="27.178571428571427"/>
    <x v="0"/>
    <x v="30"/>
    <x v="10"/>
    <x v="2"/>
  </r>
  <r>
    <s v="815715207945"/>
    <n v="815715"/>
    <s v="UVESH ENTERPRISES"/>
    <n v="207945"/>
    <s v="SUFI ENTERPRISES"/>
    <n v="0"/>
    <n v="0"/>
    <n v="0"/>
    <n v="20"/>
    <n v="28"/>
    <n v="21"/>
    <n v="5.9"/>
    <n v="74.900000000000006"/>
    <n v="10.700000000000001"/>
    <x v="2"/>
    <x v="30"/>
    <x v="10"/>
    <x v="2"/>
  </r>
  <r>
    <s v="813167207977"/>
    <n v="813167"/>
    <s v="KRISHNA TRADERS"/>
    <n v="207977"/>
    <s v="YASH TRADERS"/>
    <n v="0"/>
    <n v="0"/>
    <n v="0"/>
    <n v="0"/>
    <n v="10"/>
    <n v="0"/>
    <n v="0"/>
    <n v="10"/>
    <n v="1.4285714285714286"/>
    <x v="1"/>
    <x v="30"/>
    <x v="10"/>
    <x v="2"/>
  </r>
  <r>
    <s v="815307208638"/>
    <n v="815307"/>
    <s v="KASHYAP ENTERPRISES"/>
    <n v="208638"/>
    <s v="SHRI GANESH CEMENT &amp; STEELS"/>
    <n v="0"/>
    <n v="0"/>
    <n v="5"/>
    <n v="0"/>
    <n v="10"/>
    <n v="12.05"/>
    <n v="0"/>
    <n v="27.05"/>
    <n v="3.8642857142857143"/>
    <x v="1"/>
    <x v="30"/>
    <x v="10"/>
    <x v="2"/>
  </r>
  <r>
    <s v="815342208638"/>
    <n v="815342"/>
    <s v="LUCKY CEMENT AND STEELS"/>
    <n v="208638"/>
    <s v="SHRI GANESH CEMENT &amp; STEELS"/>
    <n v="0"/>
    <n v="0"/>
    <n v="10"/>
    <n v="76"/>
    <n v="59.5"/>
    <n v="115"/>
    <n v="112.15"/>
    <n v="372.65"/>
    <n v="53.23571428571428"/>
    <x v="3"/>
    <x v="30"/>
    <x v="10"/>
    <x v="2"/>
  </r>
  <r>
    <s v="813056175856"/>
    <n v="813056"/>
    <s v="KRISHNA BUILDING MATERIAL SUPP"/>
    <n v="175856"/>
    <s v="SUMAN AGENCY"/>
    <n v="0"/>
    <n v="0"/>
    <n v="0"/>
    <n v="0"/>
    <n v="0"/>
    <n v="0"/>
    <n v="10"/>
    <n v="10"/>
    <n v="1.4285714285714286"/>
    <x v="1"/>
    <x v="30"/>
    <x v="10"/>
    <x v="2"/>
  </r>
  <r>
    <s v="816047207945"/>
    <n v="816047"/>
    <s v="GUDDU IRON ENTERPRISES"/>
    <n v="207945"/>
    <s v="SUFI ENTERPRISES"/>
    <n v="0"/>
    <n v="0"/>
    <n v="0"/>
    <n v="0"/>
    <n v="0"/>
    <n v="0"/>
    <n v="30"/>
    <n v="30"/>
    <n v="4.2857142857142856"/>
    <x v="1"/>
    <x v="30"/>
    <x v="10"/>
    <x v="2"/>
  </r>
  <r>
    <s v="816156174316"/>
    <n v="816156"/>
    <s v="YUHAN KRISHI SEWA KENDRA"/>
    <n v="174316"/>
    <s v="DHAKAD BUILDING MATERIALS SUPP"/>
    <n v="0"/>
    <n v="0"/>
    <n v="0"/>
    <n v="0"/>
    <n v="0"/>
    <n v="0"/>
    <n v="25"/>
    <n v="25"/>
    <n v="3.5714285714285716"/>
    <x v="1"/>
    <x v="30"/>
    <x v="10"/>
    <x v="2"/>
  </r>
  <r>
    <s v="816436171578"/>
    <n v="816436"/>
    <s v="ARVIND TRADERS"/>
    <n v="171578"/>
    <s v="KOTA BUILDMAT"/>
    <n v="0"/>
    <n v="0"/>
    <n v="0"/>
    <n v="0"/>
    <n v="0"/>
    <n v="0"/>
    <n v="10"/>
    <n v="10"/>
    <n v="1.4285714285714286"/>
    <x v="1"/>
    <x v="30"/>
    <x v="10"/>
    <x v="2"/>
  </r>
  <r>
    <s v="816601208638"/>
    <n v="816601"/>
    <s v="DIVISHA ENTERPRISES"/>
    <n v="208638"/>
    <s v="SHRI GANESH CEMENT &amp; STEELS"/>
    <n v="0"/>
    <n v="0"/>
    <n v="0"/>
    <n v="0"/>
    <n v="0"/>
    <n v="0"/>
    <n v="15"/>
    <n v="15"/>
    <n v="2.1428571428571428"/>
    <x v="1"/>
    <x v="30"/>
    <x v="10"/>
    <x v="2"/>
  </r>
  <r>
    <s v="801582119028"/>
    <n v="801582"/>
    <s v="KRISHNA CEMENT SUPPLIERS"/>
    <n v="119028"/>
    <s v="KANHAYALAL &amp; SONS"/>
    <n v="31"/>
    <n v="62"/>
    <n v="62"/>
    <n v="83"/>
    <n v="108"/>
    <n v="62"/>
    <n v="295"/>
    <n v="703"/>
    <n v="100.42857142857143"/>
    <x v="3"/>
    <x v="31"/>
    <x v="11"/>
    <x v="2"/>
  </r>
  <r>
    <s v="801766119028"/>
    <n v="801766"/>
    <s v="SURENDRA TRADERS"/>
    <n v="119028"/>
    <s v="KANHAYALAL &amp; SONS"/>
    <n v="31"/>
    <n v="0"/>
    <n v="155"/>
    <n v="93"/>
    <n v="47"/>
    <n v="0"/>
    <n v="0"/>
    <n v="326"/>
    <n v="46.571428571428569"/>
    <x v="5"/>
    <x v="31"/>
    <x v="11"/>
    <x v="2"/>
  </r>
  <r>
    <s v="801881119028"/>
    <n v="801881"/>
    <s v="DEVKRIPA CEMENT SUPPLIER'S"/>
    <n v="119028"/>
    <s v="KANHAYALAL &amp; SONS"/>
    <n v="149"/>
    <n v="186"/>
    <n v="155"/>
    <n v="165"/>
    <n v="224.5"/>
    <n v="266.5"/>
    <n v="310"/>
    <n v="1456"/>
    <n v="208"/>
    <x v="3"/>
    <x v="31"/>
    <x v="11"/>
    <x v="2"/>
  </r>
  <r>
    <s v="801920119028"/>
    <n v="801920"/>
    <s v="DATAR TRADING CO"/>
    <n v="119028"/>
    <s v="KANHAYALAL &amp; SONS"/>
    <n v="0"/>
    <n v="0"/>
    <n v="62"/>
    <n v="41"/>
    <n v="31"/>
    <n v="0"/>
    <n v="0"/>
    <n v="134"/>
    <n v="19.142857142857142"/>
    <x v="2"/>
    <x v="31"/>
    <x v="11"/>
    <x v="2"/>
  </r>
  <r>
    <s v="802012119028"/>
    <n v="802012"/>
    <s v="RADHEY CEMENT SUPPLILERS"/>
    <n v="119028"/>
    <s v="KANHAYALAL &amp; SONS"/>
    <n v="0"/>
    <n v="0"/>
    <n v="0"/>
    <n v="0"/>
    <n v="0"/>
    <n v="31"/>
    <n v="0"/>
    <n v="31"/>
    <n v="4.4285714285714288"/>
    <x v="1"/>
    <x v="31"/>
    <x v="11"/>
    <x v="2"/>
  </r>
  <r>
    <s v="802212119028"/>
    <n v="802212"/>
    <s v="DEEWANA CEMENT TRADERS"/>
    <n v="119028"/>
    <s v="KANHAYALAL &amp; SONS"/>
    <n v="10"/>
    <n v="31"/>
    <n v="62"/>
    <n v="87"/>
    <n v="33.5"/>
    <n v="31"/>
    <n v="62"/>
    <n v="316.5"/>
    <n v="45.214285714285715"/>
    <x v="5"/>
    <x v="31"/>
    <x v="11"/>
    <x v="2"/>
  </r>
  <r>
    <s v="803292119028"/>
    <n v="803292"/>
    <s v="HIMMAT SINGH MOTI SINGH CEMENT"/>
    <n v="119028"/>
    <s v="KANHAYALAL &amp; SONS"/>
    <n v="139"/>
    <n v="114"/>
    <n v="155"/>
    <n v="196"/>
    <n v="109"/>
    <n v="31"/>
    <n v="93"/>
    <n v="837"/>
    <n v="119.57142857142857"/>
    <x v="3"/>
    <x v="31"/>
    <x v="11"/>
    <x v="2"/>
  </r>
  <r>
    <s v="803690119028"/>
    <n v="803690"/>
    <s v="KRISHNA CEMENT SUPPLIERS"/>
    <n v="119028"/>
    <s v="KANHAYALAL &amp; SONS"/>
    <n v="0"/>
    <n v="62"/>
    <n v="31"/>
    <n v="150"/>
    <n v="93"/>
    <n v="0"/>
    <n v="31"/>
    <n v="367"/>
    <n v="52.428571428571431"/>
    <x v="3"/>
    <x v="31"/>
    <x v="11"/>
    <x v="2"/>
  </r>
  <r>
    <s v="803691119028"/>
    <n v="803691"/>
    <s v="JAI RAM BALAI TRADING COMPANY"/>
    <n v="119028"/>
    <s v="KANHAYALAL &amp; SONS"/>
    <n v="158"/>
    <n v="196"/>
    <n v="248"/>
    <n v="170"/>
    <n v="115.25"/>
    <n v="62"/>
    <n v="0"/>
    <n v="949.25"/>
    <n v="135.60714285714286"/>
    <x v="3"/>
    <x v="31"/>
    <x v="11"/>
    <x v="2"/>
  </r>
  <r>
    <s v="804165119028"/>
    <n v="804165"/>
    <s v="SHREE JI CONSTRUCTION MATERIAL"/>
    <n v="119028"/>
    <s v="KANHAYALAL &amp; SONS"/>
    <n v="31"/>
    <n v="31"/>
    <n v="93"/>
    <n v="88"/>
    <n v="31"/>
    <n v="0"/>
    <n v="0"/>
    <n v="274"/>
    <n v="39.142857142857146"/>
    <x v="4"/>
    <x v="31"/>
    <x v="11"/>
    <x v="2"/>
  </r>
  <r>
    <s v="804310119028"/>
    <n v="804310"/>
    <s v="BHERUNATH CERAMICS"/>
    <n v="119028"/>
    <s v="KANHAYALAL &amp; SONS"/>
    <n v="176"/>
    <n v="217"/>
    <n v="310"/>
    <n v="196"/>
    <n v="465"/>
    <n v="562.65"/>
    <n v="217"/>
    <n v="2143.65"/>
    <n v="306.23571428571432"/>
    <x v="3"/>
    <x v="31"/>
    <x v="11"/>
    <x v="2"/>
  </r>
  <r>
    <s v="804474119028"/>
    <n v="804474"/>
    <s v="GAURAV CEMENT AGENCY"/>
    <n v="119028"/>
    <s v="KANHAYALAL &amp; SONS"/>
    <n v="0"/>
    <n v="0"/>
    <n v="0"/>
    <n v="0"/>
    <n v="0"/>
    <n v="11"/>
    <n v="0"/>
    <n v="11"/>
    <n v="1.5714285714285714"/>
    <x v="1"/>
    <x v="31"/>
    <x v="11"/>
    <x v="2"/>
  </r>
  <r>
    <s v="804971119028"/>
    <n v="804971"/>
    <s v="SINGHAVI BROTHERS"/>
    <n v="119028"/>
    <s v="KANHAYALAL &amp; SONS"/>
    <n v="62"/>
    <n v="62"/>
    <n v="217"/>
    <n v="93"/>
    <n v="31"/>
    <n v="31"/>
    <n v="62"/>
    <n v="558"/>
    <n v="79.714285714285708"/>
    <x v="3"/>
    <x v="31"/>
    <x v="11"/>
    <x v="2"/>
  </r>
  <r>
    <s v="805323119028"/>
    <n v="805323"/>
    <s v="KARDHAR CEMENT SUPPLIERS"/>
    <n v="119028"/>
    <s v="KANHAYALAL &amp; SONS"/>
    <n v="0"/>
    <n v="0"/>
    <n v="0"/>
    <n v="7.5"/>
    <n v="0"/>
    <n v="15"/>
    <n v="0"/>
    <n v="22.5"/>
    <n v="3.2142857142857144"/>
    <x v="1"/>
    <x v="31"/>
    <x v="11"/>
    <x v="2"/>
  </r>
  <r>
    <s v="805324119028"/>
    <n v="805324"/>
    <s v="MATESHWARI CEMENT SUPPLIERS"/>
    <n v="119028"/>
    <s v="KANHAYALAL &amp; SONS"/>
    <n v="0"/>
    <n v="0"/>
    <n v="0"/>
    <n v="35"/>
    <n v="31"/>
    <n v="31"/>
    <n v="31"/>
    <n v="128"/>
    <n v="18.285714285714285"/>
    <x v="2"/>
    <x v="31"/>
    <x v="11"/>
    <x v="2"/>
  </r>
  <r>
    <s v="805351119028"/>
    <n v="805351"/>
    <s v="KHEDA DEVI BUILDING MATERIALS"/>
    <n v="119028"/>
    <s v="KANHAYALAL &amp; SONS"/>
    <n v="16"/>
    <n v="0"/>
    <n v="93"/>
    <n v="84"/>
    <n v="31"/>
    <n v="93"/>
    <n v="0"/>
    <n v="317"/>
    <n v="45.285714285714285"/>
    <x v="5"/>
    <x v="31"/>
    <x v="11"/>
    <x v="2"/>
  </r>
  <r>
    <s v="805624119028"/>
    <n v="805624"/>
    <s v="SHREE BHERUNATH CEMENT SUPPLIE"/>
    <n v="119028"/>
    <s v="KANHAYALAL &amp; SONS"/>
    <n v="0"/>
    <n v="0"/>
    <n v="0"/>
    <n v="53"/>
    <n v="15"/>
    <n v="31"/>
    <n v="0"/>
    <n v="99"/>
    <n v="14.142857142857142"/>
    <x v="2"/>
    <x v="31"/>
    <x v="11"/>
    <x v="2"/>
  </r>
  <r>
    <s v="805969119028"/>
    <n v="805969"/>
    <s v="JAY MAHADEV CONSTRUCTION"/>
    <n v="119028"/>
    <s v="KANHAYALAL &amp; SONS"/>
    <n v="10"/>
    <n v="0"/>
    <n v="93"/>
    <n v="88"/>
    <n v="93"/>
    <n v="62"/>
    <n v="62"/>
    <n v="408"/>
    <n v="58.285714285714285"/>
    <x v="3"/>
    <x v="31"/>
    <x v="11"/>
    <x v="2"/>
  </r>
  <r>
    <s v="806362119028"/>
    <n v="806362"/>
    <s v="BHERUNATH CEMENT SUPPLIERS"/>
    <n v="119028"/>
    <s v="KANHAYALAL &amp; SONS"/>
    <n v="62"/>
    <n v="124"/>
    <n v="124"/>
    <n v="88"/>
    <n v="93"/>
    <n v="62"/>
    <n v="0"/>
    <n v="553"/>
    <n v="79"/>
    <x v="3"/>
    <x v="31"/>
    <x v="11"/>
    <x v="2"/>
  </r>
  <r>
    <s v="806915119028"/>
    <n v="806915"/>
    <s v="VISHWAKARMA STONE SUPPLIER"/>
    <n v="119028"/>
    <s v="KANHAYALAL &amp; SONS"/>
    <n v="31"/>
    <n v="0"/>
    <n v="0"/>
    <n v="51"/>
    <n v="26"/>
    <n v="62"/>
    <n v="0"/>
    <n v="170"/>
    <n v="24.285714285714285"/>
    <x v="0"/>
    <x v="31"/>
    <x v="11"/>
    <x v="2"/>
  </r>
  <r>
    <s v="806943119028"/>
    <n v="806943"/>
    <s v="MANOHAR LAL"/>
    <n v="119028"/>
    <s v="KANHAYALAL &amp; SONS"/>
    <n v="0"/>
    <n v="0"/>
    <n v="0"/>
    <n v="0"/>
    <n v="30"/>
    <n v="31"/>
    <n v="0"/>
    <n v="61"/>
    <n v="8.7142857142857135"/>
    <x v="1"/>
    <x v="31"/>
    <x v="11"/>
    <x v="2"/>
  </r>
  <r>
    <s v="807681119028"/>
    <n v="807681"/>
    <s v="SALEEM MOHAMMAD"/>
    <n v="119028"/>
    <s v="KANHAYALAL &amp; SONS"/>
    <n v="31"/>
    <n v="0"/>
    <n v="31"/>
    <n v="0"/>
    <n v="15"/>
    <n v="10"/>
    <n v="0"/>
    <n v="87"/>
    <n v="12.428571428571429"/>
    <x v="2"/>
    <x v="31"/>
    <x v="11"/>
    <x v="2"/>
  </r>
  <r>
    <s v="808678119028"/>
    <n v="808678"/>
    <s v="SHREE HARI OM TRADERS"/>
    <n v="119028"/>
    <s v="KANHAYALAL &amp; SONS"/>
    <n v="0"/>
    <n v="0"/>
    <n v="0"/>
    <n v="2.5"/>
    <n v="0"/>
    <n v="0"/>
    <n v="31"/>
    <n v="33.5"/>
    <n v="4.7857142857142856"/>
    <x v="1"/>
    <x v="31"/>
    <x v="11"/>
    <x v="2"/>
  </r>
  <r>
    <s v="808820119028"/>
    <n v="808820"/>
    <s v="MAHIMA CONSTRUCTION"/>
    <n v="119028"/>
    <s v="KANHAYALAL &amp; SONS"/>
    <n v="93"/>
    <n v="62"/>
    <n v="93"/>
    <n v="62"/>
    <n v="41"/>
    <n v="31"/>
    <n v="31"/>
    <n v="413"/>
    <n v="59"/>
    <x v="3"/>
    <x v="31"/>
    <x v="11"/>
    <x v="2"/>
  </r>
  <r>
    <s v="809985119028"/>
    <n v="809985"/>
    <s v="PADAM AGENCIES"/>
    <n v="119028"/>
    <s v="KANHAYALAL &amp; SONS"/>
    <n v="41"/>
    <n v="62"/>
    <n v="155"/>
    <n v="72"/>
    <n v="78"/>
    <n v="31"/>
    <n v="31"/>
    <n v="470"/>
    <n v="67.142857142857139"/>
    <x v="3"/>
    <x v="31"/>
    <x v="11"/>
    <x v="2"/>
  </r>
  <r>
    <s v="809986119028"/>
    <n v="809986"/>
    <s v="TULSI RAM SALVI"/>
    <n v="119028"/>
    <s v="KANHAYALAL &amp; SONS"/>
    <n v="0"/>
    <n v="0"/>
    <n v="0"/>
    <n v="41"/>
    <n v="26"/>
    <n v="31"/>
    <n v="15"/>
    <n v="113"/>
    <n v="16.142857142857142"/>
    <x v="2"/>
    <x v="31"/>
    <x v="11"/>
    <x v="2"/>
  </r>
  <r>
    <s v="810224119028"/>
    <n v="810224"/>
    <s v="RADAJI KIRANA AND CEMENT SUPPL"/>
    <n v="119028"/>
    <s v="KANHAYALAL &amp; SONS"/>
    <n v="0"/>
    <n v="0"/>
    <n v="0"/>
    <n v="52"/>
    <n v="15"/>
    <n v="0"/>
    <n v="16"/>
    <n v="83"/>
    <n v="11.857142857142858"/>
    <x v="2"/>
    <x v="31"/>
    <x v="11"/>
    <x v="2"/>
  </r>
  <r>
    <s v="810512119028"/>
    <n v="810512"/>
    <s v="SHRI DEVASI CEMENT AGENCY"/>
    <n v="119028"/>
    <s v="KANHAYALAL &amp; SONS"/>
    <n v="37.5"/>
    <n v="0"/>
    <n v="62"/>
    <n v="56"/>
    <n v="26"/>
    <n v="2.25"/>
    <n v="0"/>
    <n v="183.75"/>
    <n v="26.25"/>
    <x v="0"/>
    <x v="31"/>
    <x v="11"/>
    <x v="2"/>
  </r>
  <r>
    <s v="811774119028"/>
    <n v="811774"/>
    <s v="HARI SINGH RAJPUT"/>
    <n v="119028"/>
    <s v="KANHAYALAL &amp; SONS"/>
    <n v="0"/>
    <n v="0"/>
    <n v="0"/>
    <n v="0"/>
    <n v="0"/>
    <n v="31"/>
    <n v="31"/>
    <n v="62"/>
    <n v="8.8571428571428577"/>
    <x v="1"/>
    <x v="31"/>
    <x v="11"/>
    <x v="2"/>
  </r>
  <r>
    <s v="811998119028"/>
    <n v="811998"/>
    <s v="JAI BHERUNATH KIRANA AND GENER"/>
    <n v="119028"/>
    <s v="KANHAYALAL &amp; SONS"/>
    <n v="0"/>
    <n v="0"/>
    <n v="0"/>
    <n v="0"/>
    <n v="0"/>
    <n v="10"/>
    <n v="0"/>
    <n v="10"/>
    <n v="1.4285714285714286"/>
    <x v="1"/>
    <x v="31"/>
    <x v="11"/>
    <x v="2"/>
  </r>
  <r>
    <s v="812003119028"/>
    <n v="812003"/>
    <s v="SHRI RAM CEMENT SUPPLIERS"/>
    <n v="119028"/>
    <s v="KANHAYALAL &amp; SONS"/>
    <n v="0"/>
    <n v="0"/>
    <n v="0"/>
    <n v="11"/>
    <n v="27"/>
    <n v="31"/>
    <n v="0"/>
    <n v="69"/>
    <n v="9.8571428571428577"/>
    <x v="1"/>
    <x v="31"/>
    <x v="11"/>
    <x v="2"/>
  </r>
  <r>
    <s v="812976119028"/>
    <n v="812976"/>
    <s v="MATESHWARI CEMENT SUPPLIERS"/>
    <n v="119028"/>
    <s v="KANHAYALAL &amp; SONS"/>
    <n v="4"/>
    <n v="0"/>
    <n v="31"/>
    <n v="43"/>
    <n v="41"/>
    <n v="31"/>
    <n v="0"/>
    <n v="150"/>
    <n v="21.428571428571427"/>
    <x v="0"/>
    <x v="31"/>
    <x v="11"/>
    <x v="2"/>
  </r>
  <r>
    <s v="813866119028"/>
    <n v="813866"/>
    <s v="CHARBHUJA TRADERS CEMENT SUPPL"/>
    <n v="119028"/>
    <s v="KANHAYALAL &amp; SONS"/>
    <n v="0"/>
    <n v="0"/>
    <n v="0"/>
    <n v="51"/>
    <n v="10"/>
    <n v="16"/>
    <n v="15"/>
    <n v="92"/>
    <n v="13.142857142857142"/>
    <x v="2"/>
    <x v="31"/>
    <x v="11"/>
    <x v="2"/>
  </r>
  <r>
    <s v="814108119028"/>
    <n v="814108"/>
    <s v="SHREE DEV CEMENT &amp; BUILDING MA"/>
    <n v="119028"/>
    <s v="KANHAYALAL &amp; SONS"/>
    <n v="0"/>
    <n v="0"/>
    <n v="0"/>
    <n v="0"/>
    <n v="0"/>
    <n v="10"/>
    <n v="0"/>
    <n v="10"/>
    <n v="1.4285714285714286"/>
    <x v="1"/>
    <x v="31"/>
    <x v="11"/>
    <x v="2"/>
  </r>
  <r>
    <s v="815756119028"/>
    <n v="815756"/>
    <s v="BHERUNATH CEMENT SUPPLIERS"/>
    <n v="119028"/>
    <s v="KANHAYALAL &amp; SONS"/>
    <n v="0"/>
    <n v="0"/>
    <n v="0"/>
    <n v="2.5"/>
    <n v="47"/>
    <n v="16.5"/>
    <n v="17.5"/>
    <n v="83.5"/>
    <n v="11.928571428571429"/>
    <x v="2"/>
    <x v="31"/>
    <x v="11"/>
    <x v="2"/>
  </r>
  <r>
    <s v="815757119028"/>
    <n v="815757"/>
    <s v="MATESHWARI TRADING COMPANY"/>
    <n v="119028"/>
    <s v="KANHAYALAL &amp; SONS"/>
    <n v="0"/>
    <n v="0"/>
    <n v="0"/>
    <n v="2.5"/>
    <n v="31"/>
    <n v="10"/>
    <n v="15"/>
    <n v="58.5"/>
    <n v="8.3571428571428577"/>
    <x v="1"/>
    <x v="31"/>
    <x v="11"/>
    <x v="2"/>
  </r>
  <r>
    <s v="816298119028"/>
    <n v="816298"/>
    <s v="JAI BHERUNATH ENTERPRISES"/>
    <n v="119028"/>
    <s v="KANHAYALAL &amp; SONS"/>
    <n v="0"/>
    <n v="0"/>
    <n v="0"/>
    <n v="0"/>
    <n v="0"/>
    <n v="10"/>
    <n v="0"/>
    <n v="10"/>
    <n v="1.4285714285714286"/>
    <x v="1"/>
    <x v="31"/>
    <x v="11"/>
    <x v="2"/>
  </r>
  <r>
    <s v="807603122282"/>
    <n v="807603"/>
    <s v="BABA RAMDEV CONTRACTOR"/>
    <n v="122282"/>
    <s v="PIPARA SALES"/>
    <n v="40"/>
    <n v="46"/>
    <n v="59"/>
    <n v="45"/>
    <n v="56"/>
    <n v="30.2"/>
    <n v="43"/>
    <n v="319.2"/>
    <n v="45.6"/>
    <x v="5"/>
    <x v="31"/>
    <x v="11"/>
    <x v="2"/>
  </r>
  <r>
    <s v="808173122282"/>
    <n v="808173"/>
    <s v="SIKANDAR KATHAT"/>
    <n v="122282"/>
    <s v="PIPARA SALES"/>
    <n v="40"/>
    <n v="45"/>
    <n v="47"/>
    <n v="44"/>
    <n v="52"/>
    <n v="27.5"/>
    <n v="10"/>
    <n v="265.5"/>
    <n v="37.928571428571431"/>
    <x v="4"/>
    <x v="31"/>
    <x v="11"/>
    <x v="2"/>
  </r>
  <r>
    <s v="814758122282"/>
    <n v="814758"/>
    <s v="MAN SINGH"/>
    <n v="122282"/>
    <s v="PIPARA SALES"/>
    <n v="20"/>
    <n v="20"/>
    <n v="41"/>
    <n v="30"/>
    <n v="27.5"/>
    <n v="16"/>
    <n v="5"/>
    <n v="159.5"/>
    <n v="22.785714285714285"/>
    <x v="0"/>
    <x v="31"/>
    <x v="11"/>
    <x v="2"/>
  </r>
  <r>
    <s v="802214172597"/>
    <n v="802214"/>
    <s v="GEETA CEMENT SUPPLIERS"/>
    <n v="172597"/>
    <s v="SONU TRADERS"/>
    <n v="2"/>
    <n v="0"/>
    <n v="10"/>
    <n v="0"/>
    <n v="0"/>
    <n v="20"/>
    <n v="15"/>
    <n v="47"/>
    <n v="6.7142857142857144"/>
    <x v="1"/>
    <x v="31"/>
    <x v="11"/>
    <x v="2"/>
  </r>
  <r>
    <s v="808553172597"/>
    <n v="808553"/>
    <s v="SHREE BHERUNATH ENTERPRISES"/>
    <n v="172597"/>
    <s v="SONU TRADERS"/>
    <n v="16"/>
    <n v="12.5"/>
    <n v="0"/>
    <n v="0"/>
    <n v="0"/>
    <n v="10"/>
    <n v="0"/>
    <n v="38.5"/>
    <n v="5.5"/>
    <x v="1"/>
    <x v="31"/>
    <x v="11"/>
    <x v="2"/>
  </r>
  <r>
    <s v="810741172597"/>
    <n v="810741"/>
    <s v="ASHAPURA KIRANA AND GENERAL ST"/>
    <n v="172597"/>
    <s v="SONU TRADERS"/>
    <n v="43"/>
    <n v="0"/>
    <n v="0"/>
    <n v="20"/>
    <n v="27.5"/>
    <n v="40"/>
    <n v="15"/>
    <n v="145.5"/>
    <n v="20.785714285714285"/>
    <x v="0"/>
    <x v="31"/>
    <x v="11"/>
    <x v="2"/>
  </r>
  <r>
    <s v="814530172597"/>
    <n v="814530"/>
    <s v="SAI TRADERS"/>
    <n v="172597"/>
    <s v="SONU TRADERS"/>
    <n v="62.5"/>
    <n v="0"/>
    <n v="10"/>
    <n v="0"/>
    <n v="12.5"/>
    <n v="12.5"/>
    <n v="0"/>
    <n v="97.5"/>
    <n v="13.928571428571429"/>
    <x v="2"/>
    <x v="31"/>
    <x v="11"/>
    <x v="2"/>
  </r>
  <r>
    <s v="815655172597"/>
    <n v="815655"/>
    <s v="DEVNARAYAN CONSTRUCTION"/>
    <n v="172597"/>
    <s v="SONU TRADERS"/>
    <n v="0"/>
    <n v="0"/>
    <n v="0"/>
    <n v="5"/>
    <n v="5"/>
    <n v="25"/>
    <n v="5"/>
    <n v="40"/>
    <n v="5.7142857142857144"/>
    <x v="1"/>
    <x v="31"/>
    <x v="11"/>
    <x v="2"/>
  </r>
  <r>
    <s v="808818172905"/>
    <n v="808818"/>
    <s v="KAILASH TRADING COMPANY"/>
    <n v="172905"/>
    <s v="SHRI CHARBHUJA CEMENT SUPPLIER"/>
    <n v="17.5"/>
    <n v="0"/>
    <n v="30"/>
    <n v="22.5"/>
    <n v="17.5"/>
    <n v="22.5"/>
    <n v="2.5"/>
    <n v="112.5"/>
    <n v="16.071428571428573"/>
    <x v="2"/>
    <x v="31"/>
    <x v="11"/>
    <x v="2"/>
  </r>
  <r>
    <s v="811045172905"/>
    <n v="811045"/>
    <s v="MATESHWARI CEMENT SUPPLIERS"/>
    <n v="172905"/>
    <s v="SHRI CHARBHUJA CEMENT SUPPLIER"/>
    <n v="0"/>
    <n v="0"/>
    <n v="0"/>
    <n v="0"/>
    <n v="5"/>
    <n v="20"/>
    <n v="10"/>
    <n v="35"/>
    <n v="5"/>
    <x v="1"/>
    <x v="31"/>
    <x v="11"/>
    <x v="2"/>
  </r>
  <r>
    <s v="812978172906"/>
    <n v="812978"/>
    <s v="BHAGVATI LAL RAMESH CHANDRA"/>
    <n v="172906"/>
    <s v="MAA KRIPA CEMENT &amp; BUILDING MA"/>
    <n v="0.85"/>
    <n v="15"/>
    <n v="52"/>
    <n v="21"/>
    <n v="72.5"/>
    <n v="15"/>
    <n v="0"/>
    <n v="176.35"/>
    <n v="25.192857142857143"/>
    <x v="0"/>
    <x v="31"/>
    <x v="11"/>
    <x v="2"/>
  </r>
  <r>
    <s v="807066176015"/>
    <n v="807066"/>
    <s v="DWARKESH KHAD BEEJ BHANDAR"/>
    <n v="176015"/>
    <s v="DEVNARAYAN TRADERS"/>
    <n v="15"/>
    <n v="0"/>
    <n v="25"/>
    <n v="35"/>
    <n v="35"/>
    <n v="44"/>
    <n v="9.5"/>
    <n v="163.5"/>
    <n v="23.357142857142858"/>
    <x v="0"/>
    <x v="31"/>
    <x v="11"/>
    <x v="2"/>
  </r>
  <r>
    <s v="816263176015"/>
    <n v="816263"/>
    <s v="MATESHWARI CEMENT SUPPLIERS"/>
    <n v="176015"/>
    <s v="DEVNARAYAN TRADERS"/>
    <n v="0"/>
    <n v="0"/>
    <n v="0"/>
    <n v="0"/>
    <n v="0"/>
    <n v="20"/>
    <n v="0"/>
    <n v="20"/>
    <n v="2.8571428571428572"/>
    <x v="1"/>
    <x v="31"/>
    <x v="11"/>
    <x v="2"/>
  </r>
  <r>
    <s v="812000179550"/>
    <n v="812000"/>
    <s v="AADESH JAY BABA RAMDEV STONE S"/>
    <n v="179550"/>
    <s v="PAWAN CEMENT &amp; HARDWARE CENTRE"/>
    <n v="0"/>
    <n v="0"/>
    <n v="5"/>
    <n v="0"/>
    <n v="0"/>
    <n v="7.3"/>
    <n v="0"/>
    <n v="12.3"/>
    <n v="1.7571428571428573"/>
    <x v="1"/>
    <x v="31"/>
    <x v="11"/>
    <x v="2"/>
  </r>
  <r>
    <s v="812047201838"/>
    <n v="812047"/>
    <s v="VISHU ENTERPRISES"/>
    <n v="201838"/>
    <s v="SUKHWAL KRISHI KENDER"/>
    <n v="0"/>
    <n v="0"/>
    <n v="0"/>
    <n v="0"/>
    <n v="0"/>
    <n v="5"/>
    <n v="0"/>
    <n v="5"/>
    <n v="0.7142857142857143"/>
    <x v="1"/>
    <x v="31"/>
    <x v="11"/>
    <x v="2"/>
  </r>
  <r>
    <s v="815835201838"/>
    <n v="815835"/>
    <s v="MAHAKAL TRADERS"/>
    <n v="201838"/>
    <s v="SUKHWAL KRISHI KENDER"/>
    <n v="0"/>
    <n v="0"/>
    <n v="0"/>
    <n v="0"/>
    <n v="20"/>
    <n v="33.75"/>
    <n v="10"/>
    <n v="63.75"/>
    <n v="9.1071428571428577"/>
    <x v="1"/>
    <x v="31"/>
    <x v="11"/>
    <x v="2"/>
  </r>
  <r>
    <s v="815755205778"/>
    <n v="815755"/>
    <s v="JAY MAA BHAWANI CEMENT"/>
    <n v="205778"/>
    <s v="VIKAS CEMENT AGENCY"/>
    <n v="0"/>
    <n v="0"/>
    <n v="0"/>
    <n v="5"/>
    <n v="15"/>
    <n v="15"/>
    <n v="0"/>
    <n v="35"/>
    <n v="5"/>
    <x v="1"/>
    <x v="31"/>
    <x v="11"/>
    <x v="2"/>
  </r>
  <r>
    <s v="816494119028"/>
    <n v="816494"/>
    <s v="SHREE KSHETRAPAL CEMENT SUPPLI"/>
    <n v="119028"/>
    <s v="KANHAYALAL &amp; SONS"/>
    <n v="0"/>
    <n v="0"/>
    <n v="0"/>
    <n v="0"/>
    <n v="0"/>
    <n v="31"/>
    <n v="0"/>
    <n v="31"/>
    <n v="4.4285714285714288"/>
    <x v="1"/>
    <x v="31"/>
    <x v="11"/>
    <x v="2"/>
  </r>
  <r>
    <s v="801800119026"/>
    <n v="801800"/>
    <s v="ANOP SINGH GAUTAM SINGH"/>
    <n v="119026"/>
    <s v="FRIENDS SUPPLIERS CO.(L"/>
    <n v="35"/>
    <n v="50"/>
    <n v="35"/>
    <n v="82.5"/>
    <n v="22.5"/>
    <n v="20"/>
    <n v="45"/>
    <n v="290"/>
    <n v="41.428571428571431"/>
    <x v="5"/>
    <x v="32"/>
    <x v="11"/>
    <x v="2"/>
  </r>
  <r>
    <s v="802213119026"/>
    <n v="802213"/>
    <s v="LALIT CEMENT SUPPLIERS"/>
    <n v="119026"/>
    <s v="FRIENDS SUPPLIERS CO.(L"/>
    <n v="35"/>
    <n v="10"/>
    <n v="40"/>
    <n v="32.5"/>
    <n v="0"/>
    <n v="0"/>
    <n v="30"/>
    <n v="147.5"/>
    <n v="21.071428571428573"/>
    <x v="0"/>
    <x v="32"/>
    <x v="11"/>
    <x v="2"/>
  </r>
  <r>
    <s v="806872119026"/>
    <n v="806872"/>
    <s v="LUCKY ENTERPRISES"/>
    <n v="119026"/>
    <s v="FRIENDS SUPPLIERS CO.(L"/>
    <n v="20"/>
    <n v="10"/>
    <n v="10"/>
    <n v="35"/>
    <n v="0"/>
    <n v="0"/>
    <n v="10"/>
    <n v="85"/>
    <n v="12.142857142857142"/>
    <x v="2"/>
    <x v="32"/>
    <x v="11"/>
    <x v="2"/>
  </r>
  <r>
    <s v="806883119026"/>
    <n v="806883"/>
    <s v="KUNAL DISTRIBUTORS"/>
    <n v="119026"/>
    <s v="FRIENDS SUPPLIERS CO.(L"/>
    <n v="112.5"/>
    <n v="13.5"/>
    <n v="118.5"/>
    <n v="25"/>
    <n v="45"/>
    <n v="67.5"/>
    <n v="77.95"/>
    <n v="459.95"/>
    <n v="65.707142857142856"/>
    <x v="3"/>
    <x v="32"/>
    <x v="11"/>
    <x v="2"/>
  </r>
  <r>
    <s v="807407119026"/>
    <n v="807407"/>
    <s v="NEELKANTH TRADERS"/>
    <n v="119026"/>
    <s v="FRIENDS SUPPLIERS CO.(L"/>
    <n v="30"/>
    <n v="20"/>
    <n v="0"/>
    <n v="0"/>
    <n v="0"/>
    <n v="10"/>
    <n v="0"/>
    <n v="60"/>
    <n v="8.5714285714285712"/>
    <x v="1"/>
    <x v="32"/>
    <x v="11"/>
    <x v="2"/>
  </r>
  <r>
    <s v="808914119026"/>
    <n v="808914"/>
    <s v="KRISHNA CEMENT SUPPLIERS"/>
    <n v="119026"/>
    <s v="FRIENDS SUPPLIERS CO.(L"/>
    <n v="30"/>
    <n v="51"/>
    <n v="40"/>
    <n v="94.75"/>
    <n v="35"/>
    <n v="0"/>
    <n v="12"/>
    <n v="262.75"/>
    <n v="37.535714285714285"/>
    <x v="4"/>
    <x v="32"/>
    <x v="11"/>
    <x v="2"/>
  </r>
  <r>
    <s v="809906119026"/>
    <n v="809906"/>
    <s v="HARI SINGH CHOUHAN"/>
    <n v="119026"/>
    <s v="FRIENDS SUPPLIERS CO.(L"/>
    <n v="57.5"/>
    <n v="0"/>
    <n v="132.5"/>
    <n v="47.5"/>
    <n v="40"/>
    <n v="57.5"/>
    <n v="41.5"/>
    <n v="376.5"/>
    <n v="53.785714285714285"/>
    <x v="3"/>
    <x v="32"/>
    <x v="11"/>
    <x v="2"/>
  </r>
  <r>
    <s v="810840119026"/>
    <n v="810840"/>
    <s v="BHERUNATH CEMENT SUPPLIERS"/>
    <n v="119026"/>
    <s v="FRIENDS SUPPLIERS CO.(L"/>
    <n v="104"/>
    <n v="52.55"/>
    <n v="156.25"/>
    <n v="151.49999999999997"/>
    <n v="105"/>
    <n v="145"/>
    <n v="30"/>
    <n v="744.3"/>
    <n v="106.32857142857142"/>
    <x v="3"/>
    <x v="32"/>
    <x v="11"/>
    <x v="2"/>
  </r>
  <r>
    <s v="812067119026"/>
    <n v="812067"/>
    <s v="KALRA BUILDING MATERIAL"/>
    <n v="119026"/>
    <s v="FRIENDS SUPPLIERS CO.(L"/>
    <n v="144.5"/>
    <n v="70"/>
    <n v="104.1"/>
    <n v="93.25"/>
    <n v="110"/>
    <n v="155.05000000000001"/>
    <n v="75.5"/>
    <n v="752.40000000000009"/>
    <n v="107.48571428571429"/>
    <x v="3"/>
    <x v="32"/>
    <x v="11"/>
    <x v="2"/>
  </r>
  <r>
    <s v="812218119026"/>
    <n v="812218"/>
    <s v="JAINICO DISTRIBUTORS"/>
    <n v="119026"/>
    <s v="FRIENDS SUPPLIERS CO.(L"/>
    <n v="50"/>
    <n v="0"/>
    <n v="5"/>
    <n v="62.5"/>
    <n v="20"/>
    <n v="15"/>
    <n v="10"/>
    <n v="162.5"/>
    <n v="23.214285714285715"/>
    <x v="0"/>
    <x v="32"/>
    <x v="11"/>
    <x v="2"/>
  </r>
  <r>
    <s v="814106119028"/>
    <n v="814106"/>
    <s v="SANWARIYA ENTERPRISE"/>
    <n v="119028"/>
    <s v="KANHAYALAL &amp; SONS"/>
    <n v="0"/>
    <n v="0"/>
    <n v="10"/>
    <n v="0"/>
    <n v="0"/>
    <n v="0"/>
    <n v="0"/>
    <n v="10"/>
    <n v="1.4285714285714286"/>
    <x v="1"/>
    <x v="32"/>
    <x v="11"/>
    <x v="2"/>
  </r>
  <r>
    <s v="802894140848"/>
    <n v="802894"/>
    <s v="BHERUNATH CEMENT SUPPLIERS"/>
    <n v="140848"/>
    <s v="PADAM CEMENT SUPPLIERS"/>
    <n v="10"/>
    <n v="50"/>
    <n v="30"/>
    <n v="42.5"/>
    <n v="22.5"/>
    <n v="20"/>
    <n v="20"/>
    <n v="195"/>
    <n v="27.857142857142858"/>
    <x v="0"/>
    <x v="32"/>
    <x v="11"/>
    <x v="2"/>
  </r>
  <r>
    <s v="803071140848"/>
    <n v="803071"/>
    <s v="JAGDISH CHANDRA S/O NATHULAL S"/>
    <n v="140848"/>
    <s v="PADAM CEMENT SUPPLIERS"/>
    <n v="116"/>
    <n v="168"/>
    <n v="217.5"/>
    <n v="150"/>
    <n v="100"/>
    <n v="65"/>
    <n v="50.95"/>
    <n v="867.45"/>
    <n v="123.92142857142858"/>
    <x v="3"/>
    <x v="32"/>
    <x v="11"/>
    <x v="2"/>
  </r>
  <r>
    <s v="806094140848"/>
    <n v="806094"/>
    <s v="SHIV CEMENT SUPPLIERS"/>
    <n v="140848"/>
    <s v="PADAM CEMENT SUPPLIERS"/>
    <n v="60"/>
    <n v="40"/>
    <n v="155"/>
    <n v="125"/>
    <n v="101"/>
    <n v="37.5"/>
    <n v="78.75"/>
    <n v="597.25"/>
    <n v="85.321428571428569"/>
    <x v="3"/>
    <x v="32"/>
    <x v="11"/>
    <x v="2"/>
  </r>
  <r>
    <s v="806827140848"/>
    <n v="806827"/>
    <s v="SWASTIK PANTS &amp; HARDWARE"/>
    <n v="140848"/>
    <s v="PADAM CEMENT SUPPLIERS"/>
    <n v="23.5"/>
    <n v="7.5"/>
    <n v="0"/>
    <n v="0"/>
    <n v="10"/>
    <n v="7.5"/>
    <n v="0"/>
    <n v="48.5"/>
    <n v="6.9285714285714288"/>
    <x v="1"/>
    <x v="32"/>
    <x v="11"/>
    <x v="2"/>
  </r>
  <r>
    <s v="808271140848"/>
    <n v="808271"/>
    <s v="RAJESH CEMENT SUPPLIERS"/>
    <n v="140848"/>
    <s v="PADAM CEMENT SUPPLIERS"/>
    <n v="81"/>
    <n v="65"/>
    <n v="182"/>
    <n v="117.5"/>
    <n v="107"/>
    <n v="27.25"/>
    <n v="65"/>
    <n v="644.75"/>
    <n v="92.107142857142861"/>
    <x v="3"/>
    <x v="32"/>
    <x v="11"/>
    <x v="2"/>
  </r>
  <r>
    <s v="808444140848"/>
    <n v="808444"/>
    <s v="JAI SHREE BHERUNATH CEMENT SUP"/>
    <n v="140848"/>
    <s v="PADAM CEMENT SUPPLIERS"/>
    <n v="10"/>
    <n v="10"/>
    <n v="10"/>
    <n v="0"/>
    <n v="21"/>
    <n v="0"/>
    <n v="10"/>
    <n v="61"/>
    <n v="8.7142857142857135"/>
    <x v="1"/>
    <x v="32"/>
    <x v="11"/>
    <x v="2"/>
  </r>
  <r>
    <s v="809020140848"/>
    <n v="809020"/>
    <s v="RAJ VIDYA CEMENT SUPPLIER"/>
    <n v="140848"/>
    <s v="PADAM CEMENT SUPPLIERS"/>
    <n v="36"/>
    <n v="41"/>
    <n v="36.5"/>
    <n v="52"/>
    <n v="48.5"/>
    <n v="46"/>
    <n v="45"/>
    <n v="305"/>
    <n v="43.571428571428569"/>
    <x v="5"/>
    <x v="32"/>
    <x v="11"/>
    <x v="2"/>
  </r>
  <r>
    <s v="809907140848"/>
    <n v="809907"/>
    <s v="HITESH CEMENT SUPPLIERS"/>
    <n v="140848"/>
    <s v="PADAM CEMENT SUPPLIERS"/>
    <n v="40"/>
    <n v="60"/>
    <n v="170"/>
    <n v="93.5"/>
    <n v="74.5"/>
    <n v="37.5"/>
    <n v="37.5"/>
    <n v="513"/>
    <n v="73.285714285714292"/>
    <x v="3"/>
    <x v="32"/>
    <x v="11"/>
    <x v="2"/>
  </r>
  <r>
    <s v="810157140848"/>
    <n v="810157"/>
    <s v="LAXMI SANITARY AND HARDWARE"/>
    <n v="140848"/>
    <s v="PADAM CEMENT SUPPLIERS"/>
    <n v="89"/>
    <n v="70"/>
    <n v="51"/>
    <n v="156.5"/>
    <n v="91.5"/>
    <n v="96.25"/>
    <n v="79"/>
    <n v="633.25"/>
    <n v="90.464285714285708"/>
    <x v="3"/>
    <x v="32"/>
    <x v="11"/>
    <x v="2"/>
  </r>
  <r>
    <s v="811274140848"/>
    <n v="811274"/>
    <s v="MAHENDRA SINGH RAJPUT"/>
    <n v="140848"/>
    <s v="PADAM CEMENT SUPPLIERS"/>
    <n v="20"/>
    <n v="40"/>
    <n v="20"/>
    <n v="37.5"/>
    <n v="41"/>
    <n v="40"/>
    <n v="10"/>
    <n v="208.5"/>
    <n v="29.785714285714285"/>
    <x v="0"/>
    <x v="32"/>
    <x v="11"/>
    <x v="2"/>
  </r>
  <r>
    <s v="813152140848"/>
    <n v="813152"/>
    <s v="MAHIPAL SINGH SARANGDEVOT"/>
    <n v="140848"/>
    <s v="PADAM CEMENT SUPPLIERS"/>
    <n v="50"/>
    <n v="68"/>
    <n v="80"/>
    <n v="82.5"/>
    <n v="90"/>
    <n v="13.5"/>
    <n v="43.5"/>
    <n v="427.5"/>
    <n v="61.071428571428569"/>
    <x v="3"/>
    <x v="32"/>
    <x v="11"/>
    <x v="2"/>
  </r>
  <r>
    <s v="813168140848"/>
    <n v="813168"/>
    <s v="VINOD DAS VAIRAGI"/>
    <n v="140848"/>
    <s v="PADAM CEMENT SUPPLIERS"/>
    <n v="40"/>
    <n v="60"/>
    <n v="65"/>
    <n v="39"/>
    <n v="33.5"/>
    <n v="2.5"/>
    <n v="10"/>
    <n v="250"/>
    <n v="35.714285714285715"/>
    <x v="4"/>
    <x v="32"/>
    <x v="11"/>
    <x v="2"/>
  </r>
  <r>
    <s v="813231140848"/>
    <n v="813231"/>
    <s v="LAXMAN LAL SUTHAR"/>
    <n v="140848"/>
    <s v="PADAM CEMENT SUPPLIERS"/>
    <n v="0"/>
    <n v="0"/>
    <n v="0"/>
    <n v="0"/>
    <n v="10"/>
    <n v="0"/>
    <n v="0"/>
    <n v="10"/>
    <n v="1.4285714285714286"/>
    <x v="1"/>
    <x v="32"/>
    <x v="11"/>
    <x v="2"/>
  </r>
  <r>
    <s v="803260140849"/>
    <n v="803260"/>
    <s v="PARAS STONE SUPPLIERS"/>
    <n v="140849"/>
    <s v="SAWALIYA CEMENT SUPPLIERS"/>
    <n v="20"/>
    <n v="40"/>
    <n v="0"/>
    <n v="25.5"/>
    <n v="28"/>
    <n v="0"/>
    <n v="0"/>
    <n v="113.5"/>
    <n v="16.214285714285715"/>
    <x v="2"/>
    <x v="32"/>
    <x v="11"/>
    <x v="2"/>
  </r>
  <r>
    <s v="803778140849"/>
    <n v="803778"/>
    <s v="AMBA LAL SUTHAR CONTRECTOR"/>
    <n v="140849"/>
    <s v="SAWALIYA CEMENT SUPPLIERS"/>
    <n v="0"/>
    <n v="10"/>
    <n v="0"/>
    <n v="1"/>
    <n v="26"/>
    <n v="10"/>
    <n v="0"/>
    <n v="47"/>
    <n v="6.7142857142857144"/>
    <x v="1"/>
    <x v="32"/>
    <x v="11"/>
    <x v="2"/>
  </r>
  <r>
    <s v="803809140849"/>
    <n v="803809"/>
    <s v="SHREE RAM STONE SUPPLIERS"/>
    <n v="140849"/>
    <s v="SAWALIYA CEMENT SUPPLIERS"/>
    <n v="65"/>
    <n v="80"/>
    <n v="133"/>
    <n v="16"/>
    <n v="35"/>
    <n v="80"/>
    <n v="25.5"/>
    <n v="434.5"/>
    <n v="62.071428571428569"/>
    <x v="3"/>
    <x v="32"/>
    <x v="11"/>
    <x v="2"/>
  </r>
  <r>
    <s v="803020140851"/>
    <n v="803020"/>
    <s v="RAMESH KUMAR KANHAYA LAL SUTHA"/>
    <n v="140851"/>
    <s v="PASHAWNATH CEMENT SUPPLIERS"/>
    <n v="20"/>
    <n v="30"/>
    <n v="45"/>
    <n v="25"/>
    <n v="20"/>
    <n v="10"/>
    <n v="0"/>
    <n v="150"/>
    <n v="21.428571428571427"/>
    <x v="0"/>
    <x v="32"/>
    <x v="11"/>
    <x v="2"/>
  </r>
  <r>
    <s v="803021140851"/>
    <n v="803021"/>
    <s v="SHANTI LAL SUTHAR"/>
    <n v="140851"/>
    <s v="PASHAWNATH CEMENT SUPPLIERS"/>
    <n v="50"/>
    <n v="40"/>
    <n v="60"/>
    <n v="30"/>
    <n v="44"/>
    <n v="22.5"/>
    <n v="25"/>
    <n v="271.5"/>
    <n v="38.785714285714285"/>
    <x v="4"/>
    <x v="32"/>
    <x v="11"/>
    <x v="2"/>
  </r>
  <r>
    <s v="803022140851"/>
    <n v="803022"/>
    <s v="LAXMI LAL KALU LAL JAIN"/>
    <n v="140851"/>
    <s v="PASHAWNATH CEMENT SUPPLIERS"/>
    <n v="10"/>
    <n v="10"/>
    <n v="30"/>
    <n v="25"/>
    <n v="0"/>
    <n v="0"/>
    <n v="0"/>
    <n v="75"/>
    <n v="10.714285714285714"/>
    <x v="2"/>
    <x v="32"/>
    <x v="11"/>
    <x v="2"/>
  </r>
  <r>
    <s v="803023140851"/>
    <n v="803023"/>
    <s v="KESAR SINGH"/>
    <n v="140851"/>
    <s v="PASHAWNATH CEMENT SUPPLIERS"/>
    <n v="45"/>
    <n v="20"/>
    <n v="40"/>
    <n v="27.5"/>
    <n v="30"/>
    <n v="20"/>
    <n v="10"/>
    <n v="192.5"/>
    <n v="27.5"/>
    <x v="0"/>
    <x v="32"/>
    <x v="11"/>
    <x v="2"/>
  </r>
  <r>
    <s v="803188140851"/>
    <n v="803188"/>
    <s v="PATEL CEMENT SUPPLIERS"/>
    <n v="140851"/>
    <s v="PASHAWNATH CEMENT SUPPLIERS"/>
    <n v="0"/>
    <n v="0"/>
    <n v="0"/>
    <n v="0"/>
    <n v="0"/>
    <n v="10"/>
    <n v="0"/>
    <n v="10"/>
    <n v="1.4285714285714286"/>
    <x v="1"/>
    <x v="32"/>
    <x v="11"/>
    <x v="2"/>
  </r>
  <r>
    <s v="803946140851"/>
    <n v="803946"/>
    <s v="MUKESH STONE SUPPLIERS"/>
    <n v="140851"/>
    <s v="PASHAWNATH CEMENT SUPPLIERS"/>
    <n v="60"/>
    <n v="50"/>
    <n v="95"/>
    <n v="37.5"/>
    <n v="30"/>
    <n v="20"/>
    <n v="0"/>
    <n v="292.5"/>
    <n v="41.785714285714285"/>
    <x v="5"/>
    <x v="32"/>
    <x v="11"/>
    <x v="2"/>
  </r>
  <r>
    <s v="810299140851"/>
    <n v="810299"/>
    <s v="PEMAJI SUTHAR"/>
    <n v="140851"/>
    <s v="PASHAWNATH CEMENT SUPPLIERS"/>
    <n v="5.5"/>
    <n v="10"/>
    <n v="20"/>
    <n v="25"/>
    <n v="0"/>
    <n v="10"/>
    <n v="0"/>
    <n v="70.5"/>
    <n v="10.071428571428571"/>
    <x v="2"/>
    <x v="32"/>
    <x v="11"/>
    <x v="2"/>
  </r>
  <r>
    <s v="812450140851"/>
    <n v="812450"/>
    <s v="RUPENDRA SINGH SHAKTAWAT"/>
    <n v="140851"/>
    <s v="PASHAWNATH CEMENT SUPPLIERS"/>
    <n v="45"/>
    <n v="0"/>
    <n v="45"/>
    <n v="62.5"/>
    <n v="10"/>
    <n v="40"/>
    <n v="7.5"/>
    <n v="210"/>
    <n v="30"/>
    <x v="4"/>
    <x v="32"/>
    <x v="11"/>
    <x v="2"/>
  </r>
  <r>
    <s v="813231140851"/>
    <n v="813231"/>
    <s v="LAXMAN LAL SUTHAR"/>
    <n v="140851"/>
    <s v="PASHAWNATH CEMENT SUPPLIERS"/>
    <n v="20"/>
    <n v="15"/>
    <n v="50"/>
    <n v="58.5"/>
    <n v="20"/>
    <n v="17.5"/>
    <n v="37.5"/>
    <n v="218.5"/>
    <n v="31.214285714285715"/>
    <x v="4"/>
    <x v="32"/>
    <x v="11"/>
    <x v="2"/>
  </r>
  <r>
    <s v="804968140852"/>
    <n v="804968"/>
    <s v="GANPATI BUILDING MATERIAL"/>
    <n v="140852"/>
    <s v="NEW KALPESH CEMENT AGENCY"/>
    <n v="31"/>
    <n v="45"/>
    <n v="32.5"/>
    <n v="22.5"/>
    <n v="43"/>
    <n v="27"/>
    <n v="6"/>
    <n v="207"/>
    <n v="29.571428571428573"/>
    <x v="0"/>
    <x v="32"/>
    <x v="11"/>
    <x v="2"/>
  </r>
  <r>
    <s v="808228140852"/>
    <n v="808228"/>
    <s v="CHOUBISA ENTERPRISES"/>
    <n v="140852"/>
    <s v="NEW KALPESH CEMENT AGENCY"/>
    <n v="6"/>
    <n v="35"/>
    <n v="20"/>
    <n v="80.25"/>
    <n v="16"/>
    <n v="49.5"/>
    <n v="5.5"/>
    <n v="212.25"/>
    <n v="30.321428571428573"/>
    <x v="4"/>
    <x v="32"/>
    <x v="11"/>
    <x v="2"/>
  </r>
  <r>
    <s v="814643140855"/>
    <n v="814643"/>
    <s v="SHIV STONE AND BUILDING MATERI"/>
    <n v="140855"/>
    <s v="MAHALAXMI CEMENT SUPPLIERS"/>
    <n v="77"/>
    <n v="57"/>
    <n v="89.5"/>
    <n v="83.5"/>
    <n v="62"/>
    <n v="15"/>
    <n v="10"/>
    <n v="394"/>
    <n v="56.285714285714285"/>
    <x v="3"/>
    <x v="32"/>
    <x v="11"/>
    <x v="2"/>
  </r>
  <r>
    <s v="815416140855"/>
    <n v="815416"/>
    <s v="JAI ZAWAR MATA BUILDING MATERI"/>
    <n v="140855"/>
    <s v="MAHALAXMI CEMENT SUPPLIERS"/>
    <n v="0"/>
    <n v="0"/>
    <n v="0"/>
    <n v="39"/>
    <n v="16.5"/>
    <n v="0"/>
    <n v="0"/>
    <n v="55.5"/>
    <n v="7.9285714285714288"/>
    <x v="1"/>
    <x v="32"/>
    <x v="11"/>
    <x v="2"/>
  </r>
  <r>
    <s v="813434140856"/>
    <n v="813434"/>
    <s v="CHAMUNDA BUILDING MATERIAL"/>
    <n v="140856"/>
    <s v="TIRUPATI BUILDING MATERIAL SUP"/>
    <n v="65"/>
    <n v="40"/>
    <n v="67"/>
    <n v="140"/>
    <n v="130"/>
    <n v="20"/>
    <n v="20"/>
    <n v="482"/>
    <n v="68.857142857142861"/>
    <x v="3"/>
    <x v="32"/>
    <x v="11"/>
    <x v="2"/>
  </r>
  <r>
    <s v="802893140857"/>
    <n v="802893"/>
    <s v="BHAWANI STONE SUPPLIERS"/>
    <n v="140857"/>
    <s v="MERAWAT CEMENT AGENCY"/>
    <n v="30"/>
    <n v="40"/>
    <n v="77.5"/>
    <n v="39.5"/>
    <n v="65"/>
    <n v="36.25"/>
    <n v="15"/>
    <n v="303.25"/>
    <n v="43.321428571428569"/>
    <x v="5"/>
    <x v="32"/>
    <x v="11"/>
    <x v="2"/>
  </r>
  <r>
    <s v="802923140857"/>
    <n v="802923"/>
    <s v="VISHWAKARMA STONE AGE CUTTING"/>
    <n v="140857"/>
    <s v="MERAWAT CEMENT AGENCY"/>
    <n v="30"/>
    <n v="39.25"/>
    <n v="10"/>
    <n v="17.5"/>
    <n v="35"/>
    <n v="20"/>
    <n v="31.5"/>
    <n v="183.25"/>
    <n v="26.178571428571427"/>
    <x v="0"/>
    <x v="32"/>
    <x v="11"/>
    <x v="2"/>
  </r>
  <r>
    <s v="803124140857"/>
    <n v="803124"/>
    <s v="MAHADEV CEMENT SUPPLIERS"/>
    <n v="140857"/>
    <s v="MERAWAT CEMENT AGENCY"/>
    <n v="0"/>
    <n v="0"/>
    <n v="0"/>
    <n v="7.5"/>
    <n v="10"/>
    <n v="0"/>
    <n v="0"/>
    <n v="17.5"/>
    <n v="2.5"/>
    <x v="1"/>
    <x v="32"/>
    <x v="11"/>
    <x v="2"/>
  </r>
  <r>
    <s v="803188140857"/>
    <n v="803188"/>
    <s v="PATEL CEMENT SUPPLIERS"/>
    <n v="140857"/>
    <s v="MERAWAT CEMENT AGENCY"/>
    <n v="0"/>
    <n v="25"/>
    <n v="40"/>
    <n v="67.5"/>
    <n v="34"/>
    <n v="55"/>
    <n v="10"/>
    <n v="231.5"/>
    <n v="33.071428571428569"/>
    <x v="4"/>
    <x v="32"/>
    <x v="11"/>
    <x v="2"/>
  </r>
  <r>
    <s v="804897140857"/>
    <n v="804897"/>
    <s v="SHREE NATH CEMENT AGENCY"/>
    <n v="140857"/>
    <s v="MERAWAT CEMENT AGENCY"/>
    <n v="10"/>
    <n v="18.25"/>
    <n v="85"/>
    <n v="37.5"/>
    <n v="80"/>
    <n v="30"/>
    <n v="20"/>
    <n v="280.75"/>
    <n v="40.107142857142854"/>
    <x v="5"/>
    <x v="32"/>
    <x v="11"/>
    <x v="2"/>
  </r>
  <r>
    <s v="807310140857"/>
    <n v="807310"/>
    <s v="SAVNA ENTERPRISES &amp; CONSTRUCTI"/>
    <n v="140857"/>
    <s v="MERAWAT CEMENT AGENCY"/>
    <n v="0"/>
    <n v="20"/>
    <n v="25"/>
    <n v="23.5"/>
    <n v="30"/>
    <n v="20"/>
    <n v="0"/>
    <n v="118.5"/>
    <n v="16.928571428571427"/>
    <x v="2"/>
    <x v="32"/>
    <x v="11"/>
    <x v="2"/>
  </r>
  <r>
    <s v="803991140858"/>
    <n v="803991"/>
    <s v="ABHAY STONE &amp; BUILDING MATERIA"/>
    <n v="140858"/>
    <s v="RAMESH CHANDRA JAI CHAND"/>
    <n v="60"/>
    <n v="30"/>
    <n v="65"/>
    <n v="40"/>
    <n v="60"/>
    <n v="52.5"/>
    <n v="35"/>
    <n v="342.5"/>
    <n v="48.928571428571431"/>
    <x v="5"/>
    <x v="32"/>
    <x v="11"/>
    <x v="2"/>
  </r>
  <r>
    <s v="804969140858"/>
    <n v="804969"/>
    <s v="MAA ASHAPURA CEMENT &amp; SANATRY"/>
    <n v="140858"/>
    <s v="RAMESH CHANDRA JAI CHAND"/>
    <n v="55"/>
    <n v="20"/>
    <n v="30"/>
    <n v="42.5"/>
    <n v="30"/>
    <n v="45"/>
    <n v="20"/>
    <n v="242.5"/>
    <n v="34.642857142857146"/>
    <x v="4"/>
    <x v="32"/>
    <x v="11"/>
    <x v="2"/>
  </r>
  <r>
    <s v="806996140858"/>
    <n v="806996"/>
    <s v="HATIMI IRON"/>
    <n v="140858"/>
    <s v="RAMESH CHANDRA JAI CHAND"/>
    <n v="8.5"/>
    <n v="10"/>
    <n v="10"/>
    <n v="15"/>
    <n v="40"/>
    <n v="47.5"/>
    <n v="35"/>
    <n v="166"/>
    <n v="23.714285714285715"/>
    <x v="0"/>
    <x v="32"/>
    <x v="11"/>
    <x v="2"/>
  </r>
  <r>
    <s v="807909140858"/>
    <n v="807909"/>
    <s v="HARENDRA CEMENT AGENCY"/>
    <n v="140858"/>
    <s v="RAMESH CHANDRA JAI CHAND"/>
    <n v="30"/>
    <n v="10"/>
    <n v="20"/>
    <n v="37.5"/>
    <n v="50"/>
    <n v="30"/>
    <n v="29"/>
    <n v="206.5"/>
    <n v="29.5"/>
    <x v="0"/>
    <x v="32"/>
    <x v="11"/>
    <x v="2"/>
  </r>
  <r>
    <s v="808498140858"/>
    <n v="808498"/>
    <s v="JAY GURUDEV BUILDING MATERIAL"/>
    <n v="140858"/>
    <s v="RAMESH CHANDRA JAI CHAND"/>
    <n v="86.5"/>
    <n v="70"/>
    <n v="90"/>
    <n v="92.5"/>
    <n v="100"/>
    <n v="60"/>
    <n v="30"/>
    <n v="529"/>
    <n v="75.571428571428569"/>
    <x v="3"/>
    <x v="32"/>
    <x v="11"/>
    <x v="2"/>
  </r>
  <r>
    <s v="808892140858"/>
    <n v="808892"/>
    <s v="BHAGYALAXMI TRADERS"/>
    <n v="140858"/>
    <s v="RAMESH CHANDRA JAI CHAND"/>
    <n v="60"/>
    <n v="30"/>
    <n v="65"/>
    <n v="82.75"/>
    <n v="51"/>
    <n v="43.75"/>
    <n v="20"/>
    <n v="352.5"/>
    <n v="50.357142857142854"/>
    <x v="3"/>
    <x v="32"/>
    <x v="11"/>
    <x v="2"/>
  </r>
  <r>
    <s v="810221140858"/>
    <n v="810221"/>
    <s v="KAHAKAL DEV CONSTRUCTION"/>
    <n v="140858"/>
    <s v="RAMESH CHANDRA JAI CHAND"/>
    <n v="57.5"/>
    <n v="76.5"/>
    <n v="45"/>
    <n v="46"/>
    <n v="55"/>
    <n v="57.5"/>
    <n v="52"/>
    <n v="389.5"/>
    <n v="55.642857142857146"/>
    <x v="3"/>
    <x v="32"/>
    <x v="11"/>
    <x v="2"/>
  </r>
  <r>
    <s v="812451140858"/>
    <n v="812451"/>
    <s v="SURESH KUMAR"/>
    <n v="140858"/>
    <s v="RAMESH CHANDRA JAI CHAND"/>
    <n v="20"/>
    <n v="10"/>
    <n v="45"/>
    <n v="50"/>
    <n v="45"/>
    <n v="38.5"/>
    <n v="25"/>
    <n v="233.5"/>
    <n v="33.357142857142854"/>
    <x v="4"/>
    <x v="32"/>
    <x v="11"/>
    <x v="2"/>
  </r>
  <r>
    <s v="814085140858"/>
    <n v="814085"/>
    <s v="ASHOKA MEENA"/>
    <n v="140858"/>
    <s v="RAMESH CHANDRA JAI CHAND"/>
    <n v="55"/>
    <n v="22.5"/>
    <n v="65"/>
    <n v="87.5"/>
    <n v="75"/>
    <n v="20"/>
    <n v="10"/>
    <n v="335"/>
    <n v="47.857142857142854"/>
    <x v="5"/>
    <x v="32"/>
    <x v="11"/>
    <x v="2"/>
  </r>
  <r>
    <s v="815666140858"/>
    <n v="815666"/>
    <s v="NEMINATH TRADING &amp; CEMENT SUPP"/>
    <n v="140858"/>
    <s v="RAMESH CHANDRA JAI CHAND"/>
    <n v="0"/>
    <n v="0"/>
    <n v="0"/>
    <n v="0"/>
    <n v="0"/>
    <n v="40"/>
    <n v="30"/>
    <n v="70"/>
    <n v="10"/>
    <x v="2"/>
    <x v="32"/>
    <x v="11"/>
    <x v="2"/>
  </r>
  <r>
    <s v="803258140859"/>
    <n v="803258"/>
    <s v="M.K. CEMENT AGENCY"/>
    <n v="140859"/>
    <s v="KESHRIYA JI HARDWARE &amp; METAL S"/>
    <n v="25"/>
    <n v="5"/>
    <n v="20"/>
    <n v="21"/>
    <n v="10"/>
    <n v="0"/>
    <n v="0"/>
    <n v="81"/>
    <n v="11.571428571428571"/>
    <x v="2"/>
    <x v="32"/>
    <x v="11"/>
    <x v="2"/>
  </r>
  <r>
    <s v="812266140859"/>
    <n v="812266"/>
    <s v="MEWADA BUILDING MATERIAL SUPPL"/>
    <n v="140859"/>
    <s v="KESHRIYA JI HARDWARE &amp; METAL S"/>
    <n v="22"/>
    <n v="30"/>
    <n v="50"/>
    <n v="81"/>
    <n v="61"/>
    <n v="0"/>
    <n v="0"/>
    <n v="244"/>
    <n v="34.857142857142854"/>
    <x v="4"/>
    <x v="32"/>
    <x v="11"/>
    <x v="2"/>
  </r>
  <r>
    <s v="813185140859"/>
    <n v="813185"/>
    <s v="NAVIN CONSTRUCTION"/>
    <n v="140859"/>
    <s v="KESHRIYA JI HARDWARE &amp; METAL S"/>
    <n v="0"/>
    <n v="0"/>
    <n v="0"/>
    <n v="11"/>
    <n v="20"/>
    <n v="0"/>
    <n v="40"/>
    <n v="71"/>
    <n v="10.142857142857142"/>
    <x v="2"/>
    <x v="32"/>
    <x v="11"/>
    <x v="2"/>
  </r>
  <r>
    <s v="813780140859"/>
    <n v="813780"/>
    <s v="SHRIRAM WELDING AND FURNITURE"/>
    <n v="140859"/>
    <s v="KESHRIYA JI HARDWARE &amp; METAL S"/>
    <n v="20"/>
    <n v="20"/>
    <n v="20"/>
    <n v="31"/>
    <n v="0"/>
    <n v="0"/>
    <n v="0"/>
    <n v="91"/>
    <n v="13"/>
    <x v="2"/>
    <x v="32"/>
    <x v="11"/>
    <x v="2"/>
  </r>
  <r>
    <s v="814106140859"/>
    <n v="814106"/>
    <s v="SANWARIYA ENTERPRISE"/>
    <n v="140859"/>
    <s v="KESHRIYA JI HARDWARE &amp; METAL S"/>
    <n v="10"/>
    <n v="35"/>
    <n v="10"/>
    <n v="15"/>
    <n v="10"/>
    <n v="10"/>
    <n v="0"/>
    <n v="90"/>
    <n v="12.857142857142858"/>
    <x v="2"/>
    <x v="32"/>
    <x v="11"/>
    <x v="2"/>
  </r>
  <r>
    <s v="816251140859"/>
    <n v="816251"/>
    <s v="GOTAM LAL"/>
    <n v="140859"/>
    <s v="KESHRIYA JI HARDWARE &amp; METAL S"/>
    <n v="0"/>
    <n v="0"/>
    <n v="0"/>
    <n v="0"/>
    <n v="0"/>
    <n v="5"/>
    <n v="0"/>
    <n v="5"/>
    <n v="0.7142857142857143"/>
    <x v="1"/>
    <x v="32"/>
    <x v="11"/>
    <x v="2"/>
  </r>
  <r>
    <s v="816407140859"/>
    <n v="816407"/>
    <s v="MAHIR CONSTRUCTION"/>
    <n v="140859"/>
    <s v="KESHRIYA JI HARDWARE &amp; METAL S"/>
    <n v="0"/>
    <n v="0"/>
    <n v="0"/>
    <n v="0"/>
    <n v="0"/>
    <n v="20"/>
    <n v="0"/>
    <n v="20"/>
    <n v="2.8571428571428572"/>
    <x v="1"/>
    <x v="32"/>
    <x v="11"/>
    <x v="2"/>
  </r>
  <r>
    <s v="803049140860"/>
    <n v="803049"/>
    <s v="GANESH LAL RATAN LAL"/>
    <n v="140860"/>
    <s v="VIPUL CEMENT SUPPLIERS"/>
    <n v="30"/>
    <n v="10"/>
    <n v="30"/>
    <n v="52.5"/>
    <n v="30"/>
    <n v="15"/>
    <n v="20"/>
    <n v="187.5"/>
    <n v="26.785714285714285"/>
    <x v="0"/>
    <x v="32"/>
    <x v="11"/>
    <x v="2"/>
  </r>
  <r>
    <s v="803992140860"/>
    <n v="803992"/>
    <s v="RATAN LAL SUTHAR"/>
    <n v="140860"/>
    <s v="VIPUL CEMENT SUPPLIERS"/>
    <n v="10"/>
    <n v="20"/>
    <n v="40"/>
    <n v="42.5"/>
    <n v="25"/>
    <n v="20"/>
    <n v="10"/>
    <n v="167.5"/>
    <n v="23.928571428571427"/>
    <x v="0"/>
    <x v="32"/>
    <x v="11"/>
    <x v="2"/>
  </r>
  <r>
    <s v="803993140860"/>
    <n v="803993"/>
    <s v="KACHARU LAL PREMJI PATEL"/>
    <n v="140860"/>
    <s v="VIPUL CEMENT SUPPLIERS"/>
    <n v="30"/>
    <n v="20"/>
    <n v="90"/>
    <n v="45"/>
    <n v="60"/>
    <n v="40"/>
    <n v="0"/>
    <n v="285"/>
    <n v="40.714285714285715"/>
    <x v="5"/>
    <x v="32"/>
    <x v="11"/>
    <x v="2"/>
  </r>
  <r>
    <s v="809241140860"/>
    <n v="809241"/>
    <s v="UDAY SINGH"/>
    <n v="140860"/>
    <s v="VIPUL CEMENT SUPPLIERS"/>
    <n v="20"/>
    <n v="50"/>
    <n v="30"/>
    <n v="60"/>
    <n v="52"/>
    <n v="30"/>
    <n v="0"/>
    <n v="242"/>
    <n v="34.571428571428569"/>
    <x v="4"/>
    <x v="32"/>
    <x v="11"/>
    <x v="2"/>
  </r>
  <r>
    <s v="810871140860"/>
    <n v="810871"/>
    <s v="FATEH LAL VAYA"/>
    <n v="140860"/>
    <s v="VIPUL CEMENT SUPPLIERS"/>
    <n v="0"/>
    <n v="0"/>
    <n v="0"/>
    <n v="30"/>
    <n v="43"/>
    <n v="10"/>
    <n v="0"/>
    <n v="83"/>
    <n v="11.857142857142858"/>
    <x v="2"/>
    <x v="32"/>
    <x v="11"/>
    <x v="2"/>
  </r>
  <r>
    <s v="809222140958"/>
    <n v="809222"/>
    <s v="NITESH CEMENT AGENCY"/>
    <n v="140958"/>
    <s v="HEMRAJ SUTHAR CONTRACTOR"/>
    <n v="0"/>
    <n v="0"/>
    <n v="21"/>
    <n v="25"/>
    <n v="20"/>
    <n v="10"/>
    <n v="20"/>
    <n v="96"/>
    <n v="13.714285714285714"/>
    <x v="2"/>
    <x v="32"/>
    <x v="11"/>
    <x v="2"/>
  </r>
  <r>
    <s v="809284140958"/>
    <n v="809284"/>
    <s v="RADHE SHYAM CEMENT SUPPLIERS"/>
    <n v="140958"/>
    <s v="HEMRAJ SUTHAR CONTRACTOR"/>
    <n v="10"/>
    <n v="50"/>
    <n v="133.75"/>
    <n v="65"/>
    <n v="30"/>
    <n v="60"/>
    <n v="0"/>
    <n v="348.75"/>
    <n v="49.821428571428569"/>
    <x v="5"/>
    <x v="32"/>
    <x v="11"/>
    <x v="2"/>
  </r>
  <r>
    <s v="810583140958"/>
    <n v="810583"/>
    <s v="HARSHAD LAL KIKOD"/>
    <n v="140958"/>
    <s v="HEMRAJ SUTHAR CONTRACTOR"/>
    <n v="10"/>
    <n v="20"/>
    <n v="10"/>
    <n v="52.5"/>
    <n v="30.5"/>
    <n v="0"/>
    <n v="10"/>
    <n v="133"/>
    <n v="19"/>
    <x v="2"/>
    <x v="32"/>
    <x v="11"/>
    <x v="2"/>
  </r>
  <r>
    <s v="813170140958"/>
    <n v="813170"/>
    <s v="RAMESH KALAL"/>
    <n v="140958"/>
    <s v="HEMRAJ SUTHAR CONTRACTOR"/>
    <n v="10"/>
    <n v="25"/>
    <n v="60"/>
    <n v="50"/>
    <n v="10"/>
    <n v="40"/>
    <n v="50"/>
    <n v="245"/>
    <n v="35"/>
    <x v="4"/>
    <x v="32"/>
    <x v="11"/>
    <x v="2"/>
  </r>
  <r>
    <s v="813190140958"/>
    <n v="813190"/>
    <s v="RAJENDRA SINGH CHOUHAN"/>
    <n v="140958"/>
    <s v="HEMRAJ SUTHAR CONTRACTOR"/>
    <n v="11"/>
    <n v="0"/>
    <n v="95"/>
    <n v="60"/>
    <n v="0"/>
    <n v="30"/>
    <n v="0"/>
    <n v="196"/>
    <n v="28"/>
    <x v="0"/>
    <x v="32"/>
    <x v="11"/>
    <x v="2"/>
  </r>
  <r>
    <s v="802925140963"/>
    <n v="802925"/>
    <s v="PARSHWANATH FERTILIZERS &amp; CHEM"/>
    <n v="140963"/>
    <s v="ADINATH CEMENT SUPPLIERS"/>
    <n v="10"/>
    <n v="35"/>
    <n v="30"/>
    <n v="35"/>
    <n v="10"/>
    <n v="30"/>
    <n v="10"/>
    <n v="160"/>
    <n v="22.857142857142858"/>
    <x v="0"/>
    <x v="32"/>
    <x v="11"/>
    <x v="2"/>
  </r>
  <r>
    <s v="804006140966"/>
    <n v="804006"/>
    <s v="SINGHVI HARDWARE"/>
    <n v="140966"/>
    <s v="SWASTIK SALES"/>
    <n v="20"/>
    <n v="0"/>
    <n v="0"/>
    <n v="5"/>
    <n v="0"/>
    <n v="0"/>
    <n v="0"/>
    <n v="25"/>
    <n v="3.5714285714285716"/>
    <x v="1"/>
    <x v="32"/>
    <x v="11"/>
    <x v="2"/>
  </r>
  <r>
    <s v="801757140967"/>
    <n v="801757"/>
    <s v="LAXMI PATHAR GODAM"/>
    <n v="140967"/>
    <s v="B.L.JAIN &amp; SONS"/>
    <n v="0"/>
    <n v="0"/>
    <n v="0"/>
    <n v="0"/>
    <n v="0"/>
    <n v="144.5"/>
    <n v="75.5"/>
    <n v="220"/>
    <n v="31.428571428571427"/>
    <x v="4"/>
    <x v="32"/>
    <x v="11"/>
    <x v="2"/>
  </r>
  <r>
    <s v="802895140967"/>
    <n v="802895"/>
    <s v="SHIV SHAKTI  CEMENT SUPPLIERS"/>
    <n v="140967"/>
    <s v="B.L.JAIN &amp; SONS"/>
    <n v="75"/>
    <n v="35"/>
    <n v="130"/>
    <n v="215"/>
    <n v="43.25"/>
    <n v="185"/>
    <n v="92.5"/>
    <n v="775.75"/>
    <n v="110.82142857142857"/>
    <x v="3"/>
    <x v="32"/>
    <x v="11"/>
    <x v="2"/>
  </r>
  <r>
    <s v="802896140967"/>
    <n v="802896"/>
    <s v="KAMLESH KIRANA STORE"/>
    <n v="140967"/>
    <s v="B.L.JAIN &amp; SONS"/>
    <n v="20"/>
    <n v="30"/>
    <n v="25"/>
    <n v="32.5"/>
    <n v="25"/>
    <n v="0"/>
    <n v="0"/>
    <n v="132.5"/>
    <n v="18.928571428571427"/>
    <x v="2"/>
    <x v="32"/>
    <x v="11"/>
    <x v="2"/>
  </r>
  <r>
    <s v="804057140967"/>
    <n v="804057"/>
    <s v="NAVNEET KUMAR MOHAN LAL JAIN"/>
    <n v="140967"/>
    <s v="B.L.JAIN &amp; SONS"/>
    <n v="0"/>
    <n v="67"/>
    <n v="50"/>
    <n v="120"/>
    <n v="35"/>
    <n v="29"/>
    <n v="0"/>
    <n v="301"/>
    <n v="43"/>
    <x v="5"/>
    <x v="32"/>
    <x v="11"/>
    <x v="2"/>
  </r>
  <r>
    <s v="804131140967"/>
    <n v="804131"/>
    <s v="MOTI LAL PARASKUMAR JAIN"/>
    <n v="140967"/>
    <s v="B.L.JAIN &amp; SONS"/>
    <n v="210"/>
    <n v="159"/>
    <n v="259"/>
    <n v="110"/>
    <n v="85"/>
    <n v="297.5"/>
    <n v="101"/>
    <n v="1221.5"/>
    <n v="174.5"/>
    <x v="3"/>
    <x v="32"/>
    <x v="11"/>
    <x v="2"/>
  </r>
  <r>
    <s v="806095140967"/>
    <n v="806095"/>
    <s v="GANESH LAL SHARMA"/>
    <n v="140967"/>
    <s v="B.L.JAIN &amp; SONS"/>
    <n v="90"/>
    <n v="185"/>
    <n v="185"/>
    <n v="172.5"/>
    <n v="110"/>
    <n v="75"/>
    <n v="10"/>
    <n v="827.5"/>
    <n v="118.21428571428571"/>
    <x v="3"/>
    <x v="32"/>
    <x v="11"/>
    <x v="2"/>
  </r>
  <r>
    <s v="807568140967"/>
    <n v="807568"/>
    <s v="ASHAPURA STONE SUPPLIERS"/>
    <n v="140967"/>
    <s v="B.L.JAIN &amp; SONS"/>
    <n v="30"/>
    <n v="16"/>
    <n v="80"/>
    <n v="75"/>
    <n v="112.5"/>
    <n v="0"/>
    <n v="10"/>
    <n v="323.5"/>
    <n v="46.214285714285715"/>
    <x v="5"/>
    <x v="32"/>
    <x v="11"/>
    <x v="2"/>
  </r>
  <r>
    <s v="808087140967"/>
    <n v="808087"/>
    <s v="LAXMI TRADERS AND STONE SUPPLI"/>
    <n v="140967"/>
    <s v="B.L.JAIN &amp; SONS"/>
    <n v="20"/>
    <n v="0"/>
    <n v="0"/>
    <n v="0"/>
    <n v="0"/>
    <n v="0"/>
    <n v="0"/>
    <n v="20"/>
    <n v="2.8571428571428572"/>
    <x v="1"/>
    <x v="32"/>
    <x v="11"/>
    <x v="2"/>
  </r>
  <r>
    <s v="808088140967"/>
    <n v="808088"/>
    <s v="BALAJI BUILDING MATERIAL SUPPL"/>
    <n v="140967"/>
    <s v="B.L.JAIN &amp; SONS"/>
    <n v="20"/>
    <n v="30"/>
    <n v="0"/>
    <n v="10"/>
    <n v="10"/>
    <n v="0"/>
    <n v="0"/>
    <n v="70"/>
    <n v="10"/>
    <x v="2"/>
    <x v="32"/>
    <x v="11"/>
    <x v="2"/>
  </r>
  <r>
    <s v="808152140967"/>
    <n v="808152"/>
    <s v="RAJASTHAN PATTHAR GODAM"/>
    <n v="140967"/>
    <s v="B.L.JAIN &amp; SONS"/>
    <n v="20"/>
    <n v="35"/>
    <n v="0"/>
    <n v="17.5"/>
    <n v="30"/>
    <n v="30"/>
    <n v="30"/>
    <n v="162.5"/>
    <n v="23.214285714285715"/>
    <x v="0"/>
    <x v="32"/>
    <x v="11"/>
    <x v="2"/>
  </r>
  <r>
    <s v="808272140967"/>
    <n v="808272"/>
    <s v="SHREE BHERU BHAWANI STONE &amp; CE"/>
    <n v="140967"/>
    <s v="B.L.JAIN &amp; SONS"/>
    <n v="20"/>
    <n v="0"/>
    <n v="0"/>
    <n v="77.5"/>
    <n v="112.5"/>
    <n v="25"/>
    <n v="25"/>
    <n v="260"/>
    <n v="37.142857142857146"/>
    <x v="4"/>
    <x v="32"/>
    <x v="11"/>
    <x v="2"/>
  </r>
  <r>
    <s v="808554140967"/>
    <n v="808554"/>
    <s v="VISHVAKARMA PATTHAR GODAM"/>
    <n v="140967"/>
    <s v="B.L.JAIN &amp; SONS"/>
    <n v="10"/>
    <n v="0"/>
    <n v="25"/>
    <n v="7.5"/>
    <n v="30"/>
    <n v="0"/>
    <n v="0"/>
    <n v="72.5"/>
    <n v="10.357142857142858"/>
    <x v="2"/>
    <x v="32"/>
    <x v="11"/>
    <x v="2"/>
  </r>
  <r>
    <s v="809115140967"/>
    <n v="809115"/>
    <s v="BASANTI LAL JAIN"/>
    <n v="140967"/>
    <s v="B.L.JAIN &amp; SONS"/>
    <n v="35"/>
    <n v="150"/>
    <n v="37.5"/>
    <n v="35"/>
    <n v="70"/>
    <n v="15"/>
    <n v="25"/>
    <n v="367.5"/>
    <n v="52.5"/>
    <x v="3"/>
    <x v="32"/>
    <x v="11"/>
    <x v="2"/>
  </r>
  <r>
    <s v="809281140967"/>
    <n v="809281"/>
    <s v="ARIHANT KIRANA AND BULDING MAT"/>
    <n v="140967"/>
    <s v="B.L.JAIN &amp; SONS"/>
    <n v="0"/>
    <n v="0"/>
    <n v="0"/>
    <n v="10"/>
    <n v="35"/>
    <n v="0"/>
    <n v="10"/>
    <n v="55"/>
    <n v="7.8571428571428568"/>
    <x v="1"/>
    <x v="32"/>
    <x v="11"/>
    <x v="2"/>
  </r>
  <r>
    <s v="809285140967"/>
    <n v="809285"/>
    <s v="JINAL CONSTRUCTION"/>
    <n v="140967"/>
    <s v="B.L.JAIN &amp; SONS"/>
    <n v="35"/>
    <n v="45"/>
    <n v="135"/>
    <n v="35"/>
    <n v="100"/>
    <n v="20"/>
    <n v="20"/>
    <n v="390"/>
    <n v="55.714285714285715"/>
    <x v="3"/>
    <x v="32"/>
    <x v="11"/>
    <x v="2"/>
  </r>
  <r>
    <s v="810305140967"/>
    <n v="810305"/>
    <s v="SIDHI VINAYAK BUILDING MATERIA"/>
    <n v="140967"/>
    <s v="B.L.JAIN &amp; SONS"/>
    <n v="10"/>
    <n v="75"/>
    <n v="125"/>
    <n v="75"/>
    <n v="70"/>
    <n v="0"/>
    <n v="0"/>
    <n v="355"/>
    <n v="50.714285714285715"/>
    <x v="3"/>
    <x v="32"/>
    <x v="11"/>
    <x v="2"/>
  </r>
  <r>
    <s v="811187140967"/>
    <n v="811187"/>
    <s v="BHANWAR LAL SUTHAR"/>
    <n v="140967"/>
    <s v="B.L.JAIN &amp; SONS"/>
    <n v="30"/>
    <n v="10"/>
    <n v="0"/>
    <n v="20"/>
    <n v="85"/>
    <n v="0"/>
    <n v="0"/>
    <n v="145"/>
    <n v="20.714285714285715"/>
    <x v="0"/>
    <x v="32"/>
    <x v="11"/>
    <x v="2"/>
  </r>
  <r>
    <s v="811512140967"/>
    <n v="811512"/>
    <s v="RATAN LAL NAGDA"/>
    <n v="140967"/>
    <s v="B.L.JAIN &amp; SONS"/>
    <n v="10"/>
    <n v="15"/>
    <n v="25"/>
    <n v="62.5"/>
    <n v="45"/>
    <n v="10"/>
    <n v="0"/>
    <n v="167.5"/>
    <n v="23.928571428571427"/>
    <x v="0"/>
    <x v="32"/>
    <x v="11"/>
    <x v="2"/>
  </r>
  <r>
    <s v="812177140967"/>
    <n v="812177"/>
    <s v="BHERU LAL KUMHAR"/>
    <n v="140967"/>
    <s v="B.L.JAIN &amp; SONS"/>
    <n v="25"/>
    <n v="25"/>
    <n v="0"/>
    <n v="17.5"/>
    <n v="35"/>
    <n v="0"/>
    <n v="0"/>
    <n v="102.5"/>
    <n v="14.642857142857142"/>
    <x v="2"/>
    <x v="32"/>
    <x v="11"/>
    <x v="2"/>
  </r>
  <r>
    <s v="813572140967"/>
    <n v="813572"/>
    <s v="SHIVSAGAR BUILDING MATERIAL"/>
    <n v="140967"/>
    <s v="B.L.JAIN &amp; SONS"/>
    <n v="20"/>
    <n v="50"/>
    <n v="45"/>
    <n v="35"/>
    <n v="35"/>
    <n v="0"/>
    <n v="0"/>
    <n v="185"/>
    <n v="26.428571428571427"/>
    <x v="0"/>
    <x v="32"/>
    <x v="11"/>
    <x v="2"/>
  </r>
  <r>
    <s v="814876140967"/>
    <n v="814876"/>
    <s v="MADHU LAL MEENA"/>
    <n v="140967"/>
    <s v="B.L.JAIN &amp; SONS"/>
    <n v="0"/>
    <n v="0"/>
    <n v="0"/>
    <n v="65"/>
    <n v="35"/>
    <n v="0"/>
    <n v="0"/>
    <n v="100"/>
    <n v="14.285714285714286"/>
    <x v="2"/>
    <x v="32"/>
    <x v="11"/>
    <x v="2"/>
  </r>
  <r>
    <s v="802147141115"/>
    <n v="802147"/>
    <s v="BHERUNATH  CEMENT AGENCY"/>
    <n v="141115"/>
    <s v="KALPESH CEMENT AGENCY"/>
    <n v="54.5"/>
    <n v="40"/>
    <n v="50"/>
    <n v="10"/>
    <n v="23.5"/>
    <n v="3"/>
    <n v="16"/>
    <n v="197"/>
    <n v="28.142857142857142"/>
    <x v="0"/>
    <x v="32"/>
    <x v="11"/>
    <x v="2"/>
  </r>
  <r>
    <s v="802148141115"/>
    <n v="802148"/>
    <s v="SHREEYA DEVI CEMENT SUPPLIERS"/>
    <n v="141115"/>
    <s v="KALPESH CEMENT AGENCY"/>
    <n v="115"/>
    <n v="147.6"/>
    <n v="139.25"/>
    <n v="123.75"/>
    <n v="100"/>
    <n v="106.75"/>
    <n v="55"/>
    <n v="787.35"/>
    <n v="112.47857142857143"/>
    <x v="3"/>
    <x v="32"/>
    <x v="11"/>
    <x v="2"/>
  </r>
  <r>
    <s v="802370141115"/>
    <n v="802370"/>
    <s v="DATTAR CEMENT AGENCIES"/>
    <n v="141115"/>
    <s v="KALPESH CEMENT AGENCY"/>
    <n v="0"/>
    <n v="0"/>
    <n v="0"/>
    <n v="22.5"/>
    <n v="30"/>
    <n v="0"/>
    <n v="20"/>
    <n v="72.5"/>
    <n v="10.357142857142858"/>
    <x v="2"/>
    <x v="32"/>
    <x v="11"/>
    <x v="2"/>
  </r>
  <r>
    <s v="802921141115"/>
    <n v="802921"/>
    <s v="MATESHWARI CEMENT SUPPLIERS"/>
    <n v="141115"/>
    <s v="KALPESH CEMENT AGENCY"/>
    <n v="0"/>
    <n v="9"/>
    <n v="0"/>
    <n v="40"/>
    <n v="0"/>
    <n v="14"/>
    <n v="0"/>
    <n v="63"/>
    <n v="9"/>
    <x v="1"/>
    <x v="32"/>
    <x v="11"/>
    <x v="2"/>
  </r>
  <r>
    <s v="803534141115"/>
    <n v="803534"/>
    <s v="JHAMESHWAR CEMENT SUPPLIERS"/>
    <n v="141115"/>
    <s v="KALPESH CEMENT AGENCY"/>
    <n v="138.55000000000001"/>
    <n v="60"/>
    <n v="125"/>
    <n v="157"/>
    <n v="101.5"/>
    <n v="116.5"/>
    <n v="45"/>
    <n v="743.55"/>
    <n v="106.22142857142856"/>
    <x v="3"/>
    <x v="32"/>
    <x v="11"/>
    <x v="2"/>
  </r>
  <r>
    <s v="804058141115"/>
    <n v="804058"/>
    <s v="NAKODA CEMENT AGENCY"/>
    <n v="141115"/>
    <s v="KALPESH CEMENT AGENCY"/>
    <n v="152"/>
    <n v="62.5"/>
    <n v="220.05"/>
    <n v="229.75"/>
    <n v="200.25"/>
    <n v="210.9"/>
    <n v="189.5"/>
    <n v="1264.95"/>
    <n v="180.70714285714286"/>
    <x v="3"/>
    <x v="32"/>
    <x v="11"/>
    <x v="2"/>
  </r>
  <r>
    <s v="804432141115"/>
    <n v="804432"/>
    <s v="SISODIA CEMENT AGENCIES"/>
    <n v="141115"/>
    <s v="KALPESH CEMENT AGENCY"/>
    <n v="93.5"/>
    <n v="118.45"/>
    <n v="128.25"/>
    <n v="119.5"/>
    <n v="99.5"/>
    <n v="134.75"/>
    <n v="69.25"/>
    <n v="763.2"/>
    <n v="109.02857142857144"/>
    <x v="3"/>
    <x v="32"/>
    <x v="11"/>
    <x v="2"/>
  </r>
  <r>
    <s v="804632141115"/>
    <n v="804632"/>
    <s v="MATESHWARI ENTERPRISES AND STO"/>
    <n v="141115"/>
    <s v="KALPESH CEMENT AGENCY"/>
    <n v="80"/>
    <n v="50"/>
    <n v="100"/>
    <n v="89.5"/>
    <n v="68.5"/>
    <n v="82.5"/>
    <n v="45"/>
    <n v="515.5"/>
    <n v="73.642857142857139"/>
    <x v="3"/>
    <x v="32"/>
    <x v="11"/>
    <x v="2"/>
  </r>
  <r>
    <s v="806973141115"/>
    <n v="806973"/>
    <s v="SHREE ANNAPURNA CEMENT SUPPLIE"/>
    <n v="141115"/>
    <s v="KALPESH CEMENT AGENCY"/>
    <n v="0"/>
    <n v="0"/>
    <n v="108"/>
    <n v="0"/>
    <n v="32.5"/>
    <n v="33.5"/>
    <n v="0"/>
    <n v="174"/>
    <n v="24.857142857142858"/>
    <x v="0"/>
    <x v="32"/>
    <x v="11"/>
    <x v="2"/>
  </r>
  <r>
    <s v="806975141115"/>
    <n v="806975"/>
    <s v="MENARIA CEMENT AGENCY"/>
    <n v="141115"/>
    <s v="KALPESH CEMENT AGENCY"/>
    <n v="60"/>
    <n v="61.25"/>
    <n v="49"/>
    <n v="52.5"/>
    <n v="58.75"/>
    <n v="62"/>
    <n v="55"/>
    <n v="398.5"/>
    <n v="56.928571428571431"/>
    <x v="3"/>
    <x v="32"/>
    <x v="11"/>
    <x v="2"/>
  </r>
  <r>
    <s v="807187141115"/>
    <n v="807187"/>
    <s v="RAGHUNATH SINGH"/>
    <n v="141115"/>
    <s v="KALPESH CEMENT AGENCY"/>
    <n v="32.5"/>
    <n v="34.5"/>
    <n v="57.5"/>
    <n v="31.5"/>
    <n v="35"/>
    <n v="36"/>
    <n v="20"/>
    <n v="247"/>
    <n v="35.285714285714285"/>
    <x v="4"/>
    <x v="32"/>
    <x v="11"/>
    <x v="2"/>
  </r>
  <r>
    <s v="807261141115"/>
    <n v="807261"/>
    <s v="MAHAVEER STEEL AND SANITARY"/>
    <n v="141115"/>
    <s v="KALPESH CEMENT AGENCY"/>
    <n v="10"/>
    <n v="0"/>
    <n v="0"/>
    <n v="37.5"/>
    <n v="26"/>
    <n v="0"/>
    <n v="0"/>
    <n v="73.5"/>
    <n v="10.5"/>
    <x v="2"/>
    <x v="32"/>
    <x v="11"/>
    <x v="2"/>
  </r>
  <r>
    <s v="807719141115"/>
    <n v="807719"/>
    <s v="SHREE NARAYAN ENTERPRISES"/>
    <n v="141115"/>
    <s v="KALPESH CEMENT AGENCY"/>
    <n v="273.75"/>
    <n v="204.25"/>
    <n v="249.75"/>
    <n v="285.25"/>
    <n v="200"/>
    <n v="351.5"/>
    <n v="241.5"/>
    <n v="1806"/>
    <n v="258"/>
    <x v="3"/>
    <x v="32"/>
    <x v="11"/>
    <x v="2"/>
  </r>
  <r>
    <s v="808184141115"/>
    <n v="808184"/>
    <s v="KACHHARA CEMENT SUPPLIERS"/>
    <n v="141115"/>
    <s v="KALPESH CEMENT AGENCY"/>
    <n v="114.75"/>
    <n v="50"/>
    <n v="151.80000000000001"/>
    <n v="87"/>
    <n v="65.75"/>
    <n v="77"/>
    <n v="78.5"/>
    <n v="624.79999999999995"/>
    <n v="89.257142857142853"/>
    <x v="3"/>
    <x v="32"/>
    <x v="11"/>
    <x v="2"/>
  </r>
  <r>
    <s v="810480141115"/>
    <n v="810480"/>
    <s v="BAYA CEMENT AND SANITARY"/>
    <n v="141115"/>
    <s v="KALPESH CEMENT AGENCY"/>
    <n v="27.4"/>
    <n v="26.5"/>
    <n v="48.5"/>
    <n v="60.5"/>
    <n v="23.5"/>
    <n v="0"/>
    <n v="0"/>
    <n v="186.4"/>
    <n v="26.62857142857143"/>
    <x v="0"/>
    <x v="32"/>
    <x v="11"/>
    <x v="2"/>
  </r>
  <r>
    <s v="811271141115"/>
    <n v="811271"/>
    <s v="ASHAPURA PAINTS"/>
    <n v="141115"/>
    <s v="KALPESH CEMENT AGENCY"/>
    <n v="51.5"/>
    <n v="0"/>
    <n v="0"/>
    <n v="61.5"/>
    <n v="30"/>
    <n v="0"/>
    <n v="90"/>
    <n v="233"/>
    <n v="33.285714285714285"/>
    <x v="4"/>
    <x v="32"/>
    <x v="11"/>
    <x v="2"/>
  </r>
  <r>
    <s v="812067141115"/>
    <n v="812067"/>
    <s v="KALRA BUILDING MATERIAL"/>
    <n v="141115"/>
    <s v="KALPESH CEMENT AGENCY"/>
    <n v="0"/>
    <n v="0"/>
    <n v="10"/>
    <n v="0"/>
    <n v="0"/>
    <n v="0"/>
    <n v="0"/>
    <n v="10"/>
    <n v="1.4285714285714286"/>
    <x v="1"/>
    <x v="32"/>
    <x v="11"/>
    <x v="2"/>
  </r>
  <r>
    <s v="812175141115"/>
    <n v="812175"/>
    <s v="NAKODA IRON AND CEMENT"/>
    <n v="141115"/>
    <s v="KALPESH CEMENT AGENCY"/>
    <n v="10"/>
    <n v="0"/>
    <n v="0"/>
    <n v="22.5"/>
    <n v="35"/>
    <n v="35"/>
    <n v="30"/>
    <n v="132.5"/>
    <n v="18.928571428571427"/>
    <x v="2"/>
    <x v="32"/>
    <x v="11"/>
    <x v="2"/>
  </r>
  <r>
    <s v="812265141115"/>
    <n v="812265"/>
    <s v="NIKHIL NENAWA"/>
    <n v="141115"/>
    <s v="KALPESH CEMENT AGENCY"/>
    <n v="0"/>
    <n v="0"/>
    <n v="0"/>
    <n v="10"/>
    <n v="35"/>
    <n v="0"/>
    <n v="0"/>
    <n v="45"/>
    <n v="6.4285714285714288"/>
    <x v="1"/>
    <x v="32"/>
    <x v="11"/>
    <x v="2"/>
  </r>
  <r>
    <s v="813019141115"/>
    <n v="813019"/>
    <s v="KATARA BUILDING MATERIAL"/>
    <n v="141115"/>
    <s v="KALPESH CEMENT AGENCY"/>
    <n v="73.5"/>
    <n v="45"/>
    <n v="179.4"/>
    <n v="99"/>
    <n v="35"/>
    <n v="35.5"/>
    <n v="20"/>
    <n v="487.4"/>
    <n v="69.628571428571419"/>
    <x v="3"/>
    <x v="32"/>
    <x v="11"/>
    <x v="2"/>
  </r>
  <r>
    <s v="813731141115"/>
    <n v="813731"/>
    <s v="CHHAJED CEMENT SUPPLIERS"/>
    <n v="141115"/>
    <s v="KALPESH CEMENT AGENCY"/>
    <n v="43"/>
    <n v="20"/>
    <n v="41.7"/>
    <n v="59.5"/>
    <n v="30"/>
    <n v="0"/>
    <n v="39.75"/>
    <n v="233.95"/>
    <n v="33.421428571428571"/>
    <x v="4"/>
    <x v="32"/>
    <x v="11"/>
    <x v="2"/>
  </r>
  <r>
    <s v="813778141115"/>
    <n v="813778"/>
    <s v="BHERUNATH CEMENT SUPPLIERS"/>
    <n v="141115"/>
    <s v="KALPESH CEMENT AGENCY"/>
    <n v="84.5"/>
    <n v="0"/>
    <n v="45"/>
    <n v="62.35"/>
    <n v="50.5"/>
    <n v="54"/>
    <n v="40"/>
    <n v="336.35"/>
    <n v="48.050000000000004"/>
    <x v="5"/>
    <x v="32"/>
    <x v="11"/>
    <x v="2"/>
  </r>
  <r>
    <s v="814004141115"/>
    <n v="814004"/>
    <s v="SHRI MAHADEV BUILDING MATERIAL"/>
    <n v="141115"/>
    <s v="KALPESH CEMENT AGENCY"/>
    <n v="10"/>
    <n v="0"/>
    <n v="0"/>
    <n v="20"/>
    <n v="30.25"/>
    <n v="0"/>
    <n v="0"/>
    <n v="60.25"/>
    <n v="8.6071428571428577"/>
    <x v="1"/>
    <x v="32"/>
    <x v="11"/>
    <x v="2"/>
  </r>
  <r>
    <s v="814086141115"/>
    <n v="814086"/>
    <s v="HIND ENTERPRISES"/>
    <n v="141115"/>
    <s v="KALPESH CEMENT AGENCY"/>
    <n v="0"/>
    <n v="0"/>
    <n v="0"/>
    <n v="15"/>
    <n v="0"/>
    <n v="0"/>
    <n v="0"/>
    <n v="15"/>
    <n v="2.1428571428571428"/>
    <x v="1"/>
    <x v="32"/>
    <x v="11"/>
    <x v="2"/>
  </r>
  <r>
    <s v="814223141115"/>
    <n v="814223"/>
    <s v="SHUBHAM SARIYA"/>
    <n v="141115"/>
    <s v="KALPESH CEMENT AGENCY"/>
    <n v="25"/>
    <n v="0"/>
    <n v="0"/>
    <n v="0"/>
    <n v="0"/>
    <n v="0"/>
    <n v="0"/>
    <n v="25"/>
    <n v="3.5714285714285716"/>
    <x v="1"/>
    <x v="32"/>
    <x v="11"/>
    <x v="2"/>
  </r>
  <r>
    <s v="816247141115"/>
    <n v="816247"/>
    <s v="SHIV SHANKAR BUILDING MATERIAL"/>
    <n v="141115"/>
    <s v="KALPESH CEMENT AGENCY"/>
    <n v="0"/>
    <n v="0"/>
    <n v="0"/>
    <n v="0"/>
    <n v="0"/>
    <n v="50"/>
    <n v="80"/>
    <n v="130"/>
    <n v="18.571428571428573"/>
    <x v="2"/>
    <x v="32"/>
    <x v="11"/>
    <x v="2"/>
  </r>
  <r>
    <s v="814220141311"/>
    <n v="814220"/>
    <s v="PRINCE CEMENT SUPPLIER"/>
    <n v="141311"/>
    <s v="SHANTI LAL BHANAWAT"/>
    <n v="57.75"/>
    <n v="60"/>
    <n v="73.5"/>
    <n v="126"/>
    <n v="75.5"/>
    <n v="36"/>
    <n v="50"/>
    <n v="478.75"/>
    <n v="68.392857142857139"/>
    <x v="3"/>
    <x v="32"/>
    <x v="11"/>
    <x v="2"/>
  </r>
  <r>
    <s v="811121143607"/>
    <n v="811121"/>
    <s v="AMRIT LAL PATEL"/>
    <n v="143607"/>
    <s v="KRISHNA AGENCIES"/>
    <n v="10"/>
    <n v="60"/>
    <n v="25"/>
    <n v="39"/>
    <n v="40"/>
    <n v="13"/>
    <n v="20"/>
    <n v="207"/>
    <n v="29.571428571428573"/>
    <x v="0"/>
    <x v="32"/>
    <x v="11"/>
    <x v="2"/>
  </r>
  <r>
    <s v="811186143607"/>
    <n v="811186"/>
    <s v="SHUBHAM ENTERPRISES"/>
    <n v="143607"/>
    <s v="KRISHNA AGENCIES"/>
    <n v="37"/>
    <n v="60"/>
    <n v="50"/>
    <n v="72"/>
    <n v="77"/>
    <n v="38"/>
    <n v="10"/>
    <n v="344"/>
    <n v="49.142857142857146"/>
    <x v="5"/>
    <x v="32"/>
    <x v="11"/>
    <x v="2"/>
  </r>
  <r>
    <s v="807025146968"/>
    <n v="807025"/>
    <s v="HITESH BUILDING MATERIAL"/>
    <n v="146968"/>
    <s v="BHARAT BUILDCON"/>
    <n v="114"/>
    <n v="104.25"/>
    <n v="108.5"/>
    <n v="83.25"/>
    <n v="50"/>
    <n v="77.75"/>
    <n v="35.25"/>
    <n v="573"/>
    <n v="81.857142857142861"/>
    <x v="3"/>
    <x v="32"/>
    <x v="11"/>
    <x v="2"/>
  </r>
  <r>
    <s v="807718146968"/>
    <n v="807718"/>
    <s v="RAMILA BUILDING MATERIAL"/>
    <n v="146968"/>
    <s v="BHARAT BUILDCON"/>
    <n v="50"/>
    <n v="29.9"/>
    <n v="62"/>
    <n v="48"/>
    <n v="32.5"/>
    <n v="25"/>
    <n v="20"/>
    <n v="267.39999999999998"/>
    <n v="38.199999999999996"/>
    <x v="4"/>
    <x v="32"/>
    <x v="11"/>
    <x v="2"/>
  </r>
  <r>
    <s v="808912146968"/>
    <n v="808912"/>
    <s v="DURGESHWARI BUILDING MATERIAL"/>
    <n v="146968"/>
    <s v="BHARAT BUILDCON"/>
    <n v="23"/>
    <n v="5"/>
    <n v="0"/>
    <n v="7.5"/>
    <n v="7.5"/>
    <n v="7.5"/>
    <n v="19"/>
    <n v="69.5"/>
    <n v="9.9285714285714288"/>
    <x v="1"/>
    <x v="32"/>
    <x v="11"/>
    <x v="2"/>
  </r>
  <r>
    <s v="809012146968"/>
    <n v="809012"/>
    <s v="PRATHVI BUILDING MATERIAL"/>
    <n v="146968"/>
    <s v="BHARAT BUILDCON"/>
    <n v="10"/>
    <n v="8.6"/>
    <n v="12"/>
    <n v="18.5"/>
    <n v="7.5"/>
    <n v="0"/>
    <n v="0"/>
    <n v="56.6"/>
    <n v="8.0857142857142854"/>
    <x v="1"/>
    <x v="32"/>
    <x v="11"/>
    <x v="2"/>
  </r>
  <r>
    <s v="809455146968"/>
    <n v="809455"/>
    <s v="AJIT KIRANA STORE"/>
    <n v="146968"/>
    <s v="BHARAT BUILDCON"/>
    <n v="20"/>
    <n v="47.5"/>
    <n v="50"/>
    <n v="32.5"/>
    <n v="22.5"/>
    <n v="22.5"/>
    <n v="37"/>
    <n v="232"/>
    <n v="33.142857142857146"/>
    <x v="4"/>
    <x v="32"/>
    <x v="11"/>
    <x v="2"/>
  </r>
  <r>
    <s v="811872146968"/>
    <n v="811872"/>
    <s v="BALESHWAR IRON AND STEEL"/>
    <n v="146968"/>
    <s v="BHARAT BUILDCON"/>
    <n v="23"/>
    <n v="20"/>
    <n v="10"/>
    <n v="35"/>
    <n v="28.95"/>
    <n v="29"/>
    <n v="32"/>
    <n v="177.95"/>
    <n v="25.421428571428571"/>
    <x v="0"/>
    <x v="32"/>
    <x v="11"/>
    <x v="2"/>
  </r>
  <r>
    <s v="814709146968"/>
    <n v="814709"/>
    <s v="LAVISH BUILDING MATERIAL"/>
    <n v="146968"/>
    <s v="BHARAT BUILDCON"/>
    <n v="38.5"/>
    <n v="20"/>
    <n v="10"/>
    <n v="17.5"/>
    <n v="0"/>
    <n v="0"/>
    <n v="0"/>
    <n v="86"/>
    <n v="12.285714285714286"/>
    <x v="2"/>
    <x v="32"/>
    <x v="11"/>
    <x v="2"/>
  </r>
  <r>
    <s v="814876146968"/>
    <n v="814876"/>
    <s v="MADHU LAL MEENA"/>
    <n v="146968"/>
    <s v="BHARAT BUILDCON"/>
    <n v="0"/>
    <n v="0"/>
    <n v="0"/>
    <n v="10"/>
    <n v="0"/>
    <n v="0"/>
    <n v="0"/>
    <n v="10"/>
    <n v="1.4285714285714286"/>
    <x v="1"/>
    <x v="32"/>
    <x v="11"/>
    <x v="2"/>
  </r>
  <r>
    <s v="813489147364"/>
    <n v="813489"/>
    <s v="RODAWAT BUILDMART"/>
    <n v="147364"/>
    <s v="RAJASTHAN ROYAL BUILDHOME SOLU"/>
    <n v="38"/>
    <n v="10"/>
    <n v="145.5"/>
    <n v="92.5"/>
    <n v="87.5"/>
    <n v="31"/>
    <n v="10"/>
    <n v="414.5"/>
    <n v="59.214285714285715"/>
    <x v="3"/>
    <x v="32"/>
    <x v="11"/>
    <x v="2"/>
  </r>
  <r>
    <s v="814505147364"/>
    <n v="814505"/>
    <s v="GANPATI BUILDING MATERIAL"/>
    <n v="147364"/>
    <s v="RAJASTHAN ROYAL BUILDHOME SOLU"/>
    <n v="35.5"/>
    <n v="10"/>
    <n v="10"/>
    <n v="0"/>
    <n v="0"/>
    <n v="0"/>
    <n v="0"/>
    <n v="55.5"/>
    <n v="7.9285714285714288"/>
    <x v="1"/>
    <x v="32"/>
    <x v="11"/>
    <x v="2"/>
  </r>
  <r>
    <s v="815841147364"/>
    <n v="815841"/>
    <s v="SHANTI STONE AND STEEL"/>
    <n v="147364"/>
    <s v="RAJASTHAN ROYAL BUILDHOME SOLU"/>
    <n v="0"/>
    <n v="0"/>
    <n v="0"/>
    <n v="0"/>
    <n v="37.5"/>
    <n v="50"/>
    <n v="22.5"/>
    <n v="110"/>
    <n v="15.714285714285714"/>
    <x v="2"/>
    <x v="32"/>
    <x v="11"/>
    <x v="2"/>
  </r>
  <r>
    <s v="812176170059"/>
    <n v="812176"/>
    <s v="SANWARIYA CONSTRUCTION AND BUI"/>
    <n v="170059"/>
    <s v="SHREE OM CEMENT &amp; STONE SUPPLI"/>
    <n v="10"/>
    <n v="0"/>
    <n v="25"/>
    <n v="0"/>
    <n v="0"/>
    <n v="0"/>
    <n v="0"/>
    <n v="35"/>
    <n v="5"/>
    <x v="1"/>
    <x v="32"/>
    <x v="11"/>
    <x v="2"/>
  </r>
  <r>
    <s v="813021170059"/>
    <n v="813021"/>
    <s v="SANWARIYA BUILDING MATERIAL SU"/>
    <n v="170059"/>
    <s v="SHREE OM CEMENT &amp; STONE SUPPLI"/>
    <n v="0"/>
    <n v="0"/>
    <n v="0"/>
    <n v="65"/>
    <n v="63"/>
    <n v="58"/>
    <n v="55"/>
    <n v="241"/>
    <n v="34.428571428571431"/>
    <x v="4"/>
    <x v="32"/>
    <x v="11"/>
    <x v="2"/>
  </r>
  <r>
    <s v="804081170501"/>
    <n v="804081"/>
    <s v="BHERUNATH CEMENT SUPPLIER"/>
    <n v="170501"/>
    <s v="GURU OM KRIPA CEMENT SUPPLIERS"/>
    <n v="28.5"/>
    <n v="17.5"/>
    <n v="57.5"/>
    <n v="42.5"/>
    <n v="27.5"/>
    <n v="22.5"/>
    <n v="20"/>
    <n v="216"/>
    <n v="30.857142857142858"/>
    <x v="4"/>
    <x v="32"/>
    <x v="11"/>
    <x v="2"/>
  </r>
  <r>
    <s v="811070170501"/>
    <n v="811070"/>
    <s v="SHRI BHAIRUNATH CEMENT SUPPLIE"/>
    <n v="170501"/>
    <s v="GURU OM KRIPA CEMENT SUPPLIERS"/>
    <n v="23.75"/>
    <n v="5"/>
    <n v="33"/>
    <n v="21"/>
    <n v="7.5"/>
    <n v="5"/>
    <n v="0"/>
    <n v="95.25"/>
    <n v="13.607142857142858"/>
    <x v="2"/>
    <x v="32"/>
    <x v="11"/>
    <x v="2"/>
  </r>
  <r>
    <s v="811273170501"/>
    <n v="811273"/>
    <s v="PATEL CEMENT SUPPLEIRS"/>
    <n v="170501"/>
    <s v="GURU OM KRIPA CEMENT SUPPLIERS"/>
    <n v="0"/>
    <n v="10"/>
    <n v="10"/>
    <n v="9.5"/>
    <n v="0"/>
    <n v="0"/>
    <n v="0"/>
    <n v="29.5"/>
    <n v="4.2142857142857144"/>
    <x v="1"/>
    <x v="32"/>
    <x v="11"/>
    <x v="2"/>
  </r>
  <r>
    <s v="814221170501"/>
    <n v="814221"/>
    <s v="BHAGWAN LAL DANGI"/>
    <n v="170501"/>
    <s v="GURU OM KRIPA CEMENT SUPPLIERS"/>
    <n v="27.5"/>
    <n v="0"/>
    <n v="0"/>
    <n v="18.5"/>
    <n v="26"/>
    <n v="17.5"/>
    <n v="29.5"/>
    <n v="119"/>
    <n v="17"/>
    <x v="2"/>
    <x v="32"/>
    <x v="11"/>
    <x v="2"/>
  </r>
  <r>
    <s v="808206172338"/>
    <n v="808206"/>
    <s v="NAGANARAI BUILDING MATERIAL"/>
    <n v="172338"/>
    <s v="KHILJEE BUILDING MATERIAL"/>
    <n v="0"/>
    <n v="15"/>
    <n v="20"/>
    <n v="55"/>
    <n v="19.899999999999999"/>
    <n v="20"/>
    <n v="10"/>
    <n v="139.9"/>
    <n v="19.985714285714288"/>
    <x v="2"/>
    <x v="32"/>
    <x v="11"/>
    <x v="2"/>
  </r>
  <r>
    <s v="809312173729"/>
    <n v="809312"/>
    <s v="KHYALI LAL SUTHAR"/>
    <n v="173729"/>
    <s v="V. KAMLESH &amp; COMPANY"/>
    <n v="0"/>
    <n v="0"/>
    <n v="32.5"/>
    <n v="22"/>
    <n v="10"/>
    <n v="0"/>
    <n v="0"/>
    <n v="64.5"/>
    <n v="9.2142857142857135"/>
    <x v="1"/>
    <x v="32"/>
    <x v="11"/>
    <x v="2"/>
  </r>
  <r>
    <s v="809348173729"/>
    <n v="809348"/>
    <s v="HARI OM STONE SUPPLIERS"/>
    <n v="173729"/>
    <s v="V. KAMLESH &amp; COMPANY"/>
    <n v="20.5"/>
    <n v="55"/>
    <n v="63.5"/>
    <n v="49"/>
    <n v="25"/>
    <n v="21.5"/>
    <n v="0"/>
    <n v="234.5"/>
    <n v="33.5"/>
    <x v="4"/>
    <x v="32"/>
    <x v="11"/>
    <x v="2"/>
  </r>
  <r>
    <s v="815402173729"/>
    <n v="815402"/>
    <s v="V K TRADERS"/>
    <n v="173729"/>
    <s v="V. KAMLESH &amp; COMPANY"/>
    <n v="0"/>
    <n v="0"/>
    <n v="0"/>
    <n v="70"/>
    <n v="35"/>
    <n v="39.5"/>
    <n v="55"/>
    <n v="199.5"/>
    <n v="28.5"/>
    <x v="0"/>
    <x v="32"/>
    <x v="11"/>
    <x v="2"/>
  </r>
  <r>
    <s v="807406173748"/>
    <n v="807406"/>
    <s v="SARDAR CEMENT SUPPLIERS"/>
    <n v="173748"/>
    <s v="LAMPS SARADA"/>
    <n v="20"/>
    <n v="45"/>
    <n v="80"/>
    <n v="24"/>
    <n v="56"/>
    <n v="32.5"/>
    <n v="0"/>
    <n v="257.5"/>
    <n v="36.785714285714285"/>
    <x v="4"/>
    <x v="32"/>
    <x v="11"/>
    <x v="2"/>
  </r>
  <r>
    <s v="814623173748"/>
    <n v="814623"/>
    <s v="GANESH"/>
    <n v="173748"/>
    <s v="LAMPS SARADA"/>
    <n v="20"/>
    <n v="20"/>
    <n v="25"/>
    <n v="15"/>
    <n v="10"/>
    <n v="27.5"/>
    <n v="0"/>
    <n v="117.5"/>
    <n v="16.785714285714285"/>
    <x v="2"/>
    <x v="32"/>
    <x v="11"/>
    <x v="2"/>
  </r>
  <r>
    <s v="805627175775"/>
    <n v="805627"/>
    <s v="SANWALIYA CEMENT SUPPLIERS"/>
    <n v="175775"/>
    <s v="CHARBHUJA ELECTRICALS &amp; HARDWA"/>
    <n v="0"/>
    <n v="0"/>
    <n v="0"/>
    <n v="44.5"/>
    <n v="53"/>
    <n v="37.5"/>
    <n v="0"/>
    <n v="135"/>
    <n v="19.285714285714285"/>
    <x v="2"/>
    <x v="32"/>
    <x v="11"/>
    <x v="2"/>
  </r>
  <r>
    <s v="802925176098"/>
    <n v="802925"/>
    <s v="PARSHWANATH FERTILIZERS &amp; CHEM"/>
    <n v="176098"/>
    <s v="ADINATH CEMENT AGENCY"/>
    <n v="0"/>
    <n v="0"/>
    <n v="10"/>
    <n v="0"/>
    <n v="0"/>
    <n v="0"/>
    <n v="0"/>
    <n v="10"/>
    <n v="1.4285714285714286"/>
    <x v="1"/>
    <x v="32"/>
    <x v="11"/>
    <x v="2"/>
  </r>
  <r>
    <s v="812947178226"/>
    <n v="812947"/>
    <s v="VIAAN ASSOCIATES"/>
    <n v="178226"/>
    <s v="PANKAJ TRADING COMPANY"/>
    <n v="27"/>
    <n v="35.5"/>
    <n v="40"/>
    <n v="80"/>
    <n v="80"/>
    <n v="22.5"/>
    <n v="70"/>
    <n v="355"/>
    <n v="50.714285714285715"/>
    <x v="3"/>
    <x v="32"/>
    <x v="11"/>
    <x v="2"/>
  </r>
  <r>
    <s v="816275178226"/>
    <n v="816275"/>
    <s v="RISHABH DEV TRADING CO"/>
    <n v="178226"/>
    <s v="PANKAJ TRADING COMPANY"/>
    <n v="0"/>
    <n v="0"/>
    <n v="0"/>
    <n v="0"/>
    <n v="0"/>
    <n v="20"/>
    <n v="20"/>
    <n v="40"/>
    <n v="5.7142857142857144"/>
    <x v="1"/>
    <x v="32"/>
    <x v="11"/>
    <x v="2"/>
  </r>
  <r>
    <s v="812776178287"/>
    <n v="812776"/>
    <s v="SHREE MAA RUDHRANI BUILDING MA"/>
    <n v="178287"/>
    <s v="ADINATH BUILDCON"/>
    <n v="25"/>
    <n v="0"/>
    <n v="0"/>
    <n v="0"/>
    <n v="0"/>
    <n v="0"/>
    <n v="0"/>
    <n v="25"/>
    <n v="3.5714285714285716"/>
    <x v="1"/>
    <x v="32"/>
    <x v="11"/>
    <x v="2"/>
  </r>
  <r>
    <s v="814773178287"/>
    <n v="814773"/>
    <s v="HANUMAN BUILDING MATERIAL"/>
    <n v="178287"/>
    <s v="ADINATH BUILDCON"/>
    <n v="34"/>
    <n v="15"/>
    <n v="25"/>
    <n v="71.75"/>
    <n v="21"/>
    <n v="24.5"/>
    <n v="25"/>
    <n v="216.25"/>
    <n v="30.892857142857142"/>
    <x v="4"/>
    <x v="32"/>
    <x v="11"/>
    <x v="2"/>
  </r>
  <r>
    <s v="808959178669"/>
    <n v="808959"/>
    <s v="PURNIMA BUILDING MATERIAL SANI"/>
    <n v="178669"/>
    <s v="JAIN STONE SUPPLIERS"/>
    <n v="0"/>
    <n v="0"/>
    <n v="0"/>
    <n v="0"/>
    <n v="0"/>
    <n v="35"/>
    <n v="10"/>
    <n v="45"/>
    <n v="6.4285714285714288"/>
    <x v="1"/>
    <x v="32"/>
    <x v="11"/>
    <x v="2"/>
  </r>
  <r>
    <s v="802265179560"/>
    <n v="802265"/>
    <s v="PRIYA CEMENT &amp; SANITORY"/>
    <n v="179560"/>
    <s v="TIRUPATI TRADING COMPANY"/>
    <n v="5"/>
    <n v="0"/>
    <n v="0"/>
    <n v="0"/>
    <n v="7.5"/>
    <n v="20"/>
    <n v="15"/>
    <n v="47.5"/>
    <n v="6.7857142857142856"/>
    <x v="1"/>
    <x v="32"/>
    <x v="11"/>
    <x v="2"/>
  </r>
  <r>
    <s v="802848179560"/>
    <n v="802848"/>
    <s v="DEV BUILD MATS"/>
    <n v="179560"/>
    <s v="TIRUPATI TRADING COMPANY"/>
    <n v="20"/>
    <n v="20"/>
    <n v="45"/>
    <n v="47.85"/>
    <n v="55"/>
    <n v="65"/>
    <n v="31"/>
    <n v="283.85000000000002"/>
    <n v="40.550000000000004"/>
    <x v="5"/>
    <x v="32"/>
    <x v="11"/>
    <x v="2"/>
  </r>
  <r>
    <s v="811270179560"/>
    <n v="811270"/>
    <s v="VARDHMAN AGENCIES"/>
    <n v="179560"/>
    <s v="TIRUPATI TRADING COMPANY"/>
    <n v="33.5"/>
    <n v="55"/>
    <n v="95"/>
    <n v="154.80000000000001"/>
    <n v="234.5"/>
    <n v="206.25"/>
    <n v="54"/>
    <n v="833.05"/>
    <n v="119.00714285714285"/>
    <x v="3"/>
    <x v="32"/>
    <x v="11"/>
    <x v="2"/>
  </r>
  <r>
    <s v="811387179560"/>
    <n v="811387"/>
    <s v="ASHISH KHANDELWAL"/>
    <n v="179560"/>
    <s v="TIRUPATI TRADING COMPANY"/>
    <n v="21"/>
    <n v="0"/>
    <n v="27.5"/>
    <n v="45"/>
    <n v="27.5"/>
    <n v="25"/>
    <n v="0"/>
    <n v="146"/>
    <n v="20.857142857142858"/>
    <x v="0"/>
    <x v="32"/>
    <x v="11"/>
    <x v="2"/>
  </r>
  <r>
    <s v="811623179560"/>
    <n v="811623"/>
    <s v="PARSHWANATH BUILDING MATERIAL"/>
    <n v="179560"/>
    <s v="TIRUPATI TRADING COMPANY"/>
    <n v="45"/>
    <n v="42"/>
    <n v="81.5"/>
    <n v="64.25"/>
    <n v="66.5"/>
    <n v="47.5"/>
    <n v="15"/>
    <n v="361.75"/>
    <n v="51.678571428571431"/>
    <x v="3"/>
    <x v="32"/>
    <x v="11"/>
    <x v="2"/>
  </r>
  <r>
    <s v="811624179560"/>
    <n v="811624"/>
    <s v="KUBER ENTERPRISES"/>
    <n v="179560"/>
    <s v="TIRUPATI TRADING COMPANY"/>
    <n v="0"/>
    <n v="10"/>
    <n v="35"/>
    <n v="41.85"/>
    <n v="65"/>
    <n v="82.5"/>
    <n v="20"/>
    <n v="254.35"/>
    <n v="36.335714285714282"/>
    <x v="4"/>
    <x v="32"/>
    <x v="11"/>
    <x v="2"/>
  </r>
  <r>
    <s v="811733179560"/>
    <n v="811733"/>
    <s v="NATIONAL CEMENT SUPPLIERS"/>
    <n v="179560"/>
    <s v="TIRUPATI TRADING COMPANY"/>
    <n v="0"/>
    <n v="10"/>
    <n v="25"/>
    <n v="25.85"/>
    <n v="0"/>
    <n v="2.5"/>
    <n v="0"/>
    <n v="63.35"/>
    <n v="9.0500000000000007"/>
    <x v="1"/>
    <x v="32"/>
    <x v="11"/>
    <x v="2"/>
  </r>
  <r>
    <s v="812176179560"/>
    <n v="812176"/>
    <s v="SANWARIYA CONSTRUCTION AND BUI"/>
    <n v="179560"/>
    <s v="TIRUPATI TRADING COMPANY"/>
    <n v="25"/>
    <n v="45"/>
    <n v="25"/>
    <n v="55"/>
    <n v="45.5"/>
    <n v="40"/>
    <n v="25"/>
    <n v="260.5"/>
    <n v="37.214285714285715"/>
    <x v="4"/>
    <x v="32"/>
    <x v="11"/>
    <x v="2"/>
  </r>
  <r>
    <s v="812289179560"/>
    <n v="812289"/>
    <s v="MAHALAXMI BUILDING MATERIAL"/>
    <n v="179560"/>
    <s v="TIRUPATI TRADING COMPANY"/>
    <n v="73"/>
    <n v="30"/>
    <n v="25"/>
    <n v="60"/>
    <n v="62.5"/>
    <n v="72.5"/>
    <n v="33.5"/>
    <n v="356.5"/>
    <n v="50.928571428571431"/>
    <x v="3"/>
    <x v="32"/>
    <x v="11"/>
    <x v="2"/>
  </r>
  <r>
    <s v="813161179560"/>
    <n v="813161"/>
    <s v="SHREE IDANA MAA BUILDING MATER"/>
    <n v="179560"/>
    <s v="TIRUPATI TRADING COMPANY"/>
    <n v="0"/>
    <n v="20"/>
    <n v="26"/>
    <n v="42.5"/>
    <n v="30"/>
    <n v="0"/>
    <n v="10"/>
    <n v="128.5"/>
    <n v="18.357142857142858"/>
    <x v="2"/>
    <x v="32"/>
    <x v="11"/>
    <x v="2"/>
  </r>
  <r>
    <s v="813229179560"/>
    <n v="813229"/>
    <s v="GANPATI BULDIMAT"/>
    <n v="179560"/>
    <s v="TIRUPATI TRADING COMPANY"/>
    <n v="50"/>
    <n v="20"/>
    <n v="50"/>
    <n v="62.5"/>
    <n v="42.5"/>
    <n v="73"/>
    <n v="55"/>
    <n v="353"/>
    <n v="50.428571428571431"/>
    <x v="3"/>
    <x v="32"/>
    <x v="11"/>
    <x v="2"/>
  </r>
  <r>
    <s v="816248179560"/>
    <n v="816248"/>
    <s v="ADINDA PARSHWANATH TRADERS"/>
    <n v="179560"/>
    <s v="TIRUPATI TRADING COMPANY"/>
    <n v="0"/>
    <n v="0"/>
    <n v="0"/>
    <n v="0"/>
    <n v="0"/>
    <n v="42.5"/>
    <n v="40"/>
    <n v="82.5"/>
    <n v="11.785714285714286"/>
    <x v="2"/>
    <x v="32"/>
    <x v="11"/>
    <x v="2"/>
  </r>
  <r>
    <s v="811674179784"/>
    <n v="811674"/>
    <s v="ISHWAR PATEL"/>
    <n v="179784"/>
    <s v="NEW KRISHNA STONE AND BUILDING"/>
    <n v="93.5"/>
    <n v="117.5"/>
    <n v="126.5"/>
    <n v="51"/>
    <n v="60.5"/>
    <n v="57.25"/>
    <n v="83.55"/>
    <n v="589.79999999999995"/>
    <n v="84.257142857142853"/>
    <x v="3"/>
    <x v="32"/>
    <x v="11"/>
    <x v="2"/>
  </r>
  <r>
    <s v="811676179784"/>
    <n v="811676"/>
    <s v="SHIV NARAYAN PATEL"/>
    <n v="179784"/>
    <s v="NEW KRISHNA STONE AND BUILDING"/>
    <n v="45.85"/>
    <n v="50"/>
    <n v="55"/>
    <n v="30"/>
    <n v="35"/>
    <n v="27.5"/>
    <n v="0"/>
    <n v="243.35"/>
    <n v="34.764285714285712"/>
    <x v="4"/>
    <x v="32"/>
    <x v="11"/>
    <x v="2"/>
  </r>
  <r>
    <s v="815472179784"/>
    <n v="815472"/>
    <s v="SURAJMAL"/>
    <n v="179784"/>
    <s v="NEW KRISHNA STONE AND BUILDING"/>
    <n v="0"/>
    <n v="0"/>
    <n v="0"/>
    <n v="20"/>
    <n v="24.5"/>
    <n v="15"/>
    <n v="10"/>
    <n v="69.5"/>
    <n v="9.9285714285714288"/>
    <x v="1"/>
    <x v="32"/>
    <x v="11"/>
    <x v="2"/>
  </r>
  <r>
    <s v="812752203649"/>
    <n v="812752"/>
    <s v="RADHE SHYAM GURJAR"/>
    <n v="203649"/>
    <s v="ANANTRAJ ENTERPRISES"/>
    <n v="50"/>
    <n v="20.5"/>
    <n v="12"/>
    <n v="34.5"/>
    <n v="12.5"/>
    <n v="7.5"/>
    <n v="7.5"/>
    <n v="144.5"/>
    <n v="20.642857142857142"/>
    <x v="0"/>
    <x v="32"/>
    <x v="11"/>
    <x v="2"/>
  </r>
  <r>
    <s v="813194204034"/>
    <n v="813194"/>
    <s v="SHEETAL BUILDING MATERIAL AND"/>
    <n v="204034"/>
    <s v="PATEL CEMENT SUPPLIERS"/>
    <n v="45"/>
    <n v="20"/>
    <n v="140"/>
    <n v="47.5"/>
    <n v="87.5"/>
    <n v="90.5"/>
    <n v="105"/>
    <n v="535.5"/>
    <n v="76.5"/>
    <x v="3"/>
    <x v="32"/>
    <x v="11"/>
    <x v="2"/>
  </r>
  <r>
    <s v="813936204034"/>
    <n v="813936"/>
    <s v="MANISHA TRADING COMPANY"/>
    <n v="204034"/>
    <s v="PATEL CEMENT SUPPLIERS"/>
    <n v="75.5"/>
    <n v="71.5"/>
    <n v="175"/>
    <n v="127.5"/>
    <n v="147"/>
    <n v="297.5"/>
    <n v="123.5"/>
    <n v="1017.5"/>
    <n v="145.35714285714286"/>
    <x v="3"/>
    <x v="32"/>
    <x v="11"/>
    <x v="2"/>
  </r>
  <r>
    <s v="814914204034"/>
    <n v="814914"/>
    <s v="PRAJAPATI BUILDING MATERIAL"/>
    <n v="204034"/>
    <s v="PATEL CEMENT SUPPLIERS"/>
    <n v="0"/>
    <n v="0"/>
    <n v="0"/>
    <n v="93"/>
    <n v="113"/>
    <n v="71.5"/>
    <n v="135.5"/>
    <n v="413"/>
    <n v="59"/>
    <x v="3"/>
    <x v="32"/>
    <x v="11"/>
    <x v="2"/>
  </r>
  <r>
    <s v="815826204034"/>
    <n v="815826"/>
    <s v="CHANDRA CEMENT AND SANITARY"/>
    <n v="204034"/>
    <s v="PATEL CEMENT SUPPLIERS"/>
    <n v="0"/>
    <n v="0"/>
    <n v="0"/>
    <n v="0"/>
    <n v="71.5"/>
    <n v="27.5"/>
    <n v="20"/>
    <n v="119"/>
    <n v="17"/>
    <x v="2"/>
    <x v="32"/>
    <x v="11"/>
    <x v="2"/>
  </r>
  <r>
    <s v="815958204034"/>
    <n v="815958"/>
    <s v="PARAS BUILDING MATERIAL"/>
    <n v="204034"/>
    <s v="PATEL CEMENT SUPPLIERS"/>
    <n v="0"/>
    <n v="0"/>
    <n v="0"/>
    <n v="0"/>
    <n v="0"/>
    <n v="39.5"/>
    <n v="53.25"/>
    <n v="92.75"/>
    <n v="13.25"/>
    <x v="2"/>
    <x v="32"/>
    <x v="11"/>
    <x v="2"/>
  </r>
  <r>
    <s v="809114205966"/>
    <n v="809114"/>
    <s v="NARESH KUMAR"/>
    <n v="205966"/>
    <s v="POKHARNA CEMENT SUPPLIERS"/>
    <n v="5"/>
    <n v="55"/>
    <n v="5"/>
    <n v="21"/>
    <n v="15"/>
    <n v="15"/>
    <n v="7.5"/>
    <n v="123.5"/>
    <n v="17.642857142857142"/>
    <x v="2"/>
    <x v="32"/>
    <x v="11"/>
    <x v="2"/>
  </r>
  <r>
    <s v="809551205966"/>
    <n v="809551"/>
    <s v="DEVI LAL KUMAWAT"/>
    <n v="205966"/>
    <s v="POKHARNA CEMENT SUPPLIERS"/>
    <n v="0"/>
    <n v="30"/>
    <n v="15"/>
    <n v="19.5"/>
    <n v="16"/>
    <n v="10"/>
    <n v="7.5"/>
    <n v="98"/>
    <n v="14"/>
    <x v="2"/>
    <x v="32"/>
    <x v="11"/>
    <x v="2"/>
  </r>
  <r>
    <s v="814222205966"/>
    <n v="814222"/>
    <s v="PYAR CHANDRA LOHAR"/>
    <n v="205966"/>
    <s v="POKHARNA CEMENT SUPPLIERS"/>
    <n v="0"/>
    <n v="32.25"/>
    <n v="6"/>
    <n v="1"/>
    <n v="0"/>
    <n v="0"/>
    <n v="0"/>
    <n v="39.25"/>
    <n v="5.6071428571428568"/>
    <x v="1"/>
    <x v="32"/>
    <x v="11"/>
    <x v="2"/>
  </r>
  <r>
    <s v="814310205966"/>
    <n v="814310"/>
    <s v="MANGI LAL"/>
    <n v="205966"/>
    <s v="POKHARNA CEMENT SUPPLIERS"/>
    <n v="10"/>
    <n v="45"/>
    <n v="5"/>
    <n v="1"/>
    <n v="0"/>
    <n v="10"/>
    <n v="0"/>
    <n v="71"/>
    <n v="10.142857142857142"/>
    <x v="2"/>
    <x v="32"/>
    <x v="11"/>
    <x v="2"/>
  </r>
  <r>
    <s v="814446205966"/>
    <n v="814446"/>
    <s v="JAGDISH KUMAR KASOTA"/>
    <n v="205966"/>
    <s v="POKHARNA CEMENT SUPPLIERS"/>
    <n v="0"/>
    <n v="0"/>
    <n v="0"/>
    <n v="6"/>
    <n v="0"/>
    <n v="0"/>
    <n v="0"/>
    <n v="6"/>
    <n v="0.8571428571428571"/>
    <x v="1"/>
    <x v="32"/>
    <x v="11"/>
    <x v="2"/>
  </r>
  <r>
    <s v="814913205966"/>
    <n v="814913"/>
    <s v="THE TIGER CONSTRUCTION"/>
    <n v="205966"/>
    <s v="POKHARNA CEMENT SUPPLIERS"/>
    <n v="5"/>
    <n v="0"/>
    <n v="0"/>
    <n v="13.5"/>
    <n v="0"/>
    <n v="15"/>
    <n v="15"/>
    <n v="48.5"/>
    <n v="6.9285714285714288"/>
    <x v="1"/>
    <x v="32"/>
    <x v="11"/>
    <x v="2"/>
  </r>
  <r>
    <s v="806176205969"/>
    <n v="806176"/>
    <s v="ABBAS ALI"/>
    <n v="205969"/>
    <s v="AKBAR ALI KHAKHADWALA AND SONS"/>
    <n v="90"/>
    <n v="37.5"/>
    <n v="65"/>
    <n v="118.25"/>
    <n v="70"/>
    <n v="81.5"/>
    <n v="76.400000000000006"/>
    <n v="538.65"/>
    <n v="76.95"/>
    <x v="3"/>
    <x v="32"/>
    <x v="11"/>
    <x v="2"/>
  </r>
  <r>
    <s v="815431205969"/>
    <n v="815431"/>
    <s v="RASHIDA BAI QAYUM ALI"/>
    <n v="205969"/>
    <s v="AKBAR ALI KHAKHADWALA AND SONS"/>
    <n v="0"/>
    <n v="0"/>
    <n v="0"/>
    <n v="54.5"/>
    <n v="41.5"/>
    <n v="40"/>
    <n v="25"/>
    <n v="161"/>
    <n v="23"/>
    <x v="0"/>
    <x v="32"/>
    <x v="11"/>
    <x v="2"/>
  </r>
  <r>
    <s v="814087205989"/>
    <n v="814087"/>
    <s v="S R BUILDING MATERIAL SUPPLIER"/>
    <n v="205989"/>
    <s v="JAGDISH BUILDING MATERIAL SUPP"/>
    <n v="7.5"/>
    <n v="0"/>
    <n v="7.5"/>
    <n v="32.5"/>
    <n v="7.5"/>
    <n v="0"/>
    <n v="45"/>
    <n v="100"/>
    <n v="14.285714285714286"/>
    <x v="2"/>
    <x v="32"/>
    <x v="11"/>
    <x v="2"/>
  </r>
  <r>
    <s v="814225205989"/>
    <n v="814225"/>
    <s v="VISHAL TANKERS"/>
    <n v="205989"/>
    <s v="JAGDISH BUILDING MATERIAL SUPP"/>
    <n v="12.5"/>
    <n v="0"/>
    <n v="37.5"/>
    <n v="47.5"/>
    <n v="27.5"/>
    <n v="37.5"/>
    <n v="0"/>
    <n v="162.5"/>
    <n v="23.214285714285715"/>
    <x v="0"/>
    <x v="32"/>
    <x v="11"/>
    <x v="2"/>
  </r>
  <r>
    <s v="814702205989"/>
    <n v="814702"/>
    <s v="NARAYAN LAL TELI"/>
    <n v="205989"/>
    <s v="JAGDISH BUILDING MATERIAL SUPP"/>
    <n v="10"/>
    <n v="0"/>
    <n v="22.5"/>
    <n v="30.5"/>
    <n v="45"/>
    <n v="42.5"/>
    <n v="35"/>
    <n v="185.5"/>
    <n v="26.5"/>
    <x v="0"/>
    <x v="32"/>
    <x v="11"/>
    <x v="2"/>
  </r>
  <r>
    <s v="808911205992"/>
    <n v="808911"/>
    <s v="MONIKA SANITARY &amp; HARDWARE AND"/>
    <n v="205992"/>
    <s v="SISPURIA BUILDING MATERIAL"/>
    <n v="0"/>
    <n v="0"/>
    <n v="10"/>
    <n v="0"/>
    <n v="0"/>
    <n v="0"/>
    <n v="0"/>
    <n v="10"/>
    <n v="1.4285714285714286"/>
    <x v="1"/>
    <x v="32"/>
    <x v="11"/>
    <x v="2"/>
  </r>
  <r>
    <s v="814107205992"/>
    <n v="814107"/>
    <s v="ASHOK BRIJLAL JAIN"/>
    <n v="205992"/>
    <s v="SISPURIA BUILDING MATERIAL"/>
    <n v="39"/>
    <n v="51"/>
    <n v="145.5"/>
    <n v="128.5"/>
    <n v="106.65"/>
    <n v="57.45"/>
    <n v="83.5"/>
    <n v="611.6"/>
    <n v="87.371428571428581"/>
    <x v="3"/>
    <x v="32"/>
    <x v="11"/>
    <x v="2"/>
  </r>
  <r>
    <s v="814641205992"/>
    <n v="814641"/>
    <s v="DINESH KUMAR AND BROTHERS"/>
    <n v="205992"/>
    <s v="SISPURIA BUILDING MATERIAL"/>
    <n v="39.450000000000003"/>
    <n v="53"/>
    <n v="99.5"/>
    <n v="67.5"/>
    <n v="35"/>
    <n v="10"/>
    <n v="0"/>
    <n v="304.45"/>
    <n v="43.49285714285714"/>
    <x v="5"/>
    <x v="32"/>
    <x v="11"/>
    <x v="2"/>
  </r>
  <r>
    <s v="814916205992"/>
    <n v="814916"/>
    <s v="AMBIKA KIRANA STORE AND BUILDI"/>
    <n v="205992"/>
    <s v="SISPURIA BUILDING MATERIAL"/>
    <n v="0"/>
    <n v="0"/>
    <n v="0"/>
    <n v="0"/>
    <n v="22.5"/>
    <n v="0"/>
    <n v="0"/>
    <n v="22.5"/>
    <n v="3.2142857142857144"/>
    <x v="1"/>
    <x v="32"/>
    <x v="11"/>
    <x v="2"/>
  </r>
  <r>
    <s v="815471205992"/>
    <n v="815471"/>
    <s v="LAXMI CONSTRUCTION"/>
    <n v="205992"/>
    <s v="SISPURIA BUILDING MATERIAL"/>
    <n v="0"/>
    <n v="0"/>
    <n v="0"/>
    <n v="57.5"/>
    <n v="70"/>
    <n v="30"/>
    <n v="20"/>
    <n v="177.5"/>
    <n v="25.357142857142858"/>
    <x v="0"/>
    <x v="32"/>
    <x v="11"/>
    <x v="2"/>
  </r>
  <r>
    <s v="814224206073"/>
    <n v="814224"/>
    <s v="FATEH SINGH RAJPUT"/>
    <n v="206073"/>
    <s v="SHREE TIRUPATI BALAJI BUILDING"/>
    <n v="75"/>
    <n v="20"/>
    <n v="65"/>
    <n v="55"/>
    <n v="20"/>
    <n v="50"/>
    <n v="0"/>
    <n v="285"/>
    <n v="40.714285714285715"/>
    <x v="5"/>
    <x v="32"/>
    <x v="11"/>
    <x v="2"/>
  </r>
  <r>
    <s v="814766206073"/>
    <n v="814766"/>
    <s v="VIJAY SEN"/>
    <n v="206073"/>
    <s v="SHREE TIRUPATI BALAJI BUILDING"/>
    <n v="70"/>
    <n v="30"/>
    <n v="85"/>
    <n v="90"/>
    <n v="137.5"/>
    <n v="116"/>
    <n v="68.599999999999994"/>
    <n v="597.1"/>
    <n v="85.3"/>
    <x v="3"/>
    <x v="32"/>
    <x v="11"/>
    <x v="2"/>
  </r>
  <r>
    <s v="815278206073"/>
    <n v="815278"/>
    <s v="SHYAM STONE AND CEMENT SUPPLIE"/>
    <n v="206073"/>
    <s v="SHREE TIRUPATI BALAJI BUILDING"/>
    <n v="0"/>
    <n v="0"/>
    <n v="0"/>
    <n v="0"/>
    <n v="50"/>
    <n v="20"/>
    <n v="10"/>
    <n v="80"/>
    <n v="11.428571428571429"/>
    <x v="2"/>
    <x v="32"/>
    <x v="11"/>
    <x v="2"/>
  </r>
  <r>
    <s v="815470206073"/>
    <n v="815470"/>
    <s v="KULDEVI TRADERS"/>
    <n v="206073"/>
    <s v="SHREE TIRUPATI BALAJI BUILDING"/>
    <n v="0"/>
    <n v="0"/>
    <n v="0"/>
    <n v="35"/>
    <n v="10"/>
    <n v="27.5"/>
    <n v="40"/>
    <n v="112.5"/>
    <n v="16.071428571428573"/>
    <x v="2"/>
    <x v="32"/>
    <x v="11"/>
    <x v="2"/>
  </r>
  <r>
    <s v="815469208776"/>
    <n v="815469"/>
    <s v="MAHIMA CONSTRUCTION"/>
    <n v="208776"/>
    <s v="ABHIS BUILDTECH"/>
    <n v="0"/>
    <n v="0"/>
    <n v="0"/>
    <n v="20"/>
    <n v="0"/>
    <n v="0"/>
    <n v="0"/>
    <n v="20"/>
    <n v="2.8571428571428572"/>
    <x v="1"/>
    <x v="32"/>
    <x v="11"/>
    <x v="2"/>
  </r>
  <r>
    <s v="815817208776"/>
    <n v="815817"/>
    <s v="BAYA CEMENT SUPPLIERS"/>
    <n v="208776"/>
    <s v="ABHIS BUILDTECH"/>
    <n v="0"/>
    <n v="0"/>
    <n v="0"/>
    <n v="0"/>
    <n v="52.5"/>
    <n v="40"/>
    <n v="5"/>
    <n v="97.5"/>
    <n v="13.928571428571429"/>
    <x v="2"/>
    <x v="32"/>
    <x v="11"/>
    <x v="2"/>
  </r>
  <r>
    <s v="815818208776"/>
    <n v="815818"/>
    <s v="DRISHTI ENTERPRISES"/>
    <n v="208776"/>
    <s v="ABHIS BUILDTECH"/>
    <n v="0"/>
    <n v="0"/>
    <n v="0"/>
    <n v="0"/>
    <n v="122.5"/>
    <n v="87.5"/>
    <n v="21"/>
    <n v="231"/>
    <n v="33"/>
    <x v="4"/>
    <x v="32"/>
    <x v="11"/>
    <x v="2"/>
  </r>
  <r>
    <s v="815840208776"/>
    <n v="815840"/>
    <s v="GUJARAT IRON STORE"/>
    <n v="208776"/>
    <s v="ABHIS BUILDTECH"/>
    <n v="0"/>
    <n v="0"/>
    <n v="0"/>
    <n v="0"/>
    <n v="142.5"/>
    <n v="187.5"/>
    <n v="126.25"/>
    <n v="456.25"/>
    <n v="65.178571428571431"/>
    <x v="3"/>
    <x v="32"/>
    <x v="11"/>
    <x v="2"/>
  </r>
  <r>
    <s v="815907208776"/>
    <n v="815907"/>
    <s v="SAINATH TRADERS"/>
    <n v="208776"/>
    <s v="ABHIS BUILDTECH"/>
    <n v="0"/>
    <n v="0"/>
    <n v="0"/>
    <n v="0"/>
    <n v="32.5"/>
    <n v="52.5"/>
    <n v="15"/>
    <n v="100"/>
    <n v="14.285714285714286"/>
    <x v="2"/>
    <x v="32"/>
    <x v="11"/>
    <x v="2"/>
  </r>
  <r>
    <s v="808084209796"/>
    <n v="808084"/>
    <s v="LAXMI BUILDING MATERIAL"/>
    <n v="209796"/>
    <s v="SHAKTAWAT BUILDING MATERIAL"/>
    <n v="0"/>
    <n v="0"/>
    <n v="0"/>
    <n v="0"/>
    <n v="0"/>
    <n v="50"/>
    <n v="67.5"/>
    <n v="117.5"/>
    <n v="16.785714285714285"/>
    <x v="2"/>
    <x v="32"/>
    <x v="11"/>
    <x v="2"/>
  </r>
  <r>
    <s v="806972147364"/>
    <n v="806972"/>
    <s v="ROYAL BUILDING MATERIAL"/>
    <n v="147364"/>
    <s v="RAJASTHAN ROYAL BUILDHOME SOLU"/>
    <n v="0"/>
    <n v="0"/>
    <n v="0"/>
    <n v="0"/>
    <n v="0"/>
    <n v="30"/>
    <n v="0"/>
    <n v="30"/>
    <n v="4.2857142857142856"/>
    <x v="1"/>
    <x v="32"/>
    <x v="11"/>
    <x v="2"/>
  </r>
  <r>
    <s v="804132179560"/>
    <n v="804132"/>
    <s v="SURBHI SANITATION"/>
    <n v="179560"/>
    <s v="TIRUPATI TRADING COMPANY"/>
    <n v="0"/>
    <n v="0"/>
    <n v="0"/>
    <n v="0"/>
    <n v="0"/>
    <n v="0"/>
    <n v="10"/>
    <n v="10"/>
    <n v="1.4285714285714286"/>
    <x v="1"/>
    <x v="32"/>
    <x v="11"/>
    <x v="2"/>
  </r>
  <r>
    <s v="807016140967"/>
    <n v="807016"/>
    <s v="MATESHWARI BUILDING MATERIAL S"/>
    <n v="140967"/>
    <s v="B.L.JAIN &amp; SONS"/>
    <n v="0"/>
    <n v="0"/>
    <n v="0"/>
    <n v="0"/>
    <n v="0"/>
    <n v="0"/>
    <n v="18"/>
    <n v="18"/>
    <n v="2.5714285714285716"/>
    <x v="1"/>
    <x v="32"/>
    <x v="11"/>
    <x v="2"/>
  </r>
  <r>
    <s v="808163140967"/>
    <n v="808163"/>
    <s v="VIJAY LAXMI BUILDING MATERIAL"/>
    <n v="140967"/>
    <s v="B.L.JAIN &amp; SONS"/>
    <n v="0"/>
    <n v="0"/>
    <n v="0"/>
    <n v="0"/>
    <n v="0"/>
    <n v="0"/>
    <n v="20"/>
    <n v="20"/>
    <n v="2.8571428571428572"/>
    <x v="1"/>
    <x v="32"/>
    <x v="11"/>
    <x v="2"/>
  </r>
  <r>
    <s v="816140140856"/>
    <n v="816140"/>
    <s v="SHREE KALYAN BUILDING MATERIAL"/>
    <n v="140856"/>
    <s v="TIRUPATI BUILDING MATERIAL SUP"/>
    <n v="0"/>
    <n v="0"/>
    <n v="0"/>
    <n v="0"/>
    <n v="0"/>
    <n v="0"/>
    <n v="10"/>
    <n v="10"/>
    <n v="1.4285714285714286"/>
    <x v="1"/>
    <x v="32"/>
    <x v="11"/>
    <x v="2"/>
  </r>
  <r>
    <s v="816736209796"/>
    <n v="816736"/>
    <s v="PRAVITRA BUILDING MATERIAL SUP"/>
    <n v="209796"/>
    <s v="SHAKTAWAT BUILDING MATERIAL"/>
    <n v="0"/>
    <n v="0"/>
    <n v="0"/>
    <n v="0"/>
    <n v="0"/>
    <n v="0"/>
    <n v="33.5"/>
    <n v="33.5"/>
    <n v="4.7857142857142856"/>
    <x v="1"/>
    <x v="32"/>
    <x v="1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J38" firstHeaderRow="1" firstDataRow="2" firstDataCol="3"/>
  <pivotFields count="18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axis="axisCol" compact="0" outline="0" showAll="0" defaultSubtotal="0">
      <items count="6">
        <item x="1"/>
        <item x="2"/>
        <item x="0"/>
        <item x="4"/>
        <item x="5"/>
        <item x="3"/>
      </items>
    </pivotField>
    <pivotField axis="axisRow" compact="0" outline="0" showAll="0" defaultSubtotal="0">
      <items count="33">
        <item x="10"/>
        <item x="0"/>
        <item x="25"/>
        <item x="27"/>
        <item x="13"/>
        <item x="1"/>
        <item x="22"/>
        <item x="19"/>
        <item x="28"/>
        <item x="23"/>
        <item x="4"/>
        <item x="7"/>
        <item x="2"/>
        <item x="26"/>
        <item x="20"/>
        <item x="3"/>
        <item x="14"/>
        <item x="16"/>
        <item x="29"/>
        <item x="5"/>
        <item x="15"/>
        <item x="8"/>
        <item x="30"/>
        <item x="11"/>
        <item x="17"/>
        <item x="24"/>
        <item x="31"/>
        <item x="9"/>
        <item x="6"/>
        <item x="18"/>
        <item x="21"/>
        <item x="12"/>
        <item x="32"/>
      </items>
    </pivotField>
    <pivotField axis="axisRow" compact="0" outline="0" showAll="0" defaultSubtotal="0">
      <items count="12">
        <item x="4"/>
        <item x="0"/>
        <item x="8"/>
        <item x="9"/>
        <item x="1"/>
        <item x="2"/>
        <item x="5"/>
        <item x="10"/>
        <item x="6"/>
        <item x="3"/>
        <item x="7"/>
        <item x="11"/>
      </items>
    </pivotField>
    <pivotField axis="axisRow" compact="0" outline="0" showAll="0" defaultSubtotal="0">
      <items count="3">
        <item x="0"/>
        <item x="1"/>
        <item x="2"/>
      </items>
    </pivotField>
  </pivotFields>
  <rowFields count="3">
    <field x="15"/>
    <field x="16"/>
    <field x="17"/>
  </rowFields>
  <rowItems count="34">
    <i>
      <x/>
      <x/>
      <x v="1"/>
    </i>
    <i>
      <x v="1"/>
      <x v="1"/>
      <x/>
    </i>
    <i>
      <x v="2"/>
      <x v="3"/>
      <x v="2"/>
    </i>
    <i>
      <x v="3"/>
      <x v="7"/>
      <x v="2"/>
    </i>
    <i>
      <x v="4"/>
      <x v="6"/>
      <x v="1"/>
    </i>
    <i>
      <x v="5"/>
      <x v="1"/>
      <x/>
    </i>
    <i>
      <x v="6"/>
      <x v="2"/>
      <x v="2"/>
    </i>
    <i>
      <x v="7"/>
      <x v="10"/>
      <x v="1"/>
    </i>
    <i>
      <x v="8"/>
      <x v="7"/>
      <x v="2"/>
    </i>
    <i>
      <x v="9"/>
      <x v="2"/>
      <x v="2"/>
    </i>
    <i>
      <x v="10"/>
      <x v="5"/>
      <x/>
    </i>
    <i>
      <x v="11"/>
      <x v="9"/>
      <x/>
    </i>
    <i>
      <x v="12"/>
      <x v="1"/>
      <x/>
    </i>
    <i>
      <x v="13"/>
      <x v="3"/>
      <x v="2"/>
    </i>
    <i>
      <x v="14"/>
      <x v="10"/>
      <x v="1"/>
    </i>
    <i>
      <x v="15"/>
      <x v="4"/>
      <x/>
    </i>
    <i>
      <x v="16"/>
      <x v="6"/>
      <x v="1"/>
    </i>
    <i>
      <x v="17"/>
      <x v="8"/>
      <x v="1"/>
    </i>
    <i>
      <x v="18"/>
      <x v="7"/>
      <x v="2"/>
    </i>
    <i>
      <x v="19"/>
      <x v="5"/>
      <x/>
    </i>
    <i>
      <x v="20"/>
      <x v="6"/>
      <x v="1"/>
    </i>
    <i>
      <x v="21"/>
      <x v="9"/>
      <x/>
    </i>
    <i>
      <x v="22"/>
      <x v="7"/>
      <x v="2"/>
    </i>
    <i>
      <x v="23"/>
      <x/>
      <x v="1"/>
    </i>
    <i>
      <x v="24"/>
      <x v="8"/>
      <x v="1"/>
    </i>
    <i>
      <x v="25"/>
      <x v="2"/>
      <x v="2"/>
    </i>
    <i>
      <x v="26"/>
      <x v="11"/>
      <x v="2"/>
    </i>
    <i>
      <x v="27"/>
      <x v="9"/>
      <x/>
    </i>
    <i>
      <x v="28"/>
      <x v="5"/>
      <x/>
    </i>
    <i>
      <x v="29"/>
      <x v="8"/>
      <x v="1"/>
    </i>
    <i>
      <x v="30"/>
      <x v="10"/>
      <x v="1"/>
    </i>
    <i>
      <x v="31"/>
      <x/>
      <x v="1"/>
    </i>
    <i>
      <x v="32"/>
      <x v="11"/>
      <x v="2"/>
    </i>
    <i t="grand">
      <x/>
    </i>
  </rowItems>
  <colFields count="1">
    <field x="1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Avg" fld="13" subtotal="average" baseField="15" baseItem="0" numFmtId="1"/>
  </dataFields>
  <formats count="11"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/>
    </format>
    <format dxfId="6">
      <pivotArea outline="0" collapsedLevelsAreSubtotals="1" fieldPosition="0"/>
    </format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38" firstHeaderRow="1" firstDataRow="2" firstDataCol="1"/>
  <pivotFields count="18">
    <pivotField showAll="0"/>
    <pivotField showAll="0"/>
    <pivotField dataField="1"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axis="axisCol" showAll="0">
      <items count="7">
        <item x="1"/>
        <item x="2"/>
        <item x="0"/>
        <item x="4"/>
        <item x="5"/>
        <item x="3"/>
        <item t="default"/>
      </items>
    </pivotField>
    <pivotField axis="axisRow" showAll="0">
      <items count="34">
        <item x="10"/>
        <item x="0"/>
        <item x="25"/>
        <item x="27"/>
        <item x="13"/>
        <item x="1"/>
        <item x="22"/>
        <item x="19"/>
        <item x="28"/>
        <item x="23"/>
        <item x="4"/>
        <item x="7"/>
        <item x="2"/>
        <item x="26"/>
        <item x="20"/>
        <item x="3"/>
        <item x="14"/>
        <item x="16"/>
        <item x="29"/>
        <item x="5"/>
        <item x="15"/>
        <item x="8"/>
        <item x="30"/>
        <item x="11"/>
        <item x="17"/>
        <item x="24"/>
        <item x="31"/>
        <item x="9"/>
        <item x="6"/>
        <item x="18"/>
        <item x="21"/>
        <item x="12"/>
        <item x="32"/>
        <item t="default"/>
      </items>
    </pivotField>
    <pivotField showAll="0">
      <items count="13">
        <item x="4"/>
        <item x="0"/>
        <item x="8"/>
        <item x="9"/>
        <item x="1"/>
        <item x="2"/>
        <item x="5"/>
        <item x="10"/>
        <item x="6"/>
        <item x="3"/>
        <item x="7"/>
        <item x="11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5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1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Retailer Desc.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38"/>
  <sheetViews>
    <sheetView topLeftCell="A15" workbookViewId="0">
      <selection activeCell="A4" sqref="A4:J38"/>
    </sheetView>
  </sheetViews>
  <sheetFormatPr defaultRowHeight="12.75" x14ac:dyDescent="0.2"/>
  <cols>
    <col min="1" max="1" width="23.28515625" bestFit="1" customWidth="1"/>
    <col min="2" max="2" width="17" bestFit="1" customWidth="1"/>
    <col min="3" max="3" width="12.42578125" bestFit="1" customWidth="1"/>
    <col min="4" max="8" width="12.140625" bestFit="1" customWidth="1"/>
    <col min="9" max="10" width="12.5703125" bestFit="1" customWidth="1"/>
  </cols>
  <sheetData>
    <row r="3" spans="1:10" x14ac:dyDescent="0.2">
      <c r="A3" s="13" t="s">
        <v>556</v>
      </c>
      <c r="D3" s="13" t="s">
        <v>548</v>
      </c>
    </row>
    <row r="4" spans="1:10" x14ac:dyDescent="0.2">
      <c r="A4" s="13" t="s">
        <v>426</v>
      </c>
      <c r="B4" s="13" t="s">
        <v>427</v>
      </c>
      <c r="C4" s="13" t="s">
        <v>428</v>
      </c>
      <c r="D4" t="s">
        <v>549</v>
      </c>
      <c r="E4" t="s">
        <v>550</v>
      </c>
      <c r="F4" t="s">
        <v>575</v>
      </c>
      <c r="G4" t="s">
        <v>551</v>
      </c>
      <c r="H4" t="s">
        <v>552</v>
      </c>
      <c r="I4" t="s">
        <v>553</v>
      </c>
      <c r="J4" t="s">
        <v>423</v>
      </c>
    </row>
    <row r="5" spans="1:10" x14ac:dyDescent="0.2">
      <c r="A5" t="s">
        <v>1</v>
      </c>
      <c r="B5" t="s">
        <v>1</v>
      </c>
      <c r="C5" t="s">
        <v>431</v>
      </c>
      <c r="D5" s="17">
        <v>4.652806122448979</v>
      </c>
      <c r="E5" s="17">
        <v>14.886842105263156</v>
      </c>
      <c r="F5" s="17">
        <v>24.884615384615383</v>
      </c>
      <c r="G5" s="17">
        <v>36.122321428571432</v>
      </c>
      <c r="H5" s="17">
        <v>42.216964285714283</v>
      </c>
      <c r="I5" s="17">
        <v>92.526488095238093</v>
      </c>
      <c r="J5" s="17">
        <v>35.839785714285711</v>
      </c>
    </row>
    <row r="6" spans="1:10" x14ac:dyDescent="0.2">
      <c r="A6" t="s">
        <v>34</v>
      </c>
      <c r="B6" t="s">
        <v>34</v>
      </c>
      <c r="C6" t="s">
        <v>432</v>
      </c>
      <c r="D6" s="17">
        <v>5.7433673469387747</v>
      </c>
      <c r="E6" s="17">
        <v>15.001587301587298</v>
      </c>
      <c r="F6" s="17">
        <v>25.374175824175822</v>
      </c>
      <c r="G6" s="17">
        <v>35.626190476190473</v>
      </c>
      <c r="H6" s="17">
        <v>44.690476190476197</v>
      </c>
      <c r="I6" s="17">
        <v>83.729192546583846</v>
      </c>
      <c r="J6" s="17">
        <v>38.259732142857139</v>
      </c>
    </row>
    <row r="7" spans="1:10" x14ac:dyDescent="0.2">
      <c r="A7" t="s">
        <v>12</v>
      </c>
      <c r="B7" t="s">
        <v>17</v>
      </c>
      <c r="C7" t="s">
        <v>430</v>
      </c>
      <c r="D7" s="17">
        <v>5.4165413533834581</v>
      </c>
      <c r="E7" s="17">
        <v>15.799285714285713</v>
      </c>
      <c r="F7" s="17">
        <v>24.726190476190471</v>
      </c>
      <c r="G7" s="17">
        <v>34.942857142857143</v>
      </c>
      <c r="H7" s="17">
        <v>44.758928571428569</v>
      </c>
      <c r="I7" s="17">
        <v>96.157563025210081</v>
      </c>
      <c r="J7" s="17">
        <v>39.236059907834104</v>
      </c>
    </row>
    <row r="8" spans="1:10" x14ac:dyDescent="0.2">
      <c r="A8" t="s">
        <v>71</v>
      </c>
      <c r="B8" t="s">
        <v>22</v>
      </c>
      <c r="C8" t="s">
        <v>430</v>
      </c>
      <c r="D8" s="17">
        <v>5.7420634920634921</v>
      </c>
      <c r="E8" s="17">
        <v>13.692857142857145</v>
      </c>
      <c r="F8" s="17">
        <v>26.107142857142858</v>
      </c>
      <c r="G8" s="17">
        <v>32.714285714285715</v>
      </c>
      <c r="H8" s="17"/>
      <c r="I8" s="17">
        <v>170.55952380952382</v>
      </c>
      <c r="J8" s="17">
        <v>33.145329670329673</v>
      </c>
    </row>
    <row r="9" spans="1:10" x14ac:dyDescent="0.2">
      <c r="A9" t="s">
        <v>14</v>
      </c>
      <c r="B9" t="s">
        <v>5</v>
      </c>
      <c r="C9" t="s">
        <v>431</v>
      </c>
      <c r="D9" s="17">
        <v>5.6263736263736259</v>
      </c>
      <c r="E9" s="17">
        <v>14.401785714285714</v>
      </c>
      <c r="F9" s="17">
        <v>28.142857142857142</v>
      </c>
      <c r="G9" s="17"/>
      <c r="H9" s="17">
        <v>47.228571428571421</v>
      </c>
      <c r="I9" s="17">
        <v>88.957142857142827</v>
      </c>
      <c r="J9" s="17">
        <v>42.547619047619051</v>
      </c>
    </row>
    <row r="10" spans="1:10" x14ac:dyDescent="0.2">
      <c r="A10" t="s">
        <v>2</v>
      </c>
      <c r="B10" t="s">
        <v>34</v>
      </c>
      <c r="C10" t="s">
        <v>432</v>
      </c>
      <c r="D10" s="17">
        <v>5.3174603174603181</v>
      </c>
      <c r="E10" s="17">
        <v>15.914285714285715</v>
      </c>
      <c r="F10" s="17">
        <v>27</v>
      </c>
      <c r="G10" s="17">
        <v>36.195238095238096</v>
      </c>
      <c r="H10" s="17">
        <v>44.857142857142854</v>
      </c>
      <c r="I10" s="17">
        <v>114.14928571428572</v>
      </c>
      <c r="J10" s="17">
        <v>63.158730158730151</v>
      </c>
    </row>
    <row r="11" spans="1:10" x14ac:dyDescent="0.2">
      <c r="A11" t="s">
        <v>58</v>
      </c>
      <c r="B11" t="s">
        <v>58</v>
      </c>
      <c r="C11" t="s">
        <v>430</v>
      </c>
      <c r="D11" s="17">
        <v>3.8277992277992285</v>
      </c>
      <c r="E11" s="17">
        <v>11.972222222222221</v>
      </c>
      <c r="F11" s="17">
        <v>25.487662337662336</v>
      </c>
      <c r="G11" s="17">
        <v>34.698412698412696</v>
      </c>
      <c r="H11" s="17">
        <v>45.115306122448978</v>
      </c>
      <c r="I11" s="17">
        <v>87.582857142857151</v>
      </c>
      <c r="J11" s="17">
        <v>28.086120129870132</v>
      </c>
    </row>
    <row r="12" spans="1:10" x14ac:dyDescent="0.2">
      <c r="A12" t="s">
        <v>15</v>
      </c>
      <c r="B12" t="s">
        <v>8</v>
      </c>
      <c r="C12" t="s">
        <v>431</v>
      </c>
      <c r="D12" s="17">
        <v>4.5357142857142856</v>
      </c>
      <c r="E12" s="17">
        <v>13.909340659340661</v>
      </c>
      <c r="F12" s="17">
        <v>23.835389610389608</v>
      </c>
      <c r="G12" s="17">
        <v>34.865079365079367</v>
      </c>
      <c r="H12" s="17">
        <v>44.563636363636363</v>
      </c>
      <c r="I12" s="17">
        <v>67.813961038961025</v>
      </c>
      <c r="J12" s="17">
        <v>28.864547837483624</v>
      </c>
    </row>
    <row r="13" spans="1:10" x14ac:dyDescent="0.2">
      <c r="A13" t="s">
        <v>65</v>
      </c>
      <c r="B13" t="s">
        <v>22</v>
      </c>
      <c r="C13" t="s">
        <v>430</v>
      </c>
      <c r="D13" s="17">
        <v>3.0681818181818183</v>
      </c>
      <c r="E13" s="17">
        <v>15.533928571428572</v>
      </c>
      <c r="F13" s="17">
        <v>21.389285714285712</v>
      </c>
      <c r="G13" s="17">
        <v>38.047619047619044</v>
      </c>
      <c r="H13" s="17">
        <v>47.5</v>
      </c>
      <c r="I13" s="17">
        <v>67.257142857142853</v>
      </c>
      <c r="J13" s="17">
        <v>22.255714285714284</v>
      </c>
    </row>
    <row r="14" spans="1:10" x14ac:dyDescent="0.2">
      <c r="A14" t="s">
        <v>0</v>
      </c>
      <c r="B14" t="s">
        <v>58</v>
      </c>
      <c r="C14" t="s">
        <v>430</v>
      </c>
      <c r="D14" s="17">
        <v>5.195341614906833</v>
      </c>
      <c r="E14" s="17">
        <v>14.195378151260504</v>
      </c>
      <c r="F14" s="17">
        <v>23.490476190476191</v>
      </c>
      <c r="G14" s="17">
        <v>34.81818181818182</v>
      </c>
      <c r="H14" s="17">
        <v>45.158163265306122</v>
      </c>
      <c r="I14" s="17">
        <v>80.283540372670799</v>
      </c>
      <c r="J14" s="17">
        <v>34.283102918586785</v>
      </c>
    </row>
    <row r="15" spans="1:10" x14ac:dyDescent="0.2">
      <c r="A15" t="s">
        <v>64</v>
      </c>
      <c r="B15" t="s">
        <v>86</v>
      </c>
      <c r="C15" t="s">
        <v>432</v>
      </c>
      <c r="D15" s="17">
        <v>4.3051948051948052</v>
      </c>
      <c r="E15" s="17">
        <v>15.818571428571428</v>
      </c>
      <c r="F15" s="17">
        <v>24.392857142857142</v>
      </c>
      <c r="G15" s="17">
        <v>34.150892857142857</v>
      </c>
      <c r="H15" s="17">
        <v>43.392857142857139</v>
      </c>
      <c r="I15" s="17">
        <v>95.619841269841274</v>
      </c>
      <c r="J15" s="17">
        <v>34.184161490683231</v>
      </c>
    </row>
    <row r="16" spans="1:10" x14ac:dyDescent="0.2">
      <c r="A16" t="s">
        <v>121</v>
      </c>
      <c r="B16" t="s">
        <v>10</v>
      </c>
      <c r="C16" t="s">
        <v>432</v>
      </c>
      <c r="D16" s="17">
        <v>3.2420634920634921</v>
      </c>
      <c r="E16" s="17">
        <v>11.357142857142856</v>
      </c>
      <c r="F16" s="17">
        <v>22.428571428571431</v>
      </c>
      <c r="G16" s="17">
        <v>33.142857142857146</v>
      </c>
      <c r="H16" s="17">
        <v>45.51428571428572</v>
      </c>
      <c r="I16" s="17">
        <v>106.78571428571428</v>
      </c>
      <c r="J16" s="17">
        <v>37.418322981366458</v>
      </c>
    </row>
    <row r="17" spans="1:10" x14ac:dyDescent="0.2">
      <c r="A17" t="s">
        <v>43</v>
      </c>
      <c r="B17" t="s">
        <v>34</v>
      </c>
      <c r="C17" t="s">
        <v>432</v>
      </c>
      <c r="D17" s="17">
        <v>3.5476190476190474</v>
      </c>
      <c r="E17" s="17">
        <v>15.607142857142858</v>
      </c>
      <c r="F17" s="17"/>
      <c r="G17" s="17"/>
      <c r="H17" s="17">
        <v>45.285714285714292</v>
      </c>
      <c r="I17" s="17">
        <v>51.226190476190482</v>
      </c>
      <c r="J17" s="17">
        <v>28.610714285714288</v>
      </c>
    </row>
    <row r="18" spans="1:10" x14ac:dyDescent="0.2">
      <c r="A18" t="s">
        <v>17</v>
      </c>
      <c r="B18" t="s">
        <v>17</v>
      </c>
      <c r="C18" t="s">
        <v>430</v>
      </c>
      <c r="D18" s="17">
        <v>4.6775510204081625</v>
      </c>
      <c r="E18" s="17">
        <v>14.896103896103893</v>
      </c>
      <c r="F18" s="17">
        <v>24.567460317460316</v>
      </c>
      <c r="G18" s="17">
        <v>35.057692307692307</v>
      </c>
      <c r="H18" s="17">
        <v>45.090816326530621</v>
      </c>
      <c r="I18" s="17">
        <v>89.82380952380953</v>
      </c>
      <c r="J18" s="17">
        <v>29.059711075441406</v>
      </c>
    </row>
    <row r="19" spans="1:10" x14ac:dyDescent="0.2">
      <c r="A19" t="s">
        <v>13</v>
      </c>
      <c r="B19" t="s">
        <v>8</v>
      </c>
      <c r="C19" t="s">
        <v>431</v>
      </c>
      <c r="D19" s="17">
        <v>5.3824175824175837</v>
      </c>
      <c r="E19" s="17">
        <v>15.624999999999998</v>
      </c>
      <c r="F19" s="17">
        <v>25.559090909090909</v>
      </c>
      <c r="G19" s="17">
        <v>34.871428571428574</v>
      </c>
      <c r="H19" s="17">
        <v>44.35</v>
      </c>
      <c r="I19" s="17">
        <v>69.846825396825409</v>
      </c>
      <c r="J19" s="17">
        <v>36.309424603174605</v>
      </c>
    </row>
    <row r="20" spans="1:10" x14ac:dyDescent="0.2">
      <c r="A20" t="s">
        <v>3</v>
      </c>
      <c r="B20" t="s">
        <v>3</v>
      </c>
      <c r="C20" t="s">
        <v>432</v>
      </c>
      <c r="D20" s="17">
        <v>4.6866666666666665</v>
      </c>
      <c r="E20" s="17">
        <v>15.017857142857142</v>
      </c>
      <c r="F20" s="17">
        <v>24.56309523809524</v>
      </c>
      <c r="G20" s="17">
        <v>36.813265306122446</v>
      </c>
      <c r="H20" s="17">
        <v>44.781512605042018</v>
      </c>
      <c r="I20" s="17">
        <v>111.12249999999997</v>
      </c>
      <c r="J20" s="17">
        <v>43.731400742115035</v>
      </c>
    </row>
    <row r="21" spans="1:10" x14ac:dyDescent="0.2">
      <c r="A21" t="s">
        <v>7</v>
      </c>
      <c r="B21" t="s">
        <v>5</v>
      </c>
      <c r="C21" t="s">
        <v>431</v>
      </c>
      <c r="D21" s="17"/>
      <c r="E21" s="17"/>
      <c r="F21" s="17"/>
      <c r="G21" s="17"/>
      <c r="H21" s="17">
        <v>48.142857142857146</v>
      </c>
      <c r="I21" s="17">
        <v>128.66666666666666</v>
      </c>
      <c r="J21" s="17">
        <v>108.53571428571428</v>
      </c>
    </row>
    <row r="22" spans="1:10" x14ac:dyDescent="0.2">
      <c r="A22" t="s">
        <v>67</v>
      </c>
      <c r="B22" t="s">
        <v>177</v>
      </c>
      <c r="C22" t="s">
        <v>431</v>
      </c>
      <c r="D22" s="17">
        <v>4.5952380952380958</v>
      </c>
      <c r="E22" s="17">
        <v>13.071428571428571</v>
      </c>
      <c r="F22" s="17"/>
      <c r="G22" s="17">
        <v>33.607142857142854</v>
      </c>
      <c r="H22" s="17"/>
      <c r="I22" s="17">
        <v>72.763392857142847</v>
      </c>
      <c r="J22" s="17">
        <v>39.539285714285711</v>
      </c>
    </row>
    <row r="23" spans="1:10" x14ac:dyDescent="0.2">
      <c r="A23" t="s">
        <v>16</v>
      </c>
      <c r="B23" t="s">
        <v>22</v>
      </c>
      <c r="C23" t="s">
        <v>430</v>
      </c>
      <c r="D23" s="17">
        <v>3.8412698412698418</v>
      </c>
      <c r="E23" s="17">
        <v>13.959183673469386</v>
      </c>
      <c r="F23" s="17">
        <v>26.142857142857146</v>
      </c>
      <c r="G23" s="17">
        <v>35.535714285714285</v>
      </c>
      <c r="H23" s="17">
        <v>43.142857142857146</v>
      </c>
      <c r="I23" s="17">
        <v>85.208333333333329</v>
      </c>
      <c r="J23" s="17">
        <v>23.788327526132402</v>
      </c>
    </row>
    <row r="24" spans="1:10" x14ac:dyDescent="0.2">
      <c r="A24" t="s">
        <v>86</v>
      </c>
      <c r="B24" t="s">
        <v>86</v>
      </c>
      <c r="C24" t="s">
        <v>432</v>
      </c>
      <c r="D24" s="17">
        <v>4.6428571428571423</v>
      </c>
      <c r="E24" s="17">
        <v>10.732142857142858</v>
      </c>
      <c r="F24" s="17">
        <v>24.107142857142858</v>
      </c>
      <c r="G24" s="17">
        <v>34.871428571428574</v>
      </c>
      <c r="H24" s="17"/>
      <c r="I24" s="17"/>
      <c r="J24" s="17">
        <v>16.262244897959185</v>
      </c>
    </row>
    <row r="25" spans="1:10" x14ac:dyDescent="0.2">
      <c r="A25" t="s">
        <v>5</v>
      </c>
      <c r="B25" t="s">
        <v>5</v>
      </c>
      <c r="C25" t="s">
        <v>431</v>
      </c>
      <c r="D25" s="17">
        <v>5.0875576036866361</v>
      </c>
      <c r="E25" s="17">
        <v>14.538669950738917</v>
      </c>
      <c r="F25" s="17">
        <v>26.100340136054434</v>
      </c>
      <c r="G25" s="17">
        <v>33.903571428571425</v>
      </c>
      <c r="H25" s="17">
        <v>45.076190476190483</v>
      </c>
      <c r="I25" s="17">
        <v>71.745918367346945</v>
      </c>
      <c r="J25" s="17">
        <v>30.537272727272718</v>
      </c>
    </row>
    <row r="26" spans="1:10" x14ac:dyDescent="0.2">
      <c r="A26" t="s">
        <v>27</v>
      </c>
      <c r="B26" t="s">
        <v>10</v>
      </c>
      <c r="C26" t="s">
        <v>432</v>
      </c>
      <c r="D26" s="17">
        <v>6.5</v>
      </c>
      <c r="E26" s="17">
        <v>12.515079365079364</v>
      </c>
      <c r="F26" s="17">
        <v>21.071428571428573</v>
      </c>
      <c r="G26" s="17">
        <v>35.495714285714278</v>
      </c>
      <c r="H26" s="17">
        <v>48.11904761904762</v>
      </c>
      <c r="I26" s="17">
        <v>121.03571428571429</v>
      </c>
      <c r="J26" s="17">
        <v>30.150595238095239</v>
      </c>
    </row>
    <row r="27" spans="1:10" x14ac:dyDescent="0.2">
      <c r="A27" t="s">
        <v>22</v>
      </c>
      <c r="B27" t="s">
        <v>22</v>
      </c>
      <c r="C27" t="s">
        <v>430</v>
      </c>
      <c r="D27" s="17">
        <v>4.2173076923076929</v>
      </c>
      <c r="E27" s="17">
        <v>13.985714285714284</v>
      </c>
      <c r="F27" s="17">
        <v>25.005102040816325</v>
      </c>
      <c r="G27" s="17">
        <v>35.552142857142854</v>
      </c>
      <c r="H27" s="17">
        <v>46.428571428571431</v>
      </c>
      <c r="I27" s="17">
        <v>83.695238095238111</v>
      </c>
      <c r="J27" s="17">
        <v>29.94153061224489</v>
      </c>
    </row>
    <row r="28" spans="1:10" x14ac:dyDescent="0.2">
      <c r="A28" t="s">
        <v>36</v>
      </c>
      <c r="B28" t="s">
        <v>1</v>
      </c>
      <c r="C28" t="s">
        <v>431</v>
      </c>
      <c r="D28" s="17">
        <v>3.8095238095238102</v>
      </c>
      <c r="E28" s="17">
        <v>16.011904761904763</v>
      </c>
      <c r="F28" s="17">
        <v>24.017857142857146</v>
      </c>
      <c r="G28" s="17">
        <v>31.36904761904762</v>
      </c>
      <c r="H28" s="17">
        <v>45.75</v>
      </c>
      <c r="I28" s="17">
        <v>66.452380952380949</v>
      </c>
      <c r="J28" s="17">
        <v>26.105102040816323</v>
      </c>
    </row>
    <row r="29" spans="1:10" x14ac:dyDescent="0.2">
      <c r="A29" t="s">
        <v>177</v>
      </c>
      <c r="B29" t="s">
        <v>177</v>
      </c>
      <c r="C29" t="s">
        <v>431</v>
      </c>
      <c r="D29" s="17">
        <v>6.1285714285714281</v>
      </c>
      <c r="E29" s="17">
        <v>14.124999999999998</v>
      </c>
      <c r="F29" s="17">
        <v>22.857142857142861</v>
      </c>
      <c r="G29" s="17">
        <v>34.862499999999997</v>
      </c>
      <c r="H29" s="17">
        <v>46.005357142857136</v>
      </c>
      <c r="I29" s="17">
        <v>75.042142857142863</v>
      </c>
      <c r="J29" s="17">
        <v>38.80952380952381</v>
      </c>
    </row>
    <row r="30" spans="1:10" x14ac:dyDescent="0.2">
      <c r="A30" t="s">
        <v>29</v>
      </c>
      <c r="B30" t="s">
        <v>58</v>
      </c>
      <c r="C30" t="s">
        <v>430</v>
      </c>
      <c r="D30" s="17">
        <v>5.316326530612244</v>
      </c>
      <c r="E30" s="17">
        <v>16.561224489795915</v>
      </c>
      <c r="F30" s="17">
        <v>25.488095238095237</v>
      </c>
      <c r="G30" s="17">
        <v>33.173214285714288</v>
      </c>
      <c r="H30" s="17">
        <v>44.50714285714286</v>
      </c>
      <c r="I30" s="17">
        <v>63.464285714285715</v>
      </c>
      <c r="J30" s="17">
        <v>25.42463054187192</v>
      </c>
    </row>
    <row r="31" spans="1:10" x14ac:dyDescent="0.2">
      <c r="A31" t="s">
        <v>105</v>
      </c>
      <c r="B31" t="s">
        <v>103</v>
      </c>
      <c r="C31" t="s">
        <v>430</v>
      </c>
      <c r="D31" s="17">
        <v>4.803061224489797</v>
      </c>
      <c r="E31" s="17">
        <v>14.707142857142859</v>
      </c>
      <c r="F31" s="17">
        <v>23.440816326530612</v>
      </c>
      <c r="G31" s="17">
        <v>38.535714285714292</v>
      </c>
      <c r="H31" s="17">
        <v>45.667857142857137</v>
      </c>
      <c r="I31" s="17">
        <v>115.03766233766235</v>
      </c>
      <c r="J31" s="17">
        <v>35.221428571428568</v>
      </c>
    </row>
    <row r="32" spans="1:10" x14ac:dyDescent="0.2">
      <c r="A32" t="s">
        <v>10</v>
      </c>
      <c r="B32" t="s">
        <v>10</v>
      </c>
      <c r="C32" t="s">
        <v>432</v>
      </c>
      <c r="D32" s="17">
        <v>4.7346938775510203</v>
      </c>
      <c r="E32" s="17">
        <v>15.266233766233768</v>
      </c>
      <c r="F32" s="17">
        <v>25.000000000000004</v>
      </c>
      <c r="G32" s="17">
        <v>35.076923076923073</v>
      </c>
      <c r="H32" s="17">
        <v>46.031168831168827</v>
      </c>
      <c r="I32" s="17">
        <v>84.367559523809533</v>
      </c>
      <c r="J32" s="17">
        <v>39.095746388443025</v>
      </c>
    </row>
    <row r="33" spans="1:10" x14ac:dyDescent="0.2">
      <c r="A33" t="s">
        <v>20</v>
      </c>
      <c r="B33" t="s">
        <v>86</v>
      </c>
      <c r="C33" t="s">
        <v>432</v>
      </c>
      <c r="D33" s="17">
        <v>4.5335714285714284</v>
      </c>
      <c r="E33" s="17">
        <v>14.877619047619051</v>
      </c>
      <c r="F33" s="17">
        <v>23.341836734693878</v>
      </c>
      <c r="G33" s="17">
        <v>34.898412698412706</v>
      </c>
      <c r="H33" s="17">
        <v>44.487755102040815</v>
      </c>
      <c r="I33" s="17">
        <v>75.298214285714295</v>
      </c>
      <c r="J33" s="17">
        <v>35.486411149825784</v>
      </c>
    </row>
    <row r="34" spans="1:10" x14ac:dyDescent="0.2">
      <c r="A34" t="s">
        <v>106</v>
      </c>
      <c r="B34" t="s">
        <v>177</v>
      </c>
      <c r="C34" t="s">
        <v>431</v>
      </c>
      <c r="D34" s="17">
        <v>9.7857142857142865</v>
      </c>
      <c r="E34" s="17">
        <v>15</v>
      </c>
      <c r="F34" s="17">
        <v>24.071428571428573</v>
      </c>
      <c r="G34" s="17">
        <v>33.090476190476188</v>
      </c>
      <c r="H34" s="17">
        <v>46.785714285714285</v>
      </c>
      <c r="I34" s="17">
        <v>130.78968253968253</v>
      </c>
      <c r="J34" s="17">
        <v>63.679464285714282</v>
      </c>
    </row>
    <row r="35" spans="1:10" x14ac:dyDescent="0.2">
      <c r="A35" t="s">
        <v>8</v>
      </c>
      <c r="B35" t="s">
        <v>8</v>
      </c>
      <c r="C35" t="s">
        <v>431</v>
      </c>
      <c r="D35" s="17">
        <v>6.0803571428571432</v>
      </c>
      <c r="E35" s="17">
        <v>15.778571428571428</v>
      </c>
      <c r="F35" s="17">
        <v>24.752678571428572</v>
      </c>
      <c r="G35" s="17">
        <v>35.970408163265304</v>
      </c>
      <c r="H35" s="17">
        <v>46.738888888888887</v>
      </c>
      <c r="I35" s="17">
        <v>81.092857142857127</v>
      </c>
      <c r="J35" s="17">
        <v>51.980267857142849</v>
      </c>
    </row>
    <row r="36" spans="1:10" x14ac:dyDescent="0.2">
      <c r="A36" t="s">
        <v>54</v>
      </c>
      <c r="B36" t="s">
        <v>1</v>
      </c>
      <c r="C36" t="s">
        <v>431</v>
      </c>
      <c r="D36" s="17">
        <v>5.4302197802197805</v>
      </c>
      <c r="E36" s="17">
        <v>15.129999999999999</v>
      </c>
      <c r="F36" s="17">
        <v>23.857142857142858</v>
      </c>
      <c r="G36" s="17">
        <v>33.410714285714285</v>
      </c>
      <c r="H36" s="17">
        <v>48.514285714285712</v>
      </c>
      <c r="I36" s="17">
        <v>77.228571428571414</v>
      </c>
      <c r="J36" s="17">
        <v>19.410714285714285</v>
      </c>
    </row>
    <row r="37" spans="1:10" x14ac:dyDescent="0.2">
      <c r="A37" t="s">
        <v>103</v>
      </c>
      <c r="B37" t="s">
        <v>103</v>
      </c>
      <c r="C37" t="s">
        <v>430</v>
      </c>
      <c r="D37" s="17">
        <v>4.818167701863354</v>
      </c>
      <c r="E37" s="17">
        <v>14.247959183673473</v>
      </c>
      <c r="F37" s="17">
        <v>25.279047619047621</v>
      </c>
      <c r="G37" s="17">
        <v>34.241326530612248</v>
      </c>
      <c r="H37" s="17">
        <v>44.293749999999989</v>
      </c>
      <c r="I37" s="17">
        <v>86.356534954407309</v>
      </c>
      <c r="J37" s="17">
        <v>34.950410116199592</v>
      </c>
    </row>
    <row r="38" spans="1:10" x14ac:dyDescent="0.2">
      <c r="A38" t="s">
        <v>423</v>
      </c>
      <c r="D38" s="17">
        <v>4.7011486664906252</v>
      </c>
      <c r="E38" s="17">
        <v>14.640992063492067</v>
      </c>
      <c r="F38" s="17">
        <v>24.846625615763575</v>
      </c>
      <c r="G38" s="17">
        <v>34.808985132514543</v>
      </c>
      <c r="H38" s="17">
        <v>45.073264166001614</v>
      </c>
      <c r="I38" s="17">
        <v>87.993800813008122</v>
      </c>
      <c r="J38" s="17">
        <v>35.560945751320212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workbookViewId="0">
      <selection activeCell="K36" sqref="K36"/>
    </sheetView>
  </sheetViews>
  <sheetFormatPr defaultRowHeight="12.75" x14ac:dyDescent="0.2"/>
  <cols>
    <col min="1" max="2" width="18.85546875" bestFit="1" customWidth="1"/>
    <col min="3" max="3" width="12.42578125" bestFit="1" customWidth="1"/>
    <col min="4" max="4" width="7.85546875" style="18" bestFit="1" customWidth="1"/>
    <col min="5" max="8" width="8.85546875" style="18" bestFit="1" customWidth="1"/>
    <col min="9" max="9" width="7.42578125" style="18" bestFit="1" customWidth="1"/>
    <col min="10" max="10" width="11.7109375" style="18" bestFit="1" customWidth="1"/>
    <col min="11" max="17" width="9.140625" style="2"/>
  </cols>
  <sheetData>
    <row r="1" spans="1:17" x14ac:dyDescent="0.2">
      <c r="A1" s="19"/>
      <c r="B1" s="19"/>
      <c r="C1" s="19"/>
      <c r="D1" s="39" t="s">
        <v>577</v>
      </c>
      <c r="E1" s="39"/>
      <c r="F1" s="39"/>
      <c r="G1" s="39"/>
      <c r="H1" s="39"/>
      <c r="I1" s="39"/>
      <c r="J1" s="39"/>
      <c r="K1" s="40" t="s">
        <v>578</v>
      </c>
      <c r="L1" s="40"/>
      <c r="M1" s="40"/>
      <c r="N1" s="40"/>
      <c r="O1" s="40"/>
      <c r="P1" s="40"/>
      <c r="Q1" s="40"/>
    </row>
    <row r="2" spans="1:17" x14ac:dyDescent="0.2">
      <c r="A2" s="20" t="s">
        <v>426</v>
      </c>
      <c r="B2" s="20" t="s">
        <v>427</v>
      </c>
      <c r="C2" s="20" t="s">
        <v>428</v>
      </c>
      <c r="D2" s="21" t="s">
        <v>549</v>
      </c>
      <c r="E2" s="21" t="s">
        <v>550</v>
      </c>
      <c r="F2" s="21" t="s">
        <v>575</v>
      </c>
      <c r="G2" s="21" t="s">
        <v>551</v>
      </c>
      <c r="H2" s="21" t="s">
        <v>552</v>
      </c>
      <c r="I2" s="21" t="s">
        <v>553</v>
      </c>
      <c r="J2" s="21" t="s">
        <v>423</v>
      </c>
      <c r="K2" s="22" t="s">
        <v>549</v>
      </c>
      <c r="L2" s="22" t="s">
        <v>550</v>
      </c>
      <c r="M2" s="22" t="s">
        <v>575</v>
      </c>
      <c r="N2" s="22" t="s">
        <v>551</v>
      </c>
      <c r="O2" s="22" t="s">
        <v>552</v>
      </c>
      <c r="P2" s="22" t="s">
        <v>553</v>
      </c>
      <c r="Q2" s="22" t="s">
        <v>423</v>
      </c>
    </row>
    <row r="3" spans="1:17" x14ac:dyDescent="0.2">
      <c r="A3" s="23" t="s">
        <v>34</v>
      </c>
      <c r="B3" s="23" t="s">
        <v>34</v>
      </c>
      <c r="C3" s="19" t="s">
        <v>432</v>
      </c>
      <c r="D3" s="24">
        <v>5.7433673469387747</v>
      </c>
      <c r="E3" s="24">
        <v>15.001587301587298</v>
      </c>
      <c r="F3" s="24">
        <v>25.374175824175822</v>
      </c>
      <c r="G3" s="24">
        <v>35.626190476190473</v>
      </c>
      <c r="H3" s="24">
        <v>44.690476190476197</v>
      </c>
      <c r="I3" s="24">
        <v>83.729192546583846</v>
      </c>
      <c r="J3" s="24">
        <f t="shared" ref="J3:J35" si="0">SUM(D3:I3)</f>
        <v>210.16498968595241</v>
      </c>
      <c r="K3" s="24">
        <v>14</v>
      </c>
      <c r="L3" s="24">
        <v>18</v>
      </c>
      <c r="M3" s="24">
        <v>13</v>
      </c>
      <c r="N3" s="24">
        <v>9</v>
      </c>
      <c r="O3" s="24">
        <v>3</v>
      </c>
      <c r="P3" s="24">
        <v>23</v>
      </c>
      <c r="Q3" s="24">
        <f t="shared" ref="Q3:Q36" si="1">SUM(K3:P3)</f>
        <v>80</v>
      </c>
    </row>
    <row r="4" spans="1:17" x14ac:dyDescent="0.2">
      <c r="A4" s="23" t="s">
        <v>2</v>
      </c>
      <c r="B4" s="23" t="s">
        <v>34</v>
      </c>
      <c r="C4" s="19" t="s">
        <v>432</v>
      </c>
      <c r="D4" s="24">
        <v>5.3174603174603181</v>
      </c>
      <c r="E4" s="24">
        <v>15.914285714285715</v>
      </c>
      <c r="F4" s="24">
        <v>27</v>
      </c>
      <c r="G4" s="24">
        <v>36.195238095238096</v>
      </c>
      <c r="H4" s="24">
        <v>44.857142857142854</v>
      </c>
      <c r="I4" s="24">
        <v>114.14928571428572</v>
      </c>
      <c r="J4" s="24">
        <f t="shared" si="0"/>
        <v>243.43341269841272</v>
      </c>
      <c r="K4" s="24">
        <v>9</v>
      </c>
      <c r="L4" s="24">
        <v>5</v>
      </c>
      <c r="M4" s="24">
        <v>2</v>
      </c>
      <c r="N4" s="24">
        <v>3</v>
      </c>
      <c r="O4" s="24">
        <v>6</v>
      </c>
      <c r="P4" s="24">
        <v>20</v>
      </c>
      <c r="Q4" s="24">
        <f t="shared" si="1"/>
        <v>45</v>
      </c>
    </row>
    <row r="5" spans="1:17" x14ac:dyDescent="0.2">
      <c r="A5" s="23" t="s">
        <v>43</v>
      </c>
      <c r="B5" s="23" t="s">
        <v>34</v>
      </c>
      <c r="C5" s="19" t="s">
        <v>432</v>
      </c>
      <c r="D5" s="24">
        <v>3.5476190476190474</v>
      </c>
      <c r="E5" s="24">
        <v>15.607142857142858</v>
      </c>
      <c r="F5" s="24">
        <v>0</v>
      </c>
      <c r="G5" s="24">
        <v>0</v>
      </c>
      <c r="H5" s="24">
        <v>45.285714285714292</v>
      </c>
      <c r="I5" s="24">
        <v>51.226190476190482</v>
      </c>
      <c r="J5" s="24">
        <f t="shared" si="0"/>
        <v>115.66666666666669</v>
      </c>
      <c r="K5" s="24">
        <v>3</v>
      </c>
      <c r="L5" s="24">
        <v>2</v>
      </c>
      <c r="M5" s="24">
        <v>0</v>
      </c>
      <c r="N5" s="24">
        <v>0</v>
      </c>
      <c r="O5" s="24">
        <v>2</v>
      </c>
      <c r="P5" s="24">
        <v>3</v>
      </c>
      <c r="Q5" s="24">
        <f t="shared" si="1"/>
        <v>10</v>
      </c>
    </row>
    <row r="6" spans="1:17" x14ac:dyDescent="0.2">
      <c r="A6" s="23" t="s">
        <v>3</v>
      </c>
      <c r="B6" s="23" t="s">
        <v>3</v>
      </c>
      <c r="C6" s="19" t="s">
        <v>432</v>
      </c>
      <c r="D6" s="24">
        <v>4.6866666666666665</v>
      </c>
      <c r="E6" s="24">
        <v>15.017857142857142</v>
      </c>
      <c r="F6" s="24">
        <v>24.56309523809524</v>
      </c>
      <c r="G6" s="24">
        <v>36.813265306122446</v>
      </c>
      <c r="H6" s="24">
        <v>44.781512605042018</v>
      </c>
      <c r="I6" s="24">
        <v>111.12249999999997</v>
      </c>
      <c r="J6" s="24">
        <f t="shared" si="0"/>
        <v>236.98489695878348</v>
      </c>
      <c r="K6" s="24">
        <v>30</v>
      </c>
      <c r="L6" s="24">
        <v>36</v>
      </c>
      <c r="M6" s="24">
        <v>24</v>
      </c>
      <c r="N6" s="24">
        <v>7</v>
      </c>
      <c r="O6" s="24">
        <v>17</v>
      </c>
      <c r="P6" s="24">
        <v>40</v>
      </c>
      <c r="Q6" s="24">
        <f t="shared" si="1"/>
        <v>154</v>
      </c>
    </row>
    <row r="7" spans="1:17" x14ac:dyDescent="0.2">
      <c r="A7" s="23" t="s">
        <v>64</v>
      </c>
      <c r="B7" s="23" t="s">
        <v>86</v>
      </c>
      <c r="C7" s="19" t="s">
        <v>432</v>
      </c>
      <c r="D7" s="24">
        <v>4.3051948051948052</v>
      </c>
      <c r="E7" s="24">
        <v>15.818571428571428</v>
      </c>
      <c r="F7" s="24">
        <v>24.392857142857142</v>
      </c>
      <c r="G7" s="24">
        <v>34.150892857142857</v>
      </c>
      <c r="H7" s="24">
        <v>43.392857142857139</v>
      </c>
      <c r="I7" s="24">
        <v>95.619841269841274</v>
      </c>
      <c r="J7" s="24">
        <f t="shared" si="0"/>
        <v>217.68021464646466</v>
      </c>
      <c r="K7" s="24">
        <v>11</v>
      </c>
      <c r="L7" s="24">
        <v>10</v>
      </c>
      <c r="M7" s="24">
        <v>6</v>
      </c>
      <c r="N7" s="24">
        <v>8</v>
      </c>
      <c r="O7" s="24">
        <v>2</v>
      </c>
      <c r="P7" s="24">
        <v>9</v>
      </c>
      <c r="Q7" s="24">
        <f t="shared" si="1"/>
        <v>46</v>
      </c>
    </row>
    <row r="8" spans="1:17" x14ac:dyDescent="0.2">
      <c r="A8" s="23" t="s">
        <v>86</v>
      </c>
      <c r="B8" s="23" t="s">
        <v>86</v>
      </c>
      <c r="C8" s="19" t="s">
        <v>432</v>
      </c>
      <c r="D8" s="24">
        <v>4.6428571428571423</v>
      </c>
      <c r="E8" s="24">
        <v>10.732142857142858</v>
      </c>
      <c r="F8" s="24">
        <v>24.107142857142858</v>
      </c>
      <c r="G8" s="24">
        <v>34.871428571428574</v>
      </c>
      <c r="H8" s="24">
        <v>0</v>
      </c>
      <c r="I8" s="24">
        <v>0</v>
      </c>
      <c r="J8" s="24">
        <f t="shared" si="0"/>
        <v>74.353571428571428</v>
      </c>
      <c r="K8" s="24">
        <v>2</v>
      </c>
      <c r="L8" s="24">
        <v>2</v>
      </c>
      <c r="M8" s="24">
        <v>2</v>
      </c>
      <c r="N8" s="24">
        <v>1</v>
      </c>
      <c r="O8" s="24">
        <v>0</v>
      </c>
      <c r="P8" s="24">
        <v>0</v>
      </c>
      <c r="Q8" s="24">
        <f t="shared" si="1"/>
        <v>7</v>
      </c>
    </row>
    <row r="9" spans="1:17" x14ac:dyDescent="0.2">
      <c r="A9" s="23" t="s">
        <v>20</v>
      </c>
      <c r="B9" s="23" t="s">
        <v>86</v>
      </c>
      <c r="C9" s="19" t="s">
        <v>432</v>
      </c>
      <c r="D9" s="24">
        <v>4.5335714285714284</v>
      </c>
      <c r="E9" s="24">
        <v>14.877619047619051</v>
      </c>
      <c r="F9" s="24">
        <v>23.341836734693878</v>
      </c>
      <c r="G9" s="24">
        <v>34.898412698412706</v>
      </c>
      <c r="H9" s="24">
        <v>44.487755102040815</v>
      </c>
      <c r="I9" s="24">
        <v>75.298214285714295</v>
      </c>
      <c r="J9" s="24">
        <f t="shared" si="0"/>
        <v>197.43740929705217</v>
      </c>
      <c r="K9" s="24">
        <v>20</v>
      </c>
      <c r="L9" s="24">
        <v>15</v>
      </c>
      <c r="M9" s="24">
        <v>7</v>
      </c>
      <c r="N9" s="24">
        <v>9</v>
      </c>
      <c r="O9" s="24">
        <v>7</v>
      </c>
      <c r="P9" s="24">
        <v>24</v>
      </c>
      <c r="Q9" s="24">
        <f t="shared" si="1"/>
        <v>82</v>
      </c>
    </row>
    <row r="10" spans="1:17" x14ac:dyDescent="0.2">
      <c r="A10" s="23" t="s">
        <v>121</v>
      </c>
      <c r="B10" s="23" t="s">
        <v>10</v>
      </c>
      <c r="C10" s="19" t="s">
        <v>432</v>
      </c>
      <c r="D10" s="24">
        <v>3.2420634920634921</v>
      </c>
      <c r="E10" s="24">
        <v>11.357142857142856</v>
      </c>
      <c r="F10" s="24">
        <v>22.428571428571431</v>
      </c>
      <c r="G10" s="24">
        <v>33.142857142857146</v>
      </c>
      <c r="H10" s="24">
        <v>45.51428571428572</v>
      </c>
      <c r="I10" s="24">
        <v>106.78571428571428</v>
      </c>
      <c r="J10" s="24">
        <f t="shared" si="0"/>
        <v>222.47063492063492</v>
      </c>
      <c r="K10" s="24">
        <v>9</v>
      </c>
      <c r="L10" s="24">
        <v>3</v>
      </c>
      <c r="M10" s="24">
        <v>2</v>
      </c>
      <c r="N10" s="24">
        <v>2</v>
      </c>
      <c r="O10" s="24">
        <v>1</v>
      </c>
      <c r="P10" s="24">
        <v>6</v>
      </c>
      <c r="Q10" s="24">
        <f t="shared" si="1"/>
        <v>23</v>
      </c>
    </row>
    <row r="11" spans="1:17" x14ac:dyDescent="0.2">
      <c r="A11" s="23" t="s">
        <v>27</v>
      </c>
      <c r="B11" s="23" t="s">
        <v>10</v>
      </c>
      <c r="C11" s="19" t="s">
        <v>432</v>
      </c>
      <c r="D11" s="24">
        <v>6.5</v>
      </c>
      <c r="E11" s="24">
        <v>12.515079365079364</v>
      </c>
      <c r="F11" s="24">
        <v>21.071428571428573</v>
      </c>
      <c r="G11" s="24">
        <v>35.495714285714278</v>
      </c>
      <c r="H11" s="24">
        <v>48.11904761904762</v>
      </c>
      <c r="I11" s="24">
        <v>121.03571428571429</v>
      </c>
      <c r="J11" s="24">
        <f t="shared" si="0"/>
        <v>244.73698412698411</v>
      </c>
      <c r="K11" s="24">
        <v>4</v>
      </c>
      <c r="L11" s="24">
        <v>9</v>
      </c>
      <c r="M11" s="24">
        <v>1</v>
      </c>
      <c r="N11" s="24">
        <v>5</v>
      </c>
      <c r="O11" s="24">
        <v>3</v>
      </c>
      <c r="P11" s="24">
        <v>2</v>
      </c>
      <c r="Q11" s="24">
        <f t="shared" si="1"/>
        <v>24</v>
      </c>
    </row>
    <row r="12" spans="1:17" x14ac:dyDescent="0.2">
      <c r="A12" s="23" t="s">
        <v>10</v>
      </c>
      <c r="B12" s="23" t="s">
        <v>10</v>
      </c>
      <c r="C12" s="19" t="s">
        <v>432</v>
      </c>
      <c r="D12" s="24">
        <v>4.7346938775510203</v>
      </c>
      <c r="E12" s="24">
        <v>15.266233766233768</v>
      </c>
      <c r="F12" s="24">
        <v>25.000000000000004</v>
      </c>
      <c r="G12" s="24">
        <v>35.076923076923073</v>
      </c>
      <c r="H12" s="24">
        <v>46.031168831168827</v>
      </c>
      <c r="I12" s="24">
        <v>84.367559523809533</v>
      </c>
      <c r="J12" s="24">
        <f t="shared" si="0"/>
        <v>210.47657907568623</v>
      </c>
      <c r="K12" s="24">
        <v>21</v>
      </c>
      <c r="L12" s="24">
        <v>11</v>
      </c>
      <c r="M12" s="24">
        <v>9</v>
      </c>
      <c r="N12" s="24">
        <v>13</v>
      </c>
      <c r="O12" s="24">
        <v>11</v>
      </c>
      <c r="P12" s="24">
        <v>24</v>
      </c>
      <c r="Q12" s="24">
        <f t="shared" si="1"/>
        <v>89</v>
      </c>
    </row>
    <row r="13" spans="1:17" x14ac:dyDescent="0.2">
      <c r="A13" s="23" t="s">
        <v>1</v>
      </c>
      <c r="B13" s="23" t="s">
        <v>1</v>
      </c>
      <c r="C13" s="19" t="s">
        <v>431</v>
      </c>
      <c r="D13" s="24">
        <v>4.652806122448979</v>
      </c>
      <c r="E13" s="24">
        <v>14.886842105263156</v>
      </c>
      <c r="F13" s="24">
        <v>24.884615384615383</v>
      </c>
      <c r="G13" s="24">
        <v>36.122321428571432</v>
      </c>
      <c r="H13" s="24">
        <v>42.216964285714283</v>
      </c>
      <c r="I13" s="24">
        <v>92.526488095238093</v>
      </c>
      <c r="J13" s="24">
        <f t="shared" si="0"/>
        <v>215.29003742185131</v>
      </c>
      <c r="K13" s="24">
        <v>28</v>
      </c>
      <c r="L13" s="24">
        <v>19</v>
      </c>
      <c r="M13" s="24">
        <v>13</v>
      </c>
      <c r="N13" s="24">
        <v>8</v>
      </c>
      <c r="O13" s="24">
        <v>8</v>
      </c>
      <c r="P13" s="24">
        <v>24</v>
      </c>
      <c r="Q13" s="24">
        <f t="shared" si="1"/>
        <v>100</v>
      </c>
    </row>
    <row r="14" spans="1:17" x14ac:dyDescent="0.2">
      <c r="A14" s="23" t="s">
        <v>36</v>
      </c>
      <c r="B14" s="23" t="s">
        <v>1</v>
      </c>
      <c r="C14" s="19" t="s">
        <v>431</v>
      </c>
      <c r="D14" s="24">
        <v>3.8095238095238102</v>
      </c>
      <c r="E14" s="24">
        <v>16.011904761904763</v>
      </c>
      <c r="F14" s="24">
        <v>24.017857142857146</v>
      </c>
      <c r="G14" s="24">
        <v>31.36904761904762</v>
      </c>
      <c r="H14" s="24">
        <v>45.75</v>
      </c>
      <c r="I14" s="24">
        <v>66.452380952380949</v>
      </c>
      <c r="J14" s="24">
        <f t="shared" si="0"/>
        <v>187.41071428571428</v>
      </c>
      <c r="K14" s="24">
        <v>12</v>
      </c>
      <c r="L14" s="24">
        <v>6</v>
      </c>
      <c r="M14" s="24">
        <v>4</v>
      </c>
      <c r="N14" s="24">
        <v>3</v>
      </c>
      <c r="O14" s="24">
        <v>4</v>
      </c>
      <c r="P14" s="24">
        <v>6</v>
      </c>
      <c r="Q14" s="24">
        <f t="shared" si="1"/>
        <v>35</v>
      </c>
    </row>
    <row r="15" spans="1:17" x14ac:dyDescent="0.2">
      <c r="A15" s="23" t="s">
        <v>54</v>
      </c>
      <c r="B15" s="23" t="s">
        <v>1</v>
      </c>
      <c r="C15" s="19" t="s">
        <v>431</v>
      </c>
      <c r="D15" s="24">
        <v>5.4302197802197805</v>
      </c>
      <c r="E15" s="24">
        <v>15.129999999999999</v>
      </c>
      <c r="F15" s="24">
        <v>23.857142857142858</v>
      </c>
      <c r="G15" s="24">
        <v>33.410714285714285</v>
      </c>
      <c r="H15" s="24">
        <v>48.514285714285712</v>
      </c>
      <c r="I15" s="24">
        <v>77.228571428571414</v>
      </c>
      <c r="J15" s="24">
        <f t="shared" si="0"/>
        <v>203.57093406593407</v>
      </c>
      <c r="K15" s="24">
        <v>13</v>
      </c>
      <c r="L15" s="24">
        <v>5</v>
      </c>
      <c r="M15" s="24">
        <v>7</v>
      </c>
      <c r="N15" s="24">
        <v>4</v>
      </c>
      <c r="O15" s="24">
        <v>2</v>
      </c>
      <c r="P15" s="24">
        <v>1</v>
      </c>
      <c r="Q15" s="24">
        <f t="shared" si="1"/>
        <v>32</v>
      </c>
    </row>
    <row r="16" spans="1:17" x14ac:dyDescent="0.2">
      <c r="A16" s="23" t="s">
        <v>14</v>
      </c>
      <c r="B16" s="23" t="s">
        <v>5</v>
      </c>
      <c r="C16" s="19" t="s">
        <v>431</v>
      </c>
      <c r="D16" s="24">
        <v>5.6263736263736259</v>
      </c>
      <c r="E16" s="24">
        <v>14.401785714285714</v>
      </c>
      <c r="F16" s="24">
        <v>28.142857142857142</v>
      </c>
      <c r="G16" s="24">
        <v>0</v>
      </c>
      <c r="H16" s="24">
        <v>47.228571428571421</v>
      </c>
      <c r="I16" s="24">
        <v>88.957142857142827</v>
      </c>
      <c r="J16" s="24">
        <f t="shared" si="0"/>
        <v>184.35673076923072</v>
      </c>
      <c r="K16" s="24">
        <v>13</v>
      </c>
      <c r="L16" s="24">
        <v>8</v>
      </c>
      <c r="M16" s="24">
        <v>1</v>
      </c>
      <c r="N16" s="24">
        <v>0</v>
      </c>
      <c r="O16" s="24">
        <v>5</v>
      </c>
      <c r="P16" s="24">
        <v>15</v>
      </c>
      <c r="Q16" s="24">
        <f t="shared" si="1"/>
        <v>42</v>
      </c>
    </row>
    <row r="17" spans="1:17" x14ac:dyDescent="0.2">
      <c r="A17" s="23" t="s">
        <v>7</v>
      </c>
      <c r="B17" s="23" t="s">
        <v>5</v>
      </c>
      <c r="C17" s="19" t="s">
        <v>431</v>
      </c>
      <c r="D17" s="24">
        <v>0</v>
      </c>
      <c r="E17" s="24">
        <v>0</v>
      </c>
      <c r="F17" s="24">
        <v>0</v>
      </c>
      <c r="G17" s="24">
        <v>0</v>
      </c>
      <c r="H17" s="24">
        <v>48.142857142857146</v>
      </c>
      <c r="I17" s="24">
        <v>128.66666666666666</v>
      </c>
      <c r="J17" s="24">
        <f t="shared" si="0"/>
        <v>176.8095238095238</v>
      </c>
      <c r="K17" s="24">
        <v>0</v>
      </c>
      <c r="L17" s="24">
        <v>0</v>
      </c>
      <c r="M17" s="24">
        <v>0</v>
      </c>
      <c r="N17" s="24">
        <v>0</v>
      </c>
      <c r="O17" s="24">
        <v>1</v>
      </c>
      <c r="P17" s="24">
        <v>3</v>
      </c>
      <c r="Q17" s="24">
        <f t="shared" si="1"/>
        <v>4</v>
      </c>
    </row>
    <row r="18" spans="1:17" x14ac:dyDescent="0.2">
      <c r="A18" s="23" t="s">
        <v>5</v>
      </c>
      <c r="B18" s="23" t="s">
        <v>5</v>
      </c>
      <c r="C18" s="19" t="s">
        <v>431</v>
      </c>
      <c r="D18" s="24">
        <v>5.0875576036866361</v>
      </c>
      <c r="E18" s="24">
        <v>14.538669950738917</v>
      </c>
      <c r="F18" s="24">
        <v>26.100340136054434</v>
      </c>
      <c r="G18" s="24">
        <v>33.903571428571425</v>
      </c>
      <c r="H18" s="24">
        <v>45.076190476190483</v>
      </c>
      <c r="I18" s="24">
        <v>71.745918367346945</v>
      </c>
      <c r="J18" s="24">
        <f t="shared" si="0"/>
        <v>196.45224796258884</v>
      </c>
      <c r="K18" s="24">
        <v>31</v>
      </c>
      <c r="L18" s="24">
        <v>29</v>
      </c>
      <c r="M18" s="24">
        <v>42</v>
      </c>
      <c r="N18" s="24">
        <v>20</v>
      </c>
      <c r="O18" s="24">
        <v>15</v>
      </c>
      <c r="P18" s="24">
        <v>28</v>
      </c>
      <c r="Q18" s="24">
        <f t="shared" si="1"/>
        <v>165</v>
      </c>
    </row>
    <row r="19" spans="1:17" x14ac:dyDescent="0.2">
      <c r="A19" s="23" t="s">
        <v>67</v>
      </c>
      <c r="B19" s="23" t="s">
        <v>177</v>
      </c>
      <c r="C19" s="19" t="s">
        <v>431</v>
      </c>
      <c r="D19" s="24">
        <v>4.5952380952380958</v>
      </c>
      <c r="E19" s="24">
        <v>13.071428571428571</v>
      </c>
      <c r="F19" s="24">
        <v>0</v>
      </c>
      <c r="G19" s="24">
        <v>33.607142857142854</v>
      </c>
      <c r="H19" s="24">
        <v>0</v>
      </c>
      <c r="I19" s="24">
        <v>72.763392857142847</v>
      </c>
      <c r="J19" s="24">
        <f t="shared" si="0"/>
        <v>124.03720238095237</v>
      </c>
      <c r="K19" s="24">
        <v>6</v>
      </c>
      <c r="L19" s="24">
        <v>1</v>
      </c>
      <c r="M19" s="24">
        <v>0</v>
      </c>
      <c r="N19" s="24">
        <v>5</v>
      </c>
      <c r="O19" s="24">
        <v>0</v>
      </c>
      <c r="P19" s="24">
        <v>8</v>
      </c>
      <c r="Q19" s="24">
        <f t="shared" si="1"/>
        <v>20</v>
      </c>
    </row>
    <row r="20" spans="1:17" x14ac:dyDescent="0.2">
      <c r="A20" s="23" t="s">
        <v>177</v>
      </c>
      <c r="B20" s="23" t="s">
        <v>177</v>
      </c>
      <c r="C20" s="19" t="s">
        <v>431</v>
      </c>
      <c r="D20" s="24">
        <v>6.1285714285714281</v>
      </c>
      <c r="E20" s="24">
        <v>14.124999999999998</v>
      </c>
      <c r="F20" s="24">
        <v>22.857142857142861</v>
      </c>
      <c r="G20" s="24">
        <v>34.862499999999997</v>
      </c>
      <c r="H20" s="24">
        <v>46.005357142857136</v>
      </c>
      <c r="I20" s="24">
        <v>75.042142857142863</v>
      </c>
      <c r="J20" s="24">
        <f t="shared" si="0"/>
        <v>199.02071428571429</v>
      </c>
      <c r="K20" s="24">
        <v>5</v>
      </c>
      <c r="L20" s="24">
        <v>6</v>
      </c>
      <c r="M20" s="24">
        <v>4</v>
      </c>
      <c r="N20" s="24">
        <v>4</v>
      </c>
      <c r="O20" s="24">
        <v>4</v>
      </c>
      <c r="P20" s="24">
        <v>10</v>
      </c>
      <c r="Q20" s="24">
        <f t="shared" si="1"/>
        <v>33</v>
      </c>
    </row>
    <row r="21" spans="1:17" x14ac:dyDescent="0.2">
      <c r="A21" s="23" t="s">
        <v>106</v>
      </c>
      <c r="B21" s="23" t="s">
        <v>177</v>
      </c>
      <c r="C21" s="19" t="s">
        <v>431</v>
      </c>
      <c r="D21" s="24">
        <v>9.7857142857142865</v>
      </c>
      <c r="E21" s="24">
        <v>15</v>
      </c>
      <c r="F21" s="24">
        <v>24.071428571428573</v>
      </c>
      <c r="G21" s="24">
        <v>33.090476190476188</v>
      </c>
      <c r="H21" s="24">
        <v>46.785714285714285</v>
      </c>
      <c r="I21" s="24">
        <v>130.78968253968253</v>
      </c>
      <c r="J21" s="24">
        <f t="shared" si="0"/>
        <v>259.52301587301588</v>
      </c>
      <c r="K21" s="24">
        <v>1</v>
      </c>
      <c r="L21" s="24">
        <v>5</v>
      </c>
      <c r="M21" s="24">
        <v>5</v>
      </c>
      <c r="N21" s="24">
        <v>3</v>
      </c>
      <c r="O21" s="24">
        <v>1</v>
      </c>
      <c r="P21" s="24">
        <v>9</v>
      </c>
      <c r="Q21" s="24">
        <f t="shared" si="1"/>
        <v>24</v>
      </c>
    </row>
    <row r="22" spans="1:17" x14ac:dyDescent="0.2">
      <c r="A22" s="23" t="s">
        <v>15</v>
      </c>
      <c r="B22" s="23" t="s">
        <v>8</v>
      </c>
      <c r="C22" s="19" t="s">
        <v>431</v>
      </c>
      <c r="D22" s="24">
        <v>4.5357142857142856</v>
      </c>
      <c r="E22" s="24">
        <v>13.909340659340661</v>
      </c>
      <c r="F22" s="24">
        <v>23.835389610389608</v>
      </c>
      <c r="G22" s="24">
        <v>34.865079365079367</v>
      </c>
      <c r="H22" s="24">
        <v>44.563636363636363</v>
      </c>
      <c r="I22" s="24">
        <v>67.813961038961025</v>
      </c>
      <c r="J22" s="24">
        <f t="shared" si="0"/>
        <v>189.5231213231213</v>
      </c>
      <c r="K22" s="24">
        <v>32</v>
      </c>
      <c r="L22" s="24">
        <v>13</v>
      </c>
      <c r="M22" s="24">
        <v>22</v>
      </c>
      <c r="N22" s="24">
        <v>9</v>
      </c>
      <c r="O22" s="24">
        <v>11</v>
      </c>
      <c r="P22" s="24">
        <v>22</v>
      </c>
      <c r="Q22" s="24">
        <f t="shared" si="1"/>
        <v>109</v>
      </c>
    </row>
    <row r="23" spans="1:17" x14ac:dyDescent="0.2">
      <c r="A23" s="23" t="s">
        <v>13</v>
      </c>
      <c r="B23" s="23" t="s">
        <v>8</v>
      </c>
      <c r="C23" s="19" t="s">
        <v>431</v>
      </c>
      <c r="D23" s="24">
        <v>5.3824175824175837</v>
      </c>
      <c r="E23" s="24">
        <v>15.624999999999998</v>
      </c>
      <c r="F23" s="24">
        <v>25.559090909090909</v>
      </c>
      <c r="G23" s="24">
        <v>34.871428571428574</v>
      </c>
      <c r="H23" s="24">
        <v>44.35</v>
      </c>
      <c r="I23" s="24">
        <v>69.846825396825409</v>
      </c>
      <c r="J23" s="24">
        <f t="shared" si="0"/>
        <v>195.63476245976247</v>
      </c>
      <c r="K23" s="24">
        <v>13</v>
      </c>
      <c r="L23" s="24">
        <v>8</v>
      </c>
      <c r="M23" s="24">
        <v>11</v>
      </c>
      <c r="N23" s="24">
        <v>10</v>
      </c>
      <c r="O23" s="24">
        <v>12</v>
      </c>
      <c r="P23" s="24">
        <v>18</v>
      </c>
      <c r="Q23" s="24">
        <f t="shared" si="1"/>
        <v>72</v>
      </c>
    </row>
    <row r="24" spans="1:17" x14ac:dyDescent="0.2">
      <c r="A24" s="23" t="s">
        <v>8</v>
      </c>
      <c r="B24" s="23" t="s">
        <v>8</v>
      </c>
      <c r="C24" s="19" t="s">
        <v>431</v>
      </c>
      <c r="D24" s="24">
        <v>6.0803571428571432</v>
      </c>
      <c r="E24" s="24">
        <v>15.778571428571428</v>
      </c>
      <c r="F24" s="24">
        <v>24.752678571428572</v>
      </c>
      <c r="G24" s="24">
        <v>35.970408163265304</v>
      </c>
      <c r="H24" s="24">
        <v>46.738888888888887</v>
      </c>
      <c r="I24" s="24">
        <v>81.092857142857127</v>
      </c>
      <c r="J24" s="24">
        <f t="shared" si="0"/>
        <v>210.41376133786846</v>
      </c>
      <c r="K24" s="24">
        <v>8</v>
      </c>
      <c r="L24" s="24">
        <v>10</v>
      </c>
      <c r="M24" s="24">
        <v>8</v>
      </c>
      <c r="N24" s="24">
        <v>7</v>
      </c>
      <c r="O24" s="24">
        <v>9</v>
      </c>
      <c r="P24" s="24">
        <v>38</v>
      </c>
      <c r="Q24" s="24">
        <f t="shared" si="1"/>
        <v>80</v>
      </c>
    </row>
    <row r="25" spans="1:17" x14ac:dyDescent="0.2">
      <c r="A25" s="23" t="s">
        <v>58</v>
      </c>
      <c r="B25" s="23" t="s">
        <v>58</v>
      </c>
      <c r="C25" s="19" t="s">
        <v>430</v>
      </c>
      <c r="D25" s="24">
        <v>3.8277992277992285</v>
      </c>
      <c r="E25" s="24">
        <v>11.972222222222221</v>
      </c>
      <c r="F25" s="24">
        <v>25.487662337662336</v>
      </c>
      <c r="G25" s="24">
        <v>34.698412698412696</v>
      </c>
      <c r="H25" s="24">
        <v>45.115306122448978</v>
      </c>
      <c r="I25" s="24">
        <v>87.582857142857151</v>
      </c>
      <c r="J25" s="24">
        <f t="shared" si="0"/>
        <v>208.68425975140264</v>
      </c>
      <c r="K25" s="24">
        <v>37</v>
      </c>
      <c r="L25" s="24">
        <v>9</v>
      </c>
      <c r="M25" s="24">
        <v>11</v>
      </c>
      <c r="N25" s="24">
        <v>9</v>
      </c>
      <c r="O25" s="24">
        <v>7</v>
      </c>
      <c r="P25" s="24">
        <v>15</v>
      </c>
      <c r="Q25" s="24">
        <f t="shared" si="1"/>
        <v>88</v>
      </c>
    </row>
    <row r="26" spans="1:17" x14ac:dyDescent="0.2">
      <c r="A26" s="23" t="s">
        <v>0</v>
      </c>
      <c r="B26" s="23" t="s">
        <v>58</v>
      </c>
      <c r="C26" s="19" t="s">
        <v>430</v>
      </c>
      <c r="D26" s="24">
        <v>5.195341614906833</v>
      </c>
      <c r="E26" s="24">
        <v>14.195378151260504</v>
      </c>
      <c r="F26" s="24">
        <v>23.490476190476191</v>
      </c>
      <c r="G26" s="24">
        <v>34.81818181818182</v>
      </c>
      <c r="H26" s="24">
        <v>45.158163265306122</v>
      </c>
      <c r="I26" s="24">
        <v>80.283540372670799</v>
      </c>
      <c r="J26" s="24">
        <f t="shared" si="0"/>
        <v>203.14108141280224</v>
      </c>
      <c r="K26" s="24">
        <v>23</v>
      </c>
      <c r="L26" s="24">
        <v>17</v>
      </c>
      <c r="M26" s="24">
        <v>12</v>
      </c>
      <c r="N26" s="24">
        <v>11</v>
      </c>
      <c r="O26" s="24">
        <v>7</v>
      </c>
      <c r="P26" s="24">
        <v>23</v>
      </c>
      <c r="Q26" s="24">
        <f t="shared" si="1"/>
        <v>93</v>
      </c>
    </row>
    <row r="27" spans="1:17" x14ac:dyDescent="0.2">
      <c r="A27" s="23" t="s">
        <v>29</v>
      </c>
      <c r="B27" s="23" t="s">
        <v>58</v>
      </c>
      <c r="C27" s="19" t="s">
        <v>430</v>
      </c>
      <c r="D27" s="24">
        <v>5.316326530612244</v>
      </c>
      <c r="E27" s="24">
        <v>16.561224489795915</v>
      </c>
      <c r="F27" s="24">
        <v>25.488095238095237</v>
      </c>
      <c r="G27" s="24">
        <v>33.173214285714288</v>
      </c>
      <c r="H27" s="24">
        <v>44.50714285714286</v>
      </c>
      <c r="I27" s="24">
        <v>63.464285714285715</v>
      </c>
      <c r="J27" s="24">
        <f t="shared" si="0"/>
        <v>188.51028911564626</v>
      </c>
      <c r="K27" s="24">
        <v>7</v>
      </c>
      <c r="L27" s="24">
        <v>7</v>
      </c>
      <c r="M27" s="24">
        <v>3</v>
      </c>
      <c r="N27" s="24">
        <v>4</v>
      </c>
      <c r="O27" s="24">
        <v>7</v>
      </c>
      <c r="P27" s="24">
        <v>1</v>
      </c>
      <c r="Q27" s="24">
        <f t="shared" si="1"/>
        <v>29</v>
      </c>
    </row>
    <row r="28" spans="1:17" x14ac:dyDescent="0.2">
      <c r="A28" s="23" t="s">
        <v>12</v>
      </c>
      <c r="B28" s="23" t="s">
        <v>17</v>
      </c>
      <c r="C28" s="19" t="s">
        <v>430</v>
      </c>
      <c r="D28" s="24">
        <v>5.4165413533834581</v>
      </c>
      <c r="E28" s="24">
        <v>15.799285714285713</v>
      </c>
      <c r="F28" s="24">
        <v>24.726190476190471</v>
      </c>
      <c r="G28" s="24">
        <v>34.942857142857143</v>
      </c>
      <c r="H28" s="24">
        <v>44.758928571428569</v>
      </c>
      <c r="I28" s="24">
        <v>96.157563025210081</v>
      </c>
      <c r="J28" s="24">
        <f t="shared" si="0"/>
        <v>221.80136628335543</v>
      </c>
      <c r="K28" s="24">
        <v>19</v>
      </c>
      <c r="L28" s="24">
        <v>10</v>
      </c>
      <c r="M28" s="24">
        <v>6</v>
      </c>
      <c r="N28" s="24">
        <v>6</v>
      </c>
      <c r="O28" s="24">
        <v>4</v>
      </c>
      <c r="P28" s="24">
        <v>17</v>
      </c>
      <c r="Q28" s="24">
        <f t="shared" si="1"/>
        <v>62</v>
      </c>
    </row>
    <row r="29" spans="1:17" x14ac:dyDescent="0.2">
      <c r="A29" s="23" t="s">
        <v>17</v>
      </c>
      <c r="B29" s="23" t="s">
        <v>17</v>
      </c>
      <c r="C29" s="19" t="s">
        <v>430</v>
      </c>
      <c r="D29" s="24">
        <v>4.6775510204081625</v>
      </c>
      <c r="E29" s="24">
        <v>14.896103896103893</v>
      </c>
      <c r="F29" s="24">
        <v>24.567460317460316</v>
      </c>
      <c r="G29" s="24">
        <v>35.057692307692307</v>
      </c>
      <c r="H29" s="24">
        <v>45.090816326530621</v>
      </c>
      <c r="I29" s="24">
        <v>89.82380952380953</v>
      </c>
      <c r="J29" s="24">
        <f t="shared" si="0"/>
        <v>214.11343339200482</v>
      </c>
      <c r="K29" s="24">
        <v>28</v>
      </c>
      <c r="L29" s="24">
        <v>11</v>
      </c>
      <c r="M29" s="24">
        <v>18</v>
      </c>
      <c r="N29" s="24">
        <v>13</v>
      </c>
      <c r="O29" s="24">
        <v>7</v>
      </c>
      <c r="P29" s="24">
        <v>12</v>
      </c>
      <c r="Q29" s="24">
        <f t="shared" si="1"/>
        <v>89</v>
      </c>
    </row>
    <row r="30" spans="1:17" x14ac:dyDescent="0.2">
      <c r="A30" s="23" t="s">
        <v>71</v>
      </c>
      <c r="B30" s="23" t="s">
        <v>22</v>
      </c>
      <c r="C30" s="19" t="s">
        <v>430</v>
      </c>
      <c r="D30" s="24">
        <v>5.7420634920634921</v>
      </c>
      <c r="E30" s="24">
        <v>13.692857142857145</v>
      </c>
      <c r="F30" s="24">
        <v>26.107142857142858</v>
      </c>
      <c r="G30" s="24">
        <v>32.714285714285715</v>
      </c>
      <c r="H30" s="24">
        <v>0</v>
      </c>
      <c r="I30" s="24">
        <v>170.55952380952382</v>
      </c>
      <c r="J30" s="24">
        <f t="shared" si="0"/>
        <v>248.81587301587302</v>
      </c>
      <c r="K30" s="24">
        <v>9</v>
      </c>
      <c r="L30" s="24">
        <v>7</v>
      </c>
      <c r="M30" s="24">
        <v>4</v>
      </c>
      <c r="N30" s="24">
        <v>3</v>
      </c>
      <c r="O30" s="24">
        <v>0</v>
      </c>
      <c r="P30" s="24">
        <v>3</v>
      </c>
      <c r="Q30" s="24">
        <f t="shared" si="1"/>
        <v>26</v>
      </c>
    </row>
    <row r="31" spans="1:17" x14ac:dyDescent="0.2">
      <c r="A31" s="23" t="s">
        <v>65</v>
      </c>
      <c r="B31" s="23" t="s">
        <v>22</v>
      </c>
      <c r="C31" s="19" t="s">
        <v>430</v>
      </c>
      <c r="D31" s="24">
        <v>3.0681818181818183</v>
      </c>
      <c r="E31" s="24">
        <v>15.533928571428572</v>
      </c>
      <c r="F31" s="24">
        <v>21.389285714285712</v>
      </c>
      <c r="G31" s="24">
        <v>38.047619047619044</v>
      </c>
      <c r="H31" s="24">
        <v>47.5</v>
      </c>
      <c r="I31" s="24">
        <v>67.257142857142853</v>
      </c>
      <c r="J31" s="24">
        <f t="shared" si="0"/>
        <v>192.79615800865798</v>
      </c>
      <c r="K31" s="24">
        <v>22</v>
      </c>
      <c r="L31" s="24">
        <v>8</v>
      </c>
      <c r="M31" s="24">
        <v>2</v>
      </c>
      <c r="N31" s="24">
        <v>3</v>
      </c>
      <c r="O31" s="24">
        <v>1</v>
      </c>
      <c r="P31" s="24">
        <v>9</v>
      </c>
      <c r="Q31" s="24">
        <f t="shared" si="1"/>
        <v>45</v>
      </c>
    </row>
    <row r="32" spans="1:17" x14ac:dyDescent="0.2">
      <c r="A32" s="23" t="s">
        <v>16</v>
      </c>
      <c r="B32" s="23" t="s">
        <v>22</v>
      </c>
      <c r="C32" s="19" t="s">
        <v>430</v>
      </c>
      <c r="D32" s="24">
        <v>3.8412698412698418</v>
      </c>
      <c r="E32" s="24">
        <v>13.959183673469386</v>
      </c>
      <c r="F32" s="24">
        <v>26.142857142857146</v>
      </c>
      <c r="G32" s="24">
        <v>35.535714285714285</v>
      </c>
      <c r="H32" s="24">
        <v>43.142857142857146</v>
      </c>
      <c r="I32" s="24">
        <v>85.208333333333329</v>
      </c>
      <c r="J32" s="24">
        <f t="shared" si="0"/>
        <v>207.83021541950114</v>
      </c>
      <c r="K32" s="24">
        <v>18</v>
      </c>
      <c r="L32" s="24">
        <v>7</v>
      </c>
      <c r="M32" s="24">
        <v>7</v>
      </c>
      <c r="N32" s="24">
        <v>2</v>
      </c>
      <c r="O32" s="24">
        <v>1</v>
      </c>
      <c r="P32" s="24">
        <v>6</v>
      </c>
      <c r="Q32" s="24">
        <f t="shared" si="1"/>
        <v>41</v>
      </c>
    </row>
    <row r="33" spans="1:17" x14ac:dyDescent="0.2">
      <c r="A33" s="23" t="s">
        <v>22</v>
      </c>
      <c r="B33" s="23" t="s">
        <v>22</v>
      </c>
      <c r="C33" s="19" t="s">
        <v>430</v>
      </c>
      <c r="D33" s="24">
        <v>4.2173076923076929</v>
      </c>
      <c r="E33" s="24">
        <v>13.985714285714284</v>
      </c>
      <c r="F33" s="24">
        <v>25.005102040816325</v>
      </c>
      <c r="G33" s="24">
        <v>35.552142857142854</v>
      </c>
      <c r="H33" s="24">
        <v>46.428571428571431</v>
      </c>
      <c r="I33" s="24">
        <v>83.695238095238111</v>
      </c>
      <c r="J33" s="24">
        <f t="shared" si="0"/>
        <v>208.8840763997907</v>
      </c>
      <c r="K33" s="24">
        <v>26</v>
      </c>
      <c r="L33" s="24">
        <v>11</v>
      </c>
      <c r="M33" s="24">
        <v>7</v>
      </c>
      <c r="N33" s="24">
        <v>10</v>
      </c>
      <c r="O33" s="24">
        <v>1</v>
      </c>
      <c r="P33" s="24">
        <v>15</v>
      </c>
      <c r="Q33" s="24">
        <f t="shared" si="1"/>
        <v>70</v>
      </c>
    </row>
    <row r="34" spans="1:17" x14ac:dyDescent="0.2">
      <c r="A34" s="23" t="s">
        <v>105</v>
      </c>
      <c r="B34" s="23" t="s">
        <v>103</v>
      </c>
      <c r="C34" s="19" t="s">
        <v>430</v>
      </c>
      <c r="D34" s="24">
        <v>4.803061224489797</v>
      </c>
      <c r="E34" s="24">
        <v>14.707142857142859</v>
      </c>
      <c r="F34" s="24">
        <v>23.440816326530612</v>
      </c>
      <c r="G34" s="24">
        <v>38.535714285714292</v>
      </c>
      <c r="H34" s="24">
        <v>45.667857142857137</v>
      </c>
      <c r="I34" s="24">
        <v>115.03766233766235</v>
      </c>
      <c r="J34" s="24">
        <f t="shared" si="0"/>
        <v>242.19225417439708</v>
      </c>
      <c r="K34" s="24">
        <v>21</v>
      </c>
      <c r="L34" s="24">
        <v>10</v>
      </c>
      <c r="M34" s="24">
        <v>7</v>
      </c>
      <c r="N34" s="24">
        <v>2</v>
      </c>
      <c r="O34" s="24">
        <v>4</v>
      </c>
      <c r="P34" s="24">
        <v>11</v>
      </c>
      <c r="Q34" s="24">
        <f t="shared" si="1"/>
        <v>55</v>
      </c>
    </row>
    <row r="35" spans="1:17" x14ac:dyDescent="0.2">
      <c r="A35" s="23" t="s">
        <v>103</v>
      </c>
      <c r="B35" s="23" t="s">
        <v>103</v>
      </c>
      <c r="C35" s="19" t="s">
        <v>430</v>
      </c>
      <c r="D35" s="24">
        <v>4.818167701863354</v>
      </c>
      <c r="E35" s="24">
        <v>14.247959183673473</v>
      </c>
      <c r="F35" s="24">
        <v>25.279047619047621</v>
      </c>
      <c r="G35" s="24">
        <v>34.241326530612248</v>
      </c>
      <c r="H35" s="24">
        <v>44.293749999999989</v>
      </c>
      <c r="I35" s="24">
        <v>86.356534954407309</v>
      </c>
      <c r="J35" s="24">
        <f t="shared" si="0"/>
        <v>209.23678598960402</v>
      </c>
      <c r="K35" s="24">
        <v>46</v>
      </c>
      <c r="L35" s="24">
        <v>42</v>
      </c>
      <c r="M35" s="24">
        <v>30</v>
      </c>
      <c r="N35" s="24">
        <v>28</v>
      </c>
      <c r="O35" s="24">
        <v>16</v>
      </c>
      <c r="P35" s="24">
        <v>47</v>
      </c>
      <c r="Q35" s="24">
        <f t="shared" si="1"/>
        <v>209</v>
      </c>
    </row>
    <row r="36" spans="1:17" ht="14.25" x14ac:dyDescent="0.2">
      <c r="A36" s="26"/>
      <c r="B36" s="26"/>
      <c r="C36" s="26"/>
      <c r="D36" s="27">
        <f t="shared" ref="D36" si="2">IFERROR(SUM(D3:D35)/COUNTIF(D3:D35,"&gt;0"),0)</f>
        <v>4.9778624814054471</v>
      </c>
      <c r="E36" s="27">
        <f t="shared" ref="E36" si="3">IFERROR(SUM(E3:E35)/COUNTIF(E3:E35,"&gt;0"),0)</f>
        <v>14.504287678660923</v>
      </c>
      <c r="F36" s="27">
        <f t="shared" ref="F36" si="4">IFERROR(SUM(F3:F35)/COUNTIF(F3:F35,"&gt;0"),0)</f>
        <v>24.549392908017914</v>
      </c>
      <c r="G36" s="27">
        <f t="shared" ref="G36" si="5">IFERROR(SUM(G3:G35)/COUNTIF(G3:G35,"&gt;0"),0)</f>
        <v>34.855359113109117</v>
      </c>
      <c r="H36" s="27">
        <f t="shared" ref="H36" si="6">IFERROR(SUM(H3:H35)/COUNTIF(H3:H35,"&gt;0"),0)</f>
        <v>45.473193964454474</v>
      </c>
      <c r="I36" s="27">
        <f t="shared" ref="I36:J36" si="7">IFERROR(SUM(I3:I35)/COUNTIF(I3:I35,"&gt;0"),0)</f>
        <v>90.365210429811043</v>
      </c>
      <c r="J36" s="27">
        <f t="shared" si="7"/>
        <v>201.86223995283399</v>
      </c>
      <c r="K36" s="25">
        <f t="shared" ref="K36:P36" si="8">SUM(K3:K35)</f>
        <v>541</v>
      </c>
      <c r="L36" s="25">
        <f t="shared" si="8"/>
        <v>360</v>
      </c>
      <c r="M36" s="25">
        <f t="shared" si="8"/>
        <v>290</v>
      </c>
      <c r="N36" s="25">
        <f t="shared" si="8"/>
        <v>221</v>
      </c>
      <c r="O36" s="25">
        <f t="shared" si="8"/>
        <v>179</v>
      </c>
      <c r="P36" s="25">
        <f t="shared" si="8"/>
        <v>492</v>
      </c>
      <c r="Q36" s="25">
        <f t="shared" si="1"/>
        <v>2083</v>
      </c>
    </row>
  </sheetData>
  <autoFilter ref="A2:J35">
    <sortState ref="A2:J34">
      <sortCondition ref="C1:C34"/>
    </sortState>
  </autoFilter>
  <mergeCells count="2">
    <mergeCell ref="D1:J1"/>
    <mergeCell ref="K1:Q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8"/>
  <sheetViews>
    <sheetView topLeftCell="A14" workbookViewId="0">
      <selection activeCell="H3" sqref="H3"/>
    </sheetView>
  </sheetViews>
  <sheetFormatPr defaultRowHeight="12.75" x14ac:dyDescent="0.2"/>
  <cols>
    <col min="1" max="1" width="22.140625" customWidth="1"/>
    <col min="2" max="2" width="17" bestFit="1" customWidth="1"/>
    <col min="3" max="6" width="8.85546875" customWidth="1"/>
    <col min="7" max="7" width="7.42578125" customWidth="1"/>
    <col min="8" max="8" width="11.7109375" bestFit="1" customWidth="1"/>
  </cols>
  <sheetData>
    <row r="3" spans="1:8" x14ac:dyDescent="0.2">
      <c r="A3" s="13" t="s">
        <v>576</v>
      </c>
      <c r="B3" s="13" t="s">
        <v>555</v>
      </c>
    </row>
    <row r="4" spans="1:8" x14ac:dyDescent="0.2">
      <c r="A4" s="13" t="s">
        <v>554</v>
      </c>
      <c r="B4" t="s">
        <v>549</v>
      </c>
      <c r="C4" t="s">
        <v>550</v>
      </c>
      <c r="D4" t="s">
        <v>575</v>
      </c>
      <c r="E4" t="s">
        <v>551</v>
      </c>
      <c r="F4" t="s">
        <v>552</v>
      </c>
      <c r="G4" t="s">
        <v>553</v>
      </c>
      <c r="H4" t="s">
        <v>423</v>
      </c>
    </row>
    <row r="5" spans="1:8" x14ac:dyDescent="0.2">
      <c r="A5" s="14" t="s">
        <v>1</v>
      </c>
      <c r="B5" s="15">
        <v>28</v>
      </c>
      <c r="C5" s="15">
        <v>19</v>
      </c>
      <c r="D5" s="15">
        <v>13</v>
      </c>
      <c r="E5" s="15">
        <v>8</v>
      </c>
      <c r="F5" s="15">
        <v>8</v>
      </c>
      <c r="G5" s="15">
        <v>24</v>
      </c>
      <c r="H5" s="15">
        <v>100</v>
      </c>
    </row>
    <row r="6" spans="1:8" x14ac:dyDescent="0.2">
      <c r="A6" s="14" t="s">
        <v>34</v>
      </c>
      <c r="B6" s="15">
        <v>14</v>
      </c>
      <c r="C6" s="15">
        <v>18</v>
      </c>
      <c r="D6" s="15">
        <v>13</v>
      </c>
      <c r="E6" s="15">
        <v>9</v>
      </c>
      <c r="F6" s="15">
        <v>3</v>
      </c>
      <c r="G6" s="15">
        <v>23</v>
      </c>
      <c r="H6" s="15">
        <v>80</v>
      </c>
    </row>
    <row r="7" spans="1:8" x14ac:dyDescent="0.2">
      <c r="A7" s="14" t="s">
        <v>12</v>
      </c>
      <c r="B7" s="15">
        <v>19</v>
      </c>
      <c r="C7" s="15">
        <v>10</v>
      </c>
      <c r="D7" s="15">
        <v>6</v>
      </c>
      <c r="E7" s="15">
        <v>6</v>
      </c>
      <c r="F7" s="15">
        <v>4</v>
      </c>
      <c r="G7" s="15">
        <v>17</v>
      </c>
      <c r="H7" s="15">
        <v>62</v>
      </c>
    </row>
    <row r="8" spans="1:8" x14ac:dyDescent="0.2">
      <c r="A8" s="14" t="s">
        <v>71</v>
      </c>
      <c r="B8" s="15">
        <v>9</v>
      </c>
      <c r="C8" s="15">
        <v>7</v>
      </c>
      <c r="D8" s="15">
        <v>4</v>
      </c>
      <c r="E8" s="15">
        <v>3</v>
      </c>
      <c r="F8" s="15"/>
      <c r="G8" s="15">
        <v>3</v>
      </c>
      <c r="H8" s="15">
        <v>26</v>
      </c>
    </row>
    <row r="9" spans="1:8" x14ac:dyDescent="0.2">
      <c r="A9" s="14" t="s">
        <v>14</v>
      </c>
      <c r="B9" s="15">
        <v>13</v>
      </c>
      <c r="C9" s="15">
        <v>8</v>
      </c>
      <c r="D9" s="15">
        <v>1</v>
      </c>
      <c r="E9" s="15"/>
      <c r="F9" s="15">
        <v>5</v>
      </c>
      <c r="G9" s="15">
        <v>15</v>
      </c>
      <c r="H9" s="15">
        <v>42</v>
      </c>
    </row>
    <row r="10" spans="1:8" x14ac:dyDescent="0.2">
      <c r="A10" s="14" t="s">
        <v>2</v>
      </c>
      <c r="B10" s="15">
        <v>9</v>
      </c>
      <c r="C10" s="15">
        <v>5</v>
      </c>
      <c r="D10" s="15">
        <v>2</v>
      </c>
      <c r="E10" s="15">
        <v>3</v>
      </c>
      <c r="F10" s="15">
        <v>6</v>
      </c>
      <c r="G10" s="15">
        <v>20</v>
      </c>
      <c r="H10" s="15">
        <v>45</v>
      </c>
    </row>
    <row r="11" spans="1:8" x14ac:dyDescent="0.2">
      <c r="A11" s="14" t="s">
        <v>58</v>
      </c>
      <c r="B11" s="15">
        <v>37</v>
      </c>
      <c r="C11" s="15">
        <v>9</v>
      </c>
      <c r="D11" s="15">
        <v>11</v>
      </c>
      <c r="E11" s="15">
        <v>9</v>
      </c>
      <c r="F11" s="15">
        <v>7</v>
      </c>
      <c r="G11" s="15">
        <v>15</v>
      </c>
      <c r="H11" s="15">
        <v>88</v>
      </c>
    </row>
    <row r="12" spans="1:8" x14ac:dyDescent="0.2">
      <c r="A12" s="14" t="s">
        <v>15</v>
      </c>
      <c r="B12" s="15">
        <v>32</v>
      </c>
      <c r="C12" s="15">
        <v>13</v>
      </c>
      <c r="D12" s="15">
        <v>22</v>
      </c>
      <c r="E12" s="15">
        <v>9</v>
      </c>
      <c r="F12" s="15">
        <v>11</v>
      </c>
      <c r="G12" s="15">
        <v>22</v>
      </c>
      <c r="H12" s="15">
        <v>109</v>
      </c>
    </row>
    <row r="13" spans="1:8" x14ac:dyDescent="0.2">
      <c r="A13" s="14" t="s">
        <v>65</v>
      </c>
      <c r="B13" s="15">
        <v>22</v>
      </c>
      <c r="C13" s="15">
        <v>8</v>
      </c>
      <c r="D13" s="15">
        <v>2</v>
      </c>
      <c r="E13" s="15">
        <v>3</v>
      </c>
      <c r="F13" s="15">
        <v>1</v>
      </c>
      <c r="G13" s="15">
        <v>9</v>
      </c>
      <c r="H13" s="15">
        <v>45</v>
      </c>
    </row>
    <row r="14" spans="1:8" x14ac:dyDescent="0.2">
      <c r="A14" s="14" t="s">
        <v>0</v>
      </c>
      <c r="B14" s="15">
        <v>23</v>
      </c>
      <c r="C14" s="15">
        <v>17</v>
      </c>
      <c r="D14" s="15">
        <v>12</v>
      </c>
      <c r="E14" s="15">
        <v>11</v>
      </c>
      <c r="F14" s="15">
        <v>7</v>
      </c>
      <c r="G14" s="15">
        <v>23</v>
      </c>
      <c r="H14" s="15">
        <v>93</v>
      </c>
    </row>
    <row r="15" spans="1:8" x14ac:dyDescent="0.2">
      <c r="A15" s="14" t="s">
        <v>64</v>
      </c>
      <c r="B15" s="15">
        <v>11</v>
      </c>
      <c r="C15" s="15">
        <v>10</v>
      </c>
      <c r="D15" s="15">
        <v>6</v>
      </c>
      <c r="E15" s="15">
        <v>8</v>
      </c>
      <c r="F15" s="15">
        <v>2</v>
      </c>
      <c r="G15" s="15">
        <v>9</v>
      </c>
      <c r="H15" s="15">
        <v>46</v>
      </c>
    </row>
    <row r="16" spans="1:8" x14ac:dyDescent="0.2">
      <c r="A16" s="14" t="s">
        <v>121</v>
      </c>
      <c r="B16" s="15">
        <v>9</v>
      </c>
      <c r="C16" s="15">
        <v>3</v>
      </c>
      <c r="D16" s="15">
        <v>2</v>
      </c>
      <c r="E16" s="15">
        <v>2</v>
      </c>
      <c r="F16" s="15">
        <v>1</v>
      </c>
      <c r="G16" s="15">
        <v>6</v>
      </c>
      <c r="H16" s="15">
        <v>23</v>
      </c>
    </row>
    <row r="17" spans="1:8" x14ac:dyDescent="0.2">
      <c r="A17" s="14" t="s">
        <v>43</v>
      </c>
      <c r="B17" s="15">
        <v>3</v>
      </c>
      <c r="C17" s="15">
        <v>2</v>
      </c>
      <c r="D17" s="15"/>
      <c r="E17" s="15"/>
      <c r="F17" s="15">
        <v>2</v>
      </c>
      <c r="G17" s="15">
        <v>3</v>
      </c>
      <c r="H17" s="15">
        <v>10</v>
      </c>
    </row>
    <row r="18" spans="1:8" x14ac:dyDescent="0.2">
      <c r="A18" s="14" t="s">
        <v>17</v>
      </c>
      <c r="B18" s="15">
        <v>28</v>
      </c>
      <c r="C18" s="15">
        <v>11</v>
      </c>
      <c r="D18" s="15">
        <v>18</v>
      </c>
      <c r="E18" s="15">
        <v>13</v>
      </c>
      <c r="F18" s="15">
        <v>7</v>
      </c>
      <c r="G18" s="15">
        <v>12</v>
      </c>
      <c r="H18" s="15">
        <v>89</v>
      </c>
    </row>
    <row r="19" spans="1:8" x14ac:dyDescent="0.2">
      <c r="A19" s="14" t="s">
        <v>13</v>
      </c>
      <c r="B19" s="15">
        <v>13</v>
      </c>
      <c r="C19" s="15">
        <v>8</v>
      </c>
      <c r="D19" s="15">
        <v>11</v>
      </c>
      <c r="E19" s="15">
        <v>10</v>
      </c>
      <c r="F19" s="15">
        <v>12</v>
      </c>
      <c r="G19" s="15">
        <v>18</v>
      </c>
      <c r="H19" s="15">
        <v>72</v>
      </c>
    </row>
    <row r="20" spans="1:8" x14ac:dyDescent="0.2">
      <c r="A20" s="14" t="s">
        <v>3</v>
      </c>
      <c r="B20" s="15">
        <v>30</v>
      </c>
      <c r="C20" s="15">
        <v>36</v>
      </c>
      <c r="D20" s="15">
        <v>24</v>
      </c>
      <c r="E20" s="15">
        <v>7</v>
      </c>
      <c r="F20" s="15">
        <v>17</v>
      </c>
      <c r="G20" s="15">
        <v>40</v>
      </c>
      <c r="H20" s="15">
        <v>154</v>
      </c>
    </row>
    <row r="21" spans="1:8" x14ac:dyDescent="0.2">
      <c r="A21" s="14" t="s">
        <v>7</v>
      </c>
      <c r="B21" s="15"/>
      <c r="C21" s="15"/>
      <c r="D21" s="15"/>
      <c r="E21" s="15"/>
      <c r="F21" s="15">
        <v>1</v>
      </c>
      <c r="G21" s="15">
        <v>3</v>
      </c>
      <c r="H21" s="15">
        <v>4</v>
      </c>
    </row>
    <row r="22" spans="1:8" x14ac:dyDescent="0.2">
      <c r="A22" s="14" t="s">
        <v>67</v>
      </c>
      <c r="B22" s="15">
        <v>6</v>
      </c>
      <c r="C22" s="15">
        <v>1</v>
      </c>
      <c r="D22" s="15"/>
      <c r="E22" s="15">
        <v>5</v>
      </c>
      <c r="F22" s="15"/>
      <c r="G22" s="15">
        <v>8</v>
      </c>
      <c r="H22" s="15">
        <v>20</v>
      </c>
    </row>
    <row r="23" spans="1:8" x14ac:dyDescent="0.2">
      <c r="A23" s="14" t="s">
        <v>16</v>
      </c>
      <c r="B23" s="15">
        <v>18</v>
      </c>
      <c r="C23" s="15">
        <v>7</v>
      </c>
      <c r="D23" s="15">
        <v>7</v>
      </c>
      <c r="E23" s="15">
        <v>2</v>
      </c>
      <c r="F23" s="15">
        <v>1</v>
      </c>
      <c r="G23" s="15">
        <v>6</v>
      </c>
      <c r="H23" s="15">
        <v>41</v>
      </c>
    </row>
    <row r="24" spans="1:8" x14ac:dyDescent="0.2">
      <c r="A24" s="14" t="s">
        <v>86</v>
      </c>
      <c r="B24" s="15">
        <v>2</v>
      </c>
      <c r="C24" s="15">
        <v>2</v>
      </c>
      <c r="D24" s="15">
        <v>2</v>
      </c>
      <c r="E24" s="15">
        <v>1</v>
      </c>
      <c r="F24" s="15"/>
      <c r="G24" s="15"/>
      <c r="H24" s="15">
        <v>7</v>
      </c>
    </row>
    <row r="25" spans="1:8" x14ac:dyDescent="0.2">
      <c r="A25" s="14" t="s">
        <v>5</v>
      </c>
      <c r="B25" s="15">
        <v>31</v>
      </c>
      <c r="C25" s="15">
        <v>29</v>
      </c>
      <c r="D25" s="15">
        <v>42</v>
      </c>
      <c r="E25" s="15">
        <v>20</v>
      </c>
      <c r="F25" s="15">
        <v>15</v>
      </c>
      <c r="G25" s="15">
        <v>28</v>
      </c>
      <c r="H25" s="15">
        <v>165</v>
      </c>
    </row>
    <row r="26" spans="1:8" x14ac:dyDescent="0.2">
      <c r="A26" s="14" t="s">
        <v>27</v>
      </c>
      <c r="B26" s="15">
        <v>4</v>
      </c>
      <c r="C26" s="15">
        <v>9</v>
      </c>
      <c r="D26" s="15">
        <v>1</v>
      </c>
      <c r="E26" s="15">
        <v>5</v>
      </c>
      <c r="F26" s="15">
        <v>3</v>
      </c>
      <c r="G26" s="15">
        <v>2</v>
      </c>
      <c r="H26" s="15">
        <v>24</v>
      </c>
    </row>
    <row r="27" spans="1:8" x14ac:dyDescent="0.2">
      <c r="A27" s="14" t="s">
        <v>22</v>
      </c>
      <c r="B27" s="15">
        <v>26</v>
      </c>
      <c r="C27" s="15">
        <v>11</v>
      </c>
      <c r="D27" s="15">
        <v>7</v>
      </c>
      <c r="E27" s="15">
        <v>10</v>
      </c>
      <c r="F27" s="15">
        <v>1</v>
      </c>
      <c r="G27" s="15">
        <v>15</v>
      </c>
      <c r="H27" s="15">
        <v>70</v>
      </c>
    </row>
    <row r="28" spans="1:8" x14ac:dyDescent="0.2">
      <c r="A28" s="14" t="s">
        <v>36</v>
      </c>
      <c r="B28" s="15">
        <v>12</v>
      </c>
      <c r="C28" s="15">
        <v>6</v>
      </c>
      <c r="D28" s="15">
        <v>4</v>
      </c>
      <c r="E28" s="15">
        <v>3</v>
      </c>
      <c r="F28" s="15">
        <v>4</v>
      </c>
      <c r="G28" s="15">
        <v>6</v>
      </c>
      <c r="H28" s="15">
        <v>35</v>
      </c>
    </row>
    <row r="29" spans="1:8" x14ac:dyDescent="0.2">
      <c r="A29" s="14" t="s">
        <v>177</v>
      </c>
      <c r="B29" s="15">
        <v>5</v>
      </c>
      <c r="C29" s="15">
        <v>6</v>
      </c>
      <c r="D29" s="15">
        <v>4</v>
      </c>
      <c r="E29" s="15">
        <v>4</v>
      </c>
      <c r="F29" s="15">
        <v>4</v>
      </c>
      <c r="G29" s="15">
        <v>10</v>
      </c>
      <c r="H29" s="15">
        <v>33</v>
      </c>
    </row>
    <row r="30" spans="1:8" x14ac:dyDescent="0.2">
      <c r="A30" s="14" t="s">
        <v>29</v>
      </c>
      <c r="B30" s="15">
        <v>7</v>
      </c>
      <c r="C30" s="15">
        <v>7</v>
      </c>
      <c r="D30" s="15">
        <v>3</v>
      </c>
      <c r="E30" s="15">
        <v>4</v>
      </c>
      <c r="F30" s="15">
        <v>7</v>
      </c>
      <c r="G30" s="15">
        <v>1</v>
      </c>
      <c r="H30" s="15">
        <v>29</v>
      </c>
    </row>
    <row r="31" spans="1:8" x14ac:dyDescent="0.2">
      <c r="A31" s="14" t="s">
        <v>105</v>
      </c>
      <c r="B31" s="15">
        <v>21</v>
      </c>
      <c r="C31" s="15">
        <v>10</v>
      </c>
      <c r="D31" s="15">
        <v>7</v>
      </c>
      <c r="E31" s="15">
        <v>2</v>
      </c>
      <c r="F31" s="15">
        <v>4</v>
      </c>
      <c r="G31" s="15">
        <v>11</v>
      </c>
      <c r="H31" s="15">
        <v>55</v>
      </c>
    </row>
    <row r="32" spans="1:8" x14ac:dyDescent="0.2">
      <c r="A32" s="14" t="s">
        <v>10</v>
      </c>
      <c r="B32" s="15">
        <v>21</v>
      </c>
      <c r="C32" s="15">
        <v>11</v>
      </c>
      <c r="D32" s="15">
        <v>9</v>
      </c>
      <c r="E32" s="15">
        <v>13</v>
      </c>
      <c r="F32" s="15">
        <v>11</v>
      </c>
      <c r="G32" s="15">
        <v>24</v>
      </c>
      <c r="H32" s="15">
        <v>89</v>
      </c>
    </row>
    <row r="33" spans="1:8" x14ac:dyDescent="0.2">
      <c r="A33" s="14" t="s">
        <v>20</v>
      </c>
      <c r="B33" s="15">
        <v>20</v>
      </c>
      <c r="C33" s="15">
        <v>15</v>
      </c>
      <c r="D33" s="15">
        <v>7</v>
      </c>
      <c r="E33" s="15">
        <v>9</v>
      </c>
      <c r="F33" s="15">
        <v>7</v>
      </c>
      <c r="G33" s="15">
        <v>24</v>
      </c>
      <c r="H33" s="15">
        <v>82</v>
      </c>
    </row>
    <row r="34" spans="1:8" x14ac:dyDescent="0.2">
      <c r="A34" s="14" t="s">
        <v>106</v>
      </c>
      <c r="B34" s="15">
        <v>1</v>
      </c>
      <c r="C34" s="15">
        <v>5</v>
      </c>
      <c r="D34" s="15">
        <v>5</v>
      </c>
      <c r="E34" s="15">
        <v>3</v>
      </c>
      <c r="F34" s="15">
        <v>1</v>
      </c>
      <c r="G34" s="15">
        <v>9</v>
      </c>
      <c r="H34" s="15">
        <v>24</v>
      </c>
    </row>
    <row r="35" spans="1:8" x14ac:dyDescent="0.2">
      <c r="A35" s="14" t="s">
        <v>8</v>
      </c>
      <c r="B35" s="15">
        <v>8</v>
      </c>
      <c r="C35" s="15">
        <v>10</v>
      </c>
      <c r="D35" s="15">
        <v>8</v>
      </c>
      <c r="E35" s="15">
        <v>7</v>
      </c>
      <c r="F35" s="15">
        <v>9</v>
      </c>
      <c r="G35" s="15">
        <v>38</v>
      </c>
      <c r="H35" s="15">
        <v>80</v>
      </c>
    </row>
    <row r="36" spans="1:8" x14ac:dyDescent="0.2">
      <c r="A36" s="14" t="s">
        <v>54</v>
      </c>
      <c r="B36" s="15">
        <v>13</v>
      </c>
      <c r="C36" s="15">
        <v>5</v>
      </c>
      <c r="D36" s="15">
        <v>7</v>
      </c>
      <c r="E36" s="15">
        <v>4</v>
      </c>
      <c r="F36" s="15">
        <v>2</v>
      </c>
      <c r="G36" s="15">
        <v>1</v>
      </c>
      <c r="H36" s="15">
        <v>32</v>
      </c>
    </row>
    <row r="37" spans="1:8" x14ac:dyDescent="0.2">
      <c r="A37" s="14" t="s">
        <v>103</v>
      </c>
      <c r="B37" s="15">
        <v>46</v>
      </c>
      <c r="C37" s="15">
        <v>42</v>
      </c>
      <c r="D37" s="15">
        <v>30</v>
      </c>
      <c r="E37" s="15">
        <v>28</v>
      </c>
      <c r="F37" s="15">
        <v>16</v>
      </c>
      <c r="G37" s="15">
        <v>47</v>
      </c>
      <c r="H37" s="15">
        <v>209</v>
      </c>
    </row>
    <row r="38" spans="1:8" x14ac:dyDescent="0.2">
      <c r="A38" s="14" t="s">
        <v>423</v>
      </c>
      <c r="B38" s="15">
        <v>541</v>
      </c>
      <c r="C38" s="15">
        <v>360</v>
      </c>
      <c r="D38" s="15">
        <v>290</v>
      </c>
      <c r="E38" s="15">
        <v>221</v>
      </c>
      <c r="F38" s="15">
        <v>179</v>
      </c>
      <c r="G38" s="15">
        <v>492</v>
      </c>
      <c r="H38" s="15">
        <v>2083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3"/>
  <sheetViews>
    <sheetView tabSelected="1" topLeftCell="D1" workbookViewId="0">
      <selection activeCell="O1" sqref="O1:O2"/>
    </sheetView>
  </sheetViews>
  <sheetFormatPr defaultRowHeight="12.75" x14ac:dyDescent="0.2"/>
  <cols>
    <col min="1" max="1" width="13.140625" bestFit="1" customWidth="1"/>
    <col min="2" max="2" width="13.85546875" bestFit="1" customWidth="1"/>
    <col min="3" max="3" width="31.7109375" bestFit="1" customWidth="1"/>
    <col min="4" max="4" width="21.7109375" bestFit="1" customWidth="1"/>
    <col min="5" max="5" width="31.42578125" bestFit="1" customWidth="1"/>
    <col min="6" max="12" width="12.85546875" style="2" customWidth="1"/>
    <col min="13" max="14" width="16" bestFit="1" customWidth="1"/>
    <col min="15" max="15" width="10.42578125" bestFit="1" customWidth="1"/>
    <col min="16" max="16" width="16.140625" bestFit="1" customWidth="1"/>
  </cols>
  <sheetData>
    <row r="1" spans="1:16" x14ac:dyDescent="0.2">
      <c r="A1" s="41" t="s">
        <v>438</v>
      </c>
      <c r="B1" s="41" t="s">
        <v>421</v>
      </c>
      <c r="C1" s="41" t="s">
        <v>422</v>
      </c>
      <c r="D1" s="41" t="s">
        <v>424</v>
      </c>
      <c r="E1" s="43" t="s">
        <v>425</v>
      </c>
      <c r="F1" s="50" t="s">
        <v>651</v>
      </c>
      <c r="G1" s="50" t="s">
        <v>666</v>
      </c>
      <c r="H1" s="45" t="s">
        <v>665</v>
      </c>
      <c r="I1" s="45"/>
      <c r="J1" s="45"/>
      <c r="K1" s="45"/>
      <c r="L1" s="45"/>
      <c r="M1" s="46" t="s">
        <v>426</v>
      </c>
      <c r="N1" s="48" t="s">
        <v>427</v>
      </c>
      <c r="O1" s="48" t="s">
        <v>428</v>
      </c>
      <c r="P1" s="48" t="s">
        <v>429</v>
      </c>
    </row>
    <row r="2" spans="1:16" x14ac:dyDescent="0.2">
      <c r="A2" s="42"/>
      <c r="B2" s="42"/>
      <c r="C2" s="42"/>
      <c r="D2" s="42"/>
      <c r="E2" s="44"/>
      <c r="F2" s="51"/>
      <c r="G2" s="51"/>
      <c r="H2" s="37">
        <v>7.5</v>
      </c>
      <c r="I2" s="37">
        <v>12.5</v>
      </c>
      <c r="J2" s="37">
        <v>20</v>
      </c>
      <c r="K2" s="37">
        <v>30</v>
      </c>
      <c r="L2" s="37">
        <v>50</v>
      </c>
      <c r="M2" s="47"/>
      <c r="N2" s="49"/>
      <c r="O2" s="49"/>
      <c r="P2" s="49"/>
    </row>
    <row r="3" spans="1:16" x14ac:dyDescent="0.2">
      <c r="A3" s="3" t="str">
        <f t="shared" ref="A3:A66" si="0">B3&amp;D3</f>
        <v>806540119029</v>
      </c>
      <c r="B3" s="16">
        <v>806540</v>
      </c>
      <c r="C3" s="16" t="s">
        <v>88</v>
      </c>
      <c r="D3" s="1">
        <v>119029</v>
      </c>
      <c r="E3" s="3" t="s">
        <v>21</v>
      </c>
      <c r="F3" s="9">
        <v>0</v>
      </c>
      <c r="G3" s="9">
        <f>IFERROR(VLOOKUP(F3,Sheet1!$B$15:$D$38,3,1),0)</f>
        <v>0</v>
      </c>
      <c r="H3" s="38">
        <f>$H$2-$F3</f>
        <v>7.5</v>
      </c>
      <c r="I3" s="38">
        <f>$I$2-$F3</f>
        <v>12.5</v>
      </c>
      <c r="J3" s="38">
        <f>$J$2-$F3</f>
        <v>20</v>
      </c>
      <c r="K3" s="38">
        <f>$K$2-$F3</f>
        <v>30</v>
      </c>
      <c r="L3" s="38">
        <f>$L$2-$F3</f>
        <v>50</v>
      </c>
      <c r="M3" s="3" t="s">
        <v>34</v>
      </c>
      <c r="N3" s="3" t="s">
        <v>34</v>
      </c>
      <c r="O3" s="3" t="s">
        <v>432</v>
      </c>
      <c r="P3" s="4">
        <v>42920</v>
      </c>
    </row>
    <row r="4" spans="1:16" x14ac:dyDescent="0.2">
      <c r="A4" s="3" t="str">
        <f t="shared" si="0"/>
        <v>807228119042</v>
      </c>
      <c r="B4" s="16">
        <v>807228</v>
      </c>
      <c r="C4" s="16" t="s">
        <v>506</v>
      </c>
      <c r="D4" s="3">
        <v>119042</v>
      </c>
      <c r="E4" s="3" t="s">
        <v>219</v>
      </c>
      <c r="F4" s="9">
        <v>0</v>
      </c>
      <c r="G4" s="9">
        <f>IFERROR(VLOOKUP(F4,Sheet1!$B$15:$D$38,3,1),0)</f>
        <v>0</v>
      </c>
      <c r="H4" s="38">
        <f t="shared" ref="H4:H67" si="1">$H$2-$F4</f>
        <v>7.5</v>
      </c>
      <c r="I4" s="38">
        <f t="shared" ref="I4:I67" si="2">$I$2-$F4</f>
        <v>12.5</v>
      </c>
      <c r="J4" s="38">
        <f t="shared" ref="J4:J67" si="3">$J$2-$F4</f>
        <v>20</v>
      </c>
      <c r="K4" s="38">
        <f t="shared" ref="K4:K67" si="4">$K$2-$F4</f>
        <v>30</v>
      </c>
      <c r="L4" s="38">
        <f t="shared" ref="L4:L67" si="5">$L$2-$F4</f>
        <v>50</v>
      </c>
      <c r="M4" s="3" t="s">
        <v>34</v>
      </c>
      <c r="N4" s="3" t="s">
        <v>34</v>
      </c>
      <c r="O4" s="3" t="s">
        <v>432</v>
      </c>
      <c r="P4" s="4">
        <v>43051</v>
      </c>
    </row>
    <row r="5" spans="1:16" x14ac:dyDescent="0.2">
      <c r="A5" s="3" t="str">
        <f t="shared" si="0"/>
        <v>804178119046</v>
      </c>
      <c r="B5" s="3">
        <v>804178</v>
      </c>
      <c r="C5" s="3" t="s">
        <v>66</v>
      </c>
      <c r="D5" s="3">
        <v>119046</v>
      </c>
      <c r="E5" s="3" t="s">
        <v>37</v>
      </c>
      <c r="F5" s="9">
        <v>0</v>
      </c>
      <c r="G5" s="9">
        <f>IFERROR(VLOOKUP(F5,Sheet1!$B$15:$D$38,3,1),0)</f>
        <v>0</v>
      </c>
      <c r="H5" s="38">
        <f t="shared" si="1"/>
        <v>7.5</v>
      </c>
      <c r="I5" s="38">
        <f t="shared" si="2"/>
        <v>12.5</v>
      </c>
      <c r="J5" s="38">
        <f t="shared" si="3"/>
        <v>20</v>
      </c>
      <c r="K5" s="38">
        <f t="shared" si="4"/>
        <v>30</v>
      </c>
      <c r="L5" s="38">
        <f t="shared" si="5"/>
        <v>50</v>
      </c>
      <c r="M5" s="3" t="s">
        <v>34</v>
      </c>
      <c r="N5" s="3" t="s">
        <v>34</v>
      </c>
      <c r="O5" s="3" t="s">
        <v>432</v>
      </c>
      <c r="P5" s="4">
        <v>42227</v>
      </c>
    </row>
    <row r="6" spans="1:16" x14ac:dyDescent="0.2">
      <c r="A6" s="3" t="str">
        <f t="shared" si="0"/>
        <v>804286119046</v>
      </c>
      <c r="B6" s="16">
        <v>804286</v>
      </c>
      <c r="C6" s="16" t="s">
        <v>38</v>
      </c>
      <c r="D6" s="1">
        <v>119046</v>
      </c>
      <c r="E6" s="3" t="s">
        <v>37</v>
      </c>
      <c r="F6" s="9">
        <v>30</v>
      </c>
      <c r="G6" s="9">
        <f>IFERROR(VLOOKUP(F6,Sheet1!$B$15:$D$38,3,1),0)</f>
        <v>80</v>
      </c>
      <c r="H6" s="38">
        <f t="shared" si="1"/>
        <v>-22.5</v>
      </c>
      <c r="I6" s="38">
        <f t="shared" si="2"/>
        <v>-17.5</v>
      </c>
      <c r="J6" s="38">
        <f t="shared" si="3"/>
        <v>-10</v>
      </c>
      <c r="K6" s="38">
        <f t="shared" si="4"/>
        <v>0</v>
      </c>
      <c r="L6" s="38">
        <f t="shared" si="5"/>
        <v>20</v>
      </c>
      <c r="M6" s="3" t="s">
        <v>34</v>
      </c>
      <c r="N6" s="3" t="s">
        <v>34</v>
      </c>
      <c r="O6" s="3" t="s">
        <v>432</v>
      </c>
      <c r="P6" s="4">
        <v>42262</v>
      </c>
    </row>
    <row r="7" spans="1:16" x14ac:dyDescent="0.2">
      <c r="A7" s="3" t="str">
        <f t="shared" si="0"/>
        <v>806871119046</v>
      </c>
      <c r="B7" s="16">
        <v>806871</v>
      </c>
      <c r="C7" s="16" t="s">
        <v>148</v>
      </c>
      <c r="D7" s="1">
        <v>119046</v>
      </c>
      <c r="E7" s="3" t="s">
        <v>37</v>
      </c>
      <c r="F7" s="9">
        <v>0</v>
      </c>
      <c r="G7" s="9">
        <f>IFERROR(VLOOKUP(F7,Sheet1!$B$15:$D$38,3,1),0)</f>
        <v>0</v>
      </c>
      <c r="H7" s="38">
        <f t="shared" si="1"/>
        <v>7.5</v>
      </c>
      <c r="I7" s="38">
        <f t="shared" si="2"/>
        <v>12.5</v>
      </c>
      <c r="J7" s="38">
        <f t="shared" si="3"/>
        <v>20</v>
      </c>
      <c r="K7" s="38">
        <f t="shared" si="4"/>
        <v>30</v>
      </c>
      <c r="L7" s="38">
        <f t="shared" si="5"/>
        <v>50</v>
      </c>
      <c r="M7" s="3" t="s">
        <v>34</v>
      </c>
      <c r="N7" s="3" t="s">
        <v>34</v>
      </c>
      <c r="O7" s="3" t="s">
        <v>432</v>
      </c>
      <c r="P7" s="4">
        <v>42989</v>
      </c>
    </row>
    <row r="8" spans="1:16" x14ac:dyDescent="0.2">
      <c r="A8" s="3" t="str">
        <f t="shared" si="0"/>
        <v>809466119046</v>
      </c>
      <c r="B8" s="16">
        <v>809466</v>
      </c>
      <c r="C8" s="16" t="s">
        <v>104</v>
      </c>
      <c r="D8" s="1">
        <v>119046</v>
      </c>
      <c r="E8" s="3" t="s">
        <v>37</v>
      </c>
      <c r="F8" s="9">
        <v>0</v>
      </c>
      <c r="G8" s="9">
        <f>IFERROR(VLOOKUP(F8,Sheet1!$B$15:$D$38,3,1),0)</f>
        <v>0</v>
      </c>
      <c r="H8" s="38">
        <f t="shared" si="1"/>
        <v>7.5</v>
      </c>
      <c r="I8" s="38">
        <f t="shared" si="2"/>
        <v>12.5</v>
      </c>
      <c r="J8" s="38">
        <f t="shared" si="3"/>
        <v>20</v>
      </c>
      <c r="K8" s="38">
        <f t="shared" si="4"/>
        <v>30</v>
      </c>
      <c r="L8" s="38">
        <f t="shared" si="5"/>
        <v>50</v>
      </c>
      <c r="M8" s="3" t="s">
        <v>34</v>
      </c>
      <c r="N8" s="3" t="s">
        <v>34</v>
      </c>
      <c r="O8" s="3" t="s">
        <v>432</v>
      </c>
      <c r="P8" s="4">
        <v>43587</v>
      </c>
    </row>
    <row r="9" spans="1:16" x14ac:dyDescent="0.2">
      <c r="A9" s="3" t="str">
        <f t="shared" si="0"/>
        <v>815643119046</v>
      </c>
      <c r="B9" s="16">
        <v>815643</v>
      </c>
      <c r="C9" s="16" t="s">
        <v>502</v>
      </c>
      <c r="D9" s="3">
        <v>119046</v>
      </c>
      <c r="E9" s="3" t="s">
        <v>37</v>
      </c>
      <c r="F9" s="9">
        <v>0</v>
      </c>
      <c r="G9" s="9">
        <f>IFERROR(VLOOKUP(F9,Sheet1!$B$15:$D$38,3,1),0)</f>
        <v>0</v>
      </c>
      <c r="H9" s="38">
        <f t="shared" si="1"/>
        <v>7.5</v>
      </c>
      <c r="I9" s="38">
        <f t="shared" si="2"/>
        <v>12.5</v>
      </c>
      <c r="J9" s="38">
        <f t="shared" si="3"/>
        <v>20</v>
      </c>
      <c r="K9" s="38">
        <f t="shared" si="4"/>
        <v>30</v>
      </c>
      <c r="L9" s="38">
        <f t="shared" si="5"/>
        <v>50</v>
      </c>
      <c r="M9" s="3" t="s">
        <v>34</v>
      </c>
      <c r="N9" s="3" t="s">
        <v>34</v>
      </c>
      <c r="O9" s="3" t="s">
        <v>432</v>
      </c>
      <c r="P9" s="4">
        <v>44403</v>
      </c>
    </row>
    <row r="10" spans="1:16" x14ac:dyDescent="0.2">
      <c r="A10" s="3" t="str">
        <f t="shared" si="0"/>
        <v>815644119046</v>
      </c>
      <c r="B10" s="16">
        <v>815644</v>
      </c>
      <c r="C10" s="16" t="s">
        <v>503</v>
      </c>
      <c r="D10" s="3">
        <v>119046</v>
      </c>
      <c r="E10" s="3" t="s">
        <v>37</v>
      </c>
      <c r="F10" s="9">
        <v>10</v>
      </c>
      <c r="G10" s="9">
        <f>IFERROR(VLOOKUP(F10,Sheet1!$B$15:$D$38,3,1),0)</f>
        <v>10</v>
      </c>
      <c r="H10" s="38">
        <f t="shared" si="1"/>
        <v>-2.5</v>
      </c>
      <c r="I10" s="38">
        <f t="shared" si="2"/>
        <v>2.5</v>
      </c>
      <c r="J10" s="38">
        <f t="shared" si="3"/>
        <v>10</v>
      </c>
      <c r="K10" s="38">
        <f t="shared" si="4"/>
        <v>20</v>
      </c>
      <c r="L10" s="38">
        <f t="shared" si="5"/>
        <v>40</v>
      </c>
      <c r="M10" s="3" t="s">
        <v>34</v>
      </c>
      <c r="N10" s="3" t="s">
        <v>34</v>
      </c>
      <c r="O10" s="3" t="s">
        <v>432</v>
      </c>
      <c r="P10" s="4">
        <v>44403</v>
      </c>
    </row>
    <row r="11" spans="1:16" x14ac:dyDescent="0.2">
      <c r="A11" s="3" t="str">
        <f t="shared" si="0"/>
        <v>810648140481</v>
      </c>
      <c r="B11" s="16">
        <v>810648</v>
      </c>
      <c r="C11" s="16" t="s">
        <v>399</v>
      </c>
      <c r="D11" s="1">
        <v>140481</v>
      </c>
      <c r="E11" s="3" t="s">
        <v>77</v>
      </c>
      <c r="F11" s="9">
        <v>0</v>
      </c>
      <c r="G11" s="9">
        <f>IFERROR(VLOOKUP(F11,Sheet1!$B$15:$D$38,3,1),0)</f>
        <v>0</v>
      </c>
      <c r="H11" s="38">
        <f t="shared" si="1"/>
        <v>7.5</v>
      </c>
      <c r="I11" s="38">
        <f t="shared" si="2"/>
        <v>12.5</v>
      </c>
      <c r="J11" s="38">
        <f t="shared" si="3"/>
        <v>20</v>
      </c>
      <c r="K11" s="38">
        <f t="shared" si="4"/>
        <v>30</v>
      </c>
      <c r="L11" s="38">
        <f t="shared" si="5"/>
        <v>50</v>
      </c>
      <c r="M11" s="3" t="s">
        <v>34</v>
      </c>
      <c r="N11" s="3" t="s">
        <v>34</v>
      </c>
      <c r="O11" s="3" t="s">
        <v>432</v>
      </c>
      <c r="P11" s="4">
        <v>43754</v>
      </c>
    </row>
    <row r="12" spans="1:16" x14ac:dyDescent="0.2">
      <c r="A12" s="3" t="str">
        <f t="shared" si="0"/>
        <v>811091140481</v>
      </c>
      <c r="B12" s="16">
        <v>811091</v>
      </c>
      <c r="C12" s="16" t="s">
        <v>410</v>
      </c>
      <c r="D12" s="1">
        <v>140481</v>
      </c>
      <c r="E12" s="3" t="s">
        <v>77</v>
      </c>
      <c r="F12" s="9">
        <v>0</v>
      </c>
      <c r="G12" s="9">
        <f>IFERROR(VLOOKUP(F12,Sheet1!$B$15:$D$38,3,1),0)</f>
        <v>0</v>
      </c>
      <c r="H12" s="38">
        <f t="shared" si="1"/>
        <v>7.5</v>
      </c>
      <c r="I12" s="38">
        <f t="shared" si="2"/>
        <v>12.5</v>
      </c>
      <c r="J12" s="38">
        <f t="shared" si="3"/>
        <v>20</v>
      </c>
      <c r="K12" s="38">
        <f t="shared" si="4"/>
        <v>30</v>
      </c>
      <c r="L12" s="38">
        <f t="shared" si="5"/>
        <v>50</v>
      </c>
      <c r="M12" s="3" t="s">
        <v>34</v>
      </c>
      <c r="N12" s="3" t="s">
        <v>34</v>
      </c>
      <c r="O12" s="3" t="s">
        <v>432</v>
      </c>
      <c r="P12" s="4">
        <v>43826</v>
      </c>
    </row>
    <row r="13" spans="1:16" x14ac:dyDescent="0.2">
      <c r="A13" s="3" t="str">
        <f t="shared" si="0"/>
        <v>811630140481</v>
      </c>
      <c r="B13" s="16">
        <v>811630</v>
      </c>
      <c r="C13" s="16" t="s">
        <v>409</v>
      </c>
      <c r="D13" s="1">
        <v>140481</v>
      </c>
      <c r="E13" s="3" t="s">
        <v>77</v>
      </c>
      <c r="F13" s="9">
        <v>13</v>
      </c>
      <c r="G13" s="9">
        <f>IFERROR(VLOOKUP(F13,Sheet1!$B$15:$D$38,3,1),0)</f>
        <v>20</v>
      </c>
      <c r="H13" s="38">
        <f t="shared" si="1"/>
        <v>-5.5</v>
      </c>
      <c r="I13" s="38">
        <f t="shared" si="2"/>
        <v>-0.5</v>
      </c>
      <c r="J13" s="38">
        <f t="shared" si="3"/>
        <v>7</v>
      </c>
      <c r="K13" s="38">
        <f t="shared" si="4"/>
        <v>17</v>
      </c>
      <c r="L13" s="38">
        <f t="shared" si="5"/>
        <v>37</v>
      </c>
      <c r="M13" s="3" t="s">
        <v>34</v>
      </c>
      <c r="N13" s="3" t="s">
        <v>34</v>
      </c>
      <c r="O13" s="3" t="s">
        <v>432</v>
      </c>
      <c r="P13" s="4">
        <v>43888</v>
      </c>
    </row>
    <row r="14" spans="1:16" x14ac:dyDescent="0.2">
      <c r="A14" s="3" t="str">
        <f t="shared" si="0"/>
        <v>812969140481</v>
      </c>
      <c r="B14" s="16">
        <v>812969</v>
      </c>
      <c r="C14" s="16" t="s">
        <v>126</v>
      </c>
      <c r="D14" s="1">
        <v>140481</v>
      </c>
      <c r="E14" s="3" t="s">
        <v>77</v>
      </c>
      <c r="F14" s="9">
        <v>22</v>
      </c>
      <c r="G14" s="9">
        <f>IFERROR(VLOOKUP(F14,Sheet1!$B$15:$D$38,3,1),0)</f>
        <v>40</v>
      </c>
      <c r="H14" s="38">
        <f t="shared" si="1"/>
        <v>-14.5</v>
      </c>
      <c r="I14" s="38">
        <f t="shared" si="2"/>
        <v>-9.5</v>
      </c>
      <c r="J14" s="38">
        <f t="shared" si="3"/>
        <v>-2</v>
      </c>
      <c r="K14" s="38">
        <f t="shared" si="4"/>
        <v>8</v>
      </c>
      <c r="L14" s="38">
        <f t="shared" si="5"/>
        <v>28</v>
      </c>
      <c r="M14" s="3" t="s">
        <v>34</v>
      </c>
      <c r="N14" s="3" t="s">
        <v>34</v>
      </c>
      <c r="O14" s="3" t="s">
        <v>432</v>
      </c>
      <c r="P14" s="4">
        <v>44092</v>
      </c>
    </row>
    <row r="15" spans="1:16" x14ac:dyDescent="0.2">
      <c r="A15" s="3" t="str">
        <f t="shared" si="0"/>
        <v>813729140481</v>
      </c>
      <c r="B15" s="16">
        <v>813729</v>
      </c>
      <c r="C15" s="16" t="s">
        <v>371</v>
      </c>
      <c r="D15" s="1">
        <v>140481</v>
      </c>
      <c r="E15" s="3" t="s">
        <v>77</v>
      </c>
      <c r="F15" s="9">
        <v>20</v>
      </c>
      <c r="G15" s="9">
        <f>IFERROR(VLOOKUP(F15,Sheet1!$B$15:$D$38,3,1),0)</f>
        <v>40</v>
      </c>
      <c r="H15" s="38">
        <f t="shared" si="1"/>
        <v>-12.5</v>
      </c>
      <c r="I15" s="38">
        <f t="shared" si="2"/>
        <v>-7.5</v>
      </c>
      <c r="J15" s="38">
        <f t="shared" si="3"/>
        <v>0</v>
      </c>
      <c r="K15" s="38">
        <f t="shared" si="4"/>
        <v>10</v>
      </c>
      <c r="L15" s="38">
        <f t="shared" si="5"/>
        <v>30</v>
      </c>
      <c r="M15" s="3" t="s">
        <v>34</v>
      </c>
      <c r="N15" s="3" t="s">
        <v>34</v>
      </c>
      <c r="O15" s="3" t="s">
        <v>432</v>
      </c>
      <c r="P15" s="4">
        <v>44165</v>
      </c>
    </row>
    <row r="16" spans="1:16" x14ac:dyDescent="0.2">
      <c r="A16" s="3" t="str">
        <f t="shared" si="0"/>
        <v>816409140481</v>
      </c>
      <c r="B16" s="16">
        <v>816409</v>
      </c>
      <c r="C16" s="16" t="s">
        <v>544</v>
      </c>
      <c r="D16" s="3">
        <v>140481</v>
      </c>
      <c r="E16" s="3" t="s">
        <v>77</v>
      </c>
      <c r="F16" s="9">
        <v>0</v>
      </c>
      <c r="G16" s="9">
        <f>IFERROR(VLOOKUP(F16,Sheet1!$B$15:$D$38,3,1),0)</f>
        <v>0</v>
      </c>
      <c r="H16" s="38">
        <f t="shared" si="1"/>
        <v>7.5</v>
      </c>
      <c r="I16" s="38">
        <f t="shared" si="2"/>
        <v>12.5</v>
      </c>
      <c r="J16" s="38">
        <f t="shared" si="3"/>
        <v>20</v>
      </c>
      <c r="K16" s="38">
        <f t="shared" si="4"/>
        <v>30</v>
      </c>
      <c r="L16" s="38">
        <f t="shared" si="5"/>
        <v>50</v>
      </c>
      <c r="M16" s="3" t="s">
        <v>34</v>
      </c>
      <c r="N16" s="3" t="s">
        <v>34</v>
      </c>
      <c r="O16" s="3" t="s">
        <v>432</v>
      </c>
      <c r="P16" s="4">
        <v>44459</v>
      </c>
    </row>
    <row r="17" spans="1:16" x14ac:dyDescent="0.2">
      <c r="A17" s="3" t="str">
        <f t="shared" si="0"/>
        <v>806721140927</v>
      </c>
      <c r="B17" s="16">
        <v>806721</v>
      </c>
      <c r="C17" s="16" t="s">
        <v>391</v>
      </c>
      <c r="D17" s="1">
        <v>140927</v>
      </c>
      <c r="E17" s="3" t="s">
        <v>76</v>
      </c>
      <c r="F17" s="9">
        <v>3</v>
      </c>
      <c r="G17" s="9">
        <f>IFERROR(VLOOKUP(F17,Sheet1!$B$15:$D$38,3,1),0)</f>
        <v>0</v>
      </c>
      <c r="H17" s="38">
        <f t="shared" si="1"/>
        <v>4.5</v>
      </c>
      <c r="I17" s="38">
        <f t="shared" si="2"/>
        <v>9.5</v>
      </c>
      <c r="J17" s="38">
        <f t="shared" si="3"/>
        <v>17</v>
      </c>
      <c r="K17" s="38">
        <f t="shared" si="4"/>
        <v>27</v>
      </c>
      <c r="L17" s="38">
        <f t="shared" si="5"/>
        <v>47</v>
      </c>
      <c r="M17" s="3" t="s">
        <v>34</v>
      </c>
      <c r="N17" s="3" t="s">
        <v>34</v>
      </c>
      <c r="O17" s="3" t="s">
        <v>432</v>
      </c>
      <c r="P17" s="4">
        <v>42964</v>
      </c>
    </row>
    <row r="18" spans="1:16" x14ac:dyDescent="0.2">
      <c r="A18" s="3" t="str">
        <f t="shared" si="0"/>
        <v>813521140927</v>
      </c>
      <c r="B18" s="16">
        <v>813521</v>
      </c>
      <c r="C18" s="16" t="s">
        <v>125</v>
      </c>
      <c r="D18" s="1">
        <v>140927</v>
      </c>
      <c r="E18" s="3" t="s">
        <v>76</v>
      </c>
      <c r="F18" s="9">
        <v>10</v>
      </c>
      <c r="G18" s="9">
        <f>IFERROR(VLOOKUP(F18,Sheet1!$B$15:$D$38,3,1),0)</f>
        <v>10</v>
      </c>
      <c r="H18" s="38">
        <f t="shared" si="1"/>
        <v>-2.5</v>
      </c>
      <c r="I18" s="38">
        <f t="shared" si="2"/>
        <v>2.5</v>
      </c>
      <c r="J18" s="38">
        <f t="shared" si="3"/>
        <v>10</v>
      </c>
      <c r="K18" s="38">
        <f t="shared" si="4"/>
        <v>20</v>
      </c>
      <c r="L18" s="38">
        <f t="shared" si="5"/>
        <v>40</v>
      </c>
      <c r="M18" s="3" t="s">
        <v>34</v>
      </c>
      <c r="N18" s="3" t="s">
        <v>34</v>
      </c>
      <c r="O18" s="3" t="s">
        <v>432</v>
      </c>
      <c r="P18" s="4">
        <v>44142</v>
      </c>
    </row>
    <row r="19" spans="1:16" x14ac:dyDescent="0.2">
      <c r="A19" s="3" t="str">
        <f t="shared" si="0"/>
        <v>814447140927</v>
      </c>
      <c r="B19" s="16">
        <v>814447</v>
      </c>
      <c r="C19" s="16" t="s">
        <v>99</v>
      </c>
      <c r="D19" s="1">
        <v>140927</v>
      </c>
      <c r="E19" s="3" t="s">
        <v>76</v>
      </c>
      <c r="F19" s="9">
        <v>0</v>
      </c>
      <c r="G19" s="9">
        <f>IFERROR(VLOOKUP(F19,Sheet1!$B$15:$D$38,3,1),0)</f>
        <v>0</v>
      </c>
      <c r="H19" s="38">
        <f t="shared" si="1"/>
        <v>7.5</v>
      </c>
      <c r="I19" s="38">
        <f t="shared" si="2"/>
        <v>12.5</v>
      </c>
      <c r="J19" s="38">
        <f t="shared" si="3"/>
        <v>20</v>
      </c>
      <c r="K19" s="38">
        <f t="shared" si="4"/>
        <v>30</v>
      </c>
      <c r="L19" s="38">
        <f t="shared" si="5"/>
        <v>50</v>
      </c>
      <c r="M19" s="3" t="s">
        <v>34</v>
      </c>
      <c r="N19" s="3" t="s">
        <v>34</v>
      </c>
      <c r="O19" s="3" t="s">
        <v>432</v>
      </c>
      <c r="P19" s="4">
        <v>44238</v>
      </c>
    </row>
    <row r="20" spans="1:16" x14ac:dyDescent="0.2">
      <c r="A20" s="3" t="str">
        <f t="shared" si="0"/>
        <v>814540140927</v>
      </c>
      <c r="B20" s="16">
        <v>814540</v>
      </c>
      <c r="C20" s="16" t="s">
        <v>80</v>
      </c>
      <c r="D20" s="3">
        <v>140927</v>
      </c>
      <c r="E20" s="3" t="s">
        <v>76</v>
      </c>
      <c r="F20" s="9">
        <v>0</v>
      </c>
      <c r="G20" s="9">
        <f>IFERROR(VLOOKUP(F20,Sheet1!$B$15:$D$38,3,1),0)</f>
        <v>0</v>
      </c>
      <c r="H20" s="38">
        <f t="shared" si="1"/>
        <v>7.5</v>
      </c>
      <c r="I20" s="38">
        <f t="shared" si="2"/>
        <v>12.5</v>
      </c>
      <c r="J20" s="38">
        <f t="shared" si="3"/>
        <v>20</v>
      </c>
      <c r="K20" s="38">
        <f t="shared" si="4"/>
        <v>30</v>
      </c>
      <c r="L20" s="38">
        <f t="shared" si="5"/>
        <v>50</v>
      </c>
      <c r="M20" s="3" t="s">
        <v>34</v>
      </c>
      <c r="N20" s="3" t="s">
        <v>34</v>
      </c>
      <c r="O20" s="3" t="s">
        <v>432</v>
      </c>
      <c r="P20" s="4">
        <v>44246</v>
      </c>
    </row>
    <row r="21" spans="1:16" x14ac:dyDescent="0.2">
      <c r="A21" s="3" t="str">
        <f t="shared" si="0"/>
        <v>813692142984</v>
      </c>
      <c r="B21" s="16">
        <v>813692</v>
      </c>
      <c r="C21" s="16" t="s">
        <v>344</v>
      </c>
      <c r="D21" s="1">
        <v>142984</v>
      </c>
      <c r="E21" s="3" t="s">
        <v>167</v>
      </c>
      <c r="F21" s="9">
        <v>15</v>
      </c>
      <c r="G21" s="9">
        <f>IFERROR(VLOOKUP(F21,Sheet1!$B$15:$D$38,3,1),0)</f>
        <v>20</v>
      </c>
      <c r="H21" s="38">
        <f t="shared" si="1"/>
        <v>-7.5</v>
      </c>
      <c r="I21" s="38">
        <f t="shared" si="2"/>
        <v>-2.5</v>
      </c>
      <c r="J21" s="38">
        <f t="shared" si="3"/>
        <v>5</v>
      </c>
      <c r="K21" s="38">
        <f t="shared" si="4"/>
        <v>15</v>
      </c>
      <c r="L21" s="38">
        <f t="shared" si="5"/>
        <v>35</v>
      </c>
      <c r="M21" s="3" t="s">
        <v>34</v>
      </c>
      <c r="N21" s="3" t="s">
        <v>34</v>
      </c>
      <c r="O21" s="3" t="s">
        <v>432</v>
      </c>
      <c r="P21" s="4">
        <v>44163</v>
      </c>
    </row>
    <row r="22" spans="1:16" x14ac:dyDescent="0.2">
      <c r="A22" s="3" t="str">
        <f t="shared" si="0"/>
        <v>808275143509</v>
      </c>
      <c r="B22" s="16">
        <v>808275</v>
      </c>
      <c r="C22" s="16" t="s">
        <v>340</v>
      </c>
      <c r="D22" s="1">
        <v>143509</v>
      </c>
      <c r="E22" s="3" t="s">
        <v>79</v>
      </c>
      <c r="F22" s="9">
        <v>0</v>
      </c>
      <c r="G22" s="9">
        <f>IFERROR(VLOOKUP(F22,Sheet1!$B$15:$D$38,3,1),0)</f>
        <v>0</v>
      </c>
      <c r="H22" s="38">
        <f t="shared" si="1"/>
        <v>7.5</v>
      </c>
      <c r="I22" s="38">
        <f t="shared" si="2"/>
        <v>12.5</v>
      </c>
      <c r="J22" s="38">
        <f t="shared" si="3"/>
        <v>20</v>
      </c>
      <c r="K22" s="38">
        <f t="shared" si="4"/>
        <v>30</v>
      </c>
      <c r="L22" s="38">
        <f t="shared" si="5"/>
        <v>50</v>
      </c>
      <c r="M22" s="3" t="s">
        <v>34</v>
      </c>
      <c r="N22" s="3" t="s">
        <v>34</v>
      </c>
      <c r="O22" s="3" t="s">
        <v>432</v>
      </c>
      <c r="P22" s="4">
        <v>43217</v>
      </c>
    </row>
    <row r="23" spans="1:16" x14ac:dyDescent="0.2">
      <c r="A23" s="3" t="str">
        <f t="shared" si="0"/>
        <v>808547143509</v>
      </c>
      <c r="B23" s="16">
        <v>808547</v>
      </c>
      <c r="C23" s="16" t="s">
        <v>394</v>
      </c>
      <c r="D23" s="1">
        <v>143509</v>
      </c>
      <c r="E23" s="3" t="s">
        <v>79</v>
      </c>
      <c r="F23" s="9">
        <v>0</v>
      </c>
      <c r="G23" s="9">
        <f>IFERROR(VLOOKUP(F23,Sheet1!$B$15:$D$38,3,1),0)</f>
        <v>0</v>
      </c>
      <c r="H23" s="38">
        <f t="shared" si="1"/>
        <v>7.5</v>
      </c>
      <c r="I23" s="38">
        <f t="shared" si="2"/>
        <v>12.5</v>
      </c>
      <c r="J23" s="38">
        <f t="shared" si="3"/>
        <v>20</v>
      </c>
      <c r="K23" s="38">
        <f t="shared" si="4"/>
        <v>30</v>
      </c>
      <c r="L23" s="38">
        <f t="shared" si="5"/>
        <v>50</v>
      </c>
      <c r="M23" s="3" t="s">
        <v>34</v>
      </c>
      <c r="N23" s="3" t="s">
        <v>34</v>
      </c>
      <c r="O23" s="3" t="s">
        <v>432</v>
      </c>
      <c r="P23" s="4">
        <v>43260</v>
      </c>
    </row>
    <row r="24" spans="1:16" x14ac:dyDescent="0.2">
      <c r="A24" s="3" t="str">
        <f t="shared" si="0"/>
        <v>814183147891</v>
      </c>
      <c r="B24" s="16">
        <v>814183</v>
      </c>
      <c r="C24" s="16" t="s">
        <v>236</v>
      </c>
      <c r="D24" s="1">
        <v>147891</v>
      </c>
      <c r="E24" s="3" t="s">
        <v>235</v>
      </c>
      <c r="F24" s="9">
        <v>5</v>
      </c>
      <c r="G24" s="9">
        <f>IFERROR(VLOOKUP(F24,Sheet1!$B$15:$D$38,3,1),0)</f>
        <v>0</v>
      </c>
      <c r="H24" s="38">
        <f t="shared" si="1"/>
        <v>2.5</v>
      </c>
      <c r="I24" s="38">
        <f t="shared" si="2"/>
        <v>7.5</v>
      </c>
      <c r="J24" s="38">
        <f t="shared" si="3"/>
        <v>15</v>
      </c>
      <c r="K24" s="38">
        <f t="shared" si="4"/>
        <v>25</v>
      </c>
      <c r="L24" s="38">
        <f t="shared" si="5"/>
        <v>45</v>
      </c>
      <c r="M24" s="3" t="s">
        <v>34</v>
      </c>
      <c r="N24" s="3" t="s">
        <v>34</v>
      </c>
      <c r="O24" s="3" t="s">
        <v>432</v>
      </c>
      <c r="P24" s="4">
        <v>44215</v>
      </c>
    </row>
    <row r="25" spans="1:16" x14ac:dyDescent="0.2">
      <c r="A25" s="3" t="str">
        <f t="shared" si="0"/>
        <v>806484148557</v>
      </c>
      <c r="B25" s="16">
        <v>806484</v>
      </c>
      <c r="C25" s="16" t="s">
        <v>360</v>
      </c>
      <c r="D25" s="1">
        <v>148557</v>
      </c>
      <c r="E25" s="3" t="s">
        <v>33</v>
      </c>
      <c r="F25" s="9">
        <v>9</v>
      </c>
      <c r="G25" s="9">
        <f>IFERROR(VLOOKUP(F25,Sheet1!$B$15:$D$38,3,1),0)</f>
        <v>10</v>
      </c>
      <c r="H25" s="38">
        <f t="shared" si="1"/>
        <v>-1.5</v>
      </c>
      <c r="I25" s="38">
        <f t="shared" si="2"/>
        <v>3.5</v>
      </c>
      <c r="J25" s="38">
        <f t="shared" si="3"/>
        <v>11</v>
      </c>
      <c r="K25" s="38">
        <f t="shared" si="4"/>
        <v>21</v>
      </c>
      <c r="L25" s="38">
        <f t="shared" si="5"/>
        <v>41</v>
      </c>
      <c r="M25" s="3" t="s">
        <v>34</v>
      </c>
      <c r="N25" s="3" t="s">
        <v>34</v>
      </c>
      <c r="O25" s="3" t="s">
        <v>432</v>
      </c>
      <c r="P25" s="4">
        <v>42906</v>
      </c>
    </row>
    <row r="26" spans="1:16" x14ac:dyDescent="0.2">
      <c r="A26" s="3" t="str">
        <f t="shared" si="0"/>
        <v>810120148557</v>
      </c>
      <c r="B26" s="16">
        <v>810120</v>
      </c>
      <c r="C26" s="16" t="s">
        <v>314</v>
      </c>
      <c r="D26" s="1">
        <v>148557</v>
      </c>
      <c r="E26" s="3" t="s">
        <v>33</v>
      </c>
      <c r="F26" s="9">
        <v>0</v>
      </c>
      <c r="G26" s="9">
        <f>IFERROR(VLOOKUP(F26,Sheet1!$B$15:$D$38,3,1),0)</f>
        <v>0</v>
      </c>
      <c r="H26" s="38">
        <f t="shared" si="1"/>
        <v>7.5</v>
      </c>
      <c r="I26" s="38">
        <f t="shared" si="2"/>
        <v>12.5</v>
      </c>
      <c r="J26" s="38">
        <f t="shared" si="3"/>
        <v>20</v>
      </c>
      <c r="K26" s="38">
        <f t="shared" si="4"/>
        <v>30</v>
      </c>
      <c r="L26" s="38">
        <f t="shared" si="5"/>
        <v>50</v>
      </c>
      <c r="M26" s="3" t="s">
        <v>34</v>
      </c>
      <c r="N26" s="3" t="s">
        <v>34</v>
      </c>
      <c r="O26" s="3" t="s">
        <v>432</v>
      </c>
      <c r="P26" s="4">
        <v>43678</v>
      </c>
    </row>
    <row r="27" spans="1:16" x14ac:dyDescent="0.2">
      <c r="A27" s="3" t="str">
        <f t="shared" si="0"/>
        <v>813909148557</v>
      </c>
      <c r="B27" s="16">
        <v>813909</v>
      </c>
      <c r="C27" s="16" t="s">
        <v>358</v>
      </c>
      <c r="D27" s="1">
        <v>148557</v>
      </c>
      <c r="E27" s="3" t="s">
        <v>33</v>
      </c>
      <c r="F27" s="9">
        <v>10</v>
      </c>
      <c r="G27" s="9">
        <f>IFERROR(VLOOKUP(F27,Sheet1!$B$15:$D$38,3,1),0)</f>
        <v>10</v>
      </c>
      <c r="H27" s="38">
        <f t="shared" si="1"/>
        <v>-2.5</v>
      </c>
      <c r="I27" s="38">
        <f t="shared" si="2"/>
        <v>2.5</v>
      </c>
      <c r="J27" s="38">
        <f t="shared" si="3"/>
        <v>10</v>
      </c>
      <c r="K27" s="38">
        <f t="shared" si="4"/>
        <v>20</v>
      </c>
      <c r="L27" s="38">
        <f t="shared" si="5"/>
        <v>40</v>
      </c>
      <c r="M27" s="3" t="s">
        <v>34</v>
      </c>
      <c r="N27" s="3" t="s">
        <v>34</v>
      </c>
      <c r="O27" s="3" t="s">
        <v>432</v>
      </c>
      <c r="P27" s="4">
        <v>44187</v>
      </c>
    </row>
    <row r="28" spans="1:16" x14ac:dyDescent="0.2">
      <c r="A28" s="3" t="str">
        <f t="shared" si="0"/>
        <v>817054148557</v>
      </c>
      <c r="B28" s="16">
        <v>817054</v>
      </c>
      <c r="C28" s="16" t="s">
        <v>601</v>
      </c>
      <c r="D28" s="3">
        <v>148557</v>
      </c>
      <c r="E28" s="3" t="s">
        <v>33</v>
      </c>
      <c r="F28" s="9">
        <v>0</v>
      </c>
      <c r="G28" s="9">
        <f>IFERROR(VLOOKUP(F28,Sheet1!$B$15:$D$38,3,1),0)</f>
        <v>0</v>
      </c>
      <c r="H28" s="38">
        <f t="shared" si="1"/>
        <v>7.5</v>
      </c>
      <c r="I28" s="38">
        <f t="shared" si="2"/>
        <v>12.5</v>
      </c>
      <c r="J28" s="38">
        <f t="shared" si="3"/>
        <v>20</v>
      </c>
      <c r="K28" s="38">
        <f t="shared" si="4"/>
        <v>30</v>
      </c>
      <c r="L28" s="38">
        <f t="shared" si="5"/>
        <v>50</v>
      </c>
      <c r="M28" s="3" t="s">
        <v>34</v>
      </c>
      <c r="N28" s="3" t="s">
        <v>34</v>
      </c>
      <c r="O28" s="3" t="s">
        <v>432</v>
      </c>
      <c r="P28" s="4">
        <v>44518</v>
      </c>
    </row>
    <row r="29" spans="1:16" x14ac:dyDescent="0.2">
      <c r="A29" s="3" t="str">
        <f t="shared" si="0"/>
        <v>817610148557</v>
      </c>
      <c r="B29" s="16">
        <v>817610</v>
      </c>
      <c r="C29" s="16" t="s">
        <v>626</v>
      </c>
      <c r="D29" s="3">
        <v>148557</v>
      </c>
      <c r="E29" s="3" t="s">
        <v>33</v>
      </c>
      <c r="F29" s="9">
        <v>8</v>
      </c>
      <c r="G29" s="9">
        <f>IFERROR(VLOOKUP(F29,Sheet1!$B$15:$D$38,3,1),0)</f>
        <v>10</v>
      </c>
      <c r="H29" s="38">
        <f t="shared" si="1"/>
        <v>-0.5</v>
      </c>
      <c r="I29" s="38">
        <f t="shared" si="2"/>
        <v>4.5</v>
      </c>
      <c r="J29" s="38">
        <f t="shared" si="3"/>
        <v>12</v>
      </c>
      <c r="K29" s="38">
        <f t="shared" si="4"/>
        <v>22</v>
      </c>
      <c r="L29" s="38">
        <f t="shared" si="5"/>
        <v>42</v>
      </c>
      <c r="M29" s="3" t="s">
        <v>34</v>
      </c>
      <c r="N29" s="3" t="s">
        <v>34</v>
      </c>
      <c r="O29" s="3" t="s">
        <v>630</v>
      </c>
      <c r="P29" s="4">
        <v>44567</v>
      </c>
    </row>
    <row r="30" spans="1:16" x14ac:dyDescent="0.2">
      <c r="A30" s="3" t="str">
        <f t="shared" si="0"/>
        <v>806431149765</v>
      </c>
      <c r="B30" s="16">
        <v>806431</v>
      </c>
      <c r="C30" s="16" t="s">
        <v>91</v>
      </c>
      <c r="D30" s="1">
        <v>149765</v>
      </c>
      <c r="E30" s="3" t="s">
        <v>199</v>
      </c>
      <c r="F30" s="9">
        <v>0</v>
      </c>
      <c r="G30" s="9">
        <f>IFERROR(VLOOKUP(F30,Sheet1!$B$15:$D$38,3,1),0)</f>
        <v>0</v>
      </c>
      <c r="H30" s="38">
        <f t="shared" si="1"/>
        <v>7.5</v>
      </c>
      <c r="I30" s="38">
        <f t="shared" si="2"/>
        <v>12.5</v>
      </c>
      <c r="J30" s="38">
        <f t="shared" si="3"/>
        <v>20</v>
      </c>
      <c r="K30" s="38">
        <f t="shared" si="4"/>
        <v>30</v>
      </c>
      <c r="L30" s="38">
        <f t="shared" si="5"/>
        <v>50</v>
      </c>
      <c r="M30" s="3" t="s">
        <v>34</v>
      </c>
      <c r="N30" s="3" t="s">
        <v>34</v>
      </c>
      <c r="O30" s="3" t="s">
        <v>432</v>
      </c>
      <c r="P30" s="4">
        <v>42892</v>
      </c>
    </row>
    <row r="31" spans="1:16" x14ac:dyDescent="0.2">
      <c r="A31" s="3" t="str">
        <f t="shared" si="0"/>
        <v>806487149765</v>
      </c>
      <c r="B31" s="16">
        <v>806487</v>
      </c>
      <c r="C31" s="16" t="s">
        <v>362</v>
      </c>
      <c r="D31" s="3">
        <v>149765</v>
      </c>
      <c r="E31" s="3" t="s">
        <v>199</v>
      </c>
      <c r="F31" s="9">
        <v>0</v>
      </c>
      <c r="G31" s="9">
        <f>IFERROR(VLOOKUP(F31,Sheet1!$B$15:$D$38,3,1),0)</f>
        <v>0</v>
      </c>
      <c r="H31" s="38">
        <f t="shared" si="1"/>
        <v>7.5</v>
      </c>
      <c r="I31" s="38">
        <f t="shared" si="2"/>
        <v>12.5</v>
      </c>
      <c r="J31" s="38">
        <f t="shared" si="3"/>
        <v>20</v>
      </c>
      <c r="K31" s="38">
        <f t="shared" si="4"/>
        <v>30</v>
      </c>
      <c r="L31" s="38">
        <f t="shared" si="5"/>
        <v>50</v>
      </c>
      <c r="M31" s="3" t="s">
        <v>34</v>
      </c>
      <c r="N31" s="3" t="s">
        <v>34</v>
      </c>
      <c r="O31" s="3" t="s">
        <v>630</v>
      </c>
      <c r="P31" s="4">
        <v>42906</v>
      </c>
    </row>
    <row r="32" spans="1:16" x14ac:dyDescent="0.2">
      <c r="A32" s="3" t="str">
        <f t="shared" si="0"/>
        <v>806615149765</v>
      </c>
      <c r="B32" s="16">
        <v>806615</v>
      </c>
      <c r="C32" s="16" t="s">
        <v>365</v>
      </c>
      <c r="D32" s="1">
        <v>149765</v>
      </c>
      <c r="E32" s="3" t="s">
        <v>199</v>
      </c>
      <c r="F32" s="9">
        <v>0</v>
      </c>
      <c r="G32" s="9">
        <f>IFERROR(VLOOKUP(F32,Sheet1!$B$15:$D$38,3,1),0)</f>
        <v>0</v>
      </c>
      <c r="H32" s="38">
        <f t="shared" si="1"/>
        <v>7.5</v>
      </c>
      <c r="I32" s="38">
        <f t="shared" si="2"/>
        <v>12.5</v>
      </c>
      <c r="J32" s="38">
        <f t="shared" si="3"/>
        <v>20</v>
      </c>
      <c r="K32" s="38">
        <f t="shared" si="4"/>
        <v>30</v>
      </c>
      <c r="L32" s="38">
        <f t="shared" si="5"/>
        <v>50</v>
      </c>
      <c r="M32" s="3" t="s">
        <v>34</v>
      </c>
      <c r="N32" s="3" t="s">
        <v>34</v>
      </c>
      <c r="O32" s="3" t="s">
        <v>432</v>
      </c>
      <c r="P32" s="4">
        <v>42935</v>
      </c>
    </row>
    <row r="33" spans="1:16" x14ac:dyDescent="0.2">
      <c r="A33" s="3" t="str">
        <f t="shared" si="0"/>
        <v>806689149765</v>
      </c>
      <c r="B33" s="16">
        <v>806689</v>
      </c>
      <c r="C33" s="16" t="s">
        <v>368</v>
      </c>
      <c r="D33" s="1">
        <v>149765</v>
      </c>
      <c r="E33" s="3" t="s">
        <v>199</v>
      </c>
      <c r="F33" s="9">
        <v>0</v>
      </c>
      <c r="G33" s="9">
        <f>IFERROR(VLOOKUP(F33,Sheet1!$B$15:$D$38,3,1),0)</f>
        <v>0</v>
      </c>
      <c r="H33" s="38">
        <f t="shared" si="1"/>
        <v>7.5</v>
      </c>
      <c r="I33" s="38">
        <f t="shared" si="2"/>
        <v>12.5</v>
      </c>
      <c r="J33" s="38">
        <f t="shared" si="3"/>
        <v>20</v>
      </c>
      <c r="K33" s="38">
        <f t="shared" si="4"/>
        <v>30</v>
      </c>
      <c r="L33" s="38">
        <f t="shared" si="5"/>
        <v>50</v>
      </c>
      <c r="M33" s="3" t="s">
        <v>34</v>
      </c>
      <c r="N33" s="3" t="s">
        <v>34</v>
      </c>
      <c r="O33" s="3" t="s">
        <v>432</v>
      </c>
      <c r="P33" s="4">
        <v>42958</v>
      </c>
    </row>
    <row r="34" spans="1:16" x14ac:dyDescent="0.2">
      <c r="A34" s="3" t="str">
        <f t="shared" si="0"/>
        <v>807201149765</v>
      </c>
      <c r="B34" s="16">
        <v>807201</v>
      </c>
      <c r="C34" s="16" t="s">
        <v>364</v>
      </c>
      <c r="D34" s="1">
        <v>149765</v>
      </c>
      <c r="E34" s="3" t="s">
        <v>199</v>
      </c>
      <c r="F34" s="9">
        <v>0</v>
      </c>
      <c r="G34" s="9">
        <f>IFERROR(VLOOKUP(F34,Sheet1!$B$15:$D$38,3,1),0)</f>
        <v>0</v>
      </c>
      <c r="H34" s="38">
        <f t="shared" si="1"/>
        <v>7.5</v>
      </c>
      <c r="I34" s="38">
        <f t="shared" si="2"/>
        <v>12.5</v>
      </c>
      <c r="J34" s="38">
        <f t="shared" si="3"/>
        <v>20</v>
      </c>
      <c r="K34" s="38">
        <f t="shared" si="4"/>
        <v>30</v>
      </c>
      <c r="L34" s="38">
        <f t="shared" si="5"/>
        <v>50</v>
      </c>
      <c r="M34" s="3" t="s">
        <v>34</v>
      </c>
      <c r="N34" s="3" t="s">
        <v>34</v>
      </c>
      <c r="O34" s="3" t="s">
        <v>432</v>
      </c>
      <c r="P34" s="4">
        <v>43427</v>
      </c>
    </row>
    <row r="35" spans="1:16" x14ac:dyDescent="0.2">
      <c r="A35" s="3" t="str">
        <f t="shared" si="0"/>
        <v>809785149765</v>
      </c>
      <c r="B35" s="16">
        <v>809785</v>
      </c>
      <c r="C35" s="16" t="s">
        <v>200</v>
      </c>
      <c r="D35" s="1">
        <v>149765</v>
      </c>
      <c r="E35" s="3" t="s">
        <v>199</v>
      </c>
      <c r="F35" s="9">
        <v>0</v>
      </c>
      <c r="G35" s="9">
        <f>IFERROR(VLOOKUP(F35,Sheet1!$B$15:$D$38,3,1),0)</f>
        <v>0</v>
      </c>
      <c r="H35" s="38">
        <f t="shared" si="1"/>
        <v>7.5</v>
      </c>
      <c r="I35" s="38">
        <f t="shared" si="2"/>
        <v>12.5</v>
      </c>
      <c r="J35" s="38">
        <f t="shared" si="3"/>
        <v>20</v>
      </c>
      <c r="K35" s="38">
        <f t="shared" si="4"/>
        <v>30</v>
      </c>
      <c r="L35" s="38">
        <f t="shared" si="5"/>
        <v>50</v>
      </c>
      <c r="M35" s="3" t="s">
        <v>34</v>
      </c>
      <c r="N35" s="3" t="s">
        <v>34</v>
      </c>
      <c r="O35" s="3" t="s">
        <v>432</v>
      </c>
      <c r="P35" s="4">
        <v>43640</v>
      </c>
    </row>
    <row r="36" spans="1:16" x14ac:dyDescent="0.2">
      <c r="A36" s="3" t="str">
        <f t="shared" si="0"/>
        <v>812291149765</v>
      </c>
      <c r="B36" s="16">
        <v>812291</v>
      </c>
      <c r="C36" s="16" t="s">
        <v>366</v>
      </c>
      <c r="D36" s="1">
        <v>149765</v>
      </c>
      <c r="E36" s="3" t="s">
        <v>199</v>
      </c>
      <c r="F36" s="9">
        <v>0</v>
      </c>
      <c r="G36" s="9">
        <f>IFERROR(VLOOKUP(F36,Sheet1!$B$15:$D$38,3,1),0)</f>
        <v>0</v>
      </c>
      <c r="H36" s="38">
        <f t="shared" si="1"/>
        <v>7.5</v>
      </c>
      <c r="I36" s="38">
        <f t="shared" si="2"/>
        <v>12.5</v>
      </c>
      <c r="J36" s="38">
        <f t="shared" si="3"/>
        <v>20</v>
      </c>
      <c r="K36" s="38">
        <f t="shared" si="4"/>
        <v>30</v>
      </c>
      <c r="L36" s="38">
        <f t="shared" si="5"/>
        <v>50</v>
      </c>
      <c r="M36" s="3" t="s">
        <v>34</v>
      </c>
      <c r="N36" s="3" t="s">
        <v>34</v>
      </c>
      <c r="O36" s="3" t="s">
        <v>432</v>
      </c>
      <c r="P36" s="4">
        <v>44032</v>
      </c>
    </row>
    <row r="37" spans="1:16" x14ac:dyDescent="0.2">
      <c r="A37" s="3" t="str">
        <f t="shared" si="0"/>
        <v>812300149765</v>
      </c>
      <c r="B37" s="16">
        <v>812300</v>
      </c>
      <c r="C37" s="16" t="s">
        <v>367</v>
      </c>
      <c r="D37" s="1">
        <v>149765</v>
      </c>
      <c r="E37" s="3" t="s">
        <v>199</v>
      </c>
      <c r="F37" s="9">
        <v>0</v>
      </c>
      <c r="G37" s="9">
        <f>IFERROR(VLOOKUP(F37,Sheet1!$B$15:$D$38,3,1),0)</f>
        <v>0</v>
      </c>
      <c r="H37" s="38">
        <f t="shared" si="1"/>
        <v>7.5</v>
      </c>
      <c r="I37" s="38">
        <f t="shared" si="2"/>
        <v>12.5</v>
      </c>
      <c r="J37" s="38">
        <f t="shared" si="3"/>
        <v>20</v>
      </c>
      <c r="K37" s="38">
        <f t="shared" si="4"/>
        <v>30</v>
      </c>
      <c r="L37" s="38">
        <f t="shared" si="5"/>
        <v>50</v>
      </c>
      <c r="M37" s="3" t="s">
        <v>34</v>
      </c>
      <c r="N37" s="3" t="s">
        <v>34</v>
      </c>
      <c r="O37" s="3" t="s">
        <v>432</v>
      </c>
      <c r="P37" s="4">
        <v>44033</v>
      </c>
    </row>
    <row r="38" spans="1:16" x14ac:dyDescent="0.2">
      <c r="A38" s="3" t="str">
        <f t="shared" si="0"/>
        <v>812391149765</v>
      </c>
      <c r="B38" s="16">
        <v>812391</v>
      </c>
      <c r="C38" s="16" t="s">
        <v>201</v>
      </c>
      <c r="D38" s="1">
        <v>149765</v>
      </c>
      <c r="E38" s="3" t="s">
        <v>199</v>
      </c>
      <c r="F38" s="9">
        <v>0</v>
      </c>
      <c r="G38" s="9">
        <f>IFERROR(VLOOKUP(F38,Sheet1!$B$15:$D$38,3,1),0)</f>
        <v>0</v>
      </c>
      <c r="H38" s="38">
        <f t="shared" si="1"/>
        <v>7.5</v>
      </c>
      <c r="I38" s="38">
        <f t="shared" si="2"/>
        <v>12.5</v>
      </c>
      <c r="J38" s="38">
        <f t="shared" si="3"/>
        <v>20</v>
      </c>
      <c r="K38" s="38">
        <f t="shared" si="4"/>
        <v>30</v>
      </c>
      <c r="L38" s="38">
        <f t="shared" si="5"/>
        <v>50</v>
      </c>
      <c r="M38" s="3" t="s">
        <v>34</v>
      </c>
      <c r="N38" s="3" t="s">
        <v>34</v>
      </c>
      <c r="O38" s="3" t="s">
        <v>432</v>
      </c>
      <c r="P38" s="4">
        <v>44041</v>
      </c>
    </row>
    <row r="39" spans="1:16" x14ac:dyDescent="0.2">
      <c r="A39" s="3" t="str">
        <f t="shared" si="0"/>
        <v>813896149765</v>
      </c>
      <c r="B39" s="16">
        <v>813896</v>
      </c>
      <c r="C39" s="16" t="s">
        <v>370</v>
      </c>
      <c r="D39" s="1">
        <v>149765</v>
      </c>
      <c r="E39" s="3" t="s">
        <v>199</v>
      </c>
      <c r="F39" s="9">
        <v>0</v>
      </c>
      <c r="G39" s="9">
        <f>IFERROR(VLOOKUP(F39,Sheet1!$B$15:$D$38,3,1),0)</f>
        <v>0</v>
      </c>
      <c r="H39" s="38">
        <f t="shared" si="1"/>
        <v>7.5</v>
      </c>
      <c r="I39" s="38">
        <f t="shared" si="2"/>
        <v>12.5</v>
      </c>
      <c r="J39" s="38">
        <f t="shared" si="3"/>
        <v>20</v>
      </c>
      <c r="K39" s="38">
        <f t="shared" si="4"/>
        <v>30</v>
      </c>
      <c r="L39" s="38">
        <f t="shared" si="5"/>
        <v>50</v>
      </c>
      <c r="M39" s="3" t="s">
        <v>34</v>
      </c>
      <c r="N39" s="3" t="s">
        <v>34</v>
      </c>
      <c r="O39" s="3" t="s">
        <v>432</v>
      </c>
      <c r="P39" s="4">
        <v>44184</v>
      </c>
    </row>
    <row r="40" spans="1:16" x14ac:dyDescent="0.2">
      <c r="A40" s="3" t="str">
        <f t="shared" si="0"/>
        <v>814253149765</v>
      </c>
      <c r="B40" s="16">
        <v>814253</v>
      </c>
      <c r="C40" s="16" t="s">
        <v>290</v>
      </c>
      <c r="D40" s="1">
        <v>149765</v>
      </c>
      <c r="E40" s="3" t="s">
        <v>199</v>
      </c>
      <c r="F40" s="9">
        <v>0</v>
      </c>
      <c r="G40" s="9">
        <f>IFERROR(VLOOKUP(F40,Sheet1!$B$15:$D$38,3,1),0)</f>
        <v>0</v>
      </c>
      <c r="H40" s="38">
        <f t="shared" si="1"/>
        <v>7.5</v>
      </c>
      <c r="I40" s="38">
        <f t="shared" si="2"/>
        <v>12.5</v>
      </c>
      <c r="J40" s="38">
        <f t="shared" si="3"/>
        <v>20</v>
      </c>
      <c r="K40" s="38">
        <f t="shared" si="4"/>
        <v>30</v>
      </c>
      <c r="L40" s="38">
        <f t="shared" si="5"/>
        <v>50</v>
      </c>
      <c r="M40" s="3" t="s">
        <v>34</v>
      </c>
      <c r="N40" s="3" t="s">
        <v>34</v>
      </c>
      <c r="O40" s="3" t="s">
        <v>432</v>
      </c>
      <c r="P40" s="4">
        <v>44219</v>
      </c>
    </row>
    <row r="41" spans="1:16" x14ac:dyDescent="0.2">
      <c r="A41" s="3" t="str">
        <f t="shared" si="0"/>
        <v>814545149765</v>
      </c>
      <c r="B41" s="16">
        <v>814545</v>
      </c>
      <c r="C41" s="16" t="s">
        <v>369</v>
      </c>
      <c r="D41" s="1">
        <v>149765</v>
      </c>
      <c r="E41" s="3" t="s">
        <v>199</v>
      </c>
      <c r="F41" s="9">
        <v>0</v>
      </c>
      <c r="G41" s="9">
        <f>IFERROR(VLOOKUP(F41,Sheet1!$B$15:$D$38,3,1),0)</f>
        <v>0</v>
      </c>
      <c r="H41" s="38">
        <f t="shared" si="1"/>
        <v>7.5</v>
      </c>
      <c r="I41" s="38">
        <f t="shared" si="2"/>
        <v>12.5</v>
      </c>
      <c r="J41" s="38">
        <f t="shared" si="3"/>
        <v>20</v>
      </c>
      <c r="K41" s="38">
        <f t="shared" si="4"/>
        <v>30</v>
      </c>
      <c r="L41" s="38">
        <f t="shared" si="5"/>
        <v>50</v>
      </c>
      <c r="M41" s="3" t="s">
        <v>34</v>
      </c>
      <c r="N41" s="3" t="s">
        <v>34</v>
      </c>
      <c r="O41" s="3" t="s">
        <v>432</v>
      </c>
      <c r="P41" s="4">
        <v>44246</v>
      </c>
    </row>
    <row r="42" spans="1:16" x14ac:dyDescent="0.2">
      <c r="A42" s="3" t="str">
        <f t="shared" si="0"/>
        <v>815104149765</v>
      </c>
      <c r="B42" s="16">
        <v>815104</v>
      </c>
      <c r="C42" s="16" t="s">
        <v>444</v>
      </c>
      <c r="D42" s="1">
        <v>149765</v>
      </c>
      <c r="E42" s="3" t="s">
        <v>199</v>
      </c>
      <c r="F42" s="9">
        <v>0</v>
      </c>
      <c r="G42" s="9">
        <f>IFERROR(VLOOKUP(F42,Sheet1!$B$15:$D$38,3,1),0)</f>
        <v>0</v>
      </c>
      <c r="H42" s="38">
        <f t="shared" si="1"/>
        <v>7.5</v>
      </c>
      <c r="I42" s="38">
        <f t="shared" si="2"/>
        <v>12.5</v>
      </c>
      <c r="J42" s="38">
        <f t="shared" si="3"/>
        <v>20</v>
      </c>
      <c r="K42" s="38">
        <f t="shared" si="4"/>
        <v>30</v>
      </c>
      <c r="L42" s="38">
        <f t="shared" si="5"/>
        <v>50</v>
      </c>
      <c r="M42" s="3" t="s">
        <v>34</v>
      </c>
      <c r="N42" s="3" t="s">
        <v>34</v>
      </c>
      <c r="O42" s="3" t="s">
        <v>432</v>
      </c>
      <c r="P42" s="4">
        <v>44347</v>
      </c>
    </row>
    <row r="43" spans="1:16" x14ac:dyDescent="0.2">
      <c r="A43" s="3" t="str">
        <f t="shared" si="0"/>
        <v>815175149765</v>
      </c>
      <c r="B43" s="16">
        <v>815175</v>
      </c>
      <c r="C43" s="16" t="s">
        <v>461</v>
      </c>
      <c r="D43" s="1">
        <v>149765</v>
      </c>
      <c r="E43" s="3" t="s">
        <v>199</v>
      </c>
      <c r="F43" s="9">
        <v>0</v>
      </c>
      <c r="G43" s="9">
        <f>IFERROR(VLOOKUP(F43,Sheet1!$B$15:$D$38,3,1),0)</f>
        <v>0</v>
      </c>
      <c r="H43" s="38">
        <f t="shared" si="1"/>
        <v>7.5</v>
      </c>
      <c r="I43" s="38">
        <f t="shared" si="2"/>
        <v>12.5</v>
      </c>
      <c r="J43" s="38">
        <f t="shared" si="3"/>
        <v>20</v>
      </c>
      <c r="K43" s="38">
        <f t="shared" si="4"/>
        <v>30</v>
      </c>
      <c r="L43" s="38">
        <f t="shared" si="5"/>
        <v>50</v>
      </c>
      <c r="M43" s="3" t="s">
        <v>34</v>
      </c>
      <c r="N43" s="3" t="s">
        <v>34</v>
      </c>
      <c r="O43" s="3" t="s">
        <v>432</v>
      </c>
      <c r="P43" s="4">
        <v>44364</v>
      </c>
    </row>
    <row r="44" spans="1:16" x14ac:dyDescent="0.2">
      <c r="A44" s="3" t="str">
        <f t="shared" si="0"/>
        <v>815421149765</v>
      </c>
      <c r="B44" s="16">
        <v>815421</v>
      </c>
      <c r="C44" s="16" t="s">
        <v>478</v>
      </c>
      <c r="D44" s="3">
        <v>149765</v>
      </c>
      <c r="E44" s="3" t="s">
        <v>199</v>
      </c>
      <c r="F44" s="9">
        <v>0</v>
      </c>
      <c r="G44" s="9">
        <f>IFERROR(VLOOKUP(F44,Sheet1!$B$15:$D$38,3,1),0)</f>
        <v>0</v>
      </c>
      <c r="H44" s="38">
        <f t="shared" si="1"/>
        <v>7.5</v>
      </c>
      <c r="I44" s="38">
        <f t="shared" si="2"/>
        <v>12.5</v>
      </c>
      <c r="J44" s="38">
        <f t="shared" si="3"/>
        <v>20</v>
      </c>
      <c r="K44" s="38">
        <f t="shared" si="4"/>
        <v>30</v>
      </c>
      <c r="L44" s="38">
        <f t="shared" si="5"/>
        <v>50</v>
      </c>
      <c r="M44" s="3" t="s">
        <v>34</v>
      </c>
      <c r="N44" s="3" t="s">
        <v>34</v>
      </c>
      <c r="O44" s="3" t="s">
        <v>432</v>
      </c>
      <c r="P44" s="4">
        <v>44384</v>
      </c>
    </row>
    <row r="45" spans="1:16" x14ac:dyDescent="0.2">
      <c r="A45" s="3" t="str">
        <f t="shared" si="0"/>
        <v>815774149765</v>
      </c>
      <c r="B45" s="16">
        <v>815774</v>
      </c>
      <c r="C45" s="16" t="s">
        <v>518</v>
      </c>
      <c r="D45" s="3">
        <v>149765</v>
      </c>
      <c r="E45" s="3" t="s">
        <v>199</v>
      </c>
      <c r="F45" s="9">
        <v>0</v>
      </c>
      <c r="G45" s="9">
        <f>IFERROR(VLOOKUP(F45,Sheet1!$B$15:$D$38,3,1),0)</f>
        <v>0</v>
      </c>
      <c r="H45" s="38">
        <f t="shared" si="1"/>
        <v>7.5</v>
      </c>
      <c r="I45" s="38">
        <f t="shared" si="2"/>
        <v>12.5</v>
      </c>
      <c r="J45" s="38">
        <f t="shared" si="3"/>
        <v>20</v>
      </c>
      <c r="K45" s="38">
        <f t="shared" si="4"/>
        <v>30</v>
      </c>
      <c r="L45" s="38">
        <f t="shared" si="5"/>
        <v>50</v>
      </c>
      <c r="M45" s="3" t="s">
        <v>34</v>
      </c>
      <c r="N45" s="3" t="s">
        <v>34</v>
      </c>
      <c r="O45" s="3" t="s">
        <v>432</v>
      </c>
      <c r="P45" s="4">
        <v>44407</v>
      </c>
    </row>
    <row r="46" spans="1:16" x14ac:dyDescent="0.2">
      <c r="A46" s="3" t="str">
        <f t="shared" si="0"/>
        <v>804980171880</v>
      </c>
      <c r="B46" s="16">
        <v>804980</v>
      </c>
      <c r="C46" s="16" t="s">
        <v>333</v>
      </c>
      <c r="D46" s="1">
        <v>171880</v>
      </c>
      <c r="E46" s="3" t="s">
        <v>332</v>
      </c>
      <c r="F46" s="9">
        <v>0</v>
      </c>
      <c r="G46" s="9">
        <f>IFERROR(VLOOKUP(F46,Sheet1!$B$15:$D$38,3,1),0)</f>
        <v>0</v>
      </c>
      <c r="H46" s="38">
        <f t="shared" si="1"/>
        <v>7.5</v>
      </c>
      <c r="I46" s="38">
        <f t="shared" si="2"/>
        <v>12.5</v>
      </c>
      <c r="J46" s="38">
        <f t="shared" si="3"/>
        <v>20</v>
      </c>
      <c r="K46" s="38">
        <f t="shared" si="4"/>
        <v>30</v>
      </c>
      <c r="L46" s="38">
        <f t="shared" si="5"/>
        <v>50</v>
      </c>
      <c r="M46" s="3" t="s">
        <v>34</v>
      </c>
      <c r="N46" s="3" t="s">
        <v>34</v>
      </c>
      <c r="O46" s="3" t="s">
        <v>432</v>
      </c>
      <c r="P46" s="4">
        <v>42485</v>
      </c>
    </row>
    <row r="47" spans="1:16" x14ac:dyDescent="0.2">
      <c r="A47" s="3" t="str">
        <f t="shared" si="0"/>
        <v>806430171880</v>
      </c>
      <c r="B47" s="16">
        <v>806430</v>
      </c>
      <c r="C47" s="16" t="s">
        <v>382</v>
      </c>
      <c r="D47" s="1">
        <v>171880</v>
      </c>
      <c r="E47" s="3" t="s">
        <v>332</v>
      </c>
      <c r="F47" s="9">
        <v>0</v>
      </c>
      <c r="G47" s="9">
        <f>IFERROR(VLOOKUP(F47,Sheet1!$B$15:$D$38,3,1),0)</f>
        <v>0</v>
      </c>
      <c r="H47" s="38">
        <f t="shared" si="1"/>
        <v>7.5</v>
      </c>
      <c r="I47" s="38">
        <f t="shared" si="2"/>
        <v>12.5</v>
      </c>
      <c r="J47" s="38">
        <f t="shared" si="3"/>
        <v>20</v>
      </c>
      <c r="K47" s="38">
        <f t="shared" si="4"/>
        <v>30</v>
      </c>
      <c r="L47" s="38">
        <f t="shared" si="5"/>
        <v>50</v>
      </c>
      <c r="M47" s="3" t="s">
        <v>34</v>
      </c>
      <c r="N47" s="3" t="s">
        <v>34</v>
      </c>
      <c r="O47" s="3" t="s">
        <v>432</v>
      </c>
      <c r="P47" s="4">
        <v>42892</v>
      </c>
    </row>
    <row r="48" spans="1:16" x14ac:dyDescent="0.2">
      <c r="A48" s="3" t="str">
        <f t="shared" si="0"/>
        <v>806487171880</v>
      </c>
      <c r="B48" s="16">
        <v>806487</v>
      </c>
      <c r="C48" s="16" t="s">
        <v>362</v>
      </c>
      <c r="D48" s="1">
        <v>171880</v>
      </c>
      <c r="E48" s="3" t="s">
        <v>332</v>
      </c>
      <c r="F48" s="9">
        <v>0</v>
      </c>
      <c r="G48" s="9">
        <f>IFERROR(VLOOKUP(F48,Sheet1!$B$15:$D$38,3,1),0)</f>
        <v>0</v>
      </c>
      <c r="H48" s="38">
        <f t="shared" si="1"/>
        <v>7.5</v>
      </c>
      <c r="I48" s="38">
        <f t="shared" si="2"/>
        <v>12.5</v>
      </c>
      <c r="J48" s="38">
        <f t="shared" si="3"/>
        <v>20</v>
      </c>
      <c r="K48" s="38">
        <f t="shared" si="4"/>
        <v>30</v>
      </c>
      <c r="L48" s="38">
        <f t="shared" si="5"/>
        <v>50</v>
      </c>
      <c r="M48" s="3" t="s">
        <v>34</v>
      </c>
      <c r="N48" s="3" t="s">
        <v>34</v>
      </c>
      <c r="O48" s="3" t="s">
        <v>432</v>
      </c>
      <c r="P48" s="4">
        <v>42906</v>
      </c>
    </row>
    <row r="49" spans="1:16" x14ac:dyDescent="0.2">
      <c r="A49" s="3" t="str">
        <f t="shared" si="0"/>
        <v>807929171880</v>
      </c>
      <c r="B49" s="16">
        <v>807929</v>
      </c>
      <c r="C49" s="16" t="s">
        <v>383</v>
      </c>
      <c r="D49" s="1">
        <v>171880</v>
      </c>
      <c r="E49" s="3" t="s">
        <v>332</v>
      </c>
      <c r="F49" s="9">
        <v>0</v>
      </c>
      <c r="G49" s="9">
        <f>IFERROR(VLOOKUP(F49,Sheet1!$B$15:$D$38,3,1),0)</f>
        <v>0</v>
      </c>
      <c r="H49" s="38">
        <f t="shared" si="1"/>
        <v>7.5</v>
      </c>
      <c r="I49" s="38">
        <f t="shared" si="2"/>
        <v>12.5</v>
      </c>
      <c r="J49" s="38">
        <f t="shared" si="3"/>
        <v>20</v>
      </c>
      <c r="K49" s="38">
        <f t="shared" si="4"/>
        <v>30</v>
      </c>
      <c r="L49" s="38">
        <f t="shared" si="5"/>
        <v>50</v>
      </c>
      <c r="M49" s="3" t="s">
        <v>34</v>
      </c>
      <c r="N49" s="3" t="s">
        <v>34</v>
      </c>
      <c r="O49" s="3" t="s">
        <v>432</v>
      </c>
      <c r="P49" s="4">
        <v>43122</v>
      </c>
    </row>
    <row r="50" spans="1:16" x14ac:dyDescent="0.2">
      <c r="A50" s="3" t="str">
        <f t="shared" si="0"/>
        <v>809569171880</v>
      </c>
      <c r="B50" s="3">
        <v>809569</v>
      </c>
      <c r="C50" s="3" t="s">
        <v>441</v>
      </c>
      <c r="D50" s="3">
        <v>171880</v>
      </c>
      <c r="E50" s="3" t="s">
        <v>332</v>
      </c>
      <c r="F50" s="9">
        <v>0</v>
      </c>
      <c r="G50" s="9">
        <f>IFERROR(VLOOKUP(F50,Sheet1!$B$15:$D$38,3,1),0)</f>
        <v>0</v>
      </c>
      <c r="H50" s="38">
        <f t="shared" si="1"/>
        <v>7.5</v>
      </c>
      <c r="I50" s="38">
        <f t="shared" si="2"/>
        <v>12.5</v>
      </c>
      <c r="J50" s="38">
        <f t="shared" si="3"/>
        <v>20</v>
      </c>
      <c r="K50" s="38">
        <f t="shared" si="4"/>
        <v>30</v>
      </c>
      <c r="L50" s="38">
        <f t="shared" si="5"/>
        <v>50</v>
      </c>
      <c r="M50" s="3" t="s">
        <v>34</v>
      </c>
      <c r="N50" s="3" t="s">
        <v>34</v>
      </c>
      <c r="O50" s="3" t="s">
        <v>432</v>
      </c>
      <c r="P50" s="4">
        <v>43602</v>
      </c>
    </row>
    <row r="51" spans="1:16" x14ac:dyDescent="0.2">
      <c r="A51" s="3" t="str">
        <f t="shared" si="0"/>
        <v>806720172252</v>
      </c>
      <c r="B51" s="16">
        <v>806720</v>
      </c>
      <c r="C51" s="16" t="s">
        <v>157</v>
      </c>
      <c r="D51" s="1">
        <v>172252</v>
      </c>
      <c r="E51" s="3" t="s">
        <v>156</v>
      </c>
      <c r="F51" s="9">
        <v>0</v>
      </c>
      <c r="G51" s="9">
        <f>IFERROR(VLOOKUP(F51,Sheet1!$B$15:$D$38,3,1),0)</f>
        <v>0</v>
      </c>
      <c r="H51" s="38">
        <f t="shared" si="1"/>
        <v>7.5</v>
      </c>
      <c r="I51" s="38">
        <f t="shared" si="2"/>
        <v>12.5</v>
      </c>
      <c r="J51" s="38">
        <f t="shared" si="3"/>
        <v>20</v>
      </c>
      <c r="K51" s="38">
        <f t="shared" si="4"/>
        <v>30</v>
      </c>
      <c r="L51" s="38">
        <f t="shared" si="5"/>
        <v>50</v>
      </c>
      <c r="M51" s="3" t="s">
        <v>34</v>
      </c>
      <c r="N51" s="3" t="s">
        <v>34</v>
      </c>
      <c r="O51" s="3" t="s">
        <v>432</v>
      </c>
      <c r="P51" s="4">
        <v>42964</v>
      </c>
    </row>
    <row r="52" spans="1:16" x14ac:dyDescent="0.2">
      <c r="A52" s="3" t="str">
        <f t="shared" si="0"/>
        <v>816554172252</v>
      </c>
      <c r="B52" s="16">
        <v>816554</v>
      </c>
      <c r="C52" s="16" t="s">
        <v>585</v>
      </c>
      <c r="D52" s="3">
        <v>172252</v>
      </c>
      <c r="E52" s="3" t="s">
        <v>156</v>
      </c>
      <c r="F52" s="9">
        <v>0</v>
      </c>
      <c r="G52" s="9">
        <f>IFERROR(VLOOKUP(F52,Sheet1!$B$15:$D$38,3,1),0)</f>
        <v>0</v>
      </c>
      <c r="H52" s="38">
        <f t="shared" si="1"/>
        <v>7.5</v>
      </c>
      <c r="I52" s="38">
        <f t="shared" si="2"/>
        <v>12.5</v>
      </c>
      <c r="J52" s="38">
        <f t="shared" si="3"/>
        <v>20</v>
      </c>
      <c r="K52" s="38">
        <f t="shared" si="4"/>
        <v>30</v>
      </c>
      <c r="L52" s="38">
        <f t="shared" si="5"/>
        <v>50</v>
      </c>
      <c r="M52" s="3" t="s">
        <v>34</v>
      </c>
      <c r="N52" s="3" t="s">
        <v>34</v>
      </c>
      <c r="O52" s="3" t="s">
        <v>432</v>
      </c>
      <c r="P52" s="4">
        <v>44467</v>
      </c>
    </row>
    <row r="53" spans="1:16" x14ac:dyDescent="0.2">
      <c r="A53" s="3" t="str">
        <f t="shared" si="0"/>
        <v>809507172712</v>
      </c>
      <c r="B53" s="16">
        <v>809507</v>
      </c>
      <c r="C53" s="16" t="s">
        <v>351</v>
      </c>
      <c r="D53" s="1">
        <v>172712</v>
      </c>
      <c r="E53" s="3" t="s">
        <v>350</v>
      </c>
      <c r="F53" s="9">
        <v>10</v>
      </c>
      <c r="G53" s="9">
        <f>IFERROR(VLOOKUP(F53,Sheet1!$B$15:$D$38,3,1),0)</f>
        <v>10</v>
      </c>
      <c r="H53" s="38">
        <f t="shared" si="1"/>
        <v>-2.5</v>
      </c>
      <c r="I53" s="38">
        <f t="shared" si="2"/>
        <v>2.5</v>
      </c>
      <c r="J53" s="38">
        <f t="shared" si="3"/>
        <v>10</v>
      </c>
      <c r="K53" s="38">
        <f t="shared" si="4"/>
        <v>20</v>
      </c>
      <c r="L53" s="38">
        <f t="shared" si="5"/>
        <v>40</v>
      </c>
      <c r="M53" s="3" t="s">
        <v>34</v>
      </c>
      <c r="N53" s="3" t="s">
        <v>34</v>
      </c>
      <c r="O53" s="3" t="s">
        <v>432</v>
      </c>
      <c r="P53" s="4">
        <v>43593</v>
      </c>
    </row>
    <row r="54" spans="1:16" x14ac:dyDescent="0.2">
      <c r="A54" s="3" t="str">
        <f t="shared" si="0"/>
        <v>815237174176</v>
      </c>
      <c r="B54" s="16">
        <v>815237</v>
      </c>
      <c r="C54" s="16" t="s">
        <v>463</v>
      </c>
      <c r="D54" s="1">
        <v>174176</v>
      </c>
      <c r="E54" s="3" t="s">
        <v>464</v>
      </c>
      <c r="F54" s="9">
        <v>0</v>
      </c>
      <c r="G54" s="9">
        <f>IFERROR(VLOOKUP(F54,Sheet1!$B$15:$D$38,3,1),0)</f>
        <v>0</v>
      </c>
      <c r="H54" s="38">
        <f t="shared" si="1"/>
        <v>7.5</v>
      </c>
      <c r="I54" s="38">
        <f t="shared" si="2"/>
        <v>12.5</v>
      </c>
      <c r="J54" s="38">
        <f t="shared" si="3"/>
        <v>20</v>
      </c>
      <c r="K54" s="38">
        <f t="shared" si="4"/>
        <v>30</v>
      </c>
      <c r="L54" s="38">
        <f t="shared" si="5"/>
        <v>50</v>
      </c>
      <c r="M54" s="3" t="s">
        <v>34</v>
      </c>
      <c r="N54" s="3" t="s">
        <v>34</v>
      </c>
      <c r="O54" s="3" t="s">
        <v>432</v>
      </c>
      <c r="P54" s="4">
        <v>44371</v>
      </c>
    </row>
    <row r="55" spans="1:16" x14ac:dyDescent="0.2">
      <c r="A55" s="3" t="str">
        <f t="shared" si="0"/>
        <v>816128174176</v>
      </c>
      <c r="B55" s="16">
        <v>816128</v>
      </c>
      <c r="C55" s="16" t="s">
        <v>531</v>
      </c>
      <c r="D55" s="3">
        <v>174176</v>
      </c>
      <c r="E55" s="3" t="s">
        <v>464</v>
      </c>
      <c r="F55" s="9">
        <v>0</v>
      </c>
      <c r="G55" s="9">
        <f>IFERROR(VLOOKUP(F55,Sheet1!$B$15:$D$38,3,1),0)</f>
        <v>0</v>
      </c>
      <c r="H55" s="38">
        <f t="shared" si="1"/>
        <v>7.5</v>
      </c>
      <c r="I55" s="38">
        <f t="shared" si="2"/>
        <v>12.5</v>
      </c>
      <c r="J55" s="38">
        <f t="shared" si="3"/>
        <v>20</v>
      </c>
      <c r="K55" s="38">
        <f t="shared" si="4"/>
        <v>30</v>
      </c>
      <c r="L55" s="38">
        <f t="shared" si="5"/>
        <v>50</v>
      </c>
      <c r="M55" s="4" t="s">
        <v>34</v>
      </c>
      <c r="N55" s="3" t="s">
        <v>34</v>
      </c>
      <c r="O55" s="3" t="s">
        <v>432</v>
      </c>
      <c r="P55" s="4">
        <v>44434</v>
      </c>
    </row>
    <row r="56" spans="1:16" x14ac:dyDescent="0.2">
      <c r="A56" s="3" t="str">
        <f t="shared" si="0"/>
        <v>804980175288</v>
      </c>
      <c r="B56" s="16">
        <v>804980</v>
      </c>
      <c r="C56" s="16" t="s">
        <v>333</v>
      </c>
      <c r="D56" s="3">
        <v>175288</v>
      </c>
      <c r="E56" s="3" t="s">
        <v>116</v>
      </c>
      <c r="F56" s="9">
        <v>0</v>
      </c>
      <c r="G56" s="9">
        <f>IFERROR(VLOOKUP(F56,Sheet1!$B$15:$D$38,3,1),0)</f>
        <v>0</v>
      </c>
      <c r="H56" s="38">
        <f t="shared" si="1"/>
        <v>7.5</v>
      </c>
      <c r="I56" s="38">
        <f t="shared" si="2"/>
        <v>12.5</v>
      </c>
      <c r="J56" s="38">
        <f t="shared" si="3"/>
        <v>20</v>
      </c>
      <c r="K56" s="38">
        <f t="shared" si="4"/>
        <v>30</v>
      </c>
      <c r="L56" s="38">
        <f t="shared" si="5"/>
        <v>50</v>
      </c>
      <c r="M56" s="3" t="s">
        <v>34</v>
      </c>
      <c r="N56" s="3" t="s">
        <v>34</v>
      </c>
      <c r="O56" s="3" t="s">
        <v>630</v>
      </c>
      <c r="P56" s="4">
        <v>42485</v>
      </c>
    </row>
    <row r="57" spans="1:16" x14ac:dyDescent="0.2">
      <c r="A57" s="3" t="str">
        <f t="shared" si="0"/>
        <v>806430175288</v>
      </c>
      <c r="B57" s="16">
        <v>806430</v>
      </c>
      <c r="C57" s="16" t="s">
        <v>382</v>
      </c>
      <c r="D57" s="3">
        <v>175288</v>
      </c>
      <c r="E57" s="3" t="s">
        <v>116</v>
      </c>
      <c r="F57" s="9">
        <v>10</v>
      </c>
      <c r="G57" s="9">
        <f>IFERROR(VLOOKUP(F57,Sheet1!$B$15:$D$38,3,1),0)</f>
        <v>10</v>
      </c>
      <c r="H57" s="38">
        <f t="shared" si="1"/>
        <v>-2.5</v>
      </c>
      <c r="I57" s="38">
        <f t="shared" si="2"/>
        <v>2.5</v>
      </c>
      <c r="J57" s="38">
        <f t="shared" si="3"/>
        <v>10</v>
      </c>
      <c r="K57" s="38">
        <f t="shared" si="4"/>
        <v>20</v>
      </c>
      <c r="L57" s="38">
        <f t="shared" si="5"/>
        <v>40</v>
      </c>
      <c r="M57" s="3" t="s">
        <v>34</v>
      </c>
      <c r="N57" s="3" t="s">
        <v>34</v>
      </c>
      <c r="O57" s="3" t="s">
        <v>630</v>
      </c>
      <c r="P57" s="4">
        <v>42892</v>
      </c>
    </row>
    <row r="58" spans="1:16" x14ac:dyDescent="0.2">
      <c r="A58" s="3" t="str">
        <f t="shared" si="0"/>
        <v>807929175288</v>
      </c>
      <c r="B58" s="16">
        <v>807929</v>
      </c>
      <c r="C58" s="16" t="s">
        <v>383</v>
      </c>
      <c r="D58" s="3">
        <v>175288</v>
      </c>
      <c r="E58" s="3" t="s">
        <v>116</v>
      </c>
      <c r="F58" s="9">
        <v>0</v>
      </c>
      <c r="G58" s="9">
        <f>IFERROR(VLOOKUP(F58,Sheet1!$B$15:$D$38,3,1),0)</f>
        <v>0</v>
      </c>
      <c r="H58" s="38">
        <f t="shared" si="1"/>
        <v>7.5</v>
      </c>
      <c r="I58" s="38">
        <f t="shared" si="2"/>
        <v>12.5</v>
      </c>
      <c r="J58" s="38">
        <f t="shared" si="3"/>
        <v>20</v>
      </c>
      <c r="K58" s="38">
        <f t="shared" si="4"/>
        <v>30</v>
      </c>
      <c r="L58" s="38">
        <f t="shared" si="5"/>
        <v>50</v>
      </c>
      <c r="M58" s="3" t="s">
        <v>34</v>
      </c>
      <c r="N58" s="3" t="s">
        <v>34</v>
      </c>
      <c r="O58" s="3" t="s">
        <v>630</v>
      </c>
      <c r="P58" s="4">
        <v>43122</v>
      </c>
    </row>
    <row r="59" spans="1:16" x14ac:dyDescent="0.2">
      <c r="A59" s="3" t="str">
        <f t="shared" si="0"/>
        <v>809467175288</v>
      </c>
      <c r="B59" s="16">
        <v>809467</v>
      </c>
      <c r="C59" s="16" t="s">
        <v>323</v>
      </c>
      <c r="D59" s="1">
        <v>175288</v>
      </c>
      <c r="E59" s="3" t="s">
        <v>116</v>
      </c>
      <c r="F59" s="9">
        <v>0</v>
      </c>
      <c r="G59" s="9">
        <f>IFERROR(VLOOKUP(F59,Sheet1!$B$15:$D$38,3,1),0)</f>
        <v>0</v>
      </c>
      <c r="H59" s="38">
        <f t="shared" si="1"/>
        <v>7.5</v>
      </c>
      <c r="I59" s="38">
        <f t="shared" si="2"/>
        <v>12.5</v>
      </c>
      <c r="J59" s="38">
        <f t="shared" si="3"/>
        <v>20</v>
      </c>
      <c r="K59" s="38">
        <f t="shared" si="4"/>
        <v>30</v>
      </c>
      <c r="L59" s="38">
        <f t="shared" si="5"/>
        <v>50</v>
      </c>
      <c r="M59" s="3" t="s">
        <v>34</v>
      </c>
      <c r="N59" s="3" t="s">
        <v>34</v>
      </c>
      <c r="O59" s="3" t="s">
        <v>432</v>
      </c>
      <c r="P59" s="4">
        <v>43587</v>
      </c>
    </row>
    <row r="60" spans="1:16" x14ac:dyDescent="0.2">
      <c r="A60" s="3" t="str">
        <f t="shared" si="0"/>
        <v>810055175288</v>
      </c>
      <c r="B60" s="16">
        <v>810055</v>
      </c>
      <c r="C60" s="16" t="s">
        <v>288</v>
      </c>
      <c r="D60" s="1">
        <v>175288</v>
      </c>
      <c r="E60" s="3" t="s">
        <v>116</v>
      </c>
      <c r="F60" s="9">
        <v>50</v>
      </c>
      <c r="G60" s="9">
        <f>IFERROR(VLOOKUP(F60,Sheet1!$B$15:$D$38,3,1),0)</f>
        <v>160</v>
      </c>
      <c r="H60" s="38">
        <f t="shared" si="1"/>
        <v>-42.5</v>
      </c>
      <c r="I60" s="38">
        <f t="shared" si="2"/>
        <v>-37.5</v>
      </c>
      <c r="J60" s="38">
        <f t="shared" si="3"/>
        <v>-30</v>
      </c>
      <c r="K60" s="38">
        <f t="shared" si="4"/>
        <v>-20</v>
      </c>
      <c r="L60" s="38">
        <f t="shared" si="5"/>
        <v>0</v>
      </c>
      <c r="M60" s="3" t="s">
        <v>34</v>
      </c>
      <c r="N60" s="3" t="s">
        <v>34</v>
      </c>
      <c r="O60" s="3" t="s">
        <v>432</v>
      </c>
      <c r="P60" s="4">
        <v>43673</v>
      </c>
    </row>
    <row r="61" spans="1:16" x14ac:dyDescent="0.2">
      <c r="A61" s="3" t="str">
        <f t="shared" si="0"/>
        <v>810324175288</v>
      </c>
      <c r="B61" s="16">
        <v>810324</v>
      </c>
      <c r="C61" s="16" t="s">
        <v>370</v>
      </c>
      <c r="D61" s="3">
        <v>175288</v>
      </c>
      <c r="E61" s="3" t="s">
        <v>116</v>
      </c>
      <c r="F61" s="9">
        <v>10</v>
      </c>
      <c r="G61" s="9">
        <f>IFERROR(VLOOKUP(F61,Sheet1!$B$15:$D$38,3,1),0)</f>
        <v>10</v>
      </c>
      <c r="H61" s="38">
        <f t="shared" si="1"/>
        <v>-2.5</v>
      </c>
      <c r="I61" s="38">
        <f t="shared" si="2"/>
        <v>2.5</v>
      </c>
      <c r="J61" s="38">
        <f t="shared" si="3"/>
        <v>10</v>
      </c>
      <c r="K61" s="38">
        <f t="shared" si="4"/>
        <v>20</v>
      </c>
      <c r="L61" s="38">
        <f t="shared" si="5"/>
        <v>40</v>
      </c>
      <c r="M61" s="3" t="s">
        <v>34</v>
      </c>
      <c r="N61" s="3" t="s">
        <v>34</v>
      </c>
      <c r="O61" s="3" t="s">
        <v>630</v>
      </c>
      <c r="P61" s="4">
        <v>43700</v>
      </c>
    </row>
    <row r="62" spans="1:16" x14ac:dyDescent="0.2">
      <c r="A62" s="3" t="str">
        <f t="shared" si="0"/>
        <v>810922175288</v>
      </c>
      <c r="B62" s="16">
        <v>810922</v>
      </c>
      <c r="C62" s="16" t="s">
        <v>289</v>
      </c>
      <c r="D62" s="1">
        <v>175288</v>
      </c>
      <c r="E62" s="3" t="s">
        <v>116</v>
      </c>
      <c r="F62" s="9">
        <v>0</v>
      </c>
      <c r="G62" s="9">
        <f>IFERROR(VLOOKUP(F62,Sheet1!$B$15:$D$38,3,1),0)</f>
        <v>0</v>
      </c>
      <c r="H62" s="38">
        <f t="shared" si="1"/>
        <v>7.5</v>
      </c>
      <c r="I62" s="38">
        <f t="shared" si="2"/>
        <v>12.5</v>
      </c>
      <c r="J62" s="38">
        <f t="shared" si="3"/>
        <v>20</v>
      </c>
      <c r="K62" s="38">
        <f t="shared" si="4"/>
        <v>30</v>
      </c>
      <c r="L62" s="38">
        <f t="shared" si="5"/>
        <v>50</v>
      </c>
      <c r="M62" s="3" t="s">
        <v>34</v>
      </c>
      <c r="N62" s="3" t="s">
        <v>34</v>
      </c>
      <c r="O62" s="3" t="s">
        <v>432</v>
      </c>
      <c r="P62" s="4">
        <v>43805</v>
      </c>
    </row>
    <row r="63" spans="1:16" x14ac:dyDescent="0.2">
      <c r="A63" s="3" t="str">
        <f t="shared" si="0"/>
        <v>811135175288</v>
      </c>
      <c r="B63" s="16">
        <v>811135</v>
      </c>
      <c r="C63" s="16" t="s">
        <v>290</v>
      </c>
      <c r="D63" s="1">
        <v>175288</v>
      </c>
      <c r="E63" s="3" t="s">
        <v>116</v>
      </c>
      <c r="F63" s="9">
        <v>50</v>
      </c>
      <c r="G63" s="9">
        <f>IFERROR(VLOOKUP(F63,Sheet1!$B$15:$D$38,3,1),0)</f>
        <v>160</v>
      </c>
      <c r="H63" s="38">
        <f t="shared" si="1"/>
        <v>-42.5</v>
      </c>
      <c r="I63" s="38">
        <f t="shared" si="2"/>
        <v>-37.5</v>
      </c>
      <c r="J63" s="38">
        <f t="shared" si="3"/>
        <v>-30</v>
      </c>
      <c r="K63" s="38">
        <f t="shared" si="4"/>
        <v>-20</v>
      </c>
      <c r="L63" s="38">
        <f t="shared" si="5"/>
        <v>0</v>
      </c>
      <c r="M63" s="3" t="s">
        <v>34</v>
      </c>
      <c r="N63" s="3" t="s">
        <v>34</v>
      </c>
      <c r="O63" s="3" t="s">
        <v>432</v>
      </c>
      <c r="P63" s="4">
        <v>43829</v>
      </c>
    </row>
    <row r="64" spans="1:16" x14ac:dyDescent="0.2">
      <c r="A64" s="3" t="str">
        <f t="shared" si="0"/>
        <v>811422175288</v>
      </c>
      <c r="B64" s="16">
        <v>811422</v>
      </c>
      <c r="C64" s="16" t="s">
        <v>63</v>
      </c>
      <c r="D64" s="1">
        <v>175288</v>
      </c>
      <c r="E64" s="3" t="s">
        <v>116</v>
      </c>
      <c r="F64" s="9">
        <v>0</v>
      </c>
      <c r="G64" s="9">
        <f>IFERROR(VLOOKUP(F64,Sheet1!$B$15:$D$38,3,1),0)</f>
        <v>0</v>
      </c>
      <c r="H64" s="38">
        <f t="shared" si="1"/>
        <v>7.5</v>
      </c>
      <c r="I64" s="38">
        <f t="shared" si="2"/>
        <v>12.5</v>
      </c>
      <c r="J64" s="38">
        <f t="shared" si="3"/>
        <v>20</v>
      </c>
      <c r="K64" s="38">
        <f t="shared" si="4"/>
        <v>30</v>
      </c>
      <c r="L64" s="38">
        <f t="shared" si="5"/>
        <v>50</v>
      </c>
      <c r="M64" s="3" t="s">
        <v>34</v>
      </c>
      <c r="N64" s="3" t="s">
        <v>34</v>
      </c>
      <c r="O64" s="3" t="s">
        <v>432</v>
      </c>
      <c r="P64" s="4">
        <v>43866</v>
      </c>
    </row>
    <row r="65" spans="1:16" x14ac:dyDescent="0.2">
      <c r="A65" s="3" t="str">
        <f t="shared" si="0"/>
        <v>812056175288</v>
      </c>
      <c r="B65" s="16">
        <v>812056</v>
      </c>
      <c r="C65" s="16" t="s">
        <v>396</v>
      </c>
      <c r="D65" s="1">
        <v>175288</v>
      </c>
      <c r="E65" s="3" t="s">
        <v>116</v>
      </c>
      <c r="F65" s="9">
        <v>0</v>
      </c>
      <c r="G65" s="9">
        <f>IFERROR(VLOOKUP(F65,Sheet1!$B$15:$D$38,3,1),0)</f>
        <v>0</v>
      </c>
      <c r="H65" s="38">
        <f t="shared" si="1"/>
        <v>7.5</v>
      </c>
      <c r="I65" s="38">
        <f t="shared" si="2"/>
        <v>12.5</v>
      </c>
      <c r="J65" s="38">
        <f t="shared" si="3"/>
        <v>20</v>
      </c>
      <c r="K65" s="38">
        <f t="shared" si="4"/>
        <v>30</v>
      </c>
      <c r="L65" s="38">
        <f t="shared" si="5"/>
        <v>50</v>
      </c>
      <c r="M65" s="3" t="s">
        <v>34</v>
      </c>
      <c r="N65" s="3" t="s">
        <v>34</v>
      </c>
      <c r="O65" s="3" t="s">
        <v>432</v>
      </c>
      <c r="P65" s="4">
        <v>44011</v>
      </c>
    </row>
    <row r="66" spans="1:16" x14ac:dyDescent="0.2">
      <c r="A66" s="3" t="str">
        <f t="shared" si="0"/>
        <v>815176175288</v>
      </c>
      <c r="B66" s="16">
        <v>815176</v>
      </c>
      <c r="C66" s="16" t="s">
        <v>468</v>
      </c>
      <c r="D66" s="3">
        <v>175288</v>
      </c>
      <c r="E66" s="3" t="s">
        <v>116</v>
      </c>
      <c r="F66" s="9">
        <v>10</v>
      </c>
      <c r="G66" s="9">
        <f>IFERROR(VLOOKUP(F66,Sheet1!$B$15:$D$38,3,1),0)</f>
        <v>10</v>
      </c>
      <c r="H66" s="38">
        <f t="shared" si="1"/>
        <v>-2.5</v>
      </c>
      <c r="I66" s="38">
        <f t="shared" si="2"/>
        <v>2.5</v>
      </c>
      <c r="J66" s="38">
        <f t="shared" si="3"/>
        <v>10</v>
      </c>
      <c r="K66" s="38">
        <f t="shared" si="4"/>
        <v>20</v>
      </c>
      <c r="L66" s="38">
        <f t="shared" si="5"/>
        <v>40</v>
      </c>
      <c r="M66" s="3" t="s">
        <v>34</v>
      </c>
      <c r="N66" s="3" t="s">
        <v>34</v>
      </c>
      <c r="O66" s="3" t="s">
        <v>432</v>
      </c>
      <c r="P66" s="4">
        <v>44364</v>
      </c>
    </row>
    <row r="67" spans="1:16" x14ac:dyDescent="0.2">
      <c r="A67" s="3" t="str">
        <f t="shared" ref="A67:A130" si="6">B67&amp;D67</f>
        <v>810595176641</v>
      </c>
      <c r="B67" s="16">
        <v>810595</v>
      </c>
      <c r="C67" s="16" t="s">
        <v>381</v>
      </c>
      <c r="D67" s="1">
        <v>176641</v>
      </c>
      <c r="E67" s="3" t="s">
        <v>89</v>
      </c>
      <c r="F67" s="9">
        <v>0</v>
      </c>
      <c r="G67" s="9">
        <f>IFERROR(VLOOKUP(F67,Sheet1!$B$15:$D$38,3,1),0)</f>
        <v>0</v>
      </c>
      <c r="H67" s="38">
        <f t="shared" si="1"/>
        <v>7.5</v>
      </c>
      <c r="I67" s="38">
        <f t="shared" si="2"/>
        <v>12.5</v>
      </c>
      <c r="J67" s="38">
        <f t="shared" si="3"/>
        <v>20</v>
      </c>
      <c r="K67" s="38">
        <f t="shared" si="4"/>
        <v>30</v>
      </c>
      <c r="L67" s="38">
        <f t="shared" si="5"/>
        <v>50</v>
      </c>
      <c r="M67" s="3" t="s">
        <v>34</v>
      </c>
      <c r="N67" s="3" t="s">
        <v>34</v>
      </c>
      <c r="O67" s="3" t="s">
        <v>432</v>
      </c>
      <c r="P67" s="4">
        <v>43743</v>
      </c>
    </row>
    <row r="68" spans="1:16" x14ac:dyDescent="0.2">
      <c r="A68" s="3" t="str">
        <f t="shared" si="6"/>
        <v>811092176641</v>
      </c>
      <c r="B68" s="16">
        <v>811092</v>
      </c>
      <c r="C68" s="16" t="s">
        <v>90</v>
      </c>
      <c r="D68" s="1">
        <v>176641</v>
      </c>
      <c r="E68" s="3" t="s">
        <v>89</v>
      </c>
      <c r="F68" s="9">
        <v>0</v>
      </c>
      <c r="G68" s="9">
        <f>IFERROR(VLOOKUP(F68,Sheet1!$B$15:$D$38,3,1),0)</f>
        <v>0</v>
      </c>
      <c r="H68" s="38">
        <f t="shared" ref="H68:H131" si="7">$H$2-$F68</f>
        <v>7.5</v>
      </c>
      <c r="I68" s="38">
        <f t="shared" ref="I68:I131" si="8">$I$2-$F68</f>
        <v>12.5</v>
      </c>
      <c r="J68" s="38">
        <f t="shared" ref="J68:J131" si="9">$J$2-$F68</f>
        <v>20</v>
      </c>
      <c r="K68" s="38">
        <f t="shared" ref="K68:K131" si="10">$K$2-$F68</f>
        <v>30</v>
      </c>
      <c r="L68" s="38">
        <f t="shared" ref="L68:L131" si="11">$L$2-$F68</f>
        <v>50</v>
      </c>
      <c r="M68" s="3" t="s">
        <v>34</v>
      </c>
      <c r="N68" s="3" t="s">
        <v>34</v>
      </c>
      <c r="O68" s="3" t="s">
        <v>432</v>
      </c>
      <c r="P68" s="4">
        <v>43826</v>
      </c>
    </row>
    <row r="69" spans="1:16" x14ac:dyDescent="0.2">
      <c r="A69" s="3" t="str">
        <f t="shared" si="6"/>
        <v>813672176641</v>
      </c>
      <c r="B69" s="16">
        <v>813672</v>
      </c>
      <c r="C69" s="16" t="s">
        <v>357</v>
      </c>
      <c r="D69" s="1">
        <v>176641</v>
      </c>
      <c r="E69" s="3" t="s">
        <v>89</v>
      </c>
      <c r="F69" s="9">
        <v>0</v>
      </c>
      <c r="G69" s="9">
        <f>IFERROR(VLOOKUP(F69,Sheet1!$B$15:$D$38,3,1),0)</f>
        <v>0</v>
      </c>
      <c r="H69" s="38">
        <f t="shared" si="7"/>
        <v>7.5</v>
      </c>
      <c r="I69" s="38">
        <f t="shared" si="8"/>
        <v>12.5</v>
      </c>
      <c r="J69" s="38">
        <f t="shared" si="9"/>
        <v>20</v>
      </c>
      <c r="K69" s="38">
        <f t="shared" si="10"/>
        <v>30</v>
      </c>
      <c r="L69" s="38">
        <f t="shared" si="11"/>
        <v>50</v>
      </c>
      <c r="M69" s="3" t="s">
        <v>34</v>
      </c>
      <c r="N69" s="3" t="s">
        <v>34</v>
      </c>
      <c r="O69" s="3" t="s">
        <v>432</v>
      </c>
      <c r="P69" s="4">
        <v>44162</v>
      </c>
    </row>
    <row r="70" spans="1:16" x14ac:dyDescent="0.2">
      <c r="A70" s="3" t="str">
        <f t="shared" si="6"/>
        <v>810435178661</v>
      </c>
      <c r="B70" s="16">
        <v>810435</v>
      </c>
      <c r="C70" s="16" t="s">
        <v>231</v>
      </c>
      <c r="D70" s="1">
        <v>178661</v>
      </c>
      <c r="E70" s="3" t="s">
        <v>61</v>
      </c>
      <c r="F70" s="9">
        <v>0</v>
      </c>
      <c r="G70" s="9">
        <f>IFERROR(VLOOKUP(F70,Sheet1!$B$15:$D$38,3,1),0)</f>
        <v>0</v>
      </c>
      <c r="H70" s="38">
        <f t="shared" si="7"/>
        <v>7.5</v>
      </c>
      <c r="I70" s="38">
        <f t="shared" si="8"/>
        <v>12.5</v>
      </c>
      <c r="J70" s="38">
        <f t="shared" si="9"/>
        <v>20</v>
      </c>
      <c r="K70" s="38">
        <f t="shared" si="10"/>
        <v>30</v>
      </c>
      <c r="L70" s="38">
        <f t="shared" si="11"/>
        <v>50</v>
      </c>
      <c r="M70" s="3" t="s">
        <v>34</v>
      </c>
      <c r="N70" s="3" t="s">
        <v>34</v>
      </c>
      <c r="O70" s="3" t="s">
        <v>432</v>
      </c>
      <c r="P70" s="4">
        <v>43711</v>
      </c>
    </row>
    <row r="71" spans="1:16" x14ac:dyDescent="0.2">
      <c r="A71" s="3" t="str">
        <f t="shared" si="6"/>
        <v>810683178661</v>
      </c>
      <c r="B71" s="16">
        <v>810683</v>
      </c>
      <c r="C71" s="16" t="s">
        <v>233</v>
      </c>
      <c r="D71" s="1">
        <v>178661</v>
      </c>
      <c r="E71" s="3" t="s">
        <v>61</v>
      </c>
      <c r="F71" s="9">
        <v>20</v>
      </c>
      <c r="G71" s="9">
        <f>IFERROR(VLOOKUP(F71,Sheet1!$B$15:$D$38,3,1),0)</f>
        <v>40</v>
      </c>
      <c r="H71" s="38">
        <f t="shared" si="7"/>
        <v>-12.5</v>
      </c>
      <c r="I71" s="38">
        <f t="shared" si="8"/>
        <v>-7.5</v>
      </c>
      <c r="J71" s="38">
        <f t="shared" si="9"/>
        <v>0</v>
      </c>
      <c r="K71" s="38">
        <f t="shared" si="10"/>
        <v>10</v>
      </c>
      <c r="L71" s="38">
        <f t="shared" si="11"/>
        <v>30</v>
      </c>
      <c r="M71" s="3" t="s">
        <v>34</v>
      </c>
      <c r="N71" s="3" t="s">
        <v>34</v>
      </c>
      <c r="O71" s="3" t="s">
        <v>432</v>
      </c>
      <c r="P71" s="4">
        <v>43761</v>
      </c>
    </row>
    <row r="72" spans="1:16" x14ac:dyDescent="0.2">
      <c r="A72" s="3" t="str">
        <f t="shared" si="6"/>
        <v>810686178661</v>
      </c>
      <c r="B72" s="16">
        <v>810686</v>
      </c>
      <c r="C72" s="16" t="s">
        <v>232</v>
      </c>
      <c r="D72" s="1">
        <v>178661</v>
      </c>
      <c r="E72" s="3" t="s">
        <v>61</v>
      </c>
      <c r="F72" s="9">
        <v>20</v>
      </c>
      <c r="G72" s="9">
        <f>IFERROR(VLOOKUP(F72,Sheet1!$B$15:$D$38,3,1),0)</f>
        <v>40</v>
      </c>
      <c r="H72" s="38">
        <f t="shared" si="7"/>
        <v>-12.5</v>
      </c>
      <c r="I72" s="38">
        <f t="shared" si="8"/>
        <v>-7.5</v>
      </c>
      <c r="J72" s="38">
        <f t="shared" si="9"/>
        <v>0</v>
      </c>
      <c r="K72" s="38">
        <f t="shared" si="10"/>
        <v>10</v>
      </c>
      <c r="L72" s="38">
        <f t="shared" si="11"/>
        <v>30</v>
      </c>
      <c r="M72" s="3" t="s">
        <v>34</v>
      </c>
      <c r="N72" s="3" t="s">
        <v>34</v>
      </c>
      <c r="O72" s="3" t="s">
        <v>432</v>
      </c>
      <c r="P72" s="4">
        <v>43761</v>
      </c>
    </row>
    <row r="73" spans="1:16" x14ac:dyDescent="0.2">
      <c r="A73" s="3" t="str">
        <f t="shared" si="6"/>
        <v>813172178661</v>
      </c>
      <c r="B73" s="16">
        <v>813172</v>
      </c>
      <c r="C73" s="16" t="s">
        <v>213</v>
      </c>
      <c r="D73" s="1">
        <v>178661</v>
      </c>
      <c r="E73" s="3" t="s">
        <v>61</v>
      </c>
      <c r="F73" s="9">
        <v>22</v>
      </c>
      <c r="G73" s="9">
        <f>IFERROR(VLOOKUP(F73,Sheet1!$B$15:$D$38,3,1),0)</f>
        <v>40</v>
      </c>
      <c r="H73" s="38">
        <f t="shared" si="7"/>
        <v>-14.5</v>
      </c>
      <c r="I73" s="38">
        <f t="shared" si="8"/>
        <v>-9.5</v>
      </c>
      <c r="J73" s="38">
        <f t="shared" si="9"/>
        <v>-2</v>
      </c>
      <c r="K73" s="38">
        <f t="shared" si="10"/>
        <v>8</v>
      </c>
      <c r="L73" s="38">
        <f t="shared" si="11"/>
        <v>28</v>
      </c>
      <c r="M73" s="3" t="s">
        <v>34</v>
      </c>
      <c r="N73" s="3" t="s">
        <v>34</v>
      </c>
      <c r="O73" s="3" t="s">
        <v>432</v>
      </c>
      <c r="P73" s="4">
        <v>44109</v>
      </c>
    </row>
    <row r="74" spans="1:16" x14ac:dyDescent="0.2">
      <c r="A74" s="3" t="str">
        <f t="shared" si="6"/>
        <v>813636178661</v>
      </c>
      <c r="B74" s="16">
        <v>813636</v>
      </c>
      <c r="C74" s="16" t="s">
        <v>164</v>
      </c>
      <c r="D74" s="1">
        <v>178661</v>
      </c>
      <c r="E74" s="3" t="s">
        <v>61</v>
      </c>
      <c r="F74" s="9">
        <v>10</v>
      </c>
      <c r="G74" s="9">
        <f>IFERROR(VLOOKUP(F74,Sheet1!$B$15:$D$38,3,1),0)</f>
        <v>10</v>
      </c>
      <c r="H74" s="38">
        <f t="shared" si="7"/>
        <v>-2.5</v>
      </c>
      <c r="I74" s="38">
        <f t="shared" si="8"/>
        <v>2.5</v>
      </c>
      <c r="J74" s="38">
        <f t="shared" si="9"/>
        <v>10</v>
      </c>
      <c r="K74" s="38">
        <f t="shared" si="10"/>
        <v>20</v>
      </c>
      <c r="L74" s="38">
        <f t="shared" si="11"/>
        <v>40</v>
      </c>
      <c r="M74" s="3" t="s">
        <v>34</v>
      </c>
      <c r="N74" s="3" t="s">
        <v>34</v>
      </c>
      <c r="O74" s="3" t="s">
        <v>432</v>
      </c>
      <c r="P74" s="4">
        <v>44160</v>
      </c>
    </row>
    <row r="75" spans="1:16" x14ac:dyDescent="0.2">
      <c r="A75" s="3" t="str">
        <f t="shared" si="6"/>
        <v>814227178661</v>
      </c>
      <c r="B75" s="16">
        <v>814227</v>
      </c>
      <c r="C75" s="16" t="s">
        <v>165</v>
      </c>
      <c r="D75" s="1">
        <v>178661</v>
      </c>
      <c r="E75" s="3" t="s">
        <v>61</v>
      </c>
      <c r="F75" s="9">
        <v>10</v>
      </c>
      <c r="G75" s="9">
        <f>IFERROR(VLOOKUP(F75,Sheet1!$B$15:$D$38,3,1),0)</f>
        <v>10</v>
      </c>
      <c r="H75" s="38">
        <f t="shared" si="7"/>
        <v>-2.5</v>
      </c>
      <c r="I75" s="38">
        <f t="shared" si="8"/>
        <v>2.5</v>
      </c>
      <c r="J75" s="38">
        <f t="shared" si="9"/>
        <v>10</v>
      </c>
      <c r="K75" s="38">
        <f t="shared" si="10"/>
        <v>20</v>
      </c>
      <c r="L75" s="38">
        <f t="shared" si="11"/>
        <v>40</v>
      </c>
      <c r="M75" s="3" t="s">
        <v>34</v>
      </c>
      <c r="N75" s="3" t="s">
        <v>34</v>
      </c>
      <c r="O75" s="3" t="s">
        <v>432</v>
      </c>
      <c r="P75" s="4">
        <v>44218</v>
      </c>
    </row>
    <row r="76" spans="1:16" x14ac:dyDescent="0.2">
      <c r="A76" s="3" t="str">
        <f t="shared" si="6"/>
        <v>814777178661</v>
      </c>
      <c r="B76" s="16">
        <v>814777</v>
      </c>
      <c r="C76" s="16" t="s">
        <v>62</v>
      </c>
      <c r="D76" s="1">
        <v>178661</v>
      </c>
      <c r="E76" s="3" t="s">
        <v>61</v>
      </c>
      <c r="F76" s="9">
        <v>10</v>
      </c>
      <c r="G76" s="9">
        <f>IFERROR(VLOOKUP(F76,Sheet1!$B$15:$D$38,3,1),0)</f>
        <v>10</v>
      </c>
      <c r="H76" s="38">
        <f t="shared" si="7"/>
        <v>-2.5</v>
      </c>
      <c r="I76" s="38">
        <f t="shared" si="8"/>
        <v>2.5</v>
      </c>
      <c r="J76" s="38">
        <f t="shared" si="9"/>
        <v>10</v>
      </c>
      <c r="K76" s="38">
        <f t="shared" si="10"/>
        <v>20</v>
      </c>
      <c r="L76" s="38">
        <f t="shared" si="11"/>
        <v>40</v>
      </c>
      <c r="M76" s="3" t="s">
        <v>34</v>
      </c>
      <c r="N76" s="3" t="s">
        <v>34</v>
      </c>
      <c r="O76" s="3" t="s">
        <v>432</v>
      </c>
      <c r="P76" s="4">
        <v>44272</v>
      </c>
    </row>
    <row r="77" spans="1:16" x14ac:dyDescent="0.2">
      <c r="A77" s="3" t="str">
        <f t="shared" si="6"/>
        <v>816249178661</v>
      </c>
      <c r="B77" s="16">
        <v>816249</v>
      </c>
      <c r="C77" s="16" t="s">
        <v>537</v>
      </c>
      <c r="D77" s="3">
        <v>178661</v>
      </c>
      <c r="E77" s="3" t="s">
        <v>61</v>
      </c>
      <c r="F77" s="9">
        <v>0</v>
      </c>
      <c r="G77" s="9">
        <f>IFERROR(VLOOKUP(F77,Sheet1!$B$15:$D$38,3,1),0)</f>
        <v>0</v>
      </c>
      <c r="H77" s="38">
        <f t="shared" si="7"/>
        <v>7.5</v>
      </c>
      <c r="I77" s="38">
        <f t="shared" si="8"/>
        <v>12.5</v>
      </c>
      <c r="J77" s="38">
        <f t="shared" si="9"/>
        <v>20</v>
      </c>
      <c r="K77" s="38">
        <f t="shared" si="10"/>
        <v>30</v>
      </c>
      <c r="L77" s="38">
        <f t="shared" si="11"/>
        <v>50</v>
      </c>
      <c r="M77" s="3" t="s">
        <v>34</v>
      </c>
      <c r="N77" s="3" t="s">
        <v>34</v>
      </c>
      <c r="O77" s="3" t="s">
        <v>432</v>
      </c>
      <c r="P77" s="4">
        <v>44441</v>
      </c>
    </row>
    <row r="78" spans="1:16" x14ac:dyDescent="0.2">
      <c r="A78" s="3" t="str">
        <f t="shared" si="6"/>
        <v>816270178661</v>
      </c>
      <c r="B78" s="16">
        <v>816270</v>
      </c>
      <c r="C78" s="16" t="s">
        <v>540</v>
      </c>
      <c r="D78" s="3">
        <v>178661</v>
      </c>
      <c r="E78" s="3" t="s">
        <v>61</v>
      </c>
      <c r="F78" s="9">
        <v>0</v>
      </c>
      <c r="G78" s="9">
        <f>IFERROR(VLOOKUP(F78,Sheet1!$B$15:$D$38,3,1),0)</f>
        <v>0</v>
      </c>
      <c r="H78" s="38">
        <f t="shared" si="7"/>
        <v>7.5</v>
      </c>
      <c r="I78" s="38">
        <f t="shared" si="8"/>
        <v>12.5</v>
      </c>
      <c r="J78" s="38">
        <f t="shared" si="9"/>
        <v>20</v>
      </c>
      <c r="K78" s="38">
        <f t="shared" si="10"/>
        <v>30</v>
      </c>
      <c r="L78" s="38">
        <f t="shared" si="11"/>
        <v>50</v>
      </c>
      <c r="M78" s="3" t="s">
        <v>34</v>
      </c>
      <c r="N78" s="3" t="s">
        <v>34</v>
      </c>
      <c r="O78" s="3" t="s">
        <v>432</v>
      </c>
      <c r="P78" s="4">
        <v>44443</v>
      </c>
    </row>
    <row r="79" spans="1:16" x14ac:dyDescent="0.2">
      <c r="A79" s="3" t="str">
        <f t="shared" si="6"/>
        <v>817792178661</v>
      </c>
      <c r="B79" s="16">
        <v>817792</v>
      </c>
      <c r="C79" s="16" t="s">
        <v>650</v>
      </c>
      <c r="D79" s="3">
        <v>178661</v>
      </c>
      <c r="E79" s="3" t="s">
        <v>61</v>
      </c>
      <c r="F79" s="9">
        <v>40</v>
      </c>
      <c r="G79" s="9">
        <f>IFERROR(VLOOKUP(F79,Sheet1!$B$15:$D$38,3,1),0)</f>
        <v>80</v>
      </c>
      <c r="H79" s="38">
        <f t="shared" si="7"/>
        <v>-32.5</v>
      </c>
      <c r="I79" s="38">
        <f t="shared" si="8"/>
        <v>-27.5</v>
      </c>
      <c r="J79" s="38">
        <f t="shared" si="9"/>
        <v>-20</v>
      </c>
      <c r="K79" s="38">
        <f t="shared" si="10"/>
        <v>-10</v>
      </c>
      <c r="L79" s="38">
        <f t="shared" si="11"/>
        <v>10</v>
      </c>
      <c r="M79" s="3" t="s">
        <v>34</v>
      </c>
      <c r="N79" s="3" t="s">
        <v>34</v>
      </c>
      <c r="O79" s="3" t="s">
        <v>630</v>
      </c>
      <c r="P79" s="4">
        <v>44585</v>
      </c>
    </row>
    <row r="80" spans="1:16" x14ac:dyDescent="0.2">
      <c r="A80" s="3" t="str">
        <f t="shared" si="6"/>
        <v>812382179893</v>
      </c>
      <c r="B80" s="16">
        <v>812382</v>
      </c>
      <c r="C80" s="16" t="s">
        <v>345</v>
      </c>
      <c r="D80" s="1">
        <v>179893</v>
      </c>
      <c r="E80" s="3" t="s">
        <v>257</v>
      </c>
      <c r="F80" s="9">
        <v>10</v>
      </c>
      <c r="G80" s="9">
        <f>IFERROR(VLOOKUP(F80,Sheet1!$B$15:$D$38,3,1),0)</f>
        <v>10</v>
      </c>
      <c r="H80" s="38">
        <f t="shared" si="7"/>
        <v>-2.5</v>
      </c>
      <c r="I80" s="38">
        <f t="shared" si="8"/>
        <v>2.5</v>
      </c>
      <c r="J80" s="38">
        <f t="shared" si="9"/>
        <v>10</v>
      </c>
      <c r="K80" s="38">
        <f t="shared" si="10"/>
        <v>20</v>
      </c>
      <c r="L80" s="38">
        <f t="shared" si="11"/>
        <v>40</v>
      </c>
      <c r="M80" s="3" t="s">
        <v>34</v>
      </c>
      <c r="N80" s="3" t="s">
        <v>34</v>
      </c>
      <c r="O80" s="3" t="s">
        <v>432</v>
      </c>
      <c r="P80" s="4">
        <v>44040</v>
      </c>
    </row>
    <row r="81" spans="1:16" x14ac:dyDescent="0.2">
      <c r="A81" s="3" t="str">
        <f t="shared" si="6"/>
        <v>812461179893</v>
      </c>
      <c r="B81" s="16">
        <v>812461</v>
      </c>
      <c r="C81" s="16" t="s">
        <v>415</v>
      </c>
      <c r="D81" s="1">
        <v>179893</v>
      </c>
      <c r="E81" s="3" t="s">
        <v>257</v>
      </c>
      <c r="F81" s="9">
        <v>0</v>
      </c>
      <c r="G81" s="9">
        <f>IFERROR(VLOOKUP(F81,Sheet1!$B$15:$D$38,3,1),0)</f>
        <v>0</v>
      </c>
      <c r="H81" s="38">
        <f t="shared" si="7"/>
        <v>7.5</v>
      </c>
      <c r="I81" s="38">
        <f t="shared" si="8"/>
        <v>12.5</v>
      </c>
      <c r="J81" s="38">
        <f t="shared" si="9"/>
        <v>20</v>
      </c>
      <c r="K81" s="38">
        <f t="shared" si="10"/>
        <v>30</v>
      </c>
      <c r="L81" s="38">
        <f t="shared" si="11"/>
        <v>50</v>
      </c>
      <c r="M81" s="3" t="s">
        <v>34</v>
      </c>
      <c r="N81" s="3" t="s">
        <v>34</v>
      </c>
      <c r="O81" s="3" t="s">
        <v>432</v>
      </c>
      <c r="P81" s="4">
        <v>44050</v>
      </c>
    </row>
    <row r="82" spans="1:16" x14ac:dyDescent="0.2">
      <c r="A82" s="3" t="str">
        <f t="shared" si="6"/>
        <v>814907179893</v>
      </c>
      <c r="B82" s="16">
        <v>814907</v>
      </c>
      <c r="C82" s="16" t="s">
        <v>287</v>
      </c>
      <c r="D82" s="1">
        <v>179893</v>
      </c>
      <c r="E82" s="3" t="s">
        <v>257</v>
      </c>
      <c r="F82" s="9">
        <v>0</v>
      </c>
      <c r="G82" s="9">
        <f>IFERROR(VLOOKUP(F82,Sheet1!$B$15:$D$38,3,1),0)</f>
        <v>0</v>
      </c>
      <c r="H82" s="38">
        <f t="shared" si="7"/>
        <v>7.5</v>
      </c>
      <c r="I82" s="38">
        <f t="shared" si="8"/>
        <v>12.5</v>
      </c>
      <c r="J82" s="38">
        <f t="shared" si="9"/>
        <v>20</v>
      </c>
      <c r="K82" s="38">
        <f t="shared" si="10"/>
        <v>30</v>
      </c>
      <c r="L82" s="38">
        <f t="shared" si="11"/>
        <v>50</v>
      </c>
      <c r="M82" s="3" t="s">
        <v>34</v>
      </c>
      <c r="N82" s="3" t="s">
        <v>34</v>
      </c>
      <c r="O82" s="3" t="s">
        <v>432</v>
      </c>
      <c r="P82" s="4">
        <v>44292</v>
      </c>
    </row>
    <row r="83" spans="1:16" x14ac:dyDescent="0.2">
      <c r="A83" s="3" t="str">
        <f t="shared" si="6"/>
        <v>812469201065</v>
      </c>
      <c r="B83" s="16">
        <v>812469</v>
      </c>
      <c r="C83" s="16" t="s">
        <v>190</v>
      </c>
      <c r="D83" s="1">
        <v>201065</v>
      </c>
      <c r="E83" s="3" t="s">
        <v>188</v>
      </c>
      <c r="F83" s="9">
        <v>0</v>
      </c>
      <c r="G83" s="9">
        <f>IFERROR(VLOOKUP(F83,Sheet1!$B$15:$D$38,3,1),0)</f>
        <v>0</v>
      </c>
      <c r="H83" s="38">
        <f t="shared" si="7"/>
        <v>7.5</v>
      </c>
      <c r="I83" s="38">
        <f t="shared" si="8"/>
        <v>12.5</v>
      </c>
      <c r="J83" s="38">
        <f t="shared" si="9"/>
        <v>20</v>
      </c>
      <c r="K83" s="38">
        <f t="shared" si="10"/>
        <v>30</v>
      </c>
      <c r="L83" s="38">
        <f t="shared" si="11"/>
        <v>50</v>
      </c>
      <c r="M83" s="3" t="s">
        <v>34</v>
      </c>
      <c r="N83" s="3" t="s">
        <v>34</v>
      </c>
      <c r="O83" s="3" t="s">
        <v>432</v>
      </c>
      <c r="P83" s="4">
        <v>44051</v>
      </c>
    </row>
    <row r="84" spans="1:16" x14ac:dyDescent="0.2">
      <c r="A84" s="3" t="str">
        <f t="shared" si="6"/>
        <v>813728201065</v>
      </c>
      <c r="B84" s="16">
        <v>813728</v>
      </c>
      <c r="C84" s="16" t="s">
        <v>417</v>
      </c>
      <c r="D84" s="1">
        <v>201065</v>
      </c>
      <c r="E84" s="3" t="s">
        <v>188</v>
      </c>
      <c r="F84" s="9">
        <v>0</v>
      </c>
      <c r="G84" s="9">
        <f>IFERROR(VLOOKUP(F84,Sheet1!$B$15:$D$38,3,1),0)</f>
        <v>0</v>
      </c>
      <c r="H84" s="38">
        <f t="shared" si="7"/>
        <v>7.5</v>
      </c>
      <c r="I84" s="38">
        <f t="shared" si="8"/>
        <v>12.5</v>
      </c>
      <c r="J84" s="38">
        <f t="shared" si="9"/>
        <v>20</v>
      </c>
      <c r="K84" s="38">
        <f t="shared" si="10"/>
        <v>30</v>
      </c>
      <c r="L84" s="38">
        <f t="shared" si="11"/>
        <v>50</v>
      </c>
      <c r="M84" s="3" t="s">
        <v>34</v>
      </c>
      <c r="N84" s="3" t="s">
        <v>34</v>
      </c>
      <c r="O84" s="3" t="s">
        <v>432</v>
      </c>
      <c r="P84" s="4">
        <v>44165</v>
      </c>
    </row>
    <row r="85" spans="1:16" x14ac:dyDescent="0.2">
      <c r="A85" s="3" t="str">
        <f t="shared" si="6"/>
        <v>814184201065</v>
      </c>
      <c r="B85" s="16">
        <v>814184</v>
      </c>
      <c r="C85" s="16" t="s">
        <v>189</v>
      </c>
      <c r="D85" s="1">
        <v>201065</v>
      </c>
      <c r="E85" s="3" t="s">
        <v>188</v>
      </c>
      <c r="F85" s="9">
        <v>0</v>
      </c>
      <c r="G85" s="9">
        <f>IFERROR(VLOOKUP(F85,Sheet1!$B$15:$D$38,3,1),0)</f>
        <v>0</v>
      </c>
      <c r="H85" s="38">
        <f t="shared" si="7"/>
        <v>7.5</v>
      </c>
      <c r="I85" s="38">
        <f t="shared" si="8"/>
        <v>12.5</v>
      </c>
      <c r="J85" s="38">
        <f t="shared" si="9"/>
        <v>20</v>
      </c>
      <c r="K85" s="38">
        <f t="shared" si="10"/>
        <v>30</v>
      </c>
      <c r="L85" s="38">
        <f t="shared" si="11"/>
        <v>50</v>
      </c>
      <c r="M85" s="3" t="s">
        <v>34</v>
      </c>
      <c r="N85" s="3" t="s">
        <v>34</v>
      </c>
      <c r="O85" s="3" t="s">
        <v>432</v>
      </c>
      <c r="P85" s="4">
        <v>44215</v>
      </c>
    </row>
    <row r="86" spans="1:16" x14ac:dyDescent="0.2">
      <c r="A86" s="3" t="str">
        <f t="shared" si="6"/>
        <v>814540202479</v>
      </c>
      <c r="B86" s="16">
        <v>814540</v>
      </c>
      <c r="C86" s="16" t="s">
        <v>80</v>
      </c>
      <c r="D86" s="1">
        <v>202479</v>
      </c>
      <c r="E86" s="3" t="s">
        <v>72</v>
      </c>
      <c r="F86" s="9">
        <v>0</v>
      </c>
      <c r="G86" s="9">
        <f>IFERROR(VLOOKUP(F86,Sheet1!$B$15:$D$38,3,1),0)</f>
        <v>0</v>
      </c>
      <c r="H86" s="38">
        <f t="shared" si="7"/>
        <v>7.5</v>
      </c>
      <c r="I86" s="38">
        <f t="shared" si="8"/>
        <v>12.5</v>
      </c>
      <c r="J86" s="38">
        <f t="shared" si="9"/>
        <v>20</v>
      </c>
      <c r="K86" s="38">
        <f t="shared" si="10"/>
        <v>30</v>
      </c>
      <c r="L86" s="38">
        <f t="shared" si="11"/>
        <v>50</v>
      </c>
      <c r="M86" s="3" t="s">
        <v>34</v>
      </c>
      <c r="N86" s="3" t="s">
        <v>34</v>
      </c>
      <c r="O86" s="3" t="s">
        <v>432</v>
      </c>
      <c r="P86" s="4">
        <v>44246</v>
      </c>
    </row>
    <row r="87" spans="1:16" x14ac:dyDescent="0.2">
      <c r="A87" s="3" t="str">
        <f t="shared" si="6"/>
        <v>814934202479</v>
      </c>
      <c r="B87" s="16">
        <v>814934</v>
      </c>
      <c r="C87" s="16" t="s">
        <v>228</v>
      </c>
      <c r="D87" s="1">
        <v>202479</v>
      </c>
      <c r="E87" s="3" t="s">
        <v>72</v>
      </c>
      <c r="F87" s="9">
        <v>0</v>
      </c>
      <c r="G87" s="9">
        <f>IFERROR(VLOOKUP(F87,Sheet1!$B$15:$D$38,3,1),0)</f>
        <v>0</v>
      </c>
      <c r="H87" s="38">
        <f t="shared" si="7"/>
        <v>7.5</v>
      </c>
      <c r="I87" s="38">
        <f t="shared" si="8"/>
        <v>12.5</v>
      </c>
      <c r="J87" s="38">
        <f t="shared" si="9"/>
        <v>20</v>
      </c>
      <c r="K87" s="38">
        <f t="shared" si="10"/>
        <v>30</v>
      </c>
      <c r="L87" s="38">
        <f t="shared" si="11"/>
        <v>50</v>
      </c>
      <c r="M87" s="3" t="s">
        <v>34</v>
      </c>
      <c r="N87" s="3" t="s">
        <v>34</v>
      </c>
      <c r="O87" s="3" t="s">
        <v>432</v>
      </c>
      <c r="P87" s="4">
        <v>44298</v>
      </c>
    </row>
    <row r="88" spans="1:16" x14ac:dyDescent="0.2">
      <c r="A88" s="3" t="str">
        <f t="shared" si="6"/>
        <v>814939202479</v>
      </c>
      <c r="B88" s="16">
        <v>814939</v>
      </c>
      <c r="C88" s="16" t="s">
        <v>146</v>
      </c>
      <c r="D88" s="1">
        <v>202479</v>
      </c>
      <c r="E88" s="3" t="s">
        <v>72</v>
      </c>
      <c r="F88" s="9">
        <v>0</v>
      </c>
      <c r="G88" s="9">
        <f>IFERROR(VLOOKUP(F88,Sheet1!$B$15:$D$38,3,1),0)</f>
        <v>0</v>
      </c>
      <c r="H88" s="38">
        <f t="shared" si="7"/>
        <v>7.5</v>
      </c>
      <c r="I88" s="38">
        <f t="shared" si="8"/>
        <v>12.5</v>
      </c>
      <c r="J88" s="38">
        <f t="shared" si="9"/>
        <v>20</v>
      </c>
      <c r="K88" s="38">
        <f t="shared" si="10"/>
        <v>30</v>
      </c>
      <c r="L88" s="38">
        <f t="shared" si="11"/>
        <v>50</v>
      </c>
      <c r="M88" s="3" t="s">
        <v>34</v>
      </c>
      <c r="N88" s="3" t="s">
        <v>34</v>
      </c>
      <c r="O88" s="3" t="s">
        <v>432</v>
      </c>
      <c r="P88" s="4">
        <v>44299</v>
      </c>
    </row>
    <row r="89" spans="1:16" x14ac:dyDescent="0.2">
      <c r="A89" s="3" t="str">
        <f t="shared" si="6"/>
        <v>815105205650</v>
      </c>
      <c r="B89" s="16">
        <v>815105</v>
      </c>
      <c r="C89" s="16" t="s">
        <v>466</v>
      </c>
      <c r="D89" s="3">
        <v>205650</v>
      </c>
      <c r="E89" s="3" t="s">
        <v>467</v>
      </c>
      <c r="F89" s="9">
        <v>0</v>
      </c>
      <c r="G89" s="9">
        <f>IFERROR(VLOOKUP(F89,Sheet1!$B$15:$D$38,3,1),0)</f>
        <v>0</v>
      </c>
      <c r="H89" s="38">
        <f t="shared" si="7"/>
        <v>7.5</v>
      </c>
      <c r="I89" s="38">
        <f t="shared" si="8"/>
        <v>12.5</v>
      </c>
      <c r="J89" s="38">
        <f t="shared" si="9"/>
        <v>20</v>
      </c>
      <c r="K89" s="38">
        <f t="shared" si="10"/>
        <v>30</v>
      </c>
      <c r="L89" s="38">
        <f t="shared" si="11"/>
        <v>50</v>
      </c>
      <c r="M89" s="3" t="s">
        <v>34</v>
      </c>
      <c r="N89" s="3" t="s">
        <v>34</v>
      </c>
      <c r="O89" s="3" t="s">
        <v>432</v>
      </c>
      <c r="P89" s="4">
        <v>44347</v>
      </c>
    </row>
    <row r="90" spans="1:16" x14ac:dyDescent="0.2">
      <c r="A90" s="3" t="str">
        <f t="shared" si="6"/>
        <v>815481205650</v>
      </c>
      <c r="B90" s="16">
        <v>815481</v>
      </c>
      <c r="C90" s="16" t="s">
        <v>18</v>
      </c>
      <c r="D90" s="3">
        <v>205650</v>
      </c>
      <c r="E90" s="3" t="s">
        <v>467</v>
      </c>
      <c r="F90" s="9">
        <v>0</v>
      </c>
      <c r="G90" s="9">
        <f>IFERROR(VLOOKUP(F90,Sheet1!$B$15:$D$38,3,1),0)</f>
        <v>0</v>
      </c>
      <c r="H90" s="38">
        <f t="shared" si="7"/>
        <v>7.5</v>
      </c>
      <c r="I90" s="38">
        <f t="shared" si="8"/>
        <v>12.5</v>
      </c>
      <c r="J90" s="38">
        <f t="shared" si="9"/>
        <v>20</v>
      </c>
      <c r="K90" s="38">
        <f t="shared" si="10"/>
        <v>30</v>
      </c>
      <c r="L90" s="38">
        <f t="shared" si="11"/>
        <v>50</v>
      </c>
      <c r="M90" s="3" t="s">
        <v>34</v>
      </c>
      <c r="N90" s="3" t="s">
        <v>34</v>
      </c>
      <c r="O90" s="3" t="s">
        <v>432</v>
      </c>
      <c r="P90" s="4">
        <v>44389</v>
      </c>
    </row>
    <row r="91" spans="1:16" x14ac:dyDescent="0.2">
      <c r="A91" s="3" t="str">
        <f t="shared" si="6"/>
        <v>815864205650</v>
      </c>
      <c r="B91" s="16">
        <v>815864</v>
      </c>
      <c r="C91" s="16" t="s">
        <v>527</v>
      </c>
      <c r="D91" s="3">
        <v>205650</v>
      </c>
      <c r="E91" s="3" t="s">
        <v>467</v>
      </c>
      <c r="F91" s="9">
        <v>0</v>
      </c>
      <c r="G91" s="9">
        <f>IFERROR(VLOOKUP(F91,Sheet1!$B$15:$D$38,3,1),0)</f>
        <v>0</v>
      </c>
      <c r="H91" s="38">
        <f t="shared" si="7"/>
        <v>7.5</v>
      </c>
      <c r="I91" s="38">
        <f t="shared" si="8"/>
        <v>12.5</v>
      </c>
      <c r="J91" s="38">
        <f t="shared" si="9"/>
        <v>20</v>
      </c>
      <c r="K91" s="38">
        <f t="shared" si="10"/>
        <v>30</v>
      </c>
      <c r="L91" s="38">
        <f t="shared" si="11"/>
        <v>50</v>
      </c>
      <c r="M91" s="4" t="s">
        <v>34</v>
      </c>
      <c r="N91" s="3" t="s">
        <v>34</v>
      </c>
      <c r="O91" s="3" t="s">
        <v>432</v>
      </c>
      <c r="P91" s="4">
        <v>44414</v>
      </c>
    </row>
    <row r="92" spans="1:16" x14ac:dyDescent="0.2">
      <c r="A92" s="3" t="str">
        <f t="shared" si="6"/>
        <v>815645208736</v>
      </c>
      <c r="B92" s="16">
        <v>815645</v>
      </c>
      <c r="C92" s="16" t="s">
        <v>504</v>
      </c>
      <c r="D92" s="3">
        <v>208736</v>
      </c>
      <c r="E92" s="3" t="s">
        <v>189</v>
      </c>
      <c r="F92" s="9">
        <v>0</v>
      </c>
      <c r="G92" s="9">
        <f>IFERROR(VLOOKUP(F92,Sheet1!$B$15:$D$38,3,1),0)</f>
        <v>0</v>
      </c>
      <c r="H92" s="38">
        <f t="shared" si="7"/>
        <v>7.5</v>
      </c>
      <c r="I92" s="38">
        <f t="shared" si="8"/>
        <v>12.5</v>
      </c>
      <c r="J92" s="38">
        <f t="shared" si="9"/>
        <v>20</v>
      </c>
      <c r="K92" s="38">
        <f t="shared" si="10"/>
        <v>30</v>
      </c>
      <c r="L92" s="38">
        <f t="shared" si="11"/>
        <v>50</v>
      </c>
      <c r="M92" s="3" t="s">
        <v>34</v>
      </c>
      <c r="N92" s="3" t="s">
        <v>34</v>
      </c>
      <c r="O92" s="3" t="s">
        <v>432</v>
      </c>
      <c r="P92" s="4">
        <v>44403</v>
      </c>
    </row>
    <row r="93" spans="1:16" x14ac:dyDescent="0.2">
      <c r="A93" s="3" t="str">
        <f t="shared" si="6"/>
        <v>817308209586</v>
      </c>
      <c r="B93" s="16">
        <v>817308</v>
      </c>
      <c r="C93" s="16" t="s">
        <v>639</v>
      </c>
      <c r="D93" s="3">
        <v>209586</v>
      </c>
      <c r="E93" s="3" t="s">
        <v>640</v>
      </c>
      <c r="F93" s="9">
        <v>0</v>
      </c>
      <c r="G93" s="9">
        <f>IFERROR(VLOOKUP(F93,Sheet1!$B$15:$D$38,3,1),0)</f>
        <v>0</v>
      </c>
      <c r="H93" s="38">
        <f t="shared" si="7"/>
        <v>7.5</v>
      </c>
      <c r="I93" s="38">
        <f t="shared" si="8"/>
        <v>12.5</v>
      </c>
      <c r="J93" s="38">
        <f t="shared" si="9"/>
        <v>20</v>
      </c>
      <c r="K93" s="38">
        <f t="shared" si="10"/>
        <v>30</v>
      </c>
      <c r="L93" s="38">
        <f t="shared" si="11"/>
        <v>50</v>
      </c>
      <c r="M93" s="3" t="s">
        <v>34</v>
      </c>
      <c r="N93" s="3" t="s">
        <v>34</v>
      </c>
      <c r="O93" s="3" t="s">
        <v>630</v>
      </c>
      <c r="P93" s="4">
        <v>44544</v>
      </c>
    </row>
    <row r="94" spans="1:16" x14ac:dyDescent="0.2">
      <c r="A94" s="3" t="str">
        <f t="shared" si="6"/>
        <v>806436119023</v>
      </c>
      <c r="B94" s="16">
        <v>806436</v>
      </c>
      <c r="C94" s="16" t="s">
        <v>194</v>
      </c>
      <c r="D94" s="1">
        <v>119023</v>
      </c>
      <c r="E94" s="3" t="s">
        <v>41</v>
      </c>
      <c r="F94" s="9">
        <v>53</v>
      </c>
      <c r="G94" s="9">
        <f>IFERROR(VLOOKUP(F94,Sheet1!$B$15:$D$38,3,1),0)</f>
        <v>160</v>
      </c>
      <c r="H94" s="38">
        <f t="shared" si="7"/>
        <v>-45.5</v>
      </c>
      <c r="I94" s="38">
        <f t="shared" si="8"/>
        <v>-40.5</v>
      </c>
      <c r="J94" s="38">
        <f t="shared" si="9"/>
        <v>-33</v>
      </c>
      <c r="K94" s="38">
        <f t="shared" si="10"/>
        <v>-23</v>
      </c>
      <c r="L94" s="38">
        <f t="shared" si="11"/>
        <v>-3</v>
      </c>
      <c r="M94" s="3" t="s">
        <v>2</v>
      </c>
      <c r="N94" s="3" t="s">
        <v>34</v>
      </c>
      <c r="O94" s="3" t="s">
        <v>432</v>
      </c>
      <c r="P94" s="4">
        <v>42893</v>
      </c>
    </row>
    <row r="95" spans="1:16" x14ac:dyDescent="0.2">
      <c r="A95" s="3" t="str">
        <f t="shared" si="6"/>
        <v>806439119023</v>
      </c>
      <c r="B95" s="16">
        <v>806439</v>
      </c>
      <c r="C95" s="16" t="s">
        <v>202</v>
      </c>
      <c r="D95" s="1">
        <v>119023</v>
      </c>
      <c r="E95" s="3" t="s">
        <v>41</v>
      </c>
      <c r="F95" s="9">
        <v>42</v>
      </c>
      <c r="G95" s="9">
        <f>IFERROR(VLOOKUP(F95,Sheet1!$B$15:$D$38,3,1),0)</f>
        <v>80</v>
      </c>
      <c r="H95" s="38">
        <f t="shared" si="7"/>
        <v>-34.5</v>
      </c>
      <c r="I95" s="38">
        <f t="shared" si="8"/>
        <v>-29.5</v>
      </c>
      <c r="J95" s="38">
        <f t="shared" si="9"/>
        <v>-22</v>
      </c>
      <c r="K95" s="38">
        <f t="shared" si="10"/>
        <v>-12</v>
      </c>
      <c r="L95" s="38">
        <f t="shared" si="11"/>
        <v>8</v>
      </c>
      <c r="M95" s="3" t="s">
        <v>2</v>
      </c>
      <c r="N95" s="3" t="s">
        <v>34</v>
      </c>
      <c r="O95" s="3" t="s">
        <v>432</v>
      </c>
      <c r="P95" s="4">
        <v>42893</v>
      </c>
    </row>
    <row r="96" spans="1:16" x14ac:dyDescent="0.2">
      <c r="A96" s="3" t="str">
        <f t="shared" si="6"/>
        <v>806440119023</v>
      </c>
      <c r="B96" s="16">
        <v>806440</v>
      </c>
      <c r="C96" s="16" t="s">
        <v>450</v>
      </c>
      <c r="D96" s="1">
        <v>119023</v>
      </c>
      <c r="E96" s="3" t="s">
        <v>41</v>
      </c>
      <c r="F96" s="9">
        <v>0</v>
      </c>
      <c r="G96" s="9">
        <f>IFERROR(VLOOKUP(F96,Sheet1!$B$15:$D$38,3,1),0)</f>
        <v>0</v>
      </c>
      <c r="H96" s="38">
        <f t="shared" si="7"/>
        <v>7.5</v>
      </c>
      <c r="I96" s="38">
        <f t="shared" si="8"/>
        <v>12.5</v>
      </c>
      <c r="J96" s="38">
        <f t="shared" si="9"/>
        <v>20</v>
      </c>
      <c r="K96" s="38">
        <f t="shared" si="10"/>
        <v>30</v>
      </c>
      <c r="L96" s="38">
        <f t="shared" si="11"/>
        <v>50</v>
      </c>
      <c r="M96" s="3" t="s">
        <v>2</v>
      </c>
      <c r="N96" s="3" t="s">
        <v>34</v>
      </c>
      <c r="O96" s="3" t="s">
        <v>432</v>
      </c>
      <c r="P96" s="4">
        <v>42893</v>
      </c>
    </row>
    <row r="97" spans="1:16" x14ac:dyDescent="0.2">
      <c r="A97" s="3" t="str">
        <f t="shared" si="6"/>
        <v>806882119023</v>
      </c>
      <c r="B97" s="16">
        <v>806882</v>
      </c>
      <c r="C97" s="16" t="s">
        <v>224</v>
      </c>
      <c r="D97" s="1">
        <v>119023</v>
      </c>
      <c r="E97" s="3" t="s">
        <v>41</v>
      </c>
      <c r="F97" s="9">
        <v>53</v>
      </c>
      <c r="G97" s="9">
        <f>IFERROR(VLOOKUP(F97,Sheet1!$B$15:$D$38,3,1),0)</f>
        <v>160</v>
      </c>
      <c r="H97" s="38">
        <f t="shared" si="7"/>
        <v>-45.5</v>
      </c>
      <c r="I97" s="38">
        <f t="shared" si="8"/>
        <v>-40.5</v>
      </c>
      <c r="J97" s="38">
        <f t="shared" si="9"/>
        <v>-33</v>
      </c>
      <c r="K97" s="38">
        <f t="shared" si="10"/>
        <v>-23</v>
      </c>
      <c r="L97" s="38">
        <f t="shared" si="11"/>
        <v>-3</v>
      </c>
      <c r="M97" s="3" t="s">
        <v>2</v>
      </c>
      <c r="N97" s="3" t="s">
        <v>34</v>
      </c>
      <c r="O97" s="3" t="s">
        <v>432</v>
      </c>
      <c r="P97" s="4">
        <v>42993</v>
      </c>
    </row>
    <row r="98" spans="1:16" x14ac:dyDescent="0.2">
      <c r="A98" s="3" t="str">
        <f t="shared" si="6"/>
        <v>807143119023</v>
      </c>
      <c r="B98" s="16">
        <v>807143</v>
      </c>
      <c r="C98" s="16" t="s">
        <v>562</v>
      </c>
      <c r="D98" s="3">
        <v>119023</v>
      </c>
      <c r="E98" s="3" t="s">
        <v>41</v>
      </c>
      <c r="F98" s="9">
        <v>55</v>
      </c>
      <c r="G98" s="9">
        <f>IFERROR(VLOOKUP(F98,Sheet1!$B$15:$D$38,3,1),0)</f>
        <v>160</v>
      </c>
      <c r="H98" s="38">
        <f t="shared" si="7"/>
        <v>-47.5</v>
      </c>
      <c r="I98" s="38">
        <f t="shared" si="8"/>
        <v>-42.5</v>
      </c>
      <c r="J98" s="38">
        <f t="shared" si="9"/>
        <v>-35</v>
      </c>
      <c r="K98" s="38">
        <f t="shared" si="10"/>
        <v>-25</v>
      </c>
      <c r="L98" s="38">
        <f t="shared" si="11"/>
        <v>-5</v>
      </c>
      <c r="M98" s="3" t="s">
        <v>2</v>
      </c>
      <c r="N98" s="3" t="s">
        <v>34</v>
      </c>
      <c r="O98" s="3" t="s">
        <v>432</v>
      </c>
      <c r="P98" s="4">
        <v>43406</v>
      </c>
    </row>
    <row r="99" spans="1:16" x14ac:dyDescent="0.2">
      <c r="A99" s="3" t="str">
        <f t="shared" si="6"/>
        <v>808644119023</v>
      </c>
      <c r="B99" s="16">
        <v>808644</v>
      </c>
      <c r="C99" s="16" t="s">
        <v>215</v>
      </c>
      <c r="D99" s="1">
        <v>119023</v>
      </c>
      <c r="E99" s="3" t="s">
        <v>41</v>
      </c>
      <c r="F99" s="9">
        <v>42</v>
      </c>
      <c r="G99" s="9">
        <f>IFERROR(VLOOKUP(F99,Sheet1!$B$15:$D$38,3,1),0)</f>
        <v>80</v>
      </c>
      <c r="H99" s="38">
        <f t="shared" si="7"/>
        <v>-34.5</v>
      </c>
      <c r="I99" s="38">
        <f t="shared" si="8"/>
        <v>-29.5</v>
      </c>
      <c r="J99" s="38">
        <f t="shared" si="9"/>
        <v>-22</v>
      </c>
      <c r="K99" s="38">
        <f t="shared" si="10"/>
        <v>-12</v>
      </c>
      <c r="L99" s="38">
        <f t="shared" si="11"/>
        <v>8</v>
      </c>
      <c r="M99" s="3" t="s">
        <v>2</v>
      </c>
      <c r="N99" s="3" t="s">
        <v>34</v>
      </c>
      <c r="O99" s="3" t="s">
        <v>432</v>
      </c>
      <c r="P99" s="4">
        <v>43277</v>
      </c>
    </row>
    <row r="100" spans="1:16" x14ac:dyDescent="0.2">
      <c r="A100" s="3" t="str">
        <f t="shared" si="6"/>
        <v>808925119023</v>
      </c>
      <c r="B100" s="16">
        <v>808925</v>
      </c>
      <c r="C100" s="16" t="s">
        <v>579</v>
      </c>
      <c r="D100" s="3">
        <v>119023</v>
      </c>
      <c r="E100" s="3" t="s">
        <v>41</v>
      </c>
      <c r="F100" s="9">
        <v>32</v>
      </c>
      <c r="G100" s="9">
        <f>IFERROR(VLOOKUP(F100,Sheet1!$B$15:$D$38,3,1),0)</f>
        <v>80</v>
      </c>
      <c r="H100" s="38">
        <f t="shared" si="7"/>
        <v>-24.5</v>
      </c>
      <c r="I100" s="38">
        <f t="shared" si="8"/>
        <v>-19.5</v>
      </c>
      <c r="J100" s="38">
        <f t="shared" si="9"/>
        <v>-12</v>
      </c>
      <c r="K100" s="38">
        <f t="shared" si="10"/>
        <v>-2</v>
      </c>
      <c r="L100" s="38">
        <f t="shared" si="11"/>
        <v>18</v>
      </c>
      <c r="M100" s="3" t="s">
        <v>2</v>
      </c>
      <c r="N100" s="3" t="s">
        <v>34</v>
      </c>
      <c r="O100" s="3" t="s">
        <v>432</v>
      </c>
      <c r="P100" s="4">
        <v>43293</v>
      </c>
    </row>
    <row r="101" spans="1:16" x14ac:dyDescent="0.2">
      <c r="A101" s="3" t="str">
        <f t="shared" si="6"/>
        <v>808926119023</v>
      </c>
      <c r="B101" s="16">
        <v>808926</v>
      </c>
      <c r="C101" s="16" t="s">
        <v>580</v>
      </c>
      <c r="D101" s="3">
        <v>119023</v>
      </c>
      <c r="E101" s="3" t="s">
        <v>41</v>
      </c>
      <c r="F101" s="9">
        <v>12.5</v>
      </c>
      <c r="G101" s="9">
        <f>IFERROR(VLOOKUP(F101,Sheet1!$B$15:$D$38,3,1),0)</f>
        <v>20</v>
      </c>
      <c r="H101" s="38">
        <f t="shared" si="7"/>
        <v>-5</v>
      </c>
      <c r="I101" s="38">
        <f t="shared" si="8"/>
        <v>0</v>
      </c>
      <c r="J101" s="38">
        <f t="shared" si="9"/>
        <v>7.5</v>
      </c>
      <c r="K101" s="38">
        <f t="shared" si="10"/>
        <v>17.5</v>
      </c>
      <c r="L101" s="38">
        <f t="shared" si="11"/>
        <v>37.5</v>
      </c>
      <c r="M101" s="3" t="s">
        <v>2</v>
      </c>
      <c r="N101" s="3" t="s">
        <v>34</v>
      </c>
      <c r="O101" s="3" t="s">
        <v>432</v>
      </c>
      <c r="P101" s="4">
        <v>43293</v>
      </c>
    </row>
    <row r="102" spans="1:16" x14ac:dyDescent="0.2">
      <c r="A102" s="3" t="str">
        <f t="shared" si="6"/>
        <v>813877119023</v>
      </c>
      <c r="B102" s="16">
        <v>813877</v>
      </c>
      <c r="C102" s="16" t="s">
        <v>454</v>
      </c>
      <c r="D102" s="1">
        <v>119023</v>
      </c>
      <c r="E102" s="3" t="s">
        <v>41</v>
      </c>
      <c r="F102" s="9">
        <v>0</v>
      </c>
      <c r="G102" s="9">
        <f>IFERROR(VLOOKUP(F102,Sheet1!$B$15:$D$38,3,1),0)</f>
        <v>0</v>
      </c>
      <c r="H102" s="38">
        <f t="shared" si="7"/>
        <v>7.5</v>
      </c>
      <c r="I102" s="38">
        <f t="shared" si="8"/>
        <v>12.5</v>
      </c>
      <c r="J102" s="38">
        <f t="shared" si="9"/>
        <v>20</v>
      </c>
      <c r="K102" s="38">
        <f t="shared" si="10"/>
        <v>30</v>
      </c>
      <c r="L102" s="38">
        <f t="shared" si="11"/>
        <v>50</v>
      </c>
      <c r="M102" s="3" t="s">
        <v>2</v>
      </c>
      <c r="N102" s="3" t="s">
        <v>34</v>
      </c>
      <c r="O102" s="3" t="s">
        <v>432</v>
      </c>
      <c r="P102" s="4">
        <v>44183</v>
      </c>
    </row>
    <row r="103" spans="1:16" x14ac:dyDescent="0.2">
      <c r="A103" s="3" t="str">
        <f t="shared" si="6"/>
        <v>814671119023</v>
      </c>
      <c r="B103" s="16">
        <v>814671</v>
      </c>
      <c r="C103" s="16" t="s">
        <v>42</v>
      </c>
      <c r="D103" s="1">
        <v>119023</v>
      </c>
      <c r="E103" s="3" t="s">
        <v>41</v>
      </c>
      <c r="F103" s="9">
        <v>52</v>
      </c>
      <c r="G103" s="9">
        <f>IFERROR(VLOOKUP(F103,Sheet1!$B$15:$D$38,3,1),0)</f>
        <v>160</v>
      </c>
      <c r="H103" s="38">
        <f t="shared" si="7"/>
        <v>-44.5</v>
      </c>
      <c r="I103" s="38">
        <f t="shared" si="8"/>
        <v>-39.5</v>
      </c>
      <c r="J103" s="38">
        <f t="shared" si="9"/>
        <v>-32</v>
      </c>
      <c r="K103" s="38">
        <f t="shared" si="10"/>
        <v>-22</v>
      </c>
      <c r="L103" s="38">
        <f t="shared" si="11"/>
        <v>-2</v>
      </c>
      <c r="M103" s="3" t="s">
        <v>2</v>
      </c>
      <c r="N103" s="3" t="s">
        <v>34</v>
      </c>
      <c r="O103" s="3" t="s">
        <v>432</v>
      </c>
      <c r="P103" s="4">
        <v>44257</v>
      </c>
    </row>
    <row r="104" spans="1:16" x14ac:dyDescent="0.2">
      <c r="A104" s="3" t="str">
        <f t="shared" si="6"/>
        <v>814733119023</v>
      </c>
      <c r="B104" s="16">
        <v>814733</v>
      </c>
      <c r="C104" s="16" t="s">
        <v>173</v>
      </c>
      <c r="D104" s="1">
        <v>119023</v>
      </c>
      <c r="E104" s="3" t="s">
        <v>41</v>
      </c>
      <c r="F104" s="9">
        <v>52.5</v>
      </c>
      <c r="G104" s="9">
        <f>IFERROR(VLOOKUP(F104,Sheet1!$B$15:$D$38,3,1),0)</f>
        <v>160</v>
      </c>
      <c r="H104" s="38">
        <f t="shared" si="7"/>
        <v>-45</v>
      </c>
      <c r="I104" s="38">
        <f t="shared" si="8"/>
        <v>-40</v>
      </c>
      <c r="J104" s="38">
        <f t="shared" si="9"/>
        <v>-32.5</v>
      </c>
      <c r="K104" s="38">
        <f t="shared" si="10"/>
        <v>-22.5</v>
      </c>
      <c r="L104" s="38">
        <f t="shared" si="11"/>
        <v>-2.5</v>
      </c>
      <c r="M104" s="3" t="s">
        <v>2</v>
      </c>
      <c r="N104" s="3" t="s">
        <v>34</v>
      </c>
      <c r="O104" s="3" t="s">
        <v>432</v>
      </c>
      <c r="P104" s="4">
        <v>44266</v>
      </c>
    </row>
    <row r="105" spans="1:16" x14ac:dyDescent="0.2">
      <c r="A105" s="3" t="str">
        <f t="shared" si="6"/>
        <v>801588119047</v>
      </c>
      <c r="B105" s="16">
        <v>801588</v>
      </c>
      <c r="C105" s="16" t="s">
        <v>51</v>
      </c>
      <c r="D105" s="1">
        <v>119047</v>
      </c>
      <c r="E105" s="3" t="s">
        <v>50</v>
      </c>
      <c r="F105" s="9">
        <v>82</v>
      </c>
      <c r="G105" s="9">
        <f>IFERROR(VLOOKUP(F105,Sheet1!$B$15:$D$38,3,1),0)</f>
        <v>160</v>
      </c>
      <c r="H105" s="38">
        <f t="shared" si="7"/>
        <v>-74.5</v>
      </c>
      <c r="I105" s="38">
        <f t="shared" si="8"/>
        <v>-69.5</v>
      </c>
      <c r="J105" s="38">
        <f t="shared" si="9"/>
        <v>-62</v>
      </c>
      <c r="K105" s="38">
        <f t="shared" si="10"/>
        <v>-52</v>
      </c>
      <c r="L105" s="38">
        <f t="shared" si="11"/>
        <v>-32</v>
      </c>
      <c r="M105" s="3" t="s">
        <v>2</v>
      </c>
      <c r="N105" s="3" t="s">
        <v>34</v>
      </c>
      <c r="O105" s="3" t="s">
        <v>432</v>
      </c>
      <c r="P105" s="4">
        <v>41271</v>
      </c>
    </row>
    <row r="106" spans="1:16" x14ac:dyDescent="0.2">
      <c r="A106" s="3" t="str">
        <f t="shared" si="6"/>
        <v>801589119047</v>
      </c>
      <c r="B106" s="16">
        <v>801589</v>
      </c>
      <c r="C106" s="16" t="s">
        <v>55</v>
      </c>
      <c r="D106" s="1">
        <v>119047</v>
      </c>
      <c r="E106" s="3" t="s">
        <v>50</v>
      </c>
      <c r="F106" s="9">
        <v>12</v>
      </c>
      <c r="G106" s="9">
        <f>IFERROR(VLOOKUP(F106,Sheet1!$B$15:$D$38,3,1),0)</f>
        <v>10</v>
      </c>
      <c r="H106" s="38">
        <f t="shared" si="7"/>
        <v>-4.5</v>
      </c>
      <c r="I106" s="38">
        <f t="shared" si="8"/>
        <v>0.5</v>
      </c>
      <c r="J106" s="38">
        <f t="shared" si="9"/>
        <v>8</v>
      </c>
      <c r="K106" s="38">
        <f t="shared" si="10"/>
        <v>18</v>
      </c>
      <c r="L106" s="38">
        <f t="shared" si="11"/>
        <v>38</v>
      </c>
      <c r="M106" s="3" t="s">
        <v>2</v>
      </c>
      <c r="N106" s="3" t="s">
        <v>34</v>
      </c>
      <c r="O106" s="3" t="s">
        <v>432</v>
      </c>
      <c r="P106" s="4">
        <v>41271</v>
      </c>
    </row>
    <row r="107" spans="1:16" x14ac:dyDescent="0.2">
      <c r="A107" s="3" t="str">
        <f t="shared" si="6"/>
        <v>801590119047</v>
      </c>
      <c r="B107" s="16">
        <v>801590</v>
      </c>
      <c r="C107" s="16" t="s">
        <v>179</v>
      </c>
      <c r="D107" s="1">
        <v>119047</v>
      </c>
      <c r="E107" s="3" t="s">
        <v>50</v>
      </c>
      <c r="F107" s="9">
        <v>40</v>
      </c>
      <c r="G107" s="9">
        <f>IFERROR(VLOOKUP(F107,Sheet1!$B$15:$D$38,3,1),0)</f>
        <v>80</v>
      </c>
      <c r="H107" s="38">
        <f t="shared" si="7"/>
        <v>-32.5</v>
      </c>
      <c r="I107" s="38">
        <f t="shared" si="8"/>
        <v>-27.5</v>
      </c>
      <c r="J107" s="38">
        <f t="shared" si="9"/>
        <v>-20</v>
      </c>
      <c r="K107" s="38">
        <f t="shared" si="10"/>
        <v>-10</v>
      </c>
      <c r="L107" s="38">
        <f t="shared" si="11"/>
        <v>10</v>
      </c>
      <c r="M107" s="3" t="s">
        <v>2</v>
      </c>
      <c r="N107" s="3" t="s">
        <v>34</v>
      </c>
      <c r="O107" s="3" t="s">
        <v>432</v>
      </c>
      <c r="P107" s="4">
        <v>41271</v>
      </c>
    </row>
    <row r="108" spans="1:16" x14ac:dyDescent="0.2">
      <c r="A108" s="3" t="str">
        <f t="shared" si="6"/>
        <v>806926119047</v>
      </c>
      <c r="B108" s="16">
        <v>806926</v>
      </c>
      <c r="C108" s="16" t="s">
        <v>186</v>
      </c>
      <c r="D108" s="1">
        <v>119047</v>
      </c>
      <c r="E108" s="3" t="s">
        <v>50</v>
      </c>
      <c r="F108" s="9">
        <v>0</v>
      </c>
      <c r="G108" s="9">
        <f>IFERROR(VLOOKUP(F108,Sheet1!$B$15:$D$38,3,1),0)</f>
        <v>0</v>
      </c>
      <c r="H108" s="38">
        <f t="shared" si="7"/>
        <v>7.5</v>
      </c>
      <c r="I108" s="38">
        <f t="shared" si="8"/>
        <v>12.5</v>
      </c>
      <c r="J108" s="38">
        <f t="shared" si="9"/>
        <v>20</v>
      </c>
      <c r="K108" s="38">
        <f t="shared" si="10"/>
        <v>30</v>
      </c>
      <c r="L108" s="38">
        <f t="shared" si="11"/>
        <v>50</v>
      </c>
      <c r="M108" s="3" t="s">
        <v>2</v>
      </c>
      <c r="N108" s="3" t="s">
        <v>34</v>
      </c>
      <c r="O108" s="3" t="s">
        <v>432</v>
      </c>
      <c r="P108" s="4">
        <v>43004</v>
      </c>
    </row>
    <row r="109" spans="1:16" x14ac:dyDescent="0.2">
      <c r="A109" s="3" t="str">
        <f t="shared" si="6"/>
        <v>815576119047</v>
      </c>
      <c r="B109" s="16">
        <v>815576</v>
      </c>
      <c r="C109" s="16" t="s">
        <v>492</v>
      </c>
      <c r="D109" s="3">
        <v>119047</v>
      </c>
      <c r="E109" s="3" t="s">
        <v>50</v>
      </c>
      <c r="F109" s="9">
        <v>30</v>
      </c>
      <c r="G109" s="9">
        <f>IFERROR(VLOOKUP(F109,Sheet1!$B$15:$D$38,3,1),0)</f>
        <v>80</v>
      </c>
      <c r="H109" s="38">
        <f t="shared" si="7"/>
        <v>-22.5</v>
      </c>
      <c r="I109" s="38">
        <f t="shared" si="8"/>
        <v>-17.5</v>
      </c>
      <c r="J109" s="38">
        <f t="shared" si="9"/>
        <v>-10</v>
      </c>
      <c r="K109" s="38">
        <f t="shared" si="10"/>
        <v>0</v>
      </c>
      <c r="L109" s="38">
        <f t="shared" si="11"/>
        <v>20</v>
      </c>
      <c r="M109" s="3" t="s">
        <v>2</v>
      </c>
      <c r="N109" s="3" t="s">
        <v>34</v>
      </c>
      <c r="O109" s="3" t="s">
        <v>432</v>
      </c>
      <c r="P109" s="4">
        <v>44398</v>
      </c>
    </row>
    <row r="110" spans="1:16" x14ac:dyDescent="0.2">
      <c r="A110" s="3" t="str">
        <f t="shared" si="6"/>
        <v>816352119047</v>
      </c>
      <c r="B110" s="16">
        <v>816352</v>
      </c>
      <c r="C110" s="16" t="s">
        <v>187</v>
      </c>
      <c r="D110" s="3">
        <v>119047</v>
      </c>
      <c r="E110" s="3" t="s">
        <v>50</v>
      </c>
      <c r="F110" s="9">
        <v>12</v>
      </c>
      <c r="G110" s="9">
        <f>IFERROR(VLOOKUP(F110,Sheet1!$B$15:$D$38,3,1),0)</f>
        <v>10</v>
      </c>
      <c r="H110" s="38">
        <f t="shared" si="7"/>
        <v>-4.5</v>
      </c>
      <c r="I110" s="38">
        <f t="shared" si="8"/>
        <v>0.5</v>
      </c>
      <c r="J110" s="38">
        <f t="shared" si="9"/>
        <v>8</v>
      </c>
      <c r="K110" s="38">
        <f t="shared" si="10"/>
        <v>18</v>
      </c>
      <c r="L110" s="38">
        <f t="shared" si="11"/>
        <v>38</v>
      </c>
      <c r="M110" s="3" t="s">
        <v>2</v>
      </c>
      <c r="N110" s="3" t="s">
        <v>34</v>
      </c>
      <c r="O110" s="3" t="s">
        <v>432</v>
      </c>
      <c r="P110" s="4">
        <v>44455</v>
      </c>
    </row>
    <row r="111" spans="1:16" x14ac:dyDescent="0.2">
      <c r="A111" s="3" t="str">
        <f t="shared" si="6"/>
        <v>816534119047</v>
      </c>
      <c r="B111" s="16">
        <v>816534</v>
      </c>
      <c r="C111" s="16" t="s">
        <v>567</v>
      </c>
      <c r="D111" s="3">
        <v>119047</v>
      </c>
      <c r="E111" s="3" t="s">
        <v>50</v>
      </c>
      <c r="F111" s="9">
        <v>52</v>
      </c>
      <c r="G111" s="9">
        <f>IFERROR(VLOOKUP(F111,Sheet1!$B$15:$D$38,3,1),0)</f>
        <v>160</v>
      </c>
      <c r="H111" s="38">
        <f t="shared" si="7"/>
        <v>-44.5</v>
      </c>
      <c r="I111" s="38">
        <f t="shared" si="8"/>
        <v>-39.5</v>
      </c>
      <c r="J111" s="38">
        <f t="shared" si="9"/>
        <v>-32</v>
      </c>
      <c r="K111" s="38">
        <f t="shared" si="10"/>
        <v>-22</v>
      </c>
      <c r="L111" s="38">
        <f t="shared" si="11"/>
        <v>-2</v>
      </c>
      <c r="M111" s="3" t="s">
        <v>2</v>
      </c>
      <c r="N111" s="3" t="s">
        <v>34</v>
      </c>
      <c r="O111" s="3" t="s">
        <v>432</v>
      </c>
      <c r="P111" s="4">
        <v>44466</v>
      </c>
    </row>
    <row r="112" spans="1:16" x14ac:dyDescent="0.2">
      <c r="A112" s="3" t="str">
        <f t="shared" si="6"/>
        <v>803820129599</v>
      </c>
      <c r="B112" s="16">
        <v>803820</v>
      </c>
      <c r="C112" s="16" t="s">
        <v>26</v>
      </c>
      <c r="D112" s="1">
        <v>129599</v>
      </c>
      <c r="E112" s="3" t="s">
        <v>25</v>
      </c>
      <c r="F112" s="9">
        <v>5</v>
      </c>
      <c r="G112" s="9">
        <f>IFERROR(VLOOKUP(F112,Sheet1!$B$15:$D$38,3,1),0)</f>
        <v>0</v>
      </c>
      <c r="H112" s="38">
        <f t="shared" si="7"/>
        <v>2.5</v>
      </c>
      <c r="I112" s="38">
        <f t="shared" si="8"/>
        <v>7.5</v>
      </c>
      <c r="J112" s="38">
        <f t="shared" si="9"/>
        <v>15</v>
      </c>
      <c r="K112" s="38">
        <f t="shared" si="10"/>
        <v>25</v>
      </c>
      <c r="L112" s="38">
        <f t="shared" si="11"/>
        <v>45</v>
      </c>
      <c r="M112" s="3" t="s">
        <v>2</v>
      </c>
      <c r="N112" s="3" t="s">
        <v>34</v>
      </c>
      <c r="O112" s="3" t="s">
        <v>432</v>
      </c>
      <c r="P112" s="4">
        <v>42032</v>
      </c>
    </row>
    <row r="113" spans="1:16" x14ac:dyDescent="0.2">
      <c r="A113" s="3" t="str">
        <f t="shared" si="6"/>
        <v>812741129599</v>
      </c>
      <c r="B113" s="16">
        <v>812741</v>
      </c>
      <c r="C113" s="16" t="s">
        <v>32</v>
      </c>
      <c r="D113" s="1">
        <v>129599</v>
      </c>
      <c r="E113" s="3" t="s">
        <v>25</v>
      </c>
      <c r="F113" s="9">
        <v>5</v>
      </c>
      <c r="G113" s="9">
        <f>IFERROR(VLOOKUP(F113,Sheet1!$B$15:$D$38,3,1),0)</f>
        <v>0</v>
      </c>
      <c r="H113" s="38">
        <f t="shared" si="7"/>
        <v>2.5</v>
      </c>
      <c r="I113" s="38">
        <f t="shared" si="8"/>
        <v>7.5</v>
      </c>
      <c r="J113" s="38">
        <f t="shared" si="9"/>
        <v>15</v>
      </c>
      <c r="K113" s="38">
        <f t="shared" si="10"/>
        <v>25</v>
      </c>
      <c r="L113" s="38">
        <f t="shared" si="11"/>
        <v>45</v>
      </c>
      <c r="M113" s="3" t="s">
        <v>2</v>
      </c>
      <c r="N113" s="3" t="s">
        <v>34</v>
      </c>
      <c r="O113" s="3" t="s">
        <v>432</v>
      </c>
      <c r="P113" s="4">
        <v>44075</v>
      </c>
    </row>
    <row r="114" spans="1:16" x14ac:dyDescent="0.2">
      <c r="A114" s="3" t="str">
        <f t="shared" si="6"/>
        <v>802165143531</v>
      </c>
      <c r="B114" s="16">
        <v>802165</v>
      </c>
      <c r="C114" s="16" t="s">
        <v>182</v>
      </c>
      <c r="D114" s="1">
        <v>143531</v>
      </c>
      <c r="E114" s="3" t="s">
        <v>181</v>
      </c>
      <c r="F114" s="9">
        <v>0</v>
      </c>
      <c r="G114" s="9">
        <f>IFERROR(VLOOKUP(F114,Sheet1!$B$15:$D$38,3,1),0)</f>
        <v>0</v>
      </c>
      <c r="H114" s="38">
        <f t="shared" si="7"/>
        <v>7.5</v>
      </c>
      <c r="I114" s="38">
        <f t="shared" si="8"/>
        <v>12.5</v>
      </c>
      <c r="J114" s="38">
        <f t="shared" si="9"/>
        <v>20</v>
      </c>
      <c r="K114" s="38">
        <f t="shared" si="10"/>
        <v>30</v>
      </c>
      <c r="L114" s="38">
        <f t="shared" si="11"/>
        <v>50</v>
      </c>
      <c r="M114" s="3" t="s">
        <v>2</v>
      </c>
      <c r="N114" s="3" t="s">
        <v>34</v>
      </c>
      <c r="O114" s="3" t="s">
        <v>432</v>
      </c>
      <c r="P114" s="4">
        <v>41461</v>
      </c>
    </row>
    <row r="115" spans="1:16" x14ac:dyDescent="0.2">
      <c r="A115" s="3" t="str">
        <f t="shared" si="6"/>
        <v>802918143531</v>
      </c>
      <c r="B115" s="16">
        <v>802918</v>
      </c>
      <c r="C115" s="16" t="s">
        <v>225</v>
      </c>
      <c r="D115" s="1">
        <v>143531</v>
      </c>
      <c r="E115" s="3" t="s">
        <v>181</v>
      </c>
      <c r="F115" s="9">
        <v>13</v>
      </c>
      <c r="G115" s="9">
        <f>IFERROR(VLOOKUP(F115,Sheet1!$B$15:$D$38,3,1),0)</f>
        <v>20</v>
      </c>
      <c r="H115" s="38">
        <f t="shared" si="7"/>
        <v>-5.5</v>
      </c>
      <c r="I115" s="38">
        <f t="shared" si="8"/>
        <v>-0.5</v>
      </c>
      <c r="J115" s="38">
        <f t="shared" si="9"/>
        <v>7</v>
      </c>
      <c r="K115" s="38">
        <f t="shared" si="10"/>
        <v>17</v>
      </c>
      <c r="L115" s="38">
        <f t="shared" si="11"/>
        <v>37</v>
      </c>
      <c r="M115" s="3" t="s">
        <v>2</v>
      </c>
      <c r="N115" s="3" t="s">
        <v>34</v>
      </c>
      <c r="O115" s="3" t="s">
        <v>432</v>
      </c>
      <c r="P115" s="4">
        <v>41535</v>
      </c>
    </row>
    <row r="116" spans="1:16" x14ac:dyDescent="0.2">
      <c r="A116" s="3" t="str">
        <f t="shared" si="6"/>
        <v>812299143531</v>
      </c>
      <c r="B116" s="16">
        <v>812299</v>
      </c>
      <c r="C116" s="16" t="s">
        <v>185</v>
      </c>
      <c r="D116" s="1">
        <v>143531</v>
      </c>
      <c r="E116" s="3" t="s">
        <v>181</v>
      </c>
      <c r="F116" s="9">
        <v>0</v>
      </c>
      <c r="G116" s="9">
        <f>IFERROR(VLOOKUP(F116,Sheet1!$B$15:$D$38,3,1),0)</f>
        <v>0</v>
      </c>
      <c r="H116" s="38">
        <f t="shared" si="7"/>
        <v>7.5</v>
      </c>
      <c r="I116" s="38">
        <f t="shared" si="8"/>
        <v>12.5</v>
      </c>
      <c r="J116" s="38">
        <f t="shared" si="9"/>
        <v>20</v>
      </c>
      <c r="K116" s="38">
        <f t="shared" si="10"/>
        <v>30</v>
      </c>
      <c r="L116" s="38">
        <f t="shared" si="11"/>
        <v>50</v>
      </c>
      <c r="M116" s="3" t="s">
        <v>2</v>
      </c>
      <c r="N116" s="3" t="s">
        <v>34</v>
      </c>
      <c r="O116" s="3" t="s">
        <v>432</v>
      </c>
      <c r="P116" s="4">
        <v>44033</v>
      </c>
    </row>
    <row r="117" spans="1:16" x14ac:dyDescent="0.2">
      <c r="A117" s="3" t="str">
        <f t="shared" si="6"/>
        <v>815440144996</v>
      </c>
      <c r="B117" s="16">
        <v>815440</v>
      </c>
      <c r="C117" s="16" t="s">
        <v>485</v>
      </c>
      <c r="D117" s="3">
        <v>144996</v>
      </c>
      <c r="E117" s="3" t="s">
        <v>486</v>
      </c>
      <c r="F117" s="9">
        <v>21</v>
      </c>
      <c r="G117" s="9">
        <f>IFERROR(VLOOKUP(F117,Sheet1!$B$15:$D$38,3,1),0)</f>
        <v>40</v>
      </c>
      <c r="H117" s="38">
        <f t="shared" si="7"/>
        <v>-13.5</v>
      </c>
      <c r="I117" s="38">
        <f t="shared" si="8"/>
        <v>-8.5</v>
      </c>
      <c r="J117" s="38">
        <f t="shared" si="9"/>
        <v>-1</v>
      </c>
      <c r="K117" s="38">
        <f t="shared" si="10"/>
        <v>9</v>
      </c>
      <c r="L117" s="38">
        <f t="shared" si="11"/>
        <v>29</v>
      </c>
      <c r="M117" s="3" t="s">
        <v>2</v>
      </c>
      <c r="N117" s="3" t="s">
        <v>34</v>
      </c>
      <c r="O117" s="3" t="s">
        <v>432</v>
      </c>
      <c r="P117" s="4">
        <v>44386</v>
      </c>
    </row>
    <row r="118" spans="1:16" x14ac:dyDescent="0.2">
      <c r="A118" s="3" t="str">
        <f t="shared" si="6"/>
        <v>813154170708</v>
      </c>
      <c r="B118" s="16">
        <v>813154</v>
      </c>
      <c r="C118" s="16" t="s">
        <v>216</v>
      </c>
      <c r="D118" s="1">
        <v>170708</v>
      </c>
      <c r="E118" s="3" t="s">
        <v>183</v>
      </c>
      <c r="F118" s="9">
        <v>0</v>
      </c>
      <c r="G118" s="9">
        <f>IFERROR(VLOOKUP(F118,Sheet1!$B$15:$D$38,3,1),0)</f>
        <v>0</v>
      </c>
      <c r="H118" s="38">
        <f t="shared" si="7"/>
        <v>7.5</v>
      </c>
      <c r="I118" s="38">
        <f t="shared" si="8"/>
        <v>12.5</v>
      </c>
      <c r="J118" s="38">
        <f t="shared" si="9"/>
        <v>20</v>
      </c>
      <c r="K118" s="38">
        <f t="shared" si="10"/>
        <v>30</v>
      </c>
      <c r="L118" s="38">
        <f t="shared" si="11"/>
        <v>50</v>
      </c>
      <c r="M118" s="3" t="s">
        <v>2</v>
      </c>
      <c r="N118" s="3" t="s">
        <v>34</v>
      </c>
      <c r="O118" s="3" t="s">
        <v>432</v>
      </c>
      <c r="P118" s="4">
        <v>44105</v>
      </c>
    </row>
    <row r="119" spans="1:16" x14ac:dyDescent="0.2">
      <c r="A119" s="3" t="str">
        <f t="shared" si="6"/>
        <v>816555170708</v>
      </c>
      <c r="B119" s="16">
        <v>816555</v>
      </c>
      <c r="C119" s="16" t="s">
        <v>560</v>
      </c>
      <c r="D119" s="3">
        <v>170708</v>
      </c>
      <c r="E119" s="3" t="s">
        <v>183</v>
      </c>
      <c r="F119" s="9">
        <v>42</v>
      </c>
      <c r="G119" s="9">
        <f>IFERROR(VLOOKUP(F119,Sheet1!$B$15:$D$38,3,1),0)</f>
        <v>80</v>
      </c>
      <c r="H119" s="38">
        <f t="shared" si="7"/>
        <v>-34.5</v>
      </c>
      <c r="I119" s="38">
        <f t="shared" si="8"/>
        <v>-29.5</v>
      </c>
      <c r="J119" s="38">
        <f t="shared" si="9"/>
        <v>-22</v>
      </c>
      <c r="K119" s="38">
        <f t="shared" si="10"/>
        <v>-12</v>
      </c>
      <c r="L119" s="38">
        <f t="shared" si="11"/>
        <v>8</v>
      </c>
      <c r="M119" s="3" t="s">
        <v>2</v>
      </c>
      <c r="N119" s="3" t="s">
        <v>34</v>
      </c>
      <c r="O119" s="3" t="s">
        <v>432</v>
      </c>
      <c r="P119" s="4">
        <v>44467</v>
      </c>
    </row>
    <row r="120" spans="1:16" x14ac:dyDescent="0.2">
      <c r="A120" s="3" t="str">
        <f t="shared" si="6"/>
        <v>816742170708</v>
      </c>
      <c r="B120" s="16">
        <v>816742</v>
      </c>
      <c r="C120" s="16" t="s">
        <v>584</v>
      </c>
      <c r="D120" s="3">
        <v>170708</v>
      </c>
      <c r="E120" s="3" t="s">
        <v>183</v>
      </c>
      <c r="F120" s="9">
        <v>0</v>
      </c>
      <c r="G120" s="9">
        <f>IFERROR(VLOOKUP(F120,Sheet1!$B$15:$D$38,3,1),0)</f>
        <v>0</v>
      </c>
      <c r="H120" s="38">
        <f t="shared" si="7"/>
        <v>7.5</v>
      </c>
      <c r="I120" s="38">
        <f t="shared" si="8"/>
        <v>12.5</v>
      </c>
      <c r="J120" s="38">
        <f t="shared" si="9"/>
        <v>20</v>
      </c>
      <c r="K120" s="38">
        <f t="shared" si="10"/>
        <v>30</v>
      </c>
      <c r="L120" s="38">
        <f t="shared" si="11"/>
        <v>50</v>
      </c>
      <c r="M120" s="3" t="s">
        <v>2</v>
      </c>
      <c r="N120" s="3" t="s">
        <v>34</v>
      </c>
      <c r="O120" s="3" t="s">
        <v>432</v>
      </c>
      <c r="P120" s="4">
        <v>44484</v>
      </c>
    </row>
    <row r="121" spans="1:16" x14ac:dyDescent="0.2">
      <c r="A121" s="3" t="str">
        <f t="shared" si="6"/>
        <v>814749171469</v>
      </c>
      <c r="B121" s="16">
        <v>814749</v>
      </c>
      <c r="C121" s="16" t="s">
        <v>96</v>
      </c>
      <c r="D121" s="1">
        <v>171469</v>
      </c>
      <c r="E121" s="3" t="s">
        <v>95</v>
      </c>
      <c r="F121" s="9">
        <v>42</v>
      </c>
      <c r="G121" s="9">
        <f>IFERROR(VLOOKUP(F121,Sheet1!$B$15:$D$38,3,1),0)</f>
        <v>80</v>
      </c>
      <c r="H121" s="38">
        <f t="shared" si="7"/>
        <v>-34.5</v>
      </c>
      <c r="I121" s="38">
        <f t="shared" si="8"/>
        <v>-29.5</v>
      </c>
      <c r="J121" s="38">
        <f t="shared" si="9"/>
        <v>-22</v>
      </c>
      <c r="K121" s="38">
        <f t="shared" si="10"/>
        <v>-12</v>
      </c>
      <c r="L121" s="38">
        <f t="shared" si="11"/>
        <v>8</v>
      </c>
      <c r="M121" s="3" t="s">
        <v>2</v>
      </c>
      <c r="N121" s="3" t="s">
        <v>34</v>
      </c>
      <c r="O121" s="3" t="s">
        <v>432</v>
      </c>
      <c r="P121" s="4">
        <v>44268</v>
      </c>
    </row>
    <row r="122" spans="1:16" x14ac:dyDescent="0.2">
      <c r="A122" s="3" t="str">
        <f t="shared" si="6"/>
        <v>807002171479</v>
      </c>
      <c r="B122" s="16">
        <v>807002</v>
      </c>
      <c r="C122" s="16" t="s">
        <v>100</v>
      </c>
      <c r="D122" s="1">
        <v>171479</v>
      </c>
      <c r="E122" s="3" t="s">
        <v>98</v>
      </c>
      <c r="F122" s="9">
        <v>12.5</v>
      </c>
      <c r="G122" s="9">
        <f>IFERROR(VLOOKUP(F122,Sheet1!$B$15:$D$38,3,1),0)</f>
        <v>20</v>
      </c>
      <c r="H122" s="38">
        <f t="shared" si="7"/>
        <v>-5</v>
      </c>
      <c r="I122" s="38">
        <f t="shared" si="8"/>
        <v>0</v>
      </c>
      <c r="J122" s="38">
        <f t="shared" si="9"/>
        <v>7.5</v>
      </c>
      <c r="K122" s="38">
        <f t="shared" si="10"/>
        <v>17.5</v>
      </c>
      <c r="L122" s="38">
        <f t="shared" si="11"/>
        <v>37.5</v>
      </c>
      <c r="M122" s="3" t="s">
        <v>2</v>
      </c>
      <c r="N122" s="3" t="s">
        <v>34</v>
      </c>
      <c r="O122" s="3" t="s">
        <v>432</v>
      </c>
      <c r="P122" s="4">
        <v>43033</v>
      </c>
    </row>
    <row r="123" spans="1:16" x14ac:dyDescent="0.2">
      <c r="A123" s="3" t="str">
        <f t="shared" si="6"/>
        <v>814499171479</v>
      </c>
      <c r="B123" s="16">
        <v>814499</v>
      </c>
      <c r="C123" s="16" t="s">
        <v>99</v>
      </c>
      <c r="D123" s="1">
        <v>171479</v>
      </c>
      <c r="E123" s="3" t="s">
        <v>98</v>
      </c>
      <c r="F123" s="9">
        <v>12.5</v>
      </c>
      <c r="G123" s="9">
        <f>IFERROR(VLOOKUP(F123,Sheet1!$B$15:$D$38,3,1),0)</f>
        <v>20</v>
      </c>
      <c r="H123" s="38">
        <f t="shared" si="7"/>
        <v>-5</v>
      </c>
      <c r="I123" s="38">
        <f t="shared" si="8"/>
        <v>0</v>
      </c>
      <c r="J123" s="38">
        <f t="shared" si="9"/>
        <v>7.5</v>
      </c>
      <c r="K123" s="38">
        <f t="shared" si="10"/>
        <v>17.5</v>
      </c>
      <c r="L123" s="38">
        <f t="shared" si="11"/>
        <v>37.5</v>
      </c>
      <c r="M123" s="3" t="s">
        <v>2</v>
      </c>
      <c r="N123" s="3" t="s">
        <v>34</v>
      </c>
      <c r="O123" s="3" t="s">
        <v>432</v>
      </c>
      <c r="P123" s="4">
        <v>44243</v>
      </c>
    </row>
    <row r="124" spans="1:16" x14ac:dyDescent="0.2">
      <c r="A124" s="3" t="str">
        <f t="shared" si="6"/>
        <v>817352171479</v>
      </c>
      <c r="B124" s="16">
        <v>817352</v>
      </c>
      <c r="C124" s="16" t="s">
        <v>617</v>
      </c>
      <c r="D124" s="3">
        <v>171479</v>
      </c>
      <c r="E124" s="3" t="s">
        <v>98</v>
      </c>
      <c r="F124" s="9">
        <v>0</v>
      </c>
      <c r="G124" s="9">
        <f>IFERROR(VLOOKUP(F124,Sheet1!$B$15:$D$38,3,1),0)</f>
        <v>0</v>
      </c>
      <c r="H124" s="38">
        <f t="shared" si="7"/>
        <v>7.5</v>
      </c>
      <c r="I124" s="38">
        <f t="shared" si="8"/>
        <v>12.5</v>
      </c>
      <c r="J124" s="38">
        <f t="shared" si="9"/>
        <v>20</v>
      </c>
      <c r="K124" s="38">
        <f t="shared" si="10"/>
        <v>30</v>
      </c>
      <c r="L124" s="38">
        <f t="shared" si="11"/>
        <v>50</v>
      </c>
      <c r="M124" s="3" t="s">
        <v>2</v>
      </c>
      <c r="N124" s="3" t="s">
        <v>34</v>
      </c>
      <c r="O124" s="3" t="s">
        <v>630</v>
      </c>
      <c r="P124" s="4">
        <v>44547</v>
      </c>
    </row>
    <row r="125" spans="1:16" x14ac:dyDescent="0.2">
      <c r="A125" s="3" t="str">
        <f t="shared" si="6"/>
        <v>813385175392</v>
      </c>
      <c r="B125" s="16">
        <v>813385</v>
      </c>
      <c r="C125" s="16" t="s">
        <v>118</v>
      </c>
      <c r="D125" s="1">
        <v>175392</v>
      </c>
      <c r="E125" s="3" t="s">
        <v>117</v>
      </c>
      <c r="F125" s="9">
        <v>42</v>
      </c>
      <c r="G125" s="9">
        <f>IFERROR(VLOOKUP(F125,Sheet1!$B$15:$D$38,3,1),0)</f>
        <v>80</v>
      </c>
      <c r="H125" s="38">
        <f t="shared" si="7"/>
        <v>-34.5</v>
      </c>
      <c r="I125" s="38">
        <f t="shared" si="8"/>
        <v>-29.5</v>
      </c>
      <c r="J125" s="38">
        <f t="shared" si="9"/>
        <v>-22</v>
      </c>
      <c r="K125" s="38">
        <f t="shared" si="10"/>
        <v>-12</v>
      </c>
      <c r="L125" s="38">
        <f t="shared" si="11"/>
        <v>8</v>
      </c>
      <c r="M125" s="3" t="s">
        <v>2</v>
      </c>
      <c r="N125" s="3" t="s">
        <v>34</v>
      </c>
      <c r="O125" s="3" t="s">
        <v>432</v>
      </c>
      <c r="P125" s="4">
        <v>44128</v>
      </c>
    </row>
    <row r="126" spans="1:16" x14ac:dyDescent="0.2">
      <c r="A126" s="3" t="str">
        <f t="shared" si="6"/>
        <v>816437177245</v>
      </c>
      <c r="B126" s="16">
        <v>816437</v>
      </c>
      <c r="C126" s="16" t="s">
        <v>583</v>
      </c>
      <c r="D126" s="3">
        <v>177245</v>
      </c>
      <c r="E126" s="3" t="s">
        <v>519</v>
      </c>
      <c r="F126" s="9">
        <v>0</v>
      </c>
      <c r="G126" s="9">
        <f>IFERROR(VLOOKUP(F126,Sheet1!$B$15:$D$38,3,1),0)</f>
        <v>0</v>
      </c>
      <c r="H126" s="38">
        <f t="shared" si="7"/>
        <v>7.5</v>
      </c>
      <c r="I126" s="38">
        <f t="shared" si="8"/>
        <v>12.5</v>
      </c>
      <c r="J126" s="38">
        <f t="shared" si="9"/>
        <v>20</v>
      </c>
      <c r="K126" s="38">
        <f t="shared" si="10"/>
        <v>30</v>
      </c>
      <c r="L126" s="38">
        <f t="shared" si="11"/>
        <v>50</v>
      </c>
      <c r="M126" s="3" t="s">
        <v>2</v>
      </c>
      <c r="N126" s="3" t="s">
        <v>34</v>
      </c>
      <c r="O126" s="3" t="s">
        <v>432</v>
      </c>
      <c r="P126" s="4">
        <v>44461</v>
      </c>
    </row>
    <row r="127" spans="1:16" x14ac:dyDescent="0.2">
      <c r="A127" s="3" t="str">
        <f t="shared" si="6"/>
        <v>806754177450</v>
      </c>
      <c r="B127" s="16">
        <v>806754</v>
      </c>
      <c r="C127" s="16" t="s">
        <v>337</v>
      </c>
      <c r="D127" s="1">
        <v>177450</v>
      </c>
      <c r="E127" s="3" t="s">
        <v>322</v>
      </c>
      <c r="F127" s="9">
        <v>0</v>
      </c>
      <c r="G127" s="9">
        <f>IFERROR(VLOOKUP(F127,Sheet1!$B$15:$D$38,3,1),0)</f>
        <v>0</v>
      </c>
      <c r="H127" s="38">
        <f t="shared" si="7"/>
        <v>7.5</v>
      </c>
      <c r="I127" s="38">
        <f t="shared" si="8"/>
        <v>12.5</v>
      </c>
      <c r="J127" s="38">
        <f t="shared" si="9"/>
        <v>20</v>
      </c>
      <c r="K127" s="38">
        <f t="shared" si="10"/>
        <v>30</v>
      </c>
      <c r="L127" s="38">
        <f t="shared" si="11"/>
        <v>50</v>
      </c>
      <c r="M127" s="3" t="s">
        <v>2</v>
      </c>
      <c r="N127" s="3" t="s">
        <v>34</v>
      </c>
      <c r="O127" s="3" t="s">
        <v>432</v>
      </c>
      <c r="P127" s="4">
        <v>42895</v>
      </c>
    </row>
    <row r="128" spans="1:16" x14ac:dyDescent="0.2">
      <c r="A128" s="3" t="str">
        <f t="shared" si="6"/>
        <v>812944177829</v>
      </c>
      <c r="B128" s="16">
        <v>812944</v>
      </c>
      <c r="C128" s="16" t="s">
        <v>170</v>
      </c>
      <c r="D128" s="1">
        <v>177829</v>
      </c>
      <c r="E128" s="3" t="s">
        <v>92</v>
      </c>
      <c r="F128" s="9">
        <v>0</v>
      </c>
      <c r="G128" s="9">
        <f>IFERROR(VLOOKUP(F128,Sheet1!$B$15:$D$38,3,1),0)</f>
        <v>0</v>
      </c>
      <c r="H128" s="38">
        <f t="shared" si="7"/>
        <v>7.5</v>
      </c>
      <c r="I128" s="38">
        <f t="shared" si="8"/>
        <v>12.5</v>
      </c>
      <c r="J128" s="38">
        <f t="shared" si="9"/>
        <v>20</v>
      </c>
      <c r="K128" s="38">
        <f t="shared" si="10"/>
        <v>30</v>
      </c>
      <c r="L128" s="38">
        <f t="shared" si="11"/>
        <v>50</v>
      </c>
      <c r="M128" s="3" t="s">
        <v>2</v>
      </c>
      <c r="N128" s="3" t="s">
        <v>34</v>
      </c>
      <c r="O128" s="3" t="s">
        <v>432</v>
      </c>
      <c r="P128" s="4">
        <v>44091</v>
      </c>
    </row>
    <row r="129" spans="1:16" x14ac:dyDescent="0.2">
      <c r="A129" s="3" t="str">
        <f t="shared" si="6"/>
        <v>812967177829</v>
      </c>
      <c r="B129" s="16">
        <v>812967</v>
      </c>
      <c r="C129" s="16" t="s">
        <v>169</v>
      </c>
      <c r="D129" s="1">
        <v>177829</v>
      </c>
      <c r="E129" s="3" t="s">
        <v>92</v>
      </c>
      <c r="F129" s="9">
        <v>0</v>
      </c>
      <c r="G129" s="9">
        <f>IFERROR(VLOOKUP(F129,Sheet1!$B$15:$D$38,3,1),0)</f>
        <v>0</v>
      </c>
      <c r="H129" s="38">
        <f t="shared" si="7"/>
        <v>7.5</v>
      </c>
      <c r="I129" s="38">
        <f t="shared" si="8"/>
        <v>12.5</v>
      </c>
      <c r="J129" s="38">
        <f t="shared" si="9"/>
        <v>20</v>
      </c>
      <c r="K129" s="38">
        <f t="shared" si="10"/>
        <v>30</v>
      </c>
      <c r="L129" s="38">
        <f t="shared" si="11"/>
        <v>50</v>
      </c>
      <c r="M129" s="3" t="s">
        <v>2</v>
      </c>
      <c r="N129" s="3" t="s">
        <v>34</v>
      </c>
      <c r="O129" s="3" t="s">
        <v>432</v>
      </c>
      <c r="P129" s="4">
        <v>44092</v>
      </c>
    </row>
    <row r="130" spans="1:16" x14ac:dyDescent="0.2">
      <c r="A130" s="3" t="str">
        <f t="shared" si="6"/>
        <v>814416177829</v>
      </c>
      <c r="B130" s="16">
        <v>814416</v>
      </c>
      <c r="C130" s="16" t="s">
        <v>28</v>
      </c>
      <c r="D130" s="1">
        <v>177829</v>
      </c>
      <c r="E130" s="3" t="s">
        <v>92</v>
      </c>
      <c r="F130" s="9">
        <v>0</v>
      </c>
      <c r="G130" s="9">
        <f>IFERROR(VLOOKUP(F130,Sheet1!$B$15:$D$38,3,1),0)</f>
        <v>0</v>
      </c>
      <c r="H130" s="38">
        <f t="shared" si="7"/>
        <v>7.5</v>
      </c>
      <c r="I130" s="38">
        <f t="shared" si="8"/>
        <v>12.5</v>
      </c>
      <c r="J130" s="38">
        <f t="shared" si="9"/>
        <v>20</v>
      </c>
      <c r="K130" s="38">
        <f t="shared" si="10"/>
        <v>30</v>
      </c>
      <c r="L130" s="38">
        <f t="shared" si="11"/>
        <v>50</v>
      </c>
      <c r="M130" s="3" t="s">
        <v>2</v>
      </c>
      <c r="N130" s="3" t="s">
        <v>34</v>
      </c>
      <c r="O130" s="3" t="s">
        <v>432</v>
      </c>
      <c r="P130" s="4">
        <v>44235</v>
      </c>
    </row>
    <row r="131" spans="1:16" x14ac:dyDescent="0.2">
      <c r="A131" s="3" t="str">
        <f t="shared" ref="A131:A194" si="12">B131&amp;D131</f>
        <v>811475178844</v>
      </c>
      <c r="B131" s="16">
        <v>811475</v>
      </c>
      <c r="C131" s="16" t="s">
        <v>24</v>
      </c>
      <c r="D131" s="1">
        <v>178844</v>
      </c>
      <c r="E131" s="3" t="s">
        <v>23</v>
      </c>
      <c r="F131" s="9">
        <v>0</v>
      </c>
      <c r="G131" s="9">
        <f>IFERROR(VLOOKUP(F131,Sheet1!$B$15:$D$38,3,1),0)</f>
        <v>0</v>
      </c>
      <c r="H131" s="38">
        <f t="shared" si="7"/>
        <v>7.5</v>
      </c>
      <c r="I131" s="38">
        <f t="shared" si="8"/>
        <v>12.5</v>
      </c>
      <c r="J131" s="38">
        <f t="shared" si="9"/>
        <v>20</v>
      </c>
      <c r="K131" s="38">
        <f t="shared" si="10"/>
        <v>30</v>
      </c>
      <c r="L131" s="38">
        <f t="shared" si="11"/>
        <v>50</v>
      </c>
      <c r="M131" s="3" t="s">
        <v>2</v>
      </c>
      <c r="N131" s="3" t="s">
        <v>34</v>
      </c>
      <c r="O131" s="3" t="s">
        <v>432</v>
      </c>
      <c r="P131" s="4">
        <v>43871</v>
      </c>
    </row>
    <row r="132" spans="1:16" x14ac:dyDescent="0.2">
      <c r="A132" s="3" t="str">
        <f t="shared" si="12"/>
        <v>814096179473</v>
      </c>
      <c r="B132" s="16">
        <v>814096</v>
      </c>
      <c r="C132" s="16" t="s">
        <v>160</v>
      </c>
      <c r="D132" s="1">
        <v>179473</v>
      </c>
      <c r="E132" s="3" t="s">
        <v>159</v>
      </c>
      <c r="F132" s="9">
        <v>0</v>
      </c>
      <c r="G132" s="9">
        <f>IFERROR(VLOOKUP(F132,Sheet1!$B$15:$D$38,3,1),0)</f>
        <v>0</v>
      </c>
      <c r="H132" s="38">
        <f t="shared" ref="H132:H195" si="13">$H$2-$F132</f>
        <v>7.5</v>
      </c>
      <c r="I132" s="38">
        <f t="shared" ref="I132:I195" si="14">$I$2-$F132</f>
        <v>12.5</v>
      </c>
      <c r="J132" s="38">
        <f t="shared" ref="J132:J195" si="15">$J$2-$F132</f>
        <v>20</v>
      </c>
      <c r="K132" s="38">
        <f t="shared" ref="K132:K195" si="16">$K$2-$F132</f>
        <v>30</v>
      </c>
      <c r="L132" s="38">
        <f t="shared" ref="L132:L195" si="17">$L$2-$F132</f>
        <v>50</v>
      </c>
      <c r="M132" s="3" t="s">
        <v>2</v>
      </c>
      <c r="N132" s="3" t="s">
        <v>34</v>
      </c>
      <c r="O132" s="3" t="s">
        <v>432</v>
      </c>
      <c r="P132" s="4">
        <v>44203</v>
      </c>
    </row>
    <row r="133" spans="1:16" x14ac:dyDescent="0.2">
      <c r="A133" s="3" t="str">
        <f t="shared" si="12"/>
        <v>801627202865</v>
      </c>
      <c r="B133" s="16">
        <v>801627</v>
      </c>
      <c r="C133" s="16" t="s">
        <v>172</v>
      </c>
      <c r="D133" s="1">
        <v>202865</v>
      </c>
      <c r="E133" s="3" t="s">
        <v>113</v>
      </c>
      <c r="F133" s="9">
        <v>0</v>
      </c>
      <c r="G133" s="9">
        <f>IFERROR(VLOOKUP(F133,Sheet1!$B$15:$D$38,3,1),0)</f>
        <v>0</v>
      </c>
      <c r="H133" s="38">
        <f t="shared" si="13"/>
        <v>7.5</v>
      </c>
      <c r="I133" s="38">
        <f t="shared" si="14"/>
        <v>12.5</v>
      </c>
      <c r="J133" s="38">
        <f t="shared" si="15"/>
        <v>20</v>
      </c>
      <c r="K133" s="38">
        <f t="shared" si="16"/>
        <v>30</v>
      </c>
      <c r="L133" s="38">
        <f t="shared" si="17"/>
        <v>50</v>
      </c>
      <c r="M133" s="3" t="s">
        <v>2</v>
      </c>
      <c r="N133" s="3" t="s">
        <v>34</v>
      </c>
      <c r="O133" s="3" t="s">
        <v>432</v>
      </c>
      <c r="P133" s="4">
        <v>41283</v>
      </c>
    </row>
    <row r="134" spans="1:16" x14ac:dyDescent="0.2">
      <c r="A134" s="3" t="str">
        <f t="shared" si="12"/>
        <v>805151202865</v>
      </c>
      <c r="B134" s="16">
        <v>805151</v>
      </c>
      <c r="C134" s="16" t="s">
        <v>129</v>
      </c>
      <c r="D134" s="1">
        <v>202865</v>
      </c>
      <c r="E134" s="3" t="s">
        <v>113</v>
      </c>
      <c r="F134" s="9">
        <v>0</v>
      </c>
      <c r="G134" s="9">
        <f>IFERROR(VLOOKUP(F134,Sheet1!$B$15:$D$38,3,1),0)</f>
        <v>0</v>
      </c>
      <c r="H134" s="38">
        <f t="shared" si="13"/>
        <v>7.5</v>
      </c>
      <c r="I134" s="38">
        <f t="shared" si="14"/>
        <v>12.5</v>
      </c>
      <c r="J134" s="38">
        <f t="shared" si="15"/>
        <v>20</v>
      </c>
      <c r="K134" s="38">
        <f t="shared" si="16"/>
        <v>30</v>
      </c>
      <c r="L134" s="38">
        <f t="shared" si="17"/>
        <v>50</v>
      </c>
      <c r="M134" s="3" t="s">
        <v>2</v>
      </c>
      <c r="N134" s="3" t="s">
        <v>34</v>
      </c>
      <c r="O134" s="3" t="s">
        <v>432</v>
      </c>
      <c r="P134" s="4">
        <v>42528</v>
      </c>
    </row>
    <row r="135" spans="1:16" x14ac:dyDescent="0.2">
      <c r="A135" s="3" t="str">
        <f t="shared" si="12"/>
        <v>805158202865</v>
      </c>
      <c r="B135" s="16">
        <v>805158</v>
      </c>
      <c r="C135" s="16" t="s">
        <v>187</v>
      </c>
      <c r="D135" s="1">
        <v>202865</v>
      </c>
      <c r="E135" s="3" t="s">
        <v>113</v>
      </c>
      <c r="F135" s="9">
        <v>0</v>
      </c>
      <c r="G135" s="9">
        <f>IFERROR(VLOOKUP(F135,Sheet1!$B$15:$D$38,3,1),0)</f>
        <v>0</v>
      </c>
      <c r="H135" s="38">
        <f t="shared" si="13"/>
        <v>7.5</v>
      </c>
      <c r="I135" s="38">
        <f t="shared" si="14"/>
        <v>12.5</v>
      </c>
      <c r="J135" s="38">
        <f t="shared" si="15"/>
        <v>20</v>
      </c>
      <c r="K135" s="38">
        <f t="shared" si="16"/>
        <v>30</v>
      </c>
      <c r="L135" s="38">
        <f t="shared" si="17"/>
        <v>50</v>
      </c>
      <c r="M135" s="3" t="s">
        <v>2</v>
      </c>
      <c r="N135" s="3" t="s">
        <v>34</v>
      </c>
      <c r="O135" s="3" t="s">
        <v>432</v>
      </c>
      <c r="P135" s="4">
        <v>42530</v>
      </c>
    </row>
    <row r="136" spans="1:16" x14ac:dyDescent="0.2">
      <c r="A136" s="3" t="str">
        <f t="shared" si="12"/>
        <v>805811202865</v>
      </c>
      <c r="B136" s="16">
        <v>805811</v>
      </c>
      <c r="C136" s="16" t="s">
        <v>130</v>
      </c>
      <c r="D136" s="1">
        <v>202865</v>
      </c>
      <c r="E136" s="3" t="s">
        <v>113</v>
      </c>
      <c r="F136" s="9">
        <v>0</v>
      </c>
      <c r="G136" s="9">
        <f>IFERROR(VLOOKUP(F136,Sheet1!$B$15:$D$38,3,1),0)</f>
        <v>0</v>
      </c>
      <c r="H136" s="38">
        <f t="shared" si="13"/>
        <v>7.5</v>
      </c>
      <c r="I136" s="38">
        <f t="shared" si="14"/>
        <v>12.5</v>
      </c>
      <c r="J136" s="38">
        <f t="shared" si="15"/>
        <v>20</v>
      </c>
      <c r="K136" s="38">
        <f t="shared" si="16"/>
        <v>30</v>
      </c>
      <c r="L136" s="38">
        <f t="shared" si="17"/>
        <v>50</v>
      </c>
      <c r="M136" s="3" t="s">
        <v>2</v>
      </c>
      <c r="N136" s="3" t="s">
        <v>34</v>
      </c>
      <c r="O136" s="3" t="s">
        <v>432</v>
      </c>
      <c r="P136" s="4">
        <v>42704</v>
      </c>
    </row>
    <row r="137" spans="1:16" x14ac:dyDescent="0.2">
      <c r="A137" s="3" t="str">
        <f t="shared" si="12"/>
        <v>806234202865</v>
      </c>
      <c r="B137" s="16">
        <v>806234</v>
      </c>
      <c r="C137" s="16" t="s">
        <v>132</v>
      </c>
      <c r="D137" s="1">
        <v>202865</v>
      </c>
      <c r="E137" s="3" t="s">
        <v>113</v>
      </c>
      <c r="F137" s="9">
        <v>0</v>
      </c>
      <c r="G137" s="9">
        <f>IFERROR(VLOOKUP(F137,Sheet1!$B$15:$D$38,3,1),0)</f>
        <v>0</v>
      </c>
      <c r="H137" s="38">
        <f t="shared" si="13"/>
        <v>7.5</v>
      </c>
      <c r="I137" s="38">
        <f t="shared" si="14"/>
        <v>12.5</v>
      </c>
      <c r="J137" s="38">
        <f t="shared" si="15"/>
        <v>20</v>
      </c>
      <c r="K137" s="38">
        <f t="shared" si="16"/>
        <v>30</v>
      </c>
      <c r="L137" s="38">
        <f t="shared" si="17"/>
        <v>50</v>
      </c>
      <c r="M137" s="3" t="s">
        <v>2</v>
      </c>
      <c r="N137" s="3" t="s">
        <v>34</v>
      </c>
      <c r="O137" s="3" t="s">
        <v>432</v>
      </c>
      <c r="P137" s="4">
        <v>42832</v>
      </c>
    </row>
    <row r="138" spans="1:16" x14ac:dyDescent="0.2">
      <c r="A138" s="3" t="str">
        <f t="shared" si="12"/>
        <v>807779202865</v>
      </c>
      <c r="B138" s="16">
        <v>807779</v>
      </c>
      <c r="C138" s="16" t="s">
        <v>209</v>
      </c>
      <c r="D138" s="1">
        <v>202865</v>
      </c>
      <c r="E138" s="3" t="s">
        <v>113</v>
      </c>
      <c r="F138" s="9">
        <v>0</v>
      </c>
      <c r="G138" s="9">
        <f>IFERROR(VLOOKUP(F138,Sheet1!$B$15:$D$38,3,1),0)</f>
        <v>0</v>
      </c>
      <c r="H138" s="38">
        <f t="shared" si="13"/>
        <v>7.5</v>
      </c>
      <c r="I138" s="38">
        <f t="shared" si="14"/>
        <v>12.5</v>
      </c>
      <c r="J138" s="38">
        <f t="shared" si="15"/>
        <v>20</v>
      </c>
      <c r="K138" s="38">
        <f t="shared" si="16"/>
        <v>30</v>
      </c>
      <c r="L138" s="38">
        <f t="shared" si="17"/>
        <v>50</v>
      </c>
      <c r="M138" s="3" t="s">
        <v>2</v>
      </c>
      <c r="N138" s="3" t="s">
        <v>34</v>
      </c>
      <c r="O138" s="3" t="s">
        <v>432</v>
      </c>
      <c r="P138" s="4">
        <v>43487</v>
      </c>
    </row>
    <row r="139" spans="1:16" x14ac:dyDescent="0.2">
      <c r="A139" s="3" t="str">
        <f t="shared" si="12"/>
        <v>813894202865</v>
      </c>
      <c r="B139" s="16">
        <v>813894</v>
      </c>
      <c r="C139" s="16" t="s">
        <v>114</v>
      </c>
      <c r="D139" s="1">
        <v>202865</v>
      </c>
      <c r="E139" s="3" t="s">
        <v>113</v>
      </c>
      <c r="F139" s="9">
        <v>0</v>
      </c>
      <c r="G139" s="9">
        <f>IFERROR(VLOOKUP(F139,Sheet1!$B$15:$D$38,3,1),0)</f>
        <v>0</v>
      </c>
      <c r="H139" s="38">
        <f t="shared" si="13"/>
        <v>7.5</v>
      </c>
      <c r="I139" s="38">
        <f t="shared" si="14"/>
        <v>12.5</v>
      </c>
      <c r="J139" s="38">
        <f t="shared" si="15"/>
        <v>20</v>
      </c>
      <c r="K139" s="38">
        <f t="shared" si="16"/>
        <v>30</v>
      </c>
      <c r="L139" s="38">
        <f t="shared" si="17"/>
        <v>50</v>
      </c>
      <c r="M139" s="3" t="s">
        <v>2</v>
      </c>
      <c r="N139" s="3" t="s">
        <v>34</v>
      </c>
      <c r="O139" s="3" t="s">
        <v>432</v>
      </c>
      <c r="P139" s="4">
        <v>44184</v>
      </c>
    </row>
    <row r="140" spans="1:16" x14ac:dyDescent="0.2">
      <c r="A140" s="3" t="str">
        <f t="shared" si="12"/>
        <v>814776202865</v>
      </c>
      <c r="B140" s="16">
        <v>814776</v>
      </c>
      <c r="C140" s="16" t="s">
        <v>115</v>
      </c>
      <c r="D140" s="1">
        <v>202865</v>
      </c>
      <c r="E140" s="3" t="s">
        <v>113</v>
      </c>
      <c r="F140" s="9">
        <v>0</v>
      </c>
      <c r="G140" s="9">
        <f>IFERROR(VLOOKUP(F140,Sheet1!$B$15:$D$38,3,1),0)</f>
        <v>0</v>
      </c>
      <c r="H140" s="38">
        <f t="shared" si="13"/>
        <v>7.5</v>
      </c>
      <c r="I140" s="38">
        <f t="shared" si="14"/>
        <v>12.5</v>
      </c>
      <c r="J140" s="38">
        <f t="shared" si="15"/>
        <v>20</v>
      </c>
      <c r="K140" s="38">
        <f t="shared" si="16"/>
        <v>30</v>
      </c>
      <c r="L140" s="38">
        <f t="shared" si="17"/>
        <v>50</v>
      </c>
      <c r="M140" s="3" t="s">
        <v>2</v>
      </c>
      <c r="N140" s="3" t="s">
        <v>34</v>
      </c>
      <c r="O140" s="3" t="s">
        <v>432</v>
      </c>
      <c r="P140" s="4">
        <v>44272</v>
      </c>
    </row>
    <row r="141" spans="1:16" x14ac:dyDescent="0.2">
      <c r="A141" s="3" t="str">
        <f t="shared" si="12"/>
        <v>813746204013</v>
      </c>
      <c r="B141" s="16">
        <v>813746</v>
      </c>
      <c r="C141" s="16" t="s">
        <v>111</v>
      </c>
      <c r="D141" s="1">
        <v>204013</v>
      </c>
      <c r="E141" s="3" t="s">
        <v>109</v>
      </c>
      <c r="F141" s="9">
        <v>0</v>
      </c>
      <c r="G141" s="9">
        <f>IFERROR(VLOOKUP(F141,Sheet1!$B$15:$D$38,3,1),0)</f>
        <v>0</v>
      </c>
      <c r="H141" s="38">
        <f t="shared" si="13"/>
        <v>7.5</v>
      </c>
      <c r="I141" s="38">
        <f t="shared" si="14"/>
        <v>12.5</v>
      </c>
      <c r="J141" s="38">
        <f t="shared" si="15"/>
        <v>20</v>
      </c>
      <c r="K141" s="38">
        <f t="shared" si="16"/>
        <v>30</v>
      </c>
      <c r="L141" s="38">
        <f t="shared" si="17"/>
        <v>50</v>
      </c>
      <c r="M141" s="3" t="s">
        <v>2</v>
      </c>
      <c r="N141" s="3" t="s">
        <v>34</v>
      </c>
      <c r="O141" s="3" t="s">
        <v>432</v>
      </c>
      <c r="P141" s="4">
        <v>44168</v>
      </c>
    </row>
    <row r="142" spans="1:16" x14ac:dyDescent="0.2">
      <c r="A142" s="3" t="str">
        <f t="shared" si="12"/>
        <v>813876204013</v>
      </c>
      <c r="B142" s="16">
        <v>813876</v>
      </c>
      <c r="C142" s="16" t="s">
        <v>112</v>
      </c>
      <c r="D142" s="1">
        <v>204013</v>
      </c>
      <c r="E142" s="3" t="s">
        <v>109</v>
      </c>
      <c r="F142" s="9">
        <v>0</v>
      </c>
      <c r="G142" s="9">
        <f>IFERROR(VLOOKUP(F142,Sheet1!$B$15:$D$38,3,1),0)</f>
        <v>0</v>
      </c>
      <c r="H142" s="38">
        <f t="shared" si="13"/>
        <v>7.5</v>
      </c>
      <c r="I142" s="38">
        <f t="shared" si="14"/>
        <v>12.5</v>
      </c>
      <c r="J142" s="38">
        <f t="shared" si="15"/>
        <v>20</v>
      </c>
      <c r="K142" s="38">
        <f t="shared" si="16"/>
        <v>30</v>
      </c>
      <c r="L142" s="38">
        <f t="shared" si="17"/>
        <v>50</v>
      </c>
      <c r="M142" s="3" t="s">
        <v>2</v>
      </c>
      <c r="N142" s="3" t="s">
        <v>34</v>
      </c>
      <c r="O142" s="3" t="s">
        <v>432</v>
      </c>
      <c r="P142" s="4">
        <v>44183</v>
      </c>
    </row>
    <row r="143" spans="1:16" x14ac:dyDescent="0.2">
      <c r="A143" s="3" t="str">
        <f t="shared" si="12"/>
        <v>813895204013</v>
      </c>
      <c r="B143" s="16">
        <v>813895</v>
      </c>
      <c r="C143" s="16" t="s">
        <v>110</v>
      </c>
      <c r="D143" s="1">
        <v>204013</v>
      </c>
      <c r="E143" s="3" t="s">
        <v>109</v>
      </c>
      <c r="F143" s="9">
        <v>17</v>
      </c>
      <c r="G143" s="9">
        <f>IFERROR(VLOOKUP(F143,Sheet1!$B$15:$D$38,3,1),0)</f>
        <v>20</v>
      </c>
      <c r="H143" s="38">
        <f t="shared" si="13"/>
        <v>-9.5</v>
      </c>
      <c r="I143" s="38">
        <f t="shared" si="14"/>
        <v>-4.5</v>
      </c>
      <c r="J143" s="38">
        <f t="shared" si="15"/>
        <v>3</v>
      </c>
      <c r="K143" s="38">
        <f t="shared" si="16"/>
        <v>13</v>
      </c>
      <c r="L143" s="38">
        <f t="shared" si="17"/>
        <v>33</v>
      </c>
      <c r="M143" s="3" t="s">
        <v>2</v>
      </c>
      <c r="N143" s="3" t="s">
        <v>34</v>
      </c>
      <c r="O143" s="3" t="s">
        <v>432</v>
      </c>
      <c r="P143" s="4">
        <v>44184</v>
      </c>
    </row>
    <row r="144" spans="1:16" x14ac:dyDescent="0.2">
      <c r="A144" s="3" t="str">
        <f t="shared" si="12"/>
        <v>817167210440</v>
      </c>
      <c r="B144" s="16">
        <v>817167</v>
      </c>
      <c r="C144" s="16" t="s">
        <v>150</v>
      </c>
      <c r="D144" s="3">
        <v>210440</v>
      </c>
      <c r="E144" s="3" t="s">
        <v>612</v>
      </c>
      <c r="F144" s="9">
        <v>0</v>
      </c>
      <c r="G144" s="9">
        <f>IFERROR(VLOOKUP(F144,Sheet1!$B$15:$D$38,3,1),0)</f>
        <v>0</v>
      </c>
      <c r="H144" s="38">
        <f t="shared" si="13"/>
        <v>7.5</v>
      </c>
      <c r="I144" s="38">
        <f t="shared" si="14"/>
        <v>12.5</v>
      </c>
      <c r="J144" s="38">
        <f t="shared" si="15"/>
        <v>20</v>
      </c>
      <c r="K144" s="38">
        <f t="shared" si="16"/>
        <v>30</v>
      </c>
      <c r="L144" s="38">
        <f t="shared" si="17"/>
        <v>50</v>
      </c>
      <c r="M144" s="3" t="s">
        <v>2</v>
      </c>
      <c r="N144" s="3" t="s">
        <v>34</v>
      </c>
      <c r="O144" s="3" t="s">
        <v>630</v>
      </c>
      <c r="P144" s="4">
        <v>44529</v>
      </c>
    </row>
    <row r="145" spans="1:16" x14ac:dyDescent="0.2">
      <c r="A145" s="3" t="str">
        <f t="shared" si="12"/>
        <v>815101119074</v>
      </c>
      <c r="B145" s="16">
        <v>815101</v>
      </c>
      <c r="C145" s="16" t="s">
        <v>223</v>
      </c>
      <c r="D145" s="3">
        <v>119074</v>
      </c>
      <c r="E145" s="3" t="s">
        <v>514</v>
      </c>
      <c r="F145" s="9">
        <v>0</v>
      </c>
      <c r="G145" s="9">
        <f>IFERROR(VLOOKUP(F145,Sheet1!$B$15:$D$38,3,1),0)</f>
        <v>0</v>
      </c>
      <c r="H145" s="38">
        <f t="shared" si="13"/>
        <v>7.5</v>
      </c>
      <c r="I145" s="38">
        <f t="shared" si="14"/>
        <v>12.5</v>
      </c>
      <c r="J145" s="38">
        <f t="shared" si="15"/>
        <v>20</v>
      </c>
      <c r="K145" s="38">
        <f t="shared" si="16"/>
        <v>30</v>
      </c>
      <c r="L145" s="38">
        <f t="shared" si="17"/>
        <v>50</v>
      </c>
      <c r="M145" s="3" t="s">
        <v>43</v>
      </c>
      <c r="N145" s="3" t="s">
        <v>34</v>
      </c>
      <c r="O145" s="3" t="s">
        <v>432</v>
      </c>
      <c r="P145" s="4">
        <v>44347</v>
      </c>
    </row>
    <row r="146" spans="1:16" x14ac:dyDescent="0.2">
      <c r="A146" s="3" t="str">
        <f t="shared" si="12"/>
        <v>807200174713</v>
      </c>
      <c r="B146" s="3">
        <v>807200</v>
      </c>
      <c r="C146" s="3" t="s">
        <v>433</v>
      </c>
      <c r="D146" s="3">
        <v>174713</v>
      </c>
      <c r="E146" s="3" t="s">
        <v>437</v>
      </c>
      <c r="F146" s="9">
        <v>0</v>
      </c>
      <c r="G146" s="9">
        <f>IFERROR(VLOOKUP(F146,Sheet1!$B$15:$D$38,3,1),0)</f>
        <v>0</v>
      </c>
      <c r="H146" s="38">
        <f t="shared" si="13"/>
        <v>7.5</v>
      </c>
      <c r="I146" s="38">
        <f t="shared" si="14"/>
        <v>12.5</v>
      </c>
      <c r="J146" s="38">
        <f t="shared" si="15"/>
        <v>20</v>
      </c>
      <c r="K146" s="38">
        <f t="shared" si="16"/>
        <v>30</v>
      </c>
      <c r="L146" s="38">
        <f t="shared" si="17"/>
        <v>50</v>
      </c>
      <c r="M146" s="3" t="s">
        <v>43</v>
      </c>
      <c r="N146" s="3" t="s">
        <v>34</v>
      </c>
      <c r="O146" s="3" t="s">
        <v>432</v>
      </c>
      <c r="P146" s="4">
        <v>43427</v>
      </c>
    </row>
    <row r="147" spans="1:16" x14ac:dyDescent="0.2">
      <c r="A147" s="3" t="str">
        <f t="shared" si="12"/>
        <v>813151179892</v>
      </c>
      <c r="B147" s="16">
        <v>813151</v>
      </c>
      <c r="C147" s="16" t="s">
        <v>508</v>
      </c>
      <c r="D147" s="3">
        <v>179892</v>
      </c>
      <c r="E147" s="3" t="s">
        <v>509</v>
      </c>
      <c r="F147" s="9">
        <v>50.5</v>
      </c>
      <c r="G147" s="9">
        <f>IFERROR(VLOOKUP(F147,Sheet1!$B$15:$D$38,3,1),0)</f>
        <v>160</v>
      </c>
      <c r="H147" s="38">
        <f t="shared" si="13"/>
        <v>-43</v>
      </c>
      <c r="I147" s="38">
        <f t="shared" si="14"/>
        <v>-38</v>
      </c>
      <c r="J147" s="38">
        <f t="shared" si="15"/>
        <v>-30.5</v>
      </c>
      <c r="K147" s="38">
        <f t="shared" si="16"/>
        <v>-20.5</v>
      </c>
      <c r="L147" s="38">
        <f t="shared" si="17"/>
        <v>-0.5</v>
      </c>
      <c r="M147" s="3" t="s">
        <v>43</v>
      </c>
      <c r="N147" s="3" t="s">
        <v>34</v>
      </c>
      <c r="O147" s="3" t="s">
        <v>432</v>
      </c>
      <c r="P147" s="4">
        <v>44104</v>
      </c>
    </row>
    <row r="148" spans="1:16" x14ac:dyDescent="0.2">
      <c r="A148" s="3" t="str">
        <f t="shared" si="12"/>
        <v>811944179894</v>
      </c>
      <c r="B148" s="16">
        <v>811944</v>
      </c>
      <c r="C148" s="16" t="s">
        <v>140</v>
      </c>
      <c r="D148" s="1">
        <v>179894</v>
      </c>
      <c r="E148" s="3" t="s">
        <v>44</v>
      </c>
      <c r="F148" s="9">
        <v>0</v>
      </c>
      <c r="G148" s="9">
        <f>IFERROR(VLOOKUP(F148,Sheet1!$B$15:$D$38,3,1),0)</f>
        <v>0</v>
      </c>
      <c r="H148" s="38">
        <f t="shared" si="13"/>
        <v>7.5</v>
      </c>
      <c r="I148" s="38">
        <f t="shared" si="14"/>
        <v>12.5</v>
      </c>
      <c r="J148" s="38">
        <f t="shared" si="15"/>
        <v>20</v>
      </c>
      <c r="K148" s="38">
        <f t="shared" si="16"/>
        <v>30</v>
      </c>
      <c r="L148" s="38">
        <f t="shared" si="17"/>
        <v>50</v>
      </c>
      <c r="M148" s="3" t="s">
        <v>43</v>
      </c>
      <c r="N148" s="3" t="s">
        <v>34</v>
      </c>
      <c r="O148" s="3" t="s">
        <v>432</v>
      </c>
      <c r="P148" s="4">
        <v>44001</v>
      </c>
    </row>
    <row r="149" spans="1:16" x14ac:dyDescent="0.2">
      <c r="A149" s="3" t="str">
        <f t="shared" si="12"/>
        <v>812404179894</v>
      </c>
      <c r="B149" s="16">
        <v>812404</v>
      </c>
      <c r="C149" s="16" t="s">
        <v>139</v>
      </c>
      <c r="D149" s="1">
        <v>179894</v>
      </c>
      <c r="E149" s="3" t="s">
        <v>44</v>
      </c>
      <c r="F149" s="9">
        <v>0</v>
      </c>
      <c r="G149" s="9">
        <f>IFERROR(VLOOKUP(F149,Sheet1!$B$15:$D$38,3,1),0)</f>
        <v>0</v>
      </c>
      <c r="H149" s="38">
        <f t="shared" si="13"/>
        <v>7.5</v>
      </c>
      <c r="I149" s="38">
        <f t="shared" si="14"/>
        <v>12.5</v>
      </c>
      <c r="J149" s="38">
        <f t="shared" si="15"/>
        <v>20</v>
      </c>
      <c r="K149" s="38">
        <f t="shared" si="16"/>
        <v>30</v>
      </c>
      <c r="L149" s="38">
        <f t="shared" si="17"/>
        <v>50</v>
      </c>
      <c r="M149" s="3" t="s">
        <v>43</v>
      </c>
      <c r="N149" s="3" t="s">
        <v>34</v>
      </c>
      <c r="O149" s="3" t="s">
        <v>432</v>
      </c>
      <c r="P149" s="4">
        <v>44042</v>
      </c>
    </row>
    <row r="150" spans="1:16" x14ac:dyDescent="0.2">
      <c r="A150" s="3" t="str">
        <f t="shared" si="12"/>
        <v>813299179894</v>
      </c>
      <c r="B150" s="16">
        <v>813299</v>
      </c>
      <c r="C150" s="16" t="s">
        <v>198</v>
      </c>
      <c r="D150" s="3">
        <v>179894</v>
      </c>
      <c r="E150" s="3" t="s">
        <v>44</v>
      </c>
      <c r="F150" s="9">
        <v>0</v>
      </c>
      <c r="G150" s="9">
        <f>IFERROR(VLOOKUP(F150,Sheet1!$B$15:$D$38,3,1),0)</f>
        <v>0</v>
      </c>
      <c r="H150" s="38">
        <f t="shared" si="13"/>
        <v>7.5</v>
      </c>
      <c r="I150" s="38">
        <f t="shared" si="14"/>
        <v>12.5</v>
      </c>
      <c r="J150" s="38">
        <f t="shared" si="15"/>
        <v>20</v>
      </c>
      <c r="K150" s="38">
        <f t="shared" si="16"/>
        <v>30</v>
      </c>
      <c r="L150" s="38">
        <f t="shared" si="17"/>
        <v>50</v>
      </c>
      <c r="M150" s="3" t="s">
        <v>43</v>
      </c>
      <c r="N150" s="3" t="s">
        <v>34</v>
      </c>
      <c r="O150" s="3" t="s">
        <v>630</v>
      </c>
      <c r="P150" s="4">
        <v>44120</v>
      </c>
    </row>
    <row r="151" spans="1:16" x14ac:dyDescent="0.2">
      <c r="A151" s="3" t="str">
        <f t="shared" si="12"/>
        <v>816037179894</v>
      </c>
      <c r="B151" s="16">
        <v>816037</v>
      </c>
      <c r="C151" s="16" t="s">
        <v>521</v>
      </c>
      <c r="D151" s="3">
        <v>179894</v>
      </c>
      <c r="E151" s="3" t="s">
        <v>44</v>
      </c>
      <c r="F151" s="9">
        <v>0</v>
      </c>
      <c r="G151" s="9">
        <f>IFERROR(VLOOKUP(F151,Sheet1!$B$15:$D$38,3,1),0)</f>
        <v>0</v>
      </c>
      <c r="H151" s="38">
        <f t="shared" si="13"/>
        <v>7.5</v>
      </c>
      <c r="I151" s="38">
        <f t="shared" si="14"/>
        <v>12.5</v>
      </c>
      <c r="J151" s="38">
        <f t="shared" si="15"/>
        <v>20</v>
      </c>
      <c r="K151" s="38">
        <f t="shared" si="16"/>
        <v>30</v>
      </c>
      <c r="L151" s="38">
        <f t="shared" si="17"/>
        <v>50</v>
      </c>
      <c r="M151" s="3" t="s">
        <v>43</v>
      </c>
      <c r="N151" s="3" t="s">
        <v>34</v>
      </c>
      <c r="O151" s="3" t="s">
        <v>432</v>
      </c>
      <c r="P151" s="4">
        <v>44428</v>
      </c>
    </row>
    <row r="152" spans="1:16" x14ac:dyDescent="0.2">
      <c r="A152" s="3" t="str">
        <f t="shared" si="12"/>
        <v>811848202758</v>
      </c>
      <c r="B152" s="16">
        <v>811848</v>
      </c>
      <c r="C152" s="16" t="s">
        <v>335</v>
      </c>
      <c r="D152" s="1">
        <v>202758</v>
      </c>
      <c r="E152" s="3" t="s">
        <v>226</v>
      </c>
      <c r="F152" s="9">
        <v>10</v>
      </c>
      <c r="G152" s="9">
        <f>IFERROR(VLOOKUP(F152,Sheet1!$B$15:$D$38,3,1),0)</f>
        <v>10</v>
      </c>
      <c r="H152" s="38">
        <f t="shared" si="13"/>
        <v>-2.5</v>
      </c>
      <c r="I152" s="38">
        <f t="shared" si="14"/>
        <v>2.5</v>
      </c>
      <c r="J152" s="38">
        <f t="shared" si="15"/>
        <v>10</v>
      </c>
      <c r="K152" s="38">
        <f t="shared" si="16"/>
        <v>20</v>
      </c>
      <c r="L152" s="38">
        <f t="shared" si="17"/>
        <v>40</v>
      </c>
      <c r="M152" s="3" t="s">
        <v>43</v>
      </c>
      <c r="N152" s="3" t="s">
        <v>34</v>
      </c>
      <c r="O152" s="3" t="s">
        <v>432</v>
      </c>
      <c r="P152" s="4">
        <v>43982</v>
      </c>
    </row>
    <row r="153" spans="1:16" x14ac:dyDescent="0.2">
      <c r="A153" s="3" t="str">
        <f t="shared" si="12"/>
        <v>812372202849</v>
      </c>
      <c r="B153" s="16">
        <v>812372</v>
      </c>
      <c r="C153" s="16" t="s">
        <v>563</v>
      </c>
      <c r="D153" s="3">
        <v>202849</v>
      </c>
      <c r="E153" s="3" t="s">
        <v>564</v>
      </c>
      <c r="F153" s="9">
        <v>0</v>
      </c>
      <c r="G153" s="9">
        <f>IFERROR(VLOOKUP(F153,Sheet1!$B$15:$D$38,3,1),0)</f>
        <v>0</v>
      </c>
      <c r="H153" s="38">
        <f t="shared" si="13"/>
        <v>7.5</v>
      </c>
      <c r="I153" s="38">
        <f t="shared" si="14"/>
        <v>12.5</v>
      </c>
      <c r="J153" s="38">
        <f t="shared" si="15"/>
        <v>20</v>
      </c>
      <c r="K153" s="38">
        <f t="shared" si="16"/>
        <v>30</v>
      </c>
      <c r="L153" s="38">
        <f t="shared" si="17"/>
        <v>50</v>
      </c>
      <c r="M153" s="3" t="s">
        <v>43</v>
      </c>
      <c r="N153" s="3" t="s">
        <v>34</v>
      </c>
      <c r="O153" s="3" t="s">
        <v>432</v>
      </c>
      <c r="P153" s="4">
        <v>44039</v>
      </c>
    </row>
    <row r="154" spans="1:16" x14ac:dyDescent="0.2">
      <c r="A154" s="3" t="str">
        <f t="shared" si="12"/>
        <v>813299202947</v>
      </c>
      <c r="B154" s="16">
        <v>813299</v>
      </c>
      <c r="C154" s="16" t="s">
        <v>198</v>
      </c>
      <c r="D154" s="1">
        <v>202947</v>
      </c>
      <c r="E154" s="3" t="s">
        <v>206</v>
      </c>
      <c r="F154" s="9">
        <v>0</v>
      </c>
      <c r="G154" s="9">
        <f>IFERROR(VLOOKUP(F154,Sheet1!$B$15:$D$38,3,1),0)</f>
        <v>0</v>
      </c>
      <c r="H154" s="38">
        <f t="shared" si="13"/>
        <v>7.5</v>
      </c>
      <c r="I154" s="38">
        <f t="shared" si="14"/>
        <v>12.5</v>
      </c>
      <c r="J154" s="38">
        <f t="shared" si="15"/>
        <v>20</v>
      </c>
      <c r="K154" s="38">
        <f t="shared" si="16"/>
        <v>30</v>
      </c>
      <c r="L154" s="38">
        <f t="shared" si="17"/>
        <v>50</v>
      </c>
      <c r="M154" s="3" t="s">
        <v>43</v>
      </c>
      <c r="N154" s="3" t="s">
        <v>34</v>
      </c>
      <c r="O154" s="3" t="s">
        <v>432</v>
      </c>
      <c r="P154" s="4">
        <v>44120</v>
      </c>
    </row>
    <row r="155" spans="1:16" x14ac:dyDescent="0.2">
      <c r="A155" s="3" t="str">
        <f t="shared" si="12"/>
        <v>815101208026</v>
      </c>
      <c r="B155" s="16">
        <v>815101</v>
      </c>
      <c r="C155" s="16" t="s">
        <v>223</v>
      </c>
      <c r="D155" s="1">
        <v>208026</v>
      </c>
      <c r="E155" s="3" t="s">
        <v>443</v>
      </c>
      <c r="F155" s="9">
        <v>0</v>
      </c>
      <c r="G155" s="9">
        <f>IFERROR(VLOOKUP(F155,Sheet1!$B$15:$D$38,3,1),0)</f>
        <v>0</v>
      </c>
      <c r="H155" s="38">
        <f t="shared" si="13"/>
        <v>7.5</v>
      </c>
      <c r="I155" s="38">
        <f t="shared" si="14"/>
        <v>12.5</v>
      </c>
      <c r="J155" s="38">
        <f t="shared" si="15"/>
        <v>20</v>
      </c>
      <c r="K155" s="38">
        <f t="shared" si="16"/>
        <v>30</v>
      </c>
      <c r="L155" s="38">
        <f t="shared" si="17"/>
        <v>50</v>
      </c>
      <c r="M155" s="3" t="s">
        <v>43</v>
      </c>
      <c r="N155" s="3" t="s">
        <v>34</v>
      </c>
      <c r="O155" s="3" t="s">
        <v>432</v>
      </c>
      <c r="P155" s="4">
        <v>44347</v>
      </c>
    </row>
    <row r="156" spans="1:16" x14ac:dyDescent="0.2">
      <c r="A156" s="3" t="str">
        <f t="shared" si="12"/>
        <v>814109119052</v>
      </c>
      <c r="B156" s="16">
        <v>814109</v>
      </c>
      <c r="C156" s="16" t="s">
        <v>153</v>
      </c>
      <c r="D156" s="1">
        <v>119052</v>
      </c>
      <c r="E156" s="3" t="s">
        <v>152</v>
      </c>
      <c r="F156" s="9">
        <v>30</v>
      </c>
      <c r="G156" s="9">
        <f>IFERROR(VLOOKUP(F156,Sheet1!$B$15:$D$38,3,1),0)</f>
        <v>80</v>
      </c>
      <c r="H156" s="38">
        <f t="shared" si="13"/>
        <v>-22.5</v>
      </c>
      <c r="I156" s="38">
        <f t="shared" si="14"/>
        <v>-17.5</v>
      </c>
      <c r="J156" s="38">
        <f t="shared" si="15"/>
        <v>-10</v>
      </c>
      <c r="K156" s="38">
        <f t="shared" si="16"/>
        <v>0</v>
      </c>
      <c r="L156" s="38">
        <f t="shared" si="17"/>
        <v>20</v>
      </c>
      <c r="M156" s="3" t="s">
        <v>121</v>
      </c>
      <c r="N156" s="3" t="s">
        <v>593</v>
      </c>
      <c r="O156" s="3" t="s">
        <v>432</v>
      </c>
      <c r="P156" s="4">
        <v>44204</v>
      </c>
    </row>
    <row r="157" spans="1:16" x14ac:dyDescent="0.2">
      <c r="A157" s="3" t="str">
        <f t="shared" si="12"/>
        <v>804079174756</v>
      </c>
      <c r="B157" s="16">
        <v>804079</v>
      </c>
      <c r="C157" s="16" t="s">
        <v>176</v>
      </c>
      <c r="D157" s="1">
        <v>174756</v>
      </c>
      <c r="E157" s="3" t="s">
        <v>73</v>
      </c>
      <c r="F157" s="9">
        <v>0</v>
      </c>
      <c r="G157" s="9">
        <f>IFERROR(VLOOKUP(F157,Sheet1!$B$15:$D$38,3,1),0)</f>
        <v>0</v>
      </c>
      <c r="H157" s="38">
        <f t="shared" si="13"/>
        <v>7.5</v>
      </c>
      <c r="I157" s="38">
        <f t="shared" si="14"/>
        <v>12.5</v>
      </c>
      <c r="J157" s="38">
        <f t="shared" si="15"/>
        <v>20</v>
      </c>
      <c r="K157" s="38">
        <f t="shared" si="16"/>
        <v>30</v>
      </c>
      <c r="L157" s="38">
        <f t="shared" si="17"/>
        <v>50</v>
      </c>
      <c r="M157" s="3" t="s">
        <v>121</v>
      </c>
      <c r="N157" s="3" t="s">
        <v>593</v>
      </c>
      <c r="O157" s="3" t="s">
        <v>432</v>
      </c>
      <c r="P157" s="4">
        <v>42174</v>
      </c>
    </row>
    <row r="158" spans="1:16" x14ac:dyDescent="0.2">
      <c r="A158" s="3" t="str">
        <f t="shared" si="12"/>
        <v>808980175717</v>
      </c>
      <c r="B158" s="16">
        <v>808980</v>
      </c>
      <c r="C158" s="16" t="s">
        <v>385</v>
      </c>
      <c r="D158" s="1">
        <v>175717</v>
      </c>
      <c r="E158" s="3" t="s">
        <v>238</v>
      </c>
      <c r="F158" s="9">
        <v>10</v>
      </c>
      <c r="G158" s="9">
        <f>IFERROR(VLOOKUP(F158,Sheet1!$B$15:$D$38,3,1),0)</f>
        <v>10</v>
      </c>
      <c r="H158" s="38">
        <f t="shared" si="13"/>
        <v>-2.5</v>
      </c>
      <c r="I158" s="38">
        <f t="shared" si="14"/>
        <v>2.5</v>
      </c>
      <c r="J158" s="38">
        <f t="shared" si="15"/>
        <v>10</v>
      </c>
      <c r="K158" s="38">
        <f t="shared" si="16"/>
        <v>20</v>
      </c>
      <c r="L158" s="38">
        <f t="shared" si="17"/>
        <v>40</v>
      </c>
      <c r="M158" s="3" t="s">
        <v>121</v>
      </c>
      <c r="N158" s="3" t="s">
        <v>593</v>
      </c>
      <c r="O158" s="3" t="s">
        <v>432</v>
      </c>
      <c r="P158" s="4">
        <v>43355</v>
      </c>
    </row>
    <row r="159" spans="1:16" x14ac:dyDescent="0.2">
      <c r="A159" s="3" t="str">
        <f t="shared" si="12"/>
        <v>814350175717</v>
      </c>
      <c r="B159" s="16">
        <v>814350</v>
      </c>
      <c r="C159" s="16" t="s">
        <v>239</v>
      </c>
      <c r="D159" s="1">
        <v>175717</v>
      </c>
      <c r="E159" s="3" t="s">
        <v>238</v>
      </c>
      <c r="F159" s="9">
        <v>20</v>
      </c>
      <c r="G159" s="9">
        <f>IFERROR(VLOOKUP(F159,Sheet1!$B$15:$D$38,3,1),0)</f>
        <v>40</v>
      </c>
      <c r="H159" s="38">
        <f t="shared" si="13"/>
        <v>-12.5</v>
      </c>
      <c r="I159" s="38">
        <f t="shared" si="14"/>
        <v>-7.5</v>
      </c>
      <c r="J159" s="38">
        <f t="shared" si="15"/>
        <v>0</v>
      </c>
      <c r="K159" s="38">
        <f t="shared" si="16"/>
        <v>10</v>
      </c>
      <c r="L159" s="38">
        <f t="shared" si="17"/>
        <v>30</v>
      </c>
      <c r="M159" s="3" t="s">
        <v>121</v>
      </c>
      <c r="N159" s="3" t="s">
        <v>593</v>
      </c>
      <c r="O159" s="3" t="s">
        <v>432</v>
      </c>
      <c r="P159" s="4">
        <v>44226</v>
      </c>
    </row>
    <row r="160" spans="1:16" x14ac:dyDescent="0.2">
      <c r="A160" s="3" t="str">
        <f t="shared" si="12"/>
        <v>812076178234</v>
      </c>
      <c r="B160" s="16">
        <v>812076</v>
      </c>
      <c r="C160" s="16" t="s">
        <v>400</v>
      </c>
      <c r="D160" s="1">
        <v>178234</v>
      </c>
      <c r="E160" s="3" t="s">
        <v>310</v>
      </c>
      <c r="F160" s="9">
        <v>12.5</v>
      </c>
      <c r="G160" s="9">
        <f>IFERROR(VLOOKUP(F160,Sheet1!$B$15:$D$38,3,1),0)</f>
        <v>20</v>
      </c>
      <c r="H160" s="38">
        <f t="shared" si="13"/>
        <v>-5</v>
      </c>
      <c r="I160" s="38">
        <f t="shared" si="14"/>
        <v>0</v>
      </c>
      <c r="J160" s="38">
        <f t="shared" si="15"/>
        <v>7.5</v>
      </c>
      <c r="K160" s="38">
        <f t="shared" si="16"/>
        <v>17.5</v>
      </c>
      <c r="L160" s="38">
        <f t="shared" si="17"/>
        <v>37.5</v>
      </c>
      <c r="M160" s="3" t="s">
        <v>121</v>
      </c>
      <c r="N160" s="3" t="s">
        <v>593</v>
      </c>
      <c r="O160" s="3" t="s">
        <v>432</v>
      </c>
      <c r="P160" s="4">
        <v>44012</v>
      </c>
    </row>
    <row r="161" spans="1:16" x14ac:dyDescent="0.2">
      <c r="A161" s="3" t="str">
        <f t="shared" si="12"/>
        <v>812100178234</v>
      </c>
      <c r="B161" s="16">
        <v>812100</v>
      </c>
      <c r="C161" s="5" t="s">
        <v>380</v>
      </c>
      <c r="D161" s="6">
        <v>178234</v>
      </c>
      <c r="E161" s="5" t="s">
        <v>310</v>
      </c>
      <c r="F161" s="9">
        <v>0</v>
      </c>
      <c r="G161" s="9">
        <f>IFERROR(VLOOKUP(F161,Sheet1!$B$15:$D$38,3,1),0)</f>
        <v>0</v>
      </c>
      <c r="H161" s="38">
        <f t="shared" si="13"/>
        <v>7.5</v>
      </c>
      <c r="I161" s="38">
        <f t="shared" si="14"/>
        <v>12.5</v>
      </c>
      <c r="J161" s="38">
        <f t="shared" si="15"/>
        <v>20</v>
      </c>
      <c r="K161" s="38">
        <f t="shared" si="16"/>
        <v>30</v>
      </c>
      <c r="L161" s="38">
        <f t="shared" si="17"/>
        <v>50</v>
      </c>
      <c r="M161" s="3" t="s">
        <v>121</v>
      </c>
      <c r="N161" s="3" t="s">
        <v>593</v>
      </c>
      <c r="O161" s="3" t="s">
        <v>432</v>
      </c>
      <c r="P161" s="4">
        <v>44015</v>
      </c>
    </row>
    <row r="162" spans="1:16" x14ac:dyDescent="0.2">
      <c r="A162" s="3" t="str">
        <f t="shared" si="12"/>
        <v>812474178234</v>
      </c>
      <c r="B162" s="16">
        <v>812474</v>
      </c>
      <c r="C162" s="16" t="s">
        <v>379</v>
      </c>
      <c r="D162" s="1">
        <v>178234</v>
      </c>
      <c r="E162" s="3" t="s">
        <v>310</v>
      </c>
      <c r="F162" s="9">
        <v>0</v>
      </c>
      <c r="G162" s="9">
        <f>IFERROR(VLOOKUP(F162,Sheet1!$B$15:$D$38,3,1),0)</f>
        <v>0</v>
      </c>
      <c r="H162" s="38">
        <f t="shared" si="13"/>
        <v>7.5</v>
      </c>
      <c r="I162" s="38">
        <f t="shared" si="14"/>
        <v>12.5</v>
      </c>
      <c r="J162" s="38">
        <f t="shared" si="15"/>
        <v>20</v>
      </c>
      <c r="K162" s="38">
        <f t="shared" si="16"/>
        <v>30</v>
      </c>
      <c r="L162" s="38">
        <f t="shared" si="17"/>
        <v>50</v>
      </c>
      <c r="M162" s="3" t="s">
        <v>121</v>
      </c>
      <c r="N162" s="3" t="s">
        <v>593</v>
      </c>
      <c r="O162" s="3" t="s">
        <v>432</v>
      </c>
      <c r="P162" s="4">
        <v>44053</v>
      </c>
    </row>
    <row r="163" spans="1:16" x14ac:dyDescent="0.2">
      <c r="A163" s="3" t="str">
        <f t="shared" si="12"/>
        <v>813378178234</v>
      </c>
      <c r="B163" s="16">
        <v>813378</v>
      </c>
      <c r="C163" s="16" t="s">
        <v>565</v>
      </c>
      <c r="D163" s="3">
        <v>178234</v>
      </c>
      <c r="E163" s="3" t="s">
        <v>310</v>
      </c>
      <c r="F163" s="9">
        <v>0</v>
      </c>
      <c r="G163" s="9">
        <f>IFERROR(VLOOKUP(F163,Sheet1!$B$15:$D$38,3,1),0)</f>
        <v>0</v>
      </c>
      <c r="H163" s="38">
        <f t="shared" si="13"/>
        <v>7.5</v>
      </c>
      <c r="I163" s="38">
        <f t="shared" si="14"/>
        <v>12.5</v>
      </c>
      <c r="J163" s="38">
        <f t="shared" si="15"/>
        <v>20</v>
      </c>
      <c r="K163" s="38">
        <f t="shared" si="16"/>
        <v>30</v>
      </c>
      <c r="L163" s="38">
        <f t="shared" si="17"/>
        <v>50</v>
      </c>
      <c r="M163" s="3" t="s">
        <v>121</v>
      </c>
      <c r="N163" s="3" t="s">
        <v>593</v>
      </c>
      <c r="O163" s="3" t="s">
        <v>432</v>
      </c>
      <c r="P163" s="4">
        <v>44128</v>
      </c>
    </row>
    <row r="164" spans="1:16" x14ac:dyDescent="0.2">
      <c r="A164" s="3" t="str">
        <f t="shared" si="12"/>
        <v>815468178234</v>
      </c>
      <c r="B164" s="16">
        <v>815468</v>
      </c>
      <c r="C164" s="16" t="s">
        <v>500</v>
      </c>
      <c r="D164" s="3">
        <v>178234</v>
      </c>
      <c r="E164" s="3" t="s">
        <v>310</v>
      </c>
      <c r="F164" s="9">
        <v>0</v>
      </c>
      <c r="G164" s="9">
        <f>IFERROR(VLOOKUP(F164,Sheet1!$B$15:$D$38,3,1),0)</f>
        <v>0</v>
      </c>
      <c r="H164" s="38">
        <f t="shared" si="13"/>
        <v>7.5</v>
      </c>
      <c r="I164" s="38">
        <f t="shared" si="14"/>
        <v>12.5</v>
      </c>
      <c r="J164" s="38">
        <f t="shared" si="15"/>
        <v>20</v>
      </c>
      <c r="K164" s="38">
        <f t="shared" si="16"/>
        <v>30</v>
      </c>
      <c r="L164" s="38">
        <f t="shared" si="17"/>
        <v>50</v>
      </c>
      <c r="M164" s="3" t="s">
        <v>121</v>
      </c>
      <c r="N164" s="3" t="s">
        <v>593</v>
      </c>
      <c r="O164" s="3" t="s">
        <v>432</v>
      </c>
      <c r="P164" s="4">
        <v>44389</v>
      </c>
    </row>
    <row r="165" spans="1:16" x14ac:dyDescent="0.2">
      <c r="A165" s="3" t="str">
        <f t="shared" si="12"/>
        <v>811106178237</v>
      </c>
      <c r="B165" s="16">
        <v>811106</v>
      </c>
      <c r="C165" s="16" t="s">
        <v>276</v>
      </c>
      <c r="D165" s="1">
        <v>178237</v>
      </c>
      <c r="E165" s="3" t="s">
        <v>122</v>
      </c>
      <c r="F165" s="9">
        <v>46</v>
      </c>
      <c r="G165" s="9">
        <f>IFERROR(VLOOKUP(F165,Sheet1!$B$15:$D$38,3,1),0)</f>
        <v>80</v>
      </c>
      <c r="H165" s="38">
        <f t="shared" si="13"/>
        <v>-38.5</v>
      </c>
      <c r="I165" s="38">
        <f t="shared" si="14"/>
        <v>-33.5</v>
      </c>
      <c r="J165" s="38">
        <f t="shared" si="15"/>
        <v>-26</v>
      </c>
      <c r="K165" s="38">
        <f t="shared" si="16"/>
        <v>-16</v>
      </c>
      <c r="L165" s="38">
        <f t="shared" si="17"/>
        <v>4</v>
      </c>
      <c r="M165" s="3" t="s">
        <v>121</v>
      </c>
      <c r="N165" s="3" t="s">
        <v>593</v>
      </c>
      <c r="O165" s="3" t="s">
        <v>432</v>
      </c>
      <c r="P165" s="4">
        <v>43826</v>
      </c>
    </row>
    <row r="166" spans="1:16" x14ac:dyDescent="0.2">
      <c r="A166" s="3" t="str">
        <f t="shared" si="12"/>
        <v>812392178237</v>
      </c>
      <c r="B166" s="16">
        <v>812392</v>
      </c>
      <c r="C166" s="16" t="s">
        <v>311</v>
      </c>
      <c r="D166" s="1">
        <v>178237</v>
      </c>
      <c r="E166" s="3" t="s">
        <v>122</v>
      </c>
      <c r="F166" s="9">
        <v>0</v>
      </c>
      <c r="G166" s="9">
        <f>IFERROR(VLOOKUP(F166,Sheet1!$B$15:$D$38,3,1),0)</f>
        <v>0</v>
      </c>
      <c r="H166" s="38">
        <f t="shared" si="13"/>
        <v>7.5</v>
      </c>
      <c r="I166" s="38">
        <f t="shared" si="14"/>
        <v>12.5</v>
      </c>
      <c r="J166" s="38">
        <f t="shared" si="15"/>
        <v>20</v>
      </c>
      <c r="K166" s="38">
        <f t="shared" si="16"/>
        <v>30</v>
      </c>
      <c r="L166" s="38">
        <f t="shared" si="17"/>
        <v>50</v>
      </c>
      <c r="M166" s="3" t="s">
        <v>121</v>
      </c>
      <c r="N166" s="3" t="s">
        <v>593</v>
      </c>
      <c r="O166" s="3" t="s">
        <v>432</v>
      </c>
      <c r="P166" s="4">
        <v>44041</v>
      </c>
    </row>
    <row r="167" spans="1:16" x14ac:dyDescent="0.2">
      <c r="A167" s="3" t="str">
        <f t="shared" si="12"/>
        <v>812407178237</v>
      </c>
      <c r="B167" s="16">
        <v>812407</v>
      </c>
      <c r="C167" s="16" t="s">
        <v>453</v>
      </c>
      <c r="D167" s="1">
        <v>178237</v>
      </c>
      <c r="E167" s="3" t="s">
        <v>122</v>
      </c>
      <c r="F167" s="9">
        <v>0</v>
      </c>
      <c r="G167" s="9">
        <f>IFERROR(VLOOKUP(F167,Sheet1!$B$15:$D$38,3,1),0)</f>
        <v>0</v>
      </c>
      <c r="H167" s="38">
        <f t="shared" si="13"/>
        <v>7.5</v>
      </c>
      <c r="I167" s="38">
        <f t="shared" si="14"/>
        <v>12.5</v>
      </c>
      <c r="J167" s="38">
        <f t="shared" si="15"/>
        <v>20</v>
      </c>
      <c r="K167" s="38">
        <f t="shared" si="16"/>
        <v>30</v>
      </c>
      <c r="L167" s="38">
        <f t="shared" si="17"/>
        <v>50</v>
      </c>
      <c r="M167" s="3" t="s">
        <v>121</v>
      </c>
      <c r="N167" s="3" t="s">
        <v>593</v>
      </c>
      <c r="O167" s="3" t="s">
        <v>432</v>
      </c>
      <c r="P167" s="4">
        <v>44042</v>
      </c>
    </row>
    <row r="168" spans="1:16" x14ac:dyDescent="0.2">
      <c r="A168" s="3" t="str">
        <f t="shared" si="12"/>
        <v>812751178237</v>
      </c>
      <c r="B168" s="16">
        <v>812751</v>
      </c>
      <c r="C168" s="16" t="s">
        <v>299</v>
      </c>
      <c r="D168" s="1">
        <v>178237</v>
      </c>
      <c r="E168" s="3" t="s">
        <v>122</v>
      </c>
      <c r="F168" s="9">
        <v>0</v>
      </c>
      <c r="G168" s="9">
        <f>IFERROR(VLOOKUP(F168,Sheet1!$B$15:$D$38,3,1),0)</f>
        <v>0</v>
      </c>
      <c r="H168" s="38">
        <f t="shared" si="13"/>
        <v>7.5</v>
      </c>
      <c r="I168" s="38">
        <f t="shared" si="14"/>
        <v>12.5</v>
      </c>
      <c r="J168" s="38">
        <f t="shared" si="15"/>
        <v>20</v>
      </c>
      <c r="K168" s="38">
        <f t="shared" si="16"/>
        <v>30</v>
      </c>
      <c r="L168" s="38">
        <f t="shared" si="17"/>
        <v>50</v>
      </c>
      <c r="M168" s="3" t="s">
        <v>121</v>
      </c>
      <c r="N168" s="3" t="s">
        <v>593</v>
      </c>
      <c r="O168" s="3" t="s">
        <v>432</v>
      </c>
      <c r="P168" s="4">
        <v>44076</v>
      </c>
    </row>
    <row r="169" spans="1:16" x14ac:dyDescent="0.2">
      <c r="A169" s="3" t="str">
        <f t="shared" si="12"/>
        <v>812811178237</v>
      </c>
      <c r="B169" s="16">
        <v>812811</v>
      </c>
      <c r="C169" s="16" t="s">
        <v>483</v>
      </c>
      <c r="D169" s="3">
        <v>178237</v>
      </c>
      <c r="E169" s="3" t="s">
        <v>122</v>
      </c>
      <c r="F169" s="9">
        <v>0</v>
      </c>
      <c r="G169" s="9">
        <f>IFERROR(VLOOKUP(F169,Sheet1!$B$15:$D$38,3,1),0)</f>
        <v>0</v>
      </c>
      <c r="H169" s="38">
        <f t="shared" si="13"/>
        <v>7.5</v>
      </c>
      <c r="I169" s="38">
        <f t="shared" si="14"/>
        <v>12.5</v>
      </c>
      <c r="J169" s="38">
        <f t="shared" si="15"/>
        <v>20</v>
      </c>
      <c r="K169" s="38">
        <f t="shared" si="16"/>
        <v>30</v>
      </c>
      <c r="L169" s="38">
        <f t="shared" si="17"/>
        <v>50</v>
      </c>
      <c r="M169" s="3" t="s">
        <v>121</v>
      </c>
      <c r="N169" s="3" t="s">
        <v>593</v>
      </c>
      <c r="O169" s="3" t="s">
        <v>432</v>
      </c>
      <c r="P169" s="4">
        <v>44081</v>
      </c>
    </row>
    <row r="170" spans="1:16" x14ac:dyDescent="0.2">
      <c r="A170" s="3" t="str">
        <f t="shared" si="12"/>
        <v>813821178237</v>
      </c>
      <c r="B170" s="16">
        <v>813821</v>
      </c>
      <c r="C170" s="16" t="s">
        <v>275</v>
      </c>
      <c r="D170" s="1">
        <v>178237</v>
      </c>
      <c r="E170" s="3" t="s">
        <v>122</v>
      </c>
      <c r="F170" s="9">
        <v>0</v>
      </c>
      <c r="G170" s="9">
        <f>IFERROR(VLOOKUP(F170,Sheet1!$B$15:$D$38,3,1),0)</f>
        <v>0</v>
      </c>
      <c r="H170" s="38">
        <f t="shared" si="13"/>
        <v>7.5</v>
      </c>
      <c r="I170" s="38">
        <f t="shared" si="14"/>
        <v>12.5</v>
      </c>
      <c r="J170" s="38">
        <f t="shared" si="15"/>
        <v>20</v>
      </c>
      <c r="K170" s="38">
        <f t="shared" si="16"/>
        <v>30</v>
      </c>
      <c r="L170" s="38">
        <f t="shared" si="17"/>
        <v>50</v>
      </c>
      <c r="M170" s="3" t="s">
        <v>121</v>
      </c>
      <c r="N170" s="3" t="s">
        <v>593</v>
      </c>
      <c r="O170" s="3" t="s">
        <v>432</v>
      </c>
      <c r="P170" s="4">
        <v>44177</v>
      </c>
    </row>
    <row r="171" spans="1:16" x14ac:dyDescent="0.2">
      <c r="A171" s="3" t="str">
        <f t="shared" si="12"/>
        <v>815924178237</v>
      </c>
      <c r="B171" s="16">
        <v>815924</v>
      </c>
      <c r="C171" s="16" t="s">
        <v>581</v>
      </c>
      <c r="D171" s="3">
        <v>178237</v>
      </c>
      <c r="E171" s="3" t="s">
        <v>122</v>
      </c>
      <c r="F171" s="9">
        <v>12.5</v>
      </c>
      <c r="G171" s="9">
        <f>IFERROR(VLOOKUP(F171,Sheet1!$B$15:$D$38,3,1),0)</f>
        <v>20</v>
      </c>
      <c r="H171" s="38">
        <f t="shared" si="13"/>
        <v>-5</v>
      </c>
      <c r="I171" s="38">
        <f t="shared" si="14"/>
        <v>0</v>
      </c>
      <c r="J171" s="38">
        <f t="shared" si="15"/>
        <v>7.5</v>
      </c>
      <c r="K171" s="38">
        <f t="shared" si="16"/>
        <v>17.5</v>
      </c>
      <c r="L171" s="38">
        <f t="shared" si="17"/>
        <v>37.5</v>
      </c>
      <c r="M171" s="3" t="s">
        <v>121</v>
      </c>
      <c r="N171" s="3" t="s">
        <v>593</v>
      </c>
      <c r="O171" s="3" t="s">
        <v>432</v>
      </c>
      <c r="P171" s="4">
        <v>44421</v>
      </c>
    </row>
    <row r="172" spans="1:16" x14ac:dyDescent="0.2">
      <c r="A172" s="3" t="str">
        <f t="shared" si="12"/>
        <v>812384178298</v>
      </c>
      <c r="B172" s="16">
        <v>812384</v>
      </c>
      <c r="C172" s="16" t="s">
        <v>149</v>
      </c>
      <c r="D172" s="1">
        <v>178298</v>
      </c>
      <c r="E172" s="3" t="s">
        <v>40</v>
      </c>
      <c r="F172" s="9">
        <v>71</v>
      </c>
      <c r="G172" s="9">
        <f>IFERROR(VLOOKUP(F172,Sheet1!$B$15:$D$38,3,1),0)</f>
        <v>160</v>
      </c>
      <c r="H172" s="38">
        <f t="shared" si="13"/>
        <v>-63.5</v>
      </c>
      <c r="I172" s="38">
        <f t="shared" si="14"/>
        <v>-58.5</v>
      </c>
      <c r="J172" s="38">
        <f t="shared" si="15"/>
        <v>-51</v>
      </c>
      <c r="K172" s="38">
        <f t="shared" si="16"/>
        <v>-41</v>
      </c>
      <c r="L172" s="38">
        <f t="shared" si="17"/>
        <v>-21</v>
      </c>
      <c r="M172" s="3" t="s">
        <v>121</v>
      </c>
      <c r="N172" s="3" t="s">
        <v>593</v>
      </c>
      <c r="O172" s="3" t="s">
        <v>432</v>
      </c>
      <c r="P172" s="4">
        <v>44040</v>
      </c>
    </row>
    <row r="173" spans="1:16" x14ac:dyDescent="0.2">
      <c r="A173" s="3" t="str">
        <f t="shared" si="12"/>
        <v>813378178298</v>
      </c>
      <c r="B173" s="16">
        <v>813378</v>
      </c>
      <c r="C173" s="16" t="s">
        <v>565</v>
      </c>
      <c r="D173" s="3">
        <v>178298</v>
      </c>
      <c r="E173" s="3" t="s">
        <v>40</v>
      </c>
      <c r="F173" s="9">
        <v>20.5</v>
      </c>
      <c r="G173" s="9">
        <f>IFERROR(VLOOKUP(F173,Sheet1!$B$15:$D$38,3,1),0)</f>
        <v>40</v>
      </c>
      <c r="H173" s="38">
        <f t="shared" si="13"/>
        <v>-13</v>
      </c>
      <c r="I173" s="38">
        <f t="shared" si="14"/>
        <v>-8</v>
      </c>
      <c r="J173" s="38">
        <f t="shared" si="15"/>
        <v>-0.5</v>
      </c>
      <c r="K173" s="38">
        <f t="shared" si="16"/>
        <v>9.5</v>
      </c>
      <c r="L173" s="38">
        <f t="shared" si="17"/>
        <v>29.5</v>
      </c>
      <c r="M173" s="3" t="s">
        <v>121</v>
      </c>
      <c r="N173" s="3" t="s">
        <v>593</v>
      </c>
      <c r="O173" s="3" t="s">
        <v>432</v>
      </c>
      <c r="P173" s="4">
        <v>44128</v>
      </c>
    </row>
    <row r="174" spans="1:16" x14ac:dyDescent="0.2">
      <c r="A174" s="3" t="str">
        <f t="shared" si="12"/>
        <v>814116178298</v>
      </c>
      <c r="B174" s="16">
        <v>814116</v>
      </c>
      <c r="C174" s="16" t="s">
        <v>155</v>
      </c>
      <c r="D174" s="1">
        <v>178298</v>
      </c>
      <c r="E174" s="3" t="s">
        <v>40</v>
      </c>
      <c r="F174" s="9">
        <v>36.5</v>
      </c>
      <c r="G174" s="9">
        <f>IFERROR(VLOOKUP(F174,Sheet1!$B$15:$D$38,3,1),0)</f>
        <v>80</v>
      </c>
      <c r="H174" s="38">
        <f t="shared" si="13"/>
        <v>-29</v>
      </c>
      <c r="I174" s="38">
        <f t="shared" si="14"/>
        <v>-24</v>
      </c>
      <c r="J174" s="38">
        <f t="shared" si="15"/>
        <v>-16.5</v>
      </c>
      <c r="K174" s="38">
        <f t="shared" si="16"/>
        <v>-6.5</v>
      </c>
      <c r="L174" s="38">
        <f t="shared" si="17"/>
        <v>13.5</v>
      </c>
      <c r="M174" s="3" t="s">
        <v>121</v>
      </c>
      <c r="N174" s="3" t="s">
        <v>593</v>
      </c>
      <c r="O174" s="3" t="s">
        <v>432</v>
      </c>
      <c r="P174" s="4">
        <v>44205</v>
      </c>
    </row>
    <row r="175" spans="1:16" x14ac:dyDescent="0.2">
      <c r="A175" s="3" t="str">
        <f t="shared" si="12"/>
        <v>813842202478</v>
      </c>
      <c r="B175" s="16">
        <v>813842</v>
      </c>
      <c r="C175" s="16" t="s">
        <v>390</v>
      </c>
      <c r="D175" s="1">
        <v>202478</v>
      </c>
      <c r="E175" s="3" t="s">
        <v>356</v>
      </c>
      <c r="F175" s="9">
        <v>30</v>
      </c>
      <c r="G175" s="9">
        <f>IFERROR(VLOOKUP(F175,Sheet1!$B$15:$D$38,3,1),0)</f>
        <v>80</v>
      </c>
      <c r="H175" s="38">
        <f t="shared" si="13"/>
        <v>-22.5</v>
      </c>
      <c r="I175" s="38">
        <f t="shared" si="14"/>
        <v>-17.5</v>
      </c>
      <c r="J175" s="38">
        <f t="shared" si="15"/>
        <v>-10</v>
      </c>
      <c r="K175" s="38">
        <f t="shared" si="16"/>
        <v>0</v>
      </c>
      <c r="L175" s="38">
        <f t="shared" si="17"/>
        <v>20</v>
      </c>
      <c r="M175" s="3" t="s">
        <v>121</v>
      </c>
      <c r="N175" s="3" t="s">
        <v>593</v>
      </c>
      <c r="O175" s="3" t="s">
        <v>432</v>
      </c>
      <c r="P175" s="4">
        <v>44180</v>
      </c>
    </row>
    <row r="176" spans="1:16" x14ac:dyDescent="0.2">
      <c r="A176" s="3" t="str">
        <f t="shared" si="12"/>
        <v>814116202478</v>
      </c>
      <c r="B176" s="16">
        <v>814116</v>
      </c>
      <c r="C176" s="16" t="s">
        <v>155</v>
      </c>
      <c r="D176" s="3">
        <v>202478</v>
      </c>
      <c r="E176" s="3" t="s">
        <v>356</v>
      </c>
      <c r="F176" s="9">
        <v>0</v>
      </c>
      <c r="G176" s="9">
        <f>IFERROR(VLOOKUP(F176,Sheet1!$B$15:$D$38,3,1),0)</f>
        <v>0</v>
      </c>
      <c r="H176" s="38">
        <f t="shared" si="13"/>
        <v>7.5</v>
      </c>
      <c r="I176" s="38">
        <f t="shared" si="14"/>
        <v>12.5</v>
      </c>
      <c r="J176" s="38">
        <f t="shared" si="15"/>
        <v>20</v>
      </c>
      <c r="K176" s="38">
        <f t="shared" si="16"/>
        <v>30</v>
      </c>
      <c r="L176" s="38">
        <f t="shared" si="17"/>
        <v>50</v>
      </c>
      <c r="M176" s="3" t="s">
        <v>121</v>
      </c>
      <c r="N176" s="3" t="s">
        <v>593</v>
      </c>
      <c r="O176" s="3" t="s">
        <v>432</v>
      </c>
      <c r="P176" s="4">
        <v>44205</v>
      </c>
    </row>
    <row r="177" spans="1:16" x14ac:dyDescent="0.2">
      <c r="A177" s="3" t="str">
        <f t="shared" si="12"/>
        <v>812100203236</v>
      </c>
      <c r="B177" s="16">
        <v>812100</v>
      </c>
      <c r="C177" s="5" t="s">
        <v>380</v>
      </c>
      <c r="D177" s="6">
        <v>203236</v>
      </c>
      <c r="E177" s="5" t="s">
        <v>274</v>
      </c>
      <c r="F177" s="9">
        <v>0</v>
      </c>
      <c r="G177" s="9">
        <f>IFERROR(VLOOKUP(F177,Sheet1!$B$15:$D$38,3,1),0)</f>
        <v>0</v>
      </c>
      <c r="H177" s="38">
        <f t="shared" si="13"/>
        <v>7.5</v>
      </c>
      <c r="I177" s="38">
        <f t="shared" si="14"/>
        <v>12.5</v>
      </c>
      <c r="J177" s="38">
        <f t="shared" si="15"/>
        <v>20</v>
      </c>
      <c r="K177" s="38">
        <f t="shared" si="16"/>
        <v>30</v>
      </c>
      <c r="L177" s="38">
        <f t="shared" si="17"/>
        <v>50</v>
      </c>
      <c r="M177" s="3" t="s">
        <v>121</v>
      </c>
      <c r="N177" s="3" t="s">
        <v>593</v>
      </c>
      <c r="O177" s="3" t="s">
        <v>432</v>
      </c>
      <c r="P177" s="4">
        <v>44015</v>
      </c>
    </row>
    <row r="178" spans="1:16" x14ac:dyDescent="0.2">
      <c r="A178" s="3" t="str">
        <f t="shared" si="12"/>
        <v>815467203236</v>
      </c>
      <c r="B178" s="16">
        <v>815467</v>
      </c>
      <c r="C178" s="16" t="s">
        <v>499</v>
      </c>
      <c r="D178" s="3">
        <v>203236</v>
      </c>
      <c r="E178" s="3" t="s">
        <v>274</v>
      </c>
      <c r="F178" s="9">
        <v>0</v>
      </c>
      <c r="G178" s="9">
        <f>IFERROR(VLOOKUP(F178,Sheet1!$B$15:$D$38,3,1),0)</f>
        <v>0</v>
      </c>
      <c r="H178" s="38">
        <f t="shared" si="13"/>
        <v>7.5</v>
      </c>
      <c r="I178" s="38">
        <f t="shared" si="14"/>
        <v>12.5</v>
      </c>
      <c r="J178" s="38">
        <f t="shared" si="15"/>
        <v>20</v>
      </c>
      <c r="K178" s="38">
        <f t="shared" si="16"/>
        <v>30</v>
      </c>
      <c r="L178" s="38">
        <f t="shared" si="17"/>
        <v>50</v>
      </c>
      <c r="M178" s="3" t="s">
        <v>121</v>
      </c>
      <c r="N178" s="3" t="s">
        <v>593</v>
      </c>
      <c r="O178" s="3" t="s">
        <v>432</v>
      </c>
      <c r="P178" s="4">
        <v>44389</v>
      </c>
    </row>
    <row r="179" spans="1:16" x14ac:dyDescent="0.2">
      <c r="A179" s="3" t="str">
        <f t="shared" si="12"/>
        <v>815468203236</v>
      </c>
      <c r="B179" s="16">
        <v>815468</v>
      </c>
      <c r="C179" s="16" t="s">
        <v>500</v>
      </c>
      <c r="D179" s="3">
        <v>203236</v>
      </c>
      <c r="E179" s="3" t="s">
        <v>274</v>
      </c>
      <c r="F179" s="9">
        <v>0</v>
      </c>
      <c r="G179" s="9">
        <f>IFERROR(VLOOKUP(F179,Sheet1!$B$15:$D$38,3,1),0)</f>
        <v>0</v>
      </c>
      <c r="H179" s="38">
        <f t="shared" si="13"/>
        <v>7.5</v>
      </c>
      <c r="I179" s="38">
        <f t="shared" si="14"/>
        <v>12.5</v>
      </c>
      <c r="J179" s="38">
        <f t="shared" si="15"/>
        <v>20</v>
      </c>
      <c r="K179" s="38">
        <f t="shared" si="16"/>
        <v>30</v>
      </c>
      <c r="L179" s="38">
        <f t="shared" si="17"/>
        <v>50</v>
      </c>
      <c r="M179" s="3" t="s">
        <v>121</v>
      </c>
      <c r="N179" s="3" t="s">
        <v>593</v>
      </c>
      <c r="O179" s="3" t="s">
        <v>432</v>
      </c>
      <c r="P179" s="4">
        <v>44389</v>
      </c>
    </row>
    <row r="180" spans="1:16" x14ac:dyDescent="0.2">
      <c r="A180" s="3" t="str">
        <f t="shared" si="12"/>
        <v>815479203236</v>
      </c>
      <c r="B180" s="16">
        <v>815479</v>
      </c>
      <c r="C180" s="16" t="s">
        <v>501</v>
      </c>
      <c r="D180" s="3">
        <v>203236</v>
      </c>
      <c r="E180" s="3" t="s">
        <v>274</v>
      </c>
      <c r="F180" s="9">
        <v>0</v>
      </c>
      <c r="G180" s="9">
        <f>IFERROR(VLOOKUP(F180,Sheet1!$B$15:$D$38,3,1),0)</f>
        <v>0</v>
      </c>
      <c r="H180" s="38">
        <f t="shared" si="13"/>
        <v>7.5</v>
      </c>
      <c r="I180" s="38">
        <f t="shared" si="14"/>
        <v>12.5</v>
      </c>
      <c r="J180" s="38">
        <f t="shared" si="15"/>
        <v>20</v>
      </c>
      <c r="K180" s="38">
        <f t="shared" si="16"/>
        <v>30</v>
      </c>
      <c r="L180" s="38">
        <f t="shared" si="17"/>
        <v>50</v>
      </c>
      <c r="M180" s="3" t="s">
        <v>121</v>
      </c>
      <c r="N180" s="3" t="s">
        <v>593</v>
      </c>
      <c r="O180" s="3" t="s">
        <v>432</v>
      </c>
      <c r="P180" s="4">
        <v>44389</v>
      </c>
    </row>
    <row r="181" spans="1:16" x14ac:dyDescent="0.2">
      <c r="A181" s="3" t="str">
        <f t="shared" si="12"/>
        <v>806283119038</v>
      </c>
      <c r="B181" s="16">
        <v>806283</v>
      </c>
      <c r="C181" s="16" t="s">
        <v>168</v>
      </c>
      <c r="D181" s="1">
        <v>119038</v>
      </c>
      <c r="E181" s="3" t="s">
        <v>6</v>
      </c>
      <c r="F181" s="9">
        <v>20</v>
      </c>
      <c r="G181" s="9">
        <f>IFERROR(VLOOKUP(F181,Sheet1!$B$15:$D$38,3,1),0)</f>
        <v>40</v>
      </c>
      <c r="H181" s="38">
        <f t="shared" si="13"/>
        <v>-12.5</v>
      </c>
      <c r="I181" s="38">
        <f t="shared" si="14"/>
        <v>-7.5</v>
      </c>
      <c r="J181" s="38">
        <f t="shared" si="15"/>
        <v>0</v>
      </c>
      <c r="K181" s="38">
        <f t="shared" si="16"/>
        <v>10</v>
      </c>
      <c r="L181" s="38">
        <f t="shared" si="17"/>
        <v>30</v>
      </c>
      <c r="M181" s="3" t="s">
        <v>593</v>
      </c>
      <c r="N181" s="3" t="s">
        <v>593</v>
      </c>
      <c r="O181" s="3" t="s">
        <v>432</v>
      </c>
      <c r="P181" s="4">
        <v>42851</v>
      </c>
    </row>
    <row r="182" spans="1:16" x14ac:dyDescent="0.2">
      <c r="A182" s="3" t="str">
        <f t="shared" si="12"/>
        <v>806511119071</v>
      </c>
      <c r="B182" s="16">
        <v>806511</v>
      </c>
      <c r="C182" s="16" t="s">
        <v>304</v>
      </c>
      <c r="D182" s="1">
        <v>119071</v>
      </c>
      <c r="E182" s="3" t="s">
        <v>256</v>
      </c>
      <c r="F182" s="9">
        <v>0</v>
      </c>
      <c r="G182" s="9">
        <f>IFERROR(VLOOKUP(F182,Sheet1!$B$15:$D$38,3,1),0)</f>
        <v>0</v>
      </c>
      <c r="H182" s="38">
        <f t="shared" si="13"/>
        <v>7.5</v>
      </c>
      <c r="I182" s="38">
        <f t="shared" si="14"/>
        <v>12.5</v>
      </c>
      <c r="J182" s="38">
        <f t="shared" si="15"/>
        <v>20</v>
      </c>
      <c r="K182" s="38">
        <f t="shared" si="16"/>
        <v>30</v>
      </c>
      <c r="L182" s="38">
        <f t="shared" si="17"/>
        <v>50</v>
      </c>
      <c r="M182" s="3" t="s">
        <v>593</v>
      </c>
      <c r="N182" s="3" t="s">
        <v>593</v>
      </c>
      <c r="O182" s="3" t="s">
        <v>432</v>
      </c>
      <c r="P182" s="4">
        <v>42909</v>
      </c>
    </row>
    <row r="183" spans="1:16" x14ac:dyDescent="0.2">
      <c r="A183" s="3" t="str">
        <f t="shared" si="12"/>
        <v>806887119071</v>
      </c>
      <c r="B183" s="16">
        <v>806887</v>
      </c>
      <c r="C183" s="16" t="s">
        <v>359</v>
      </c>
      <c r="D183" s="1">
        <v>119071</v>
      </c>
      <c r="E183" s="3" t="s">
        <v>256</v>
      </c>
      <c r="F183" s="9">
        <v>30</v>
      </c>
      <c r="G183" s="9">
        <f>IFERROR(VLOOKUP(F183,Sheet1!$B$15:$D$38,3,1),0)</f>
        <v>80</v>
      </c>
      <c r="H183" s="38">
        <f t="shared" si="13"/>
        <v>-22.5</v>
      </c>
      <c r="I183" s="38">
        <f t="shared" si="14"/>
        <v>-17.5</v>
      </c>
      <c r="J183" s="38">
        <f t="shared" si="15"/>
        <v>-10</v>
      </c>
      <c r="K183" s="38">
        <f t="shared" si="16"/>
        <v>0</v>
      </c>
      <c r="L183" s="38">
        <f t="shared" si="17"/>
        <v>20</v>
      </c>
      <c r="M183" s="3" t="s">
        <v>593</v>
      </c>
      <c r="N183" s="3" t="s">
        <v>593</v>
      </c>
      <c r="O183" s="3" t="s">
        <v>432</v>
      </c>
      <c r="P183" s="4">
        <v>42993</v>
      </c>
    </row>
    <row r="184" spans="1:16" x14ac:dyDescent="0.2">
      <c r="A184" s="3" t="str">
        <f t="shared" si="12"/>
        <v>816272119071</v>
      </c>
      <c r="B184" s="16">
        <v>816272</v>
      </c>
      <c r="C184" s="16" t="s">
        <v>127</v>
      </c>
      <c r="D184" s="3">
        <v>119071</v>
      </c>
      <c r="E184" s="3" t="s">
        <v>256</v>
      </c>
      <c r="F184" s="9">
        <v>0</v>
      </c>
      <c r="G184" s="9">
        <f>IFERROR(VLOOKUP(F184,Sheet1!$B$15:$D$38,3,1),0)</f>
        <v>0</v>
      </c>
      <c r="H184" s="38">
        <f t="shared" si="13"/>
        <v>7.5</v>
      </c>
      <c r="I184" s="38">
        <f t="shared" si="14"/>
        <v>12.5</v>
      </c>
      <c r="J184" s="38">
        <f t="shared" si="15"/>
        <v>20</v>
      </c>
      <c r="K184" s="38">
        <f t="shared" si="16"/>
        <v>30</v>
      </c>
      <c r="L184" s="38">
        <f t="shared" si="17"/>
        <v>50</v>
      </c>
      <c r="M184" s="3" t="s">
        <v>593</v>
      </c>
      <c r="N184" s="3" t="s">
        <v>593</v>
      </c>
      <c r="O184" s="3" t="s">
        <v>432</v>
      </c>
      <c r="P184" s="4">
        <v>44443</v>
      </c>
    </row>
    <row r="185" spans="1:16" x14ac:dyDescent="0.2">
      <c r="A185" s="3" t="str">
        <f t="shared" si="12"/>
        <v>817611119071</v>
      </c>
      <c r="B185" s="16">
        <v>817611</v>
      </c>
      <c r="C185" s="16" t="s">
        <v>648</v>
      </c>
      <c r="D185" s="3">
        <v>119071</v>
      </c>
      <c r="E185" s="3" t="s">
        <v>256</v>
      </c>
      <c r="F185" s="9">
        <v>2.5</v>
      </c>
      <c r="G185" s="9">
        <f>IFERROR(VLOOKUP(F185,Sheet1!$B$15:$D$38,3,1),0)</f>
        <v>0</v>
      </c>
      <c r="H185" s="38">
        <f t="shared" si="13"/>
        <v>5</v>
      </c>
      <c r="I185" s="38">
        <f t="shared" si="14"/>
        <v>10</v>
      </c>
      <c r="J185" s="38">
        <f t="shared" si="15"/>
        <v>17.5</v>
      </c>
      <c r="K185" s="38">
        <f t="shared" si="16"/>
        <v>27.5</v>
      </c>
      <c r="L185" s="38">
        <f t="shared" si="17"/>
        <v>47.5</v>
      </c>
      <c r="M185" s="3" t="s">
        <v>593</v>
      </c>
      <c r="N185" s="3" t="s">
        <v>593</v>
      </c>
      <c r="O185" s="3" t="s">
        <v>630</v>
      </c>
      <c r="P185" s="4">
        <v>44567</v>
      </c>
    </row>
    <row r="186" spans="1:16" x14ac:dyDescent="0.2">
      <c r="A186" s="3" t="str">
        <f t="shared" si="12"/>
        <v>806307119160</v>
      </c>
      <c r="B186" s="16">
        <v>806307</v>
      </c>
      <c r="C186" s="16" t="s">
        <v>294</v>
      </c>
      <c r="D186" s="1">
        <v>119160</v>
      </c>
      <c r="E186" s="3" t="s">
        <v>131</v>
      </c>
      <c r="F186" s="9">
        <v>20</v>
      </c>
      <c r="G186" s="9">
        <f>IFERROR(VLOOKUP(F186,Sheet1!$B$15:$D$38,3,1),0)</f>
        <v>40</v>
      </c>
      <c r="H186" s="38">
        <f t="shared" si="13"/>
        <v>-12.5</v>
      </c>
      <c r="I186" s="38">
        <f t="shared" si="14"/>
        <v>-7.5</v>
      </c>
      <c r="J186" s="38">
        <f t="shared" si="15"/>
        <v>0</v>
      </c>
      <c r="K186" s="38">
        <f t="shared" si="16"/>
        <v>10</v>
      </c>
      <c r="L186" s="38">
        <f t="shared" si="17"/>
        <v>30</v>
      </c>
      <c r="M186" s="3" t="s">
        <v>593</v>
      </c>
      <c r="N186" s="3" t="s">
        <v>593</v>
      </c>
      <c r="O186" s="3" t="s">
        <v>432</v>
      </c>
      <c r="P186" s="4">
        <v>42857</v>
      </c>
    </row>
    <row r="187" spans="1:16" x14ac:dyDescent="0.2">
      <c r="A187" s="3" t="str">
        <f t="shared" si="12"/>
        <v>804818119261</v>
      </c>
      <c r="B187" s="16">
        <v>804818</v>
      </c>
      <c r="C187" s="16" t="s">
        <v>339</v>
      </c>
      <c r="D187" s="1">
        <v>119261</v>
      </c>
      <c r="E187" s="3" t="s">
        <v>242</v>
      </c>
      <c r="F187" s="9">
        <v>0</v>
      </c>
      <c r="G187" s="9">
        <f>IFERROR(VLOOKUP(F187,Sheet1!$B$15:$D$38,3,1),0)</f>
        <v>0</v>
      </c>
      <c r="H187" s="38">
        <f t="shared" si="13"/>
        <v>7.5</v>
      </c>
      <c r="I187" s="38">
        <f t="shared" si="14"/>
        <v>12.5</v>
      </c>
      <c r="J187" s="38">
        <f t="shared" si="15"/>
        <v>20</v>
      </c>
      <c r="K187" s="38">
        <f t="shared" si="16"/>
        <v>30</v>
      </c>
      <c r="L187" s="38">
        <f t="shared" si="17"/>
        <v>50</v>
      </c>
      <c r="M187" s="3" t="s">
        <v>593</v>
      </c>
      <c r="N187" s="3" t="s">
        <v>593</v>
      </c>
      <c r="O187" s="3" t="s">
        <v>432</v>
      </c>
      <c r="P187" s="4">
        <v>42408</v>
      </c>
    </row>
    <row r="188" spans="1:16" x14ac:dyDescent="0.2">
      <c r="A188" s="3" t="str">
        <f t="shared" si="12"/>
        <v>805375119261</v>
      </c>
      <c r="B188" s="16">
        <v>805375</v>
      </c>
      <c r="C188" s="16" t="s">
        <v>348</v>
      </c>
      <c r="D188" s="1">
        <v>119261</v>
      </c>
      <c r="E188" s="3" t="s">
        <v>242</v>
      </c>
      <c r="F188" s="9">
        <v>0</v>
      </c>
      <c r="G188" s="9">
        <f>IFERROR(VLOOKUP(F188,Sheet1!$B$15:$D$38,3,1),0)</f>
        <v>0</v>
      </c>
      <c r="H188" s="38">
        <f t="shared" si="13"/>
        <v>7.5</v>
      </c>
      <c r="I188" s="38">
        <f t="shared" si="14"/>
        <v>12.5</v>
      </c>
      <c r="J188" s="38">
        <f t="shared" si="15"/>
        <v>20</v>
      </c>
      <c r="K188" s="38">
        <f t="shared" si="16"/>
        <v>30</v>
      </c>
      <c r="L188" s="38">
        <f t="shared" si="17"/>
        <v>50</v>
      </c>
      <c r="M188" s="3" t="s">
        <v>593</v>
      </c>
      <c r="N188" s="3" t="s">
        <v>593</v>
      </c>
      <c r="O188" s="3" t="s">
        <v>432</v>
      </c>
      <c r="P188" s="4">
        <v>42580</v>
      </c>
    </row>
    <row r="189" spans="1:16" x14ac:dyDescent="0.2">
      <c r="A189" s="3" t="str">
        <f t="shared" si="12"/>
        <v>807353119261</v>
      </c>
      <c r="B189" s="16">
        <v>807353</v>
      </c>
      <c r="C189" s="16" t="s">
        <v>315</v>
      </c>
      <c r="D189" s="1">
        <v>119261</v>
      </c>
      <c r="E189" s="3" t="s">
        <v>242</v>
      </c>
      <c r="F189" s="9">
        <v>0</v>
      </c>
      <c r="G189" s="9">
        <f>IFERROR(VLOOKUP(F189,Sheet1!$B$15:$D$38,3,1),0)</f>
        <v>0</v>
      </c>
      <c r="H189" s="38">
        <f t="shared" si="13"/>
        <v>7.5</v>
      </c>
      <c r="I189" s="38">
        <f t="shared" si="14"/>
        <v>12.5</v>
      </c>
      <c r="J189" s="38">
        <f t="shared" si="15"/>
        <v>20</v>
      </c>
      <c r="K189" s="38">
        <f t="shared" si="16"/>
        <v>30</v>
      </c>
      <c r="L189" s="38">
        <f t="shared" si="17"/>
        <v>50</v>
      </c>
      <c r="M189" s="3" t="s">
        <v>593</v>
      </c>
      <c r="N189" s="3" t="s">
        <v>593</v>
      </c>
      <c r="O189" s="3" t="s">
        <v>432</v>
      </c>
      <c r="P189" s="4">
        <v>43451</v>
      </c>
    </row>
    <row r="190" spans="1:16" x14ac:dyDescent="0.2">
      <c r="A190" s="3" t="str">
        <f t="shared" si="12"/>
        <v>806616141512</v>
      </c>
      <c r="B190" s="16">
        <v>806616</v>
      </c>
      <c r="C190" s="16" t="s">
        <v>291</v>
      </c>
      <c r="D190" s="1">
        <v>141512</v>
      </c>
      <c r="E190" s="3" t="s">
        <v>192</v>
      </c>
      <c r="F190" s="9">
        <v>12.5</v>
      </c>
      <c r="G190" s="9">
        <f>IFERROR(VLOOKUP(F190,Sheet1!$B$15:$D$38,3,1),0)</f>
        <v>20</v>
      </c>
      <c r="H190" s="38">
        <f t="shared" si="13"/>
        <v>-5</v>
      </c>
      <c r="I190" s="38">
        <f t="shared" si="14"/>
        <v>0</v>
      </c>
      <c r="J190" s="38">
        <f t="shared" si="15"/>
        <v>7.5</v>
      </c>
      <c r="K190" s="38">
        <f t="shared" si="16"/>
        <v>17.5</v>
      </c>
      <c r="L190" s="38">
        <f t="shared" si="17"/>
        <v>37.5</v>
      </c>
      <c r="M190" s="3" t="s">
        <v>593</v>
      </c>
      <c r="N190" s="3" t="s">
        <v>593</v>
      </c>
      <c r="O190" s="3" t="s">
        <v>432</v>
      </c>
      <c r="P190" s="4">
        <v>42935</v>
      </c>
    </row>
    <row r="191" spans="1:16" x14ac:dyDescent="0.2">
      <c r="A191" s="3" t="str">
        <f t="shared" si="12"/>
        <v>806898141512</v>
      </c>
      <c r="B191" s="16">
        <v>806898</v>
      </c>
      <c r="C191" s="16" t="s">
        <v>229</v>
      </c>
      <c r="D191" s="1">
        <v>141512</v>
      </c>
      <c r="E191" s="3" t="s">
        <v>192</v>
      </c>
      <c r="F191" s="9">
        <v>20</v>
      </c>
      <c r="G191" s="9">
        <f>IFERROR(VLOOKUP(F191,Sheet1!$B$15:$D$38,3,1),0)</f>
        <v>40</v>
      </c>
      <c r="H191" s="38">
        <f t="shared" si="13"/>
        <v>-12.5</v>
      </c>
      <c r="I191" s="38">
        <f t="shared" si="14"/>
        <v>-7.5</v>
      </c>
      <c r="J191" s="38">
        <f t="shared" si="15"/>
        <v>0</v>
      </c>
      <c r="K191" s="38">
        <f t="shared" si="16"/>
        <v>10</v>
      </c>
      <c r="L191" s="38">
        <f t="shared" si="17"/>
        <v>30</v>
      </c>
      <c r="M191" s="3" t="s">
        <v>593</v>
      </c>
      <c r="N191" s="3" t="s">
        <v>593</v>
      </c>
      <c r="O191" s="3" t="s">
        <v>432</v>
      </c>
      <c r="P191" s="4">
        <v>42907</v>
      </c>
    </row>
    <row r="192" spans="1:16" x14ac:dyDescent="0.2">
      <c r="A192" s="3" t="str">
        <f t="shared" si="12"/>
        <v>807690141512</v>
      </c>
      <c r="B192" s="16">
        <v>807690</v>
      </c>
      <c r="C192" s="16" t="s">
        <v>419</v>
      </c>
      <c r="D192" s="1">
        <v>141512</v>
      </c>
      <c r="E192" s="3" t="s">
        <v>192</v>
      </c>
      <c r="F192" s="9">
        <v>0</v>
      </c>
      <c r="G192" s="9">
        <f>IFERROR(VLOOKUP(F192,Sheet1!$B$15:$D$38,3,1),0)</f>
        <v>0</v>
      </c>
      <c r="H192" s="38">
        <f t="shared" si="13"/>
        <v>7.5</v>
      </c>
      <c r="I192" s="38">
        <f t="shared" si="14"/>
        <v>12.5</v>
      </c>
      <c r="J192" s="38">
        <f t="shared" si="15"/>
        <v>20</v>
      </c>
      <c r="K192" s="38">
        <f t="shared" si="16"/>
        <v>30</v>
      </c>
      <c r="L192" s="38">
        <f t="shared" si="17"/>
        <v>50</v>
      </c>
      <c r="M192" s="3" t="s">
        <v>593</v>
      </c>
      <c r="N192" s="3" t="s">
        <v>593</v>
      </c>
      <c r="O192" s="3" t="s">
        <v>432</v>
      </c>
      <c r="P192" s="4">
        <v>43388</v>
      </c>
    </row>
    <row r="193" spans="1:16" x14ac:dyDescent="0.2">
      <c r="A193" s="3" t="str">
        <f t="shared" si="12"/>
        <v>808731141512</v>
      </c>
      <c r="B193" s="16">
        <v>808731</v>
      </c>
      <c r="C193" s="16" t="s">
        <v>378</v>
      </c>
      <c r="D193" s="1">
        <v>141512</v>
      </c>
      <c r="E193" s="3" t="s">
        <v>192</v>
      </c>
      <c r="F193" s="9">
        <v>7.5</v>
      </c>
      <c r="G193" s="9">
        <f>IFERROR(VLOOKUP(F193,Sheet1!$B$15:$D$38,3,1),0)</f>
        <v>10</v>
      </c>
      <c r="H193" s="38">
        <f t="shared" si="13"/>
        <v>0</v>
      </c>
      <c r="I193" s="38">
        <f t="shared" si="14"/>
        <v>5</v>
      </c>
      <c r="J193" s="38">
        <f t="shared" si="15"/>
        <v>12.5</v>
      </c>
      <c r="K193" s="38">
        <f t="shared" si="16"/>
        <v>22.5</v>
      </c>
      <c r="L193" s="38">
        <f t="shared" si="17"/>
        <v>42.5</v>
      </c>
      <c r="M193" s="3" t="s">
        <v>593</v>
      </c>
      <c r="N193" s="3" t="s">
        <v>593</v>
      </c>
      <c r="O193" s="3" t="s">
        <v>432</v>
      </c>
      <c r="P193" s="4">
        <v>43315</v>
      </c>
    </row>
    <row r="194" spans="1:16" x14ac:dyDescent="0.2">
      <c r="A194" s="3" t="str">
        <f t="shared" si="12"/>
        <v>810821141512</v>
      </c>
      <c r="B194" s="16">
        <v>810821</v>
      </c>
      <c r="C194" s="16" t="s">
        <v>313</v>
      </c>
      <c r="D194" s="1">
        <v>141512</v>
      </c>
      <c r="E194" s="3" t="s">
        <v>192</v>
      </c>
      <c r="F194" s="9">
        <v>12.5</v>
      </c>
      <c r="G194" s="9">
        <f>IFERROR(VLOOKUP(F194,Sheet1!$B$15:$D$38,3,1),0)</f>
        <v>20</v>
      </c>
      <c r="H194" s="38">
        <f t="shared" si="13"/>
        <v>-5</v>
      </c>
      <c r="I194" s="38">
        <f t="shared" si="14"/>
        <v>0</v>
      </c>
      <c r="J194" s="38">
        <f t="shared" si="15"/>
        <v>7.5</v>
      </c>
      <c r="K194" s="38">
        <f t="shared" si="16"/>
        <v>17.5</v>
      </c>
      <c r="L194" s="38">
        <f t="shared" si="17"/>
        <v>37.5</v>
      </c>
      <c r="M194" s="3" t="s">
        <v>593</v>
      </c>
      <c r="N194" s="3" t="s">
        <v>593</v>
      </c>
      <c r="O194" s="3" t="s">
        <v>432</v>
      </c>
      <c r="P194" s="4">
        <v>43791</v>
      </c>
    </row>
    <row r="195" spans="1:16" x14ac:dyDescent="0.2">
      <c r="A195" s="3" t="str">
        <f t="shared" ref="A195:A258" si="18">B195&amp;D195</f>
        <v>814097141512</v>
      </c>
      <c r="B195" s="16">
        <v>814097</v>
      </c>
      <c r="C195" s="16" t="s">
        <v>176</v>
      </c>
      <c r="D195" s="1">
        <v>141512</v>
      </c>
      <c r="E195" s="3" t="s">
        <v>192</v>
      </c>
      <c r="F195" s="9">
        <v>12.5</v>
      </c>
      <c r="G195" s="9">
        <f>IFERROR(VLOOKUP(F195,Sheet1!$B$15:$D$38,3,1),0)</f>
        <v>20</v>
      </c>
      <c r="H195" s="38">
        <f t="shared" si="13"/>
        <v>-5</v>
      </c>
      <c r="I195" s="38">
        <f t="shared" si="14"/>
        <v>0</v>
      </c>
      <c r="J195" s="38">
        <f t="shared" si="15"/>
        <v>7.5</v>
      </c>
      <c r="K195" s="38">
        <f t="shared" si="16"/>
        <v>17.5</v>
      </c>
      <c r="L195" s="38">
        <f t="shared" si="17"/>
        <v>37.5</v>
      </c>
      <c r="M195" s="3" t="s">
        <v>593</v>
      </c>
      <c r="N195" s="3" t="s">
        <v>593</v>
      </c>
      <c r="O195" s="3" t="s">
        <v>432</v>
      </c>
      <c r="P195" s="4">
        <v>44203</v>
      </c>
    </row>
    <row r="196" spans="1:16" x14ac:dyDescent="0.2">
      <c r="A196" s="3" t="str">
        <f t="shared" si="18"/>
        <v>814528141512</v>
      </c>
      <c r="B196" s="16">
        <v>814528</v>
      </c>
      <c r="C196" s="16" t="s">
        <v>193</v>
      </c>
      <c r="D196" s="1">
        <v>141512</v>
      </c>
      <c r="E196" s="3" t="s">
        <v>192</v>
      </c>
      <c r="F196" s="9">
        <v>35.75</v>
      </c>
      <c r="G196" s="9">
        <f>IFERROR(VLOOKUP(F196,Sheet1!$B$15:$D$38,3,1),0)</f>
        <v>80</v>
      </c>
      <c r="H196" s="38">
        <f t="shared" ref="H196:H259" si="19">$H$2-$F196</f>
        <v>-28.25</v>
      </c>
      <c r="I196" s="38">
        <f t="shared" ref="I196:I259" si="20">$I$2-$F196</f>
        <v>-23.25</v>
      </c>
      <c r="J196" s="38">
        <f t="shared" ref="J196:J259" si="21">$J$2-$F196</f>
        <v>-15.75</v>
      </c>
      <c r="K196" s="38">
        <f t="shared" ref="K196:K259" si="22">$K$2-$F196</f>
        <v>-5.75</v>
      </c>
      <c r="L196" s="38">
        <f t="shared" ref="L196:L259" si="23">$L$2-$F196</f>
        <v>14.25</v>
      </c>
      <c r="M196" s="3" t="s">
        <v>593</v>
      </c>
      <c r="N196" s="3" t="s">
        <v>593</v>
      </c>
      <c r="O196" s="3" t="s">
        <v>432</v>
      </c>
      <c r="P196" s="4">
        <v>44245</v>
      </c>
    </row>
    <row r="197" spans="1:16" x14ac:dyDescent="0.2">
      <c r="A197" s="3" t="str">
        <f t="shared" si="18"/>
        <v>814541141512</v>
      </c>
      <c r="B197" s="16">
        <v>814541</v>
      </c>
      <c r="C197" s="16" t="s">
        <v>312</v>
      </c>
      <c r="D197" s="1">
        <v>141512</v>
      </c>
      <c r="E197" s="3" t="s">
        <v>192</v>
      </c>
      <c r="F197" s="9">
        <v>0</v>
      </c>
      <c r="G197" s="9">
        <f>IFERROR(VLOOKUP(F197,Sheet1!$B$15:$D$38,3,1),0)</f>
        <v>0</v>
      </c>
      <c r="H197" s="38">
        <f t="shared" si="19"/>
        <v>7.5</v>
      </c>
      <c r="I197" s="38">
        <f t="shared" si="20"/>
        <v>12.5</v>
      </c>
      <c r="J197" s="38">
        <f t="shared" si="21"/>
        <v>20</v>
      </c>
      <c r="K197" s="38">
        <f t="shared" si="22"/>
        <v>30</v>
      </c>
      <c r="L197" s="38">
        <f t="shared" si="23"/>
        <v>50</v>
      </c>
      <c r="M197" s="3" t="s">
        <v>593</v>
      </c>
      <c r="N197" s="3" t="s">
        <v>593</v>
      </c>
      <c r="O197" s="3" t="s">
        <v>432</v>
      </c>
      <c r="P197" s="4">
        <v>44246</v>
      </c>
    </row>
    <row r="198" spans="1:16" x14ac:dyDescent="0.2">
      <c r="A198" s="3" t="str">
        <f t="shared" si="18"/>
        <v>817546141512</v>
      </c>
      <c r="B198" s="16">
        <v>817546</v>
      </c>
      <c r="C198" s="16" t="s">
        <v>623</v>
      </c>
      <c r="D198" s="3">
        <v>141512</v>
      </c>
      <c r="E198" s="3" t="s">
        <v>192</v>
      </c>
      <c r="F198" s="9">
        <v>39.5</v>
      </c>
      <c r="G198" s="9">
        <f>IFERROR(VLOOKUP(F198,Sheet1!$B$15:$D$38,3,1),0)</f>
        <v>80</v>
      </c>
      <c r="H198" s="38">
        <f t="shared" si="19"/>
        <v>-32</v>
      </c>
      <c r="I198" s="38">
        <f t="shared" si="20"/>
        <v>-27</v>
      </c>
      <c r="J198" s="38">
        <f t="shared" si="21"/>
        <v>-19.5</v>
      </c>
      <c r="K198" s="38">
        <f t="shared" si="22"/>
        <v>-9.5</v>
      </c>
      <c r="L198" s="38">
        <f t="shared" si="23"/>
        <v>10.5</v>
      </c>
      <c r="M198" s="3" t="s">
        <v>593</v>
      </c>
      <c r="N198" s="3" t="s">
        <v>593</v>
      </c>
      <c r="O198" s="3" t="s">
        <v>432</v>
      </c>
      <c r="P198" s="4">
        <v>44560</v>
      </c>
    </row>
    <row r="199" spans="1:16" x14ac:dyDescent="0.2">
      <c r="A199" s="3" t="str">
        <f t="shared" si="18"/>
        <v>807065143301</v>
      </c>
      <c r="B199" s="16">
        <v>807065</v>
      </c>
      <c r="C199" s="16" t="s">
        <v>154</v>
      </c>
      <c r="D199" s="1">
        <v>143301</v>
      </c>
      <c r="E199" s="3" t="s">
        <v>116</v>
      </c>
      <c r="F199" s="9">
        <v>0</v>
      </c>
      <c r="G199" s="9">
        <f>IFERROR(VLOOKUP(F199,Sheet1!$B$15:$D$38,3,1),0)</f>
        <v>0</v>
      </c>
      <c r="H199" s="38">
        <f t="shared" si="19"/>
        <v>7.5</v>
      </c>
      <c r="I199" s="38">
        <f t="shared" si="20"/>
        <v>12.5</v>
      </c>
      <c r="J199" s="38">
        <f t="shared" si="21"/>
        <v>20</v>
      </c>
      <c r="K199" s="38">
        <f t="shared" si="22"/>
        <v>30</v>
      </c>
      <c r="L199" s="38">
        <f t="shared" si="23"/>
        <v>50</v>
      </c>
      <c r="M199" s="3" t="s">
        <v>593</v>
      </c>
      <c r="N199" s="3" t="s">
        <v>593</v>
      </c>
      <c r="O199" s="3" t="s">
        <v>432</v>
      </c>
      <c r="P199" s="4">
        <v>43384</v>
      </c>
    </row>
    <row r="200" spans="1:16" x14ac:dyDescent="0.2">
      <c r="A200" s="3" t="str">
        <f t="shared" si="18"/>
        <v>812102145639</v>
      </c>
      <c r="B200" s="16">
        <v>812102</v>
      </c>
      <c r="C200" s="16" t="s">
        <v>401</v>
      </c>
      <c r="D200" s="1">
        <v>145639</v>
      </c>
      <c r="E200" s="3" t="s">
        <v>254</v>
      </c>
      <c r="F200" s="9">
        <v>0</v>
      </c>
      <c r="G200" s="9">
        <f>IFERROR(VLOOKUP(F200,Sheet1!$B$15:$D$38,3,1),0)</f>
        <v>0</v>
      </c>
      <c r="H200" s="38">
        <f t="shared" si="19"/>
        <v>7.5</v>
      </c>
      <c r="I200" s="38">
        <f t="shared" si="20"/>
        <v>12.5</v>
      </c>
      <c r="J200" s="38">
        <f t="shared" si="21"/>
        <v>20</v>
      </c>
      <c r="K200" s="38">
        <f t="shared" si="22"/>
        <v>30</v>
      </c>
      <c r="L200" s="38">
        <f t="shared" si="23"/>
        <v>50</v>
      </c>
      <c r="M200" s="3" t="s">
        <v>593</v>
      </c>
      <c r="N200" s="3" t="s">
        <v>593</v>
      </c>
      <c r="O200" s="3" t="s">
        <v>432</v>
      </c>
      <c r="P200" s="4">
        <v>44015</v>
      </c>
    </row>
    <row r="201" spans="1:16" x14ac:dyDescent="0.2">
      <c r="A201" s="3" t="str">
        <f t="shared" si="18"/>
        <v>805005146845</v>
      </c>
      <c r="B201" s="16">
        <v>805005</v>
      </c>
      <c r="C201" s="16" t="s">
        <v>338</v>
      </c>
      <c r="D201" s="1">
        <v>146845</v>
      </c>
      <c r="E201" s="3" t="s">
        <v>308</v>
      </c>
      <c r="F201" s="9">
        <v>0</v>
      </c>
      <c r="G201" s="9">
        <f>IFERROR(VLOOKUP(F201,Sheet1!$B$15:$D$38,3,1),0)</f>
        <v>0</v>
      </c>
      <c r="H201" s="38">
        <f t="shared" si="19"/>
        <v>7.5</v>
      </c>
      <c r="I201" s="38">
        <f t="shared" si="20"/>
        <v>12.5</v>
      </c>
      <c r="J201" s="38">
        <f t="shared" si="21"/>
        <v>20</v>
      </c>
      <c r="K201" s="38">
        <f t="shared" si="22"/>
        <v>30</v>
      </c>
      <c r="L201" s="38">
        <f t="shared" si="23"/>
        <v>50</v>
      </c>
      <c r="M201" s="3" t="s">
        <v>593</v>
      </c>
      <c r="N201" s="3" t="s">
        <v>593</v>
      </c>
      <c r="O201" s="3" t="s">
        <v>432</v>
      </c>
      <c r="P201" s="4">
        <v>42490</v>
      </c>
    </row>
    <row r="202" spans="1:16" x14ac:dyDescent="0.2">
      <c r="A202" s="3" t="str">
        <f t="shared" si="18"/>
        <v>807121146845</v>
      </c>
      <c r="B202" s="16">
        <v>807121</v>
      </c>
      <c r="C202" s="16" t="s">
        <v>309</v>
      </c>
      <c r="D202" s="1">
        <v>146845</v>
      </c>
      <c r="E202" s="3" t="s">
        <v>308</v>
      </c>
      <c r="F202" s="9">
        <v>19</v>
      </c>
      <c r="G202" s="9">
        <f>IFERROR(VLOOKUP(F202,Sheet1!$B$15:$D$38,3,1),0)</f>
        <v>20</v>
      </c>
      <c r="H202" s="38">
        <f t="shared" si="19"/>
        <v>-11.5</v>
      </c>
      <c r="I202" s="38">
        <f t="shared" si="20"/>
        <v>-6.5</v>
      </c>
      <c r="J202" s="38">
        <f t="shared" si="21"/>
        <v>1</v>
      </c>
      <c r="K202" s="38">
        <f t="shared" si="22"/>
        <v>11</v>
      </c>
      <c r="L202" s="38">
        <f t="shared" si="23"/>
        <v>31</v>
      </c>
      <c r="M202" s="3" t="s">
        <v>593</v>
      </c>
      <c r="N202" s="3" t="s">
        <v>593</v>
      </c>
      <c r="O202" s="3" t="s">
        <v>432</v>
      </c>
      <c r="P202" s="4">
        <v>43400</v>
      </c>
    </row>
    <row r="203" spans="1:16" x14ac:dyDescent="0.2">
      <c r="A203" s="3" t="str">
        <f t="shared" si="18"/>
        <v>811242147770</v>
      </c>
      <c r="B203" s="16">
        <v>811242</v>
      </c>
      <c r="C203" s="16" t="s">
        <v>604</v>
      </c>
      <c r="D203" s="3">
        <v>147770</v>
      </c>
      <c r="E203" s="3" t="s">
        <v>605</v>
      </c>
      <c r="F203" s="9">
        <v>9</v>
      </c>
      <c r="G203" s="9">
        <f>IFERROR(VLOOKUP(F203,Sheet1!$B$15:$D$38,3,1),0)</f>
        <v>10</v>
      </c>
      <c r="H203" s="38">
        <f t="shared" si="19"/>
        <v>-1.5</v>
      </c>
      <c r="I203" s="38">
        <f t="shared" si="20"/>
        <v>3.5</v>
      </c>
      <c r="J203" s="38">
        <f t="shared" si="21"/>
        <v>11</v>
      </c>
      <c r="K203" s="38">
        <f t="shared" si="22"/>
        <v>21</v>
      </c>
      <c r="L203" s="38">
        <f t="shared" si="23"/>
        <v>41</v>
      </c>
      <c r="M203" s="3" t="s">
        <v>593</v>
      </c>
      <c r="N203" s="3" t="s">
        <v>593</v>
      </c>
      <c r="O203" s="3" t="s">
        <v>432</v>
      </c>
      <c r="P203" s="4">
        <v>43844</v>
      </c>
    </row>
    <row r="204" spans="1:16" x14ac:dyDescent="0.2">
      <c r="A204" s="3" t="str">
        <f t="shared" si="18"/>
        <v>813149149583</v>
      </c>
      <c r="B204" s="16">
        <v>813149</v>
      </c>
      <c r="C204" s="16" t="s">
        <v>307</v>
      </c>
      <c r="D204" s="1">
        <v>149583</v>
      </c>
      <c r="E204" s="3" t="s">
        <v>306</v>
      </c>
      <c r="F204" s="9">
        <v>7.5</v>
      </c>
      <c r="G204" s="9">
        <f>IFERROR(VLOOKUP(F204,Sheet1!$B$15:$D$38,3,1),0)</f>
        <v>10</v>
      </c>
      <c r="H204" s="38">
        <f t="shared" si="19"/>
        <v>0</v>
      </c>
      <c r="I204" s="38">
        <f t="shared" si="20"/>
        <v>5</v>
      </c>
      <c r="J204" s="38">
        <f t="shared" si="21"/>
        <v>12.5</v>
      </c>
      <c r="K204" s="38">
        <f t="shared" si="22"/>
        <v>22.5</v>
      </c>
      <c r="L204" s="38">
        <f t="shared" si="23"/>
        <v>42.5</v>
      </c>
      <c r="M204" s="3" t="s">
        <v>593</v>
      </c>
      <c r="N204" s="3" t="s">
        <v>593</v>
      </c>
      <c r="O204" s="3" t="s">
        <v>432</v>
      </c>
      <c r="P204" s="4">
        <v>44104</v>
      </c>
    </row>
    <row r="205" spans="1:16" x14ac:dyDescent="0.2">
      <c r="A205" s="3" t="str">
        <f t="shared" si="18"/>
        <v>812883149825</v>
      </c>
      <c r="B205" s="16">
        <v>812883</v>
      </c>
      <c r="C205" s="16" t="s">
        <v>352</v>
      </c>
      <c r="D205" s="1">
        <v>149825</v>
      </c>
      <c r="E205" s="3" t="s">
        <v>336</v>
      </c>
      <c r="F205" s="9">
        <v>0</v>
      </c>
      <c r="G205" s="9">
        <f>IFERROR(VLOOKUP(F205,Sheet1!$B$15:$D$38,3,1),0)</f>
        <v>0</v>
      </c>
      <c r="H205" s="38">
        <f t="shared" si="19"/>
        <v>7.5</v>
      </c>
      <c r="I205" s="38">
        <f t="shared" si="20"/>
        <v>12.5</v>
      </c>
      <c r="J205" s="38">
        <f t="shared" si="21"/>
        <v>20</v>
      </c>
      <c r="K205" s="38">
        <f t="shared" si="22"/>
        <v>30</v>
      </c>
      <c r="L205" s="38">
        <f t="shared" si="23"/>
        <v>50</v>
      </c>
      <c r="M205" s="3" t="s">
        <v>593</v>
      </c>
      <c r="N205" s="3" t="s">
        <v>593</v>
      </c>
      <c r="O205" s="3" t="s">
        <v>432</v>
      </c>
      <c r="P205" s="4">
        <v>44085</v>
      </c>
    </row>
    <row r="206" spans="1:16" x14ac:dyDescent="0.2">
      <c r="A206" s="3" t="str">
        <f t="shared" si="18"/>
        <v>816261149825</v>
      </c>
      <c r="B206" s="16">
        <v>816261</v>
      </c>
      <c r="C206" s="16" t="s">
        <v>557</v>
      </c>
      <c r="D206" s="3">
        <v>149825</v>
      </c>
      <c r="E206" s="3" t="s">
        <v>336</v>
      </c>
      <c r="F206" s="9">
        <v>5</v>
      </c>
      <c r="G206" s="9">
        <f>IFERROR(VLOOKUP(F206,Sheet1!$B$15:$D$38,3,1),0)</f>
        <v>0</v>
      </c>
      <c r="H206" s="38">
        <f t="shared" si="19"/>
        <v>2.5</v>
      </c>
      <c r="I206" s="38">
        <f t="shared" si="20"/>
        <v>7.5</v>
      </c>
      <c r="J206" s="38">
        <f t="shared" si="21"/>
        <v>15</v>
      </c>
      <c r="K206" s="38">
        <f t="shared" si="22"/>
        <v>25</v>
      </c>
      <c r="L206" s="38">
        <f t="shared" si="23"/>
        <v>45</v>
      </c>
      <c r="M206" s="3" t="s">
        <v>593</v>
      </c>
      <c r="N206" s="3" t="s">
        <v>593</v>
      </c>
      <c r="O206" s="3" t="s">
        <v>432</v>
      </c>
      <c r="P206" s="4">
        <v>44443</v>
      </c>
    </row>
    <row r="207" spans="1:16" x14ac:dyDescent="0.2">
      <c r="A207" s="3" t="str">
        <f t="shared" si="18"/>
        <v>814942172150</v>
      </c>
      <c r="B207" s="16">
        <v>814942</v>
      </c>
      <c r="C207" s="16" t="s">
        <v>398</v>
      </c>
      <c r="D207" s="1">
        <v>172150</v>
      </c>
      <c r="E207" s="3" t="s">
        <v>250</v>
      </c>
      <c r="F207" s="9">
        <v>0</v>
      </c>
      <c r="G207" s="9">
        <f>IFERROR(VLOOKUP(F207,Sheet1!$B$15:$D$38,3,1),0)</f>
        <v>0</v>
      </c>
      <c r="H207" s="38">
        <f t="shared" si="19"/>
        <v>7.5</v>
      </c>
      <c r="I207" s="38">
        <f t="shared" si="20"/>
        <v>12.5</v>
      </c>
      <c r="J207" s="38">
        <f t="shared" si="21"/>
        <v>20</v>
      </c>
      <c r="K207" s="38">
        <f t="shared" si="22"/>
        <v>30</v>
      </c>
      <c r="L207" s="38">
        <f t="shared" si="23"/>
        <v>50</v>
      </c>
      <c r="M207" s="3" t="s">
        <v>593</v>
      </c>
      <c r="N207" s="3" t="s">
        <v>593</v>
      </c>
      <c r="O207" s="3" t="s">
        <v>432</v>
      </c>
      <c r="P207" s="4">
        <v>44300</v>
      </c>
    </row>
    <row r="208" spans="1:16" x14ac:dyDescent="0.2">
      <c r="A208" s="3" t="str">
        <f t="shared" si="18"/>
        <v>803698172976</v>
      </c>
      <c r="B208" s="16">
        <v>803698</v>
      </c>
      <c r="C208" s="16" t="s">
        <v>416</v>
      </c>
      <c r="D208" s="1">
        <v>172976</v>
      </c>
      <c r="E208" s="3" t="s">
        <v>321</v>
      </c>
      <c r="F208" s="9">
        <v>19.5</v>
      </c>
      <c r="G208" s="9">
        <f>IFERROR(VLOOKUP(F208,Sheet1!$B$15:$D$38,3,1),0)</f>
        <v>20</v>
      </c>
      <c r="H208" s="38">
        <f t="shared" si="19"/>
        <v>-12</v>
      </c>
      <c r="I208" s="38">
        <f t="shared" si="20"/>
        <v>-7</v>
      </c>
      <c r="J208" s="38">
        <f t="shared" si="21"/>
        <v>0.5</v>
      </c>
      <c r="K208" s="38">
        <f t="shared" si="22"/>
        <v>10.5</v>
      </c>
      <c r="L208" s="38">
        <f t="shared" si="23"/>
        <v>30.5</v>
      </c>
      <c r="M208" s="3" t="s">
        <v>593</v>
      </c>
      <c r="N208" s="3" t="s">
        <v>593</v>
      </c>
      <c r="O208" s="3" t="s">
        <v>432</v>
      </c>
      <c r="P208" s="4">
        <v>41962</v>
      </c>
    </row>
    <row r="209" spans="1:16" x14ac:dyDescent="0.2">
      <c r="A209" s="3" t="str">
        <f t="shared" si="18"/>
        <v>812237174445</v>
      </c>
      <c r="B209" s="16">
        <v>812237</v>
      </c>
      <c r="C209" s="16" t="s">
        <v>386</v>
      </c>
      <c r="D209" s="1">
        <v>174445</v>
      </c>
      <c r="E209" s="3" t="s">
        <v>245</v>
      </c>
      <c r="F209" s="9">
        <v>0</v>
      </c>
      <c r="G209" s="9">
        <f>IFERROR(VLOOKUP(F209,Sheet1!$B$15:$D$38,3,1),0)</f>
        <v>0</v>
      </c>
      <c r="H209" s="38">
        <f t="shared" si="19"/>
        <v>7.5</v>
      </c>
      <c r="I209" s="38">
        <f t="shared" si="20"/>
        <v>12.5</v>
      </c>
      <c r="J209" s="38">
        <f t="shared" si="21"/>
        <v>20</v>
      </c>
      <c r="K209" s="38">
        <f t="shared" si="22"/>
        <v>30</v>
      </c>
      <c r="L209" s="38">
        <f t="shared" si="23"/>
        <v>50</v>
      </c>
      <c r="M209" s="3" t="s">
        <v>593</v>
      </c>
      <c r="N209" s="3" t="s">
        <v>593</v>
      </c>
      <c r="O209" s="3" t="s">
        <v>432</v>
      </c>
      <c r="P209" s="4">
        <v>44027</v>
      </c>
    </row>
    <row r="210" spans="1:16" x14ac:dyDescent="0.2">
      <c r="A210" s="3" t="str">
        <f t="shared" si="18"/>
        <v>814248174693</v>
      </c>
      <c r="B210" s="16">
        <v>814248</v>
      </c>
      <c r="C210" s="16" t="s">
        <v>249</v>
      </c>
      <c r="D210" s="1">
        <v>174693</v>
      </c>
      <c r="E210" s="3" t="s">
        <v>248</v>
      </c>
      <c r="F210" s="9">
        <v>0</v>
      </c>
      <c r="G210" s="9">
        <f>IFERROR(VLOOKUP(F210,Sheet1!$B$15:$D$38,3,1),0)</f>
        <v>0</v>
      </c>
      <c r="H210" s="38">
        <f t="shared" si="19"/>
        <v>7.5</v>
      </c>
      <c r="I210" s="38">
        <f t="shared" si="20"/>
        <v>12.5</v>
      </c>
      <c r="J210" s="38">
        <f t="shared" si="21"/>
        <v>20</v>
      </c>
      <c r="K210" s="38">
        <f t="shared" si="22"/>
        <v>30</v>
      </c>
      <c r="L210" s="38">
        <f t="shared" si="23"/>
        <v>50</v>
      </c>
      <c r="M210" s="3" t="s">
        <v>593</v>
      </c>
      <c r="N210" s="3" t="s">
        <v>593</v>
      </c>
      <c r="O210" s="3" t="s">
        <v>432</v>
      </c>
      <c r="P210" s="4">
        <v>44219</v>
      </c>
    </row>
    <row r="211" spans="1:16" x14ac:dyDescent="0.2">
      <c r="A211" s="3" t="str">
        <f t="shared" si="18"/>
        <v>803018176276</v>
      </c>
      <c r="B211" s="16">
        <v>803018</v>
      </c>
      <c r="C211" s="16" t="s">
        <v>275</v>
      </c>
      <c r="D211" s="1">
        <v>176276</v>
      </c>
      <c r="E211" s="3" t="s">
        <v>253</v>
      </c>
      <c r="F211" s="9">
        <v>7.5</v>
      </c>
      <c r="G211" s="9">
        <f>IFERROR(VLOOKUP(F211,Sheet1!$B$15:$D$38,3,1),0)</f>
        <v>10</v>
      </c>
      <c r="H211" s="38">
        <f t="shared" si="19"/>
        <v>0</v>
      </c>
      <c r="I211" s="38">
        <f t="shared" si="20"/>
        <v>5</v>
      </c>
      <c r="J211" s="38">
        <f t="shared" si="21"/>
        <v>12.5</v>
      </c>
      <c r="K211" s="38">
        <f t="shared" si="22"/>
        <v>22.5</v>
      </c>
      <c r="L211" s="38">
        <f t="shared" si="23"/>
        <v>42.5</v>
      </c>
      <c r="M211" s="3" t="s">
        <v>593</v>
      </c>
      <c r="N211" s="3" t="s">
        <v>593</v>
      </c>
      <c r="O211" s="3" t="s">
        <v>432</v>
      </c>
      <c r="P211" s="4">
        <v>41607</v>
      </c>
    </row>
    <row r="212" spans="1:16" x14ac:dyDescent="0.2">
      <c r="A212" s="3" t="str">
        <f t="shared" si="18"/>
        <v>804978176276</v>
      </c>
      <c r="B212" s="16">
        <v>804978</v>
      </c>
      <c r="C212" s="16" t="s">
        <v>595</v>
      </c>
      <c r="D212" s="3">
        <v>176276</v>
      </c>
      <c r="E212" s="3" t="s">
        <v>253</v>
      </c>
      <c r="F212" s="9">
        <v>0</v>
      </c>
      <c r="G212" s="9">
        <f>IFERROR(VLOOKUP(F212,Sheet1!$B$15:$D$38,3,1),0)</f>
        <v>0</v>
      </c>
      <c r="H212" s="38">
        <f t="shared" si="19"/>
        <v>7.5</v>
      </c>
      <c r="I212" s="38">
        <f t="shared" si="20"/>
        <v>12.5</v>
      </c>
      <c r="J212" s="38">
        <f t="shared" si="21"/>
        <v>20</v>
      </c>
      <c r="K212" s="38">
        <f t="shared" si="22"/>
        <v>30</v>
      </c>
      <c r="L212" s="38">
        <f t="shared" si="23"/>
        <v>50</v>
      </c>
      <c r="M212" s="3" t="s">
        <v>593</v>
      </c>
      <c r="N212" s="3" t="s">
        <v>593</v>
      </c>
      <c r="O212" s="3" t="s">
        <v>432</v>
      </c>
      <c r="P212" s="4">
        <v>42485</v>
      </c>
    </row>
    <row r="213" spans="1:16" x14ac:dyDescent="0.2">
      <c r="A213" s="3" t="str">
        <f t="shared" si="18"/>
        <v>805378176276</v>
      </c>
      <c r="B213" s="16">
        <v>805378</v>
      </c>
      <c r="C213" s="16" t="s">
        <v>277</v>
      </c>
      <c r="D213" s="1">
        <v>176276</v>
      </c>
      <c r="E213" s="3" t="s">
        <v>253</v>
      </c>
      <c r="F213" s="9">
        <v>82.5</v>
      </c>
      <c r="G213" s="9">
        <f>IFERROR(VLOOKUP(F213,Sheet1!$B$15:$D$38,3,1),0)</f>
        <v>160</v>
      </c>
      <c r="H213" s="38">
        <f t="shared" si="19"/>
        <v>-75</v>
      </c>
      <c r="I213" s="38">
        <f t="shared" si="20"/>
        <v>-70</v>
      </c>
      <c r="J213" s="38">
        <f t="shared" si="21"/>
        <v>-62.5</v>
      </c>
      <c r="K213" s="38">
        <f t="shared" si="22"/>
        <v>-52.5</v>
      </c>
      <c r="L213" s="38">
        <f t="shared" si="23"/>
        <v>-32.5</v>
      </c>
      <c r="M213" s="3" t="s">
        <v>593</v>
      </c>
      <c r="N213" s="3" t="s">
        <v>593</v>
      </c>
      <c r="O213" s="3" t="s">
        <v>432</v>
      </c>
      <c r="P213" s="4">
        <v>42580</v>
      </c>
    </row>
    <row r="214" spans="1:16" x14ac:dyDescent="0.2">
      <c r="A214" s="3" t="str">
        <f t="shared" si="18"/>
        <v>813271176276</v>
      </c>
      <c r="B214" s="16">
        <v>813271</v>
      </c>
      <c r="C214" s="16" t="s">
        <v>287</v>
      </c>
      <c r="D214" s="1">
        <v>176276</v>
      </c>
      <c r="E214" s="3" t="s">
        <v>253</v>
      </c>
      <c r="F214" s="9">
        <v>14</v>
      </c>
      <c r="G214" s="9">
        <f>IFERROR(VLOOKUP(F214,Sheet1!$B$15:$D$38,3,1),0)</f>
        <v>20</v>
      </c>
      <c r="H214" s="38">
        <f t="shared" si="19"/>
        <v>-6.5</v>
      </c>
      <c r="I214" s="38">
        <f t="shared" si="20"/>
        <v>-1.5</v>
      </c>
      <c r="J214" s="38">
        <f t="shared" si="21"/>
        <v>6</v>
      </c>
      <c r="K214" s="38">
        <f t="shared" si="22"/>
        <v>16</v>
      </c>
      <c r="L214" s="38">
        <f t="shared" si="23"/>
        <v>36</v>
      </c>
      <c r="M214" s="3" t="s">
        <v>593</v>
      </c>
      <c r="N214" s="3" t="s">
        <v>593</v>
      </c>
      <c r="O214" s="3" t="s">
        <v>432</v>
      </c>
      <c r="P214" s="4">
        <v>44118</v>
      </c>
    </row>
    <row r="215" spans="1:16" x14ac:dyDescent="0.2">
      <c r="A215" s="3" t="str">
        <f t="shared" si="18"/>
        <v>816262176276</v>
      </c>
      <c r="B215" s="16">
        <v>816262</v>
      </c>
      <c r="C215" s="16" t="s">
        <v>558</v>
      </c>
      <c r="D215" s="3">
        <v>176276</v>
      </c>
      <c r="E215" s="3" t="s">
        <v>253</v>
      </c>
      <c r="F215" s="9">
        <v>7.5</v>
      </c>
      <c r="G215" s="9">
        <f>IFERROR(VLOOKUP(F215,Sheet1!$B$15:$D$38,3,1),0)</f>
        <v>10</v>
      </c>
      <c r="H215" s="38">
        <f t="shared" si="19"/>
        <v>0</v>
      </c>
      <c r="I215" s="38">
        <f t="shared" si="20"/>
        <v>5</v>
      </c>
      <c r="J215" s="38">
        <f t="shared" si="21"/>
        <v>12.5</v>
      </c>
      <c r="K215" s="38">
        <f t="shared" si="22"/>
        <v>22.5</v>
      </c>
      <c r="L215" s="38">
        <f t="shared" si="23"/>
        <v>42.5</v>
      </c>
      <c r="M215" s="3" t="s">
        <v>593</v>
      </c>
      <c r="N215" s="3" t="s">
        <v>593</v>
      </c>
      <c r="O215" s="3" t="s">
        <v>432</v>
      </c>
      <c r="P215" s="4">
        <v>44443</v>
      </c>
    </row>
    <row r="216" spans="1:16" x14ac:dyDescent="0.2">
      <c r="A216" s="3" t="str">
        <f t="shared" si="18"/>
        <v>807122176303</v>
      </c>
      <c r="B216" s="16">
        <v>807122</v>
      </c>
      <c r="C216" s="16" t="s">
        <v>349</v>
      </c>
      <c r="D216" s="1">
        <v>176303</v>
      </c>
      <c r="E216" s="3" t="s">
        <v>278</v>
      </c>
      <c r="F216" s="9">
        <v>19</v>
      </c>
      <c r="G216" s="9">
        <f>IFERROR(VLOOKUP(F216,Sheet1!$B$15:$D$38,3,1),0)</f>
        <v>20</v>
      </c>
      <c r="H216" s="38">
        <f t="shared" si="19"/>
        <v>-11.5</v>
      </c>
      <c r="I216" s="38">
        <f t="shared" si="20"/>
        <v>-6.5</v>
      </c>
      <c r="J216" s="38">
        <f t="shared" si="21"/>
        <v>1</v>
      </c>
      <c r="K216" s="38">
        <f t="shared" si="22"/>
        <v>11</v>
      </c>
      <c r="L216" s="38">
        <f t="shared" si="23"/>
        <v>31</v>
      </c>
      <c r="M216" s="3" t="s">
        <v>593</v>
      </c>
      <c r="N216" s="3" t="s">
        <v>593</v>
      </c>
      <c r="O216" s="3" t="s">
        <v>432</v>
      </c>
      <c r="P216" s="4">
        <v>43400</v>
      </c>
    </row>
    <row r="217" spans="1:16" x14ac:dyDescent="0.2">
      <c r="A217" s="3" t="str">
        <f t="shared" si="18"/>
        <v>807368176303</v>
      </c>
      <c r="B217" s="16">
        <v>807368</v>
      </c>
      <c r="C217" s="16" t="s">
        <v>418</v>
      </c>
      <c r="D217" s="1">
        <v>176303</v>
      </c>
      <c r="E217" s="3" t="s">
        <v>278</v>
      </c>
      <c r="F217" s="9">
        <v>0</v>
      </c>
      <c r="G217" s="9">
        <f>IFERROR(VLOOKUP(F217,Sheet1!$B$15:$D$38,3,1),0)</f>
        <v>0</v>
      </c>
      <c r="H217" s="38">
        <f t="shared" si="19"/>
        <v>7.5</v>
      </c>
      <c r="I217" s="38">
        <f t="shared" si="20"/>
        <v>12.5</v>
      </c>
      <c r="J217" s="38">
        <f t="shared" si="21"/>
        <v>20</v>
      </c>
      <c r="K217" s="38">
        <f t="shared" si="22"/>
        <v>30</v>
      </c>
      <c r="L217" s="38">
        <f t="shared" si="23"/>
        <v>50</v>
      </c>
      <c r="M217" s="3" t="s">
        <v>593</v>
      </c>
      <c r="N217" s="3" t="s">
        <v>593</v>
      </c>
      <c r="O217" s="3" t="s">
        <v>432</v>
      </c>
      <c r="P217" s="4">
        <v>43453</v>
      </c>
    </row>
    <row r="218" spans="1:16" x14ac:dyDescent="0.2">
      <c r="A218" s="3" t="str">
        <f t="shared" si="18"/>
        <v>809479176303</v>
      </c>
      <c r="B218" s="16">
        <v>809479</v>
      </c>
      <c r="C218" s="16" t="s">
        <v>279</v>
      </c>
      <c r="D218" s="1">
        <v>176303</v>
      </c>
      <c r="E218" s="3" t="s">
        <v>278</v>
      </c>
      <c r="F218" s="9">
        <v>4</v>
      </c>
      <c r="G218" s="9">
        <f>IFERROR(VLOOKUP(F218,Sheet1!$B$15:$D$38,3,1),0)</f>
        <v>0</v>
      </c>
      <c r="H218" s="38">
        <f t="shared" si="19"/>
        <v>3.5</v>
      </c>
      <c r="I218" s="38">
        <f t="shared" si="20"/>
        <v>8.5</v>
      </c>
      <c r="J218" s="38">
        <f t="shared" si="21"/>
        <v>16</v>
      </c>
      <c r="K218" s="38">
        <f t="shared" si="22"/>
        <v>26</v>
      </c>
      <c r="L218" s="38">
        <f t="shared" si="23"/>
        <v>46</v>
      </c>
      <c r="M218" s="3" t="s">
        <v>593</v>
      </c>
      <c r="N218" s="3" t="s">
        <v>593</v>
      </c>
      <c r="O218" s="3" t="s">
        <v>432</v>
      </c>
      <c r="P218" s="4">
        <v>43588</v>
      </c>
    </row>
    <row r="219" spans="1:16" x14ac:dyDescent="0.2">
      <c r="A219" s="3" t="str">
        <f t="shared" si="18"/>
        <v>811243176303</v>
      </c>
      <c r="B219" s="16">
        <v>811243</v>
      </c>
      <c r="C219" s="16" t="s">
        <v>408</v>
      </c>
      <c r="D219" s="1">
        <v>176303</v>
      </c>
      <c r="E219" s="3" t="s">
        <v>278</v>
      </c>
      <c r="F219" s="9">
        <v>0</v>
      </c>
      <c r="G219" s="9">
        <f>IFERROR(VLOOKUP(F219,Sheet1!$B$15:$D$38,3,1),0)</f>
        <v>0</v>
      </c>
      <c r="H219" s="38">
        <f t="shared" si="19"/>
        <v>7.5</v>
      </c>
      <c r="I219" s="38">
        <f t="shared" si="20"/>
        <v>12.5</v>
      </c>
      <c r="J219" s="38">
        <f t="shared" si="21"/>
        <v>20</v>
      </c>
      <c r="K219" s="38">
        <f t="shared" si="22"/>
        <v>30</v>
      </c>
      <c r="L219" s="38">
        <f t="shared" si="23"/>
        <v>50</v>
      </c>
      <c r="M219" s="3" t="s">
        <v>593</v>
      </c>
      <c r="N219" s="3" t="s">
        <v>593</v>
      </c>
      <c r="O219" s="3" t="s">
        <v>432</v>
      </c>
      <c r="P219" s="4">
        <v>43844</v>
      </c>
    </row>
    <row r="220" spans="1:16" x14ac:dyDescent="0.2">
      <c r="A220" s="3" t="str">
        <f t="shared" si="18"/>
        <v>813195176303</v>
      </c>
      <c r="B220" s="16">
        <v>813195</v>
      </c>
      <c r="C220" s="16" t="s">
        <v>407</v>
      </c>
      <c r="D220" s="1">
        <v>176303</v>
      </c>
      <c r="E220" s="3" t="s">
        <v>278</v>
      </c>
      <c r="F220" s="9">
        <v>0</v>
      </c>
      <c r="G220" s="9">
        <f>IFERROR(VLOOKUP(F220,Sheet1!$B$15:$D$38,3,1),0)</f>
        <v>0</v>
      </c>
      <c r="H220" s="38">
        <f t="shared" si="19"/>
        <v>7.5</v>
      </c>
      <c r="I220" s="38">
        <f t="shared" si="20"/>
        <v>12.5</v>
      </c>
      <c r="J220" s="38">
        <f t="shared" si="21"/>
        <v>20</v>
      </c>
      <c r="K220" s="38">
        <f t="shared" si="22"/>
        <v>30</v>
      </c>
      <c r="L220" s="38">
        <f t="shared" si="23"/>
        <v>50</v>
      </c>
      <c r="M220" s="3" t="s">
        <v>593</v>
      </c>
      <c r="N220" s="3" t="s">
        <v>593</v>
      </c>
      <c r="O220" s="3" t="s">
        <v>432</v>
      </c>
      <c r="P220" s="4">
        <v>44111</v>
      </c>
    </row>
    <row r="221" spans="1:16" x14ac:dyDescent="0.2">
      <c r="A221" s="3" t="str">
        <f t="shared" si="18"/>
        <v>814284176303</v>
      </c>
      <c r="B221" s="16">
        <v>814284</v>
      </c>
      <c r="C221" s="16" t="s">
        <v>404</v>
      </c>
      <c r="D221" s="1">
        <v>176303</v>
      </c>
      <c r="E221" s="3" t="s">
        <v>278</v>
      </c>
      <c r="F221" s="9">
        <v>22</v>
      </c>
      <c r="G221" s="9">
        <f>IFERROR(VLOOKUP(F221,Sheet1!$B$15:$D$38,3,1),0)</f>
        <v>40</v>
      </c>
      <c r="H221" s="38">
        <f t="shared" si="19"/>
        <v>-14.5</v>
      </c>
      <c r="I221" s="38">
        <f t="shared" si="20"/>
        <v>-9.5</v>
      </c>
      <c r="J221" s="38">
        <f t="shared" si="21"/>
        <v>-2</v>
      </c>
      <c r="K221" s="38">
        <f t="shared" si="22"/>
        <v>8</v>
      </c>
      <c r="L221" s="38">
        <f t="shared" si="23"/>
        <v>28</v>
      </c>
      <c r="M221" s="3" t="s">
        <v>593</v>
      </c>
      <c r="N221" s="3" t="s">
        <v>593</v>
      </c>
      <c r="O221" s="3" t="s">
        <v>432</v>
      </c>
      <c r="P221" s="4">
        <v>44223</v>
      </c>
    </row>
    <row r="222" spans="1:16" x14ac:dyDescent="0.2">
      <c r="A222" s="3" t="str">
        <f t="shared" si="18"/>
        <v>812546176388</v>
      </c>
      <c r="B222" s="16">
        <v>812546</v>
      </c>
      <c r="C222" s="16" t="s">
        <v>361</v>
      </c>
      <c r="D222" s="1">
        <v>176388</v>
      </c>
      <c r="E222" s="3" t="s">
        <v>214</v>
      </c>
      <c r="F222" s="9">
        <v>0</v>
      </c>
      <c r="G222" s="9">
        <f>IFERROR(VLOOKUP(F222,Sheet1!$B$15:$D$38,3,1),0)</f>
        <v>0</v>
      </c>
      <c r="H222" s="38">
        <f t="shared" si="19"/>
        <v>7.5</v>
      </c>
      <c r="I222" s="38">
        <f t="shared" si="20"/>
        <v>12.5</v>
      </c>
      <c r="J222" s="38">
        <f t="shared" si="21"/>
        <v>20</v>
      </c>
      <c r="K222" s="38">
        <f t="shared" si="22"/>
        <v>30</v>
      </c>
      <c r="L222" s="38">
        <f t="shared" si="23"/>
        <v>50</v>
      </c>
      <c r="M222" s="3" t="s">
        <v>593</v>
      </c>
      <c r="N222" s="3" t="s">
        <v>593</v>
      </c>
      <c r="O222" s="3" t="s">
        <v>432</v>
      </c>
      <c r="P222" s="4">
        <v>44060</v>
      </c>
    </row>
    <row r="223" spans="1:16" x14ac:dyDescent="0.2">
      <c r="A223" s="3" t="str">
        <f t="shared" si="18"/>
        <v>806296179796</v>
      </c>
      <c r="B223" s="16">
        <v>806296</v>
      </c>
      <c r="C223" s="16" t="s">
        <v>363</v>
      </c>
      <c r="D223" s="1">
        <v>179796</v>
      </c>
      <c r="E223" s="3" t="s">
        <v>268</v>
      </c>
      <c r="F223" s="9">
        <v>0</v>
      </c>
      <c r="G223" s="9">
        <f>IFERROR(VLOOKUP(F223,Sheet1!$B$15:$D$38,3,1),0)</f>
        <v>0</v>
      </c>
      <c r="H223" s="38">
        <f t="shared" si="19"/>
        <v>7.5</v>
      </c>
      <c r="I223" s="38">
        <f t="shared" si="20"/>
        <v>12.5</v>
      </c>
      <c r="J223" s="38">
        <f t="shared" si="21"/>
        <v>20</v>
      </c>
      <c r="K223" s="38">
        <f t="shared" si="22"/>
        <v>30</v>
      </c>
      <c r="L223" s="38">
        <f t="shared" si="23"/>
        <v>50</v>
      </c>
      <c r="M223" s="3" t="s">
        <v>593</v>
      </c>
      <c r="N223" s="3" t="s">
        <v>593</v>
      </c>
      <c r="O223" s="3" t="s">
        <v>432</v>
      </c>
      <c r="P223" s="4">
        <v>42853</v>
      </c>
    </row>
    <row r="224" spans="1:16" x14ac:dyDescent="0.2">
      <c r="A224" s="3" t="str">
        <f t="shared" si="18"/>
        <v>812071179911</v>
      </c>
      <c r="B224" s="16">
        <v>812071</v>
      </c>
      <c r="C224" s="16" t="s">
        <v>260</v>
      </c>
      <c r="D224" s="1">
        <v>179911</v>
      </c>
      <c r="E224" s="3" t="s">
        <v>259</v>
      </c>
      <c r="F224" s="9">
        <v>0</v>
      </c>
      <c r="G224" s="9">
        <f>IFERROR(VLOOKUP(F224,Sheet1!$B$15:$D$38,3,1),0)</f>
        <v>0</v>
      </c>
      <c r="H224" s="38">
        <f t="shared" si="19"/>
        <v>7.5</v>
      </c>
      <c r="I224" s="38">
        <f t="shared" si="20"/>
        <v>12.5</v>
      </c>
      <c r="J224" s="38">
        <f t="shared" si="21"/>
        <v>20</v>
      </c>
      <c r="K224" s="38">
        <f t="shared" si="22"/>
        <v>30</v>
      </c>
      <c r="L224" s="38">
        <f t="shared" si="23"/>
        <v>50</v>
      </c>
      <c r="M224" s="3" t="s">
        <v>593</v>
      </c>
      <c r="N224" s="3" t="s">
        <v>593</v>
      </c>
      <c r="O224" s="3" t="s">
        <v>432</v>
      </c>
      <c r="P224" s="4">
        <v>44012</v>
      </c>
    </row>
    <row r="225" spans="1:16" x14ac:dyDescent="0.2">
      <c r="A225" s="3" t="str">
        <f t="shared" si="18"/>
        <v>816314179911</v>
      </c>
      <c r="B225" s="16">
        <v>816314</v>
      </c>
      <c r="C225" s="16" t="s">
        <v>538</v>
      </c>
      <c r="D225" s="3">
        <v>179911</v>
      </c>
      <c r="E225" s="3" t="s">
        <v>259</v>
      </c>
      <c r="F225" s="9">
        <v>0</v>
      </c>
      <c r="G225" s="9">
        <f>IFERROR(VLOOKUP(F225,Sheet1!$B$15:$D$38,3,1),0)</f>
        <v>0</v>
      </c>
      <c r="H225" s="38">
        <f t="shared" si="19"/>
        <v>7.5</v>
      </c>
      <c r="I225" s="38">
        <f t="shared" si="20"/>
        <v>12.5</v>
      </c>
      <c r="J225" s="38">
        <f t="shared" si="21"/>
        <v>20</v>
      </c>
      <c r="K225" s="38">
        <f t="shared" si="22"/>
        <v>30</v>
      </c>
      <c r="L225" s="38">
        <f t="shared" si="23"/>
        <v>50</v>
      </c>
      <c r="M225" s="3" t="s">
        <v>593</v>
      </c>
      <c r="N225" s="3" t="s">
        <v>593</v>
      </c>
      <c r="O225" s="3" t="s">
        <v>432</v>
      </c>
      <c r="P225" s="4">
        <v>44450</v>
      </c>
    </row>
    <row r="226" spans="1:16" x14ac:dyDescent="0.2">
      <c r="A226" s="3" t="str">
        <f t="shared" si="18"/>
        <v>815408201172</v>
      </c>
      <c r="B226" s="16">
        <v>815408</v>
      </c>
      <c r="C226" s="16" t="s">
        <v>476</v>
      </c>
      <c r="D226" s="3">
        <v>201172</v>
      </c>
      <c r="E226" s="3" t="s">
        <v>246</v>
      </c>
      <c r="F226" s="9">
        <v>0</v>
      </c>
      <c r="G226" s="9">
        <f>IFERROR(VLOOKUP(F226,Sheet1!$B$15:$D$38,3,1),0)</f>
        <v>0</v>
      </c>
      <c r="H226" s="38">
        <f t="shared" si="19"/>
        <v>7.5</v>
      </c>
      <c r="I226" s="38">
        <f t="shared" si="20"/>
        <v>12.5</v>
      </c>
      <c r="J226" s="38">
        <f t="shared" si="21"/>
        <v>20</v>
      </c>
      <c r="K226" s="38">
        <f t="shared" si="22"/>
        <v>30</v>
      </c>
      <c r="L226" s="38">
        <f t="shared" si="23"/>
        <v>50</v>
      </c>
      <c r="M226" s="3" t="s">
        <v>593</v>
      </c>
      <c r="N226" s="3" t="s">
        <v>593</v>
      </c>
      <c r="O226" s="3" t="s">
        <v>432</v>
      </c>
      <c r="P226" s="4">
        <v>44383</v>
      </c>
    </row>
    <row r="227" spans="1:16" x14ac:dyDescent="0.2">
      <c r="A227" s="3" t="str">
        <f t="shared" si="18"/>
        <v>816685201172</v>
      </c>
      <c r="B227" s="16">
        <v>816685</v>
      </c>
      <c r="C227" s="16" t="s">
        <v>573</v>
      </c>
      <c r="D227" s="3">
        <v>201172</v>
      </c>
      <c r="E227" s="3" t="s">
        <v>246</v>
      </c>
      <c r="F227" s="9">
        <v>35</v>
      </c>
      <c r="G227" s="9">
        <f>IFERROR(VLOOKUP(F227,Sheet1!$B$15:$D$38,3,1),0)</f>
        <v>80</v>
      </c>
      <c r="H227" s="38">
        <f t="shared" si="19"/>
        <v>-27.5</v>
      </c>
      <c r="I227" s="38">
        <f t="shared" si="20"/>
        <v>-22.5</v>
      </c>
      <c r="J227" s="38">
        <f t="shared" si="21"/>
        <v>-15</v>
      </c>
      <c r="K227" s="38">
        <f t="shared" si="22"/>
        <v>-5</v>
      </c>
      <c r="L227" s="38">
        <f t="shared" si="23"/>
        <v>15</v>
      </c>
      <c r="M227" s="3" t="s">
        <v>593</v>
      </c>
      <c r="N227" s="3" t="s">
        <v>593</v>
      </c>
      <c r="O227" s="3" t="s">
        <v>432</v>
      </c>
      <c r="P227" s="4">
        <v>44478</v>
      </c>
    </row>
    <row r="228" spans="1:16" x14ac:dyDescent="0.2">
      <c r="A228" s="3" t="str">
        <f t="shared" si="18"/>
        <v>812077202452</v>
      </c>
      <c r="B228" s="16">
        <v>812077</v>
      </c>
      <c r="C228" s="16" t="s">
        <v>252</v>
      </c>
      <c r="D228" s="1">
        <v>202452</v>
      </c>
      <c r="E228" s="3" t="s">
        <v>251</v>
      </c>
      <c r="F228" s="9">
        <v>0</v>
      </c>
      <c r="G228" s="9">
        <f>IFERROR(VLOOKUP(F228,Sheet1!$B$15:$D$38,3,1),0)</f>
        <v>0</v>
      </c>
      <c r="H228" s="38">
        <f t="shared" si="19"/>
        <v>7.5</v>
      </c>
      <c r="I228" s="38">
        <f t="shared" si="20"/>
        <v>12.5</v>
      </c>
      <c r="J228" s="38">
        <f t="shared" si="21"/>
        <v>20</v>
      </c>
      <c r="K228" s="38">
        <f t="shared" si="22"/>
        <v>30</v>
      </c>
      <c r="L228" s="38">
        <f t="shared" si="23"/>
        <v>50</v>
      </c>
      <c r="M228" s="3" t="s">
        <v>593</v>
      </c>
      <c r="N228" s="3" t="s">
        <v>593</v>
      </c>
      <c r="O228" s="3" t="s">
        <v>432</v>
      </c>
      <c r="P228" s="4">
        <v>44012</v>
      </c>
    </row>
    <row r="229" spans="1:16" x14ac:dyDescent="0.2">
      <c r="A229" s="3" t="str">
        <f t="shared" si="18"/>
        <v>812793202452</v>
      </c>
      <c r="B229" s="16">
        <v>812793</v>
      </c>
      <c r="C229" s="16" t="s">
        <v>354</v>
      </c>
      <c r="D229" s="1">
        <v>202452</v>
      </c>
      <c r="E229" s="3" t="s">
        <v>251</v>
      </c>
      <c r="F229" s="9">
        <v>12</v>
      </c>
      <c r="G229" s="9">
        <f>IFERROR(VLOOKUP(F229,Sheet1!$B$15:$D$38,3,1),0)</f>
        <v>10</v>
      </c>
      <c r="H229" s="38">
        <f t="shared" si="19"/>
        <v>-4.5</v>
      </c>
      <c r="I229" s="38">
        <f t="shared" si="20"/>
        <v>0.5</v>
      </c>
      <c r="J229" s="38">
        <f t="shared" si="21"/>
        <v>8</v>
      </c>
      <c r="K229" s="38">
        <f t="shared" si="22"/>
        <v>18</v>
      </c>
      <c r="L229" s="38">
        <f t="shared" si="23"/>
        <v>38</v>
      </c>
      <c r="M229" s="3" t="s">
        <v>593</v>
      </c>
      <c r="N229" s="3" t="s">
        <v>593</v>
      </c>
      <c r="O229" s="3" t="s">
        <v>432</v>
      </c>
      <c r="P229" s="4">
        <v>44079</v>
      </c>
    </row>
    <row r="230" spans="1:16" x14ac:dyDescent="0.2">
      <c r="A230" s="3" t="str">
        <f t="shared" si="18"/>
        <v>815929202870</v>
      </c>
      <c r="B230" s="16">
        <v>815929</v>
      </c>
      <c r="C230" s="16" t="s">
        <v>525</v>
      </c>
      <c r="D230" s="3">
        <v>202870</v>
      </c>
      <c r="E230" s="3" t="s">
        <v>526</v>
      </c>
      <c r="F230" s="9">
        <v>10</v>
      </c>
      <c r="G230" s="9">
        <f>IFERROR(VLOOKUP(F230,Sheet1!$B$15:$D$38,3,1),0)</f>
        <v>10</v>
      </c>
      <c r="H230" s="38">
        <f t="shared" si="19"/>
        <v>-2.5</v>
      </c>
      <c r="I230" s="38">
        <f t="shared" si="20"/>
        <v>2.5</v>
      </c>
      <c r="J230" s="38">
        <f t="shared" si="21"/>
        <v>10</v>
      </c>
      <c r="K230" s="38">
        <f t="shared" si="22"/>
        <v>20</v>
      </c>
      <c r="L230" s="38">
        <f t="shared" si="23"/>
        <v>40</v>
      </c>
      <c r="M230" s="3" t="s">
        <v>593</v>
      </c>
      <c r="N230" s="3" t="s">
        <v>593</v>
      </c>
      <c r="O230" s="3" t="s">
        <v>432</v>
      </c>
      <c r="P230" s="4">
        <v>44422</v>
      </c>
    </row>
    <row r="231" spans="1:16" x14ac:dyDescent="0.2">
      <c r="A231" s="3" t="str">
        <f t="shared" si="18"/>
        <v>816933202870</v>
      </c>
      <c r="B231" s="16">
        <v>816933</v>
      </c>
      <c r="C231" s="16" t="s">
        <v>588</v>
      </c>
      <c r="D231" s="3">
        <v>202870</v>
      </c>
      <c r="E231" s="3" t="s">
        <v>526</v>
      </c>
      <c r="F231" s="9">
        <v>0</v>
      </c>
      <c r="G231" s="9">
        <f>IFERROR(VLOOKUP(F231,Sheet1!$B$15:$D$38,3,1),0)</f>
        <v>0</v>
      </c>
      <c r="H231" s="38">
        <f t="shared" si="19"/>
        <v>7.5</v>
      </c>
      <c r="I231" s="38">
        <f t="shared" si="20"/>
        <v>12.5</v>
      </c>
      <c r="J231" s="38">
        <f t="shared" si="21"/>
        <v>20</v>
      </c>
      <c r="K231" s="38">
        <f t="shared" si="22"/>
        <v>30</v>
      </c>
      <c r="L231" s="38">
        <f t="shared" si="23"/>
        <v>50</v>
      </c>
      <c r="M231" s="3" t="s">
        <v>593</v>
      </c>
      <c r="N231" s="3" t="s">
        <v>593</v>
      </c>
      <c r="O231" s="3" t="s">
        <v>432</v>
      </c>
      <c r="P231" s="4">
        <v>44499</v>
      </c>
    </row>
    <row r="232" spans="1:16" x14ac:dyDescent="0.2">
      <c r="A232" s="3" t="str">
        <f t="shared" si="18"/>
        <v>817272202870</v>
      </c>
      <c r="B232" s="16">
        <v>817272</v>
      </c>
      <c r="C232" s="16" t="s">
        <v>615</v>
      </c>
      <c r="D232" s="3">
        <v>202870</v>
      </c>
      <c r="E232" s="3" t="s">
        <v>526</v>
      </c>
      <c r="F232" s="9">
        <v>15</v>
      </c>
      <c r="G232" s="9">
        <f>IFERROR(VLOOKUP(F232,Sheet1!$B$15:$D$38,3,1),0)</f>
        <v>20</v>
      </c>
      <c r="H232" s="38">
        <f t="shared" si="19"/>
        <v>-7.5</v>
      </c>
      <c r="I232" s="38">
        <f t="shared" si="20"/>
        <v>-2.5</v>
      </c>
      <c r="J232" s="38">
        <f t="shared" si="21"/>
        <v>5</v>
      </c>
      <c r="K232" s="38">
        <f t="shared" si="22"/>
        <v>15</v>
      </c>
      <c r="L232" s="38">
        <f t="shared" si="23"/>
        <v>35</v>
      </c>
      <c r="M232" s="3" t="s">
        <v>593</v>
      </c>
      <c r="N232" s="3" t="s">
        <v>593</v>
      </c>
      <c r="O232" s="3" t="s">
        <v>432</v>
      </c>
      <c r="P232" s="4">
        <v>44541</v>
      </c>
    </row>
    <row r="233" spans="1:16" x14ac:dyDescent="0.2">
      <c r="A233" s="3" t="str">
        <f t="shared" si="18"/>
        <v>807141202994</v>
      </c>
      <c r="B233" s="16">
        <v>807141</v>
      </c>
      <c r="C233" s="16" t="s">
        <v>387</v>
      </c>
      <c r="D233" s="1">
        <v>202994</v>
      </c>
      <c r="E233" s="3" t="s">
        <v>324</v>
      </c>
      <c r="F233" s="9">
        <v>0</v>
      </c>
      <c r="G233" s="9">
        <f>IFERROR(VLOOKUP(F233,Sheet1!$B$15:$D$38,3,1),0)</f>
        <v>0</v>
      </c>
      <c r="H233" s="38">
        <f t="shared" si="19"/>
        <v>7.5</v>
      </c>
      <c r="I233" s="38">
        <f t="shared" si="20"/>
        <v>12.5</v>
      </c>
      <c r="J233" s="38">
        <f t="shared" si="21"/>
        <v>20</v>
      </c>
      <c r="K233" s="38">
        <f t="shared" si="22"/>
        <v>30</v>
      </c>
      <c r="L233" s="38">
        <f t="shared" si="23"/>
        <v>50</v>
      </c>
      <c r="M233" s="3" t="s">
        <v>593</v>
      </c>
      <c r="N233" s="3" t="s">
        <v>593</v>
      </c>
      <c r="O233" s="3" t="s">
        <v>432</v>
      </c>
      <c r="P233" s="4">
        <v>43406</v>
      </c>
    </row>
    <row r="234" spans="1:16" x14ac:dyDescent="0.2">
      <c r="A234" s="3" t="str">
        <f t="shared" si="18"/>
        <v>812794202994</v>
      </c>
      <c r="B234" s="16">
        <v>812794</v>
      </c>
      <c r="C234" s="16" t="s">
        <v>414</v>
      </c>
      <c r="D234" s="1">
        <v>202994</v>
      </c>
      <c r="E234" s="3" t="s">
        <v>324</v>
      </c>
      <c r="F234" s="9">
        <v>10</v>
      </c>
      <c r="G234" s="9">
        <f>IFERROR(VLOOKUP(F234,Sheet1!$B$15:$D$38,3,1),0)</f>
        <v>10</v>
      </c>
      <c r="H234" s="38">
        <f t="shared" si="19"/>
        <v>-2.5</v>
      </c>
      <c r="I234" s="38">
        <f t="shared" si="20"/>
        <v>2.5</v>
      </c>
      <c r="J234" s="38">
        <f t="shared" si="21"/>
        <v>10</v>
      </c>
      <c r="K234" s="38">
        <f t="shared" si="22"/>
        <v>20</v>
      </c>
      <c r="L234" s="38">
        <f t="shared" si="23"/>
        <v>40</v>
      </c>
      <c r="M234" s="3" t="s">
        <v>593</v>
      </c>
      <c r="N234" s="3" t="s">
        <v>593</v>
      </c>
      <c r="O234" s="3" t="s">
        <v>432</v>
      </c>
      <c r="P234" s="4">
        <v>44079</v>
      </c>
    </row>
    <row r="235" spans="1:16" x14ac:dyDescent="0.2">
      <c r="A235" s="3" t="str">
        <f t="shared" si="18"/>
        <v>815426202994</v>
      </c>
      <c r="B235" s="16">
        <v>815426</v>
      </c>
      <c r="C235" s="16" t="s">
        <v>498</v>
      </c>
      <c r="D235" s="3">
        <v>202994</v>
      </c>
      <c r="E235" s="3" t="s">
        <v>324</v>
      </c>
      <c r="F235" s="9">
        <v>0</v>
      </c>
      <c r="G235" s="9">
        <f>IFERROR(VLOOKUP(F235,Sheet1!$B$15:$D$38,3,1),0)</f>
        <v>0</v>
      </c>
      <c r="H235" s="38">
        <f t="shared" si="19"/>
        <v>7.5</v>
      </c>
      <c r="I235" s="38">
        <f t="shared" si="20"/>
        <v>12.5</v>
      </c>
      <c r="J235" s="38">
        <f t="shared" si="21"/>
        <v>20</v>
      </c>
      <c r="K235" s="38">
        <f t="shared" si="22"/>
        <v>30</v>
      </c>
      <c r="L235" s="38">
        <f t="shared" si="23"/>
        <v>50</v>
      </c>
      <c r="M235" s="3" t="s">
        <v>593</v>
      </c>
      <c r="N235" s="3" t="s">
        <v>593</v>
      </c>
      <c r="O235" s="3" t="s">
        <v>432</v>
      </c>
      <c r="P235" s="4">
        <v>44384</v>
      </c>
    </row>
    <row r="236" spans="1:16" x14ac:dyDescent="0.2">
      <c r="A236" s="3" t="str">
        <f t="shared" si="18"/>
        <v>812160203154</v>
      </c>
      <c r="B236" s="16">
        <v>812160</v>
      </c>
      <c r="C236" s="16" t="s">
        <v>66</v>
      </c>
      <c r="D236" s="1">
        <v>203154</v>
      </c>
      <c r="E236" s="3" t="s">
        <v>320</v>
      </c>
      <c r="F236" s="9">
        <v>70</v>
      </c>
      <c r="G236" s="9">
        <f>IFERROR(VLOOKUP(F236,Sheet1!$B$15:$D$38,3,1),0)</f>
        <v>160</v>
      </c>
      <c r="H236" s="38">
        <f t="shared" si="19"/>
        <v>-62.5</v>
      </c>
      <c r="I236" s="38">
        <f t="shared" si="20"/>
        <v>-57.5</v>
      </c>
      <c r="J236" s="38">
        <f t="shared" si="21"/>
        <v>-50</v>
      </c>
      <c r="K236" s="38">
        <f t="shared" si="22"/>
        <v>-40</v>
      </c>
      <c r="L236" s="38">
        <f t="shared" si="23"/>
        <v>-20</v>
      </c>
      <c r="M236" s="3" t="s">
        <v>593</v>
      </c>
      <c r="N236" s="3" t="s">
        <v>593</v>
      </c>
      <c r="O236" s="3" t="s">
        <v>432</v>
      </c>
      <c r="P236" s="4">
        <v>44021</v>
      </c>
    </row>
    <row r="237" spans="1:16" x14ac:dyDescent="0.2">
      <c r="A237" s="3" t="str">
        <f t="shared" si="18"/>
        <v>815593203154</v>
      </c>
      <c r="B237" s="16">
        <v>815593</v>
      </c>
      <c r="C237" s="16" t="s">
        <v>23</v>
      </c>
      <c r="D237" s="3">
        <v>203154</v>
      </c>
      <c r="E237" s="3" t="s">
        <v>320</v>
      </c>
      <c r="F237" s="9">
        <v>0</v>
      </c>
      <c r="G237" s="9">
        <f>IFERROR(VLOOKUP(F237,Sheet1!$B$15:$D$38,3,1),0)</f>
        <v>0</v>
      </c>
      <c r="H237" s="38">
        <f t="shared" si="19"/>
        <v>7.5</v>
      </c>
      <c r="I237" s="38">
        <f t="shared" si="20"/>
        <v>12.5</v>
      </c>
      <c r="J237" s="38">
        <f t="shared" si="21"/>
        <v>20</v>
      </c>
      <c r="K237" s="38">
        <f t="shared" si="22"/>
        <v>30</v>
      </c>
      <c r="L237" s="38">
        <f t="shared" si="23"/>
        <v>50</v>
      </c>
      <c r="M237" s="3" t="s">
        <v>593</v>
      </c>
      <c r="N237" s="3" t="s">
        <v>593</v>
      </c>
      <c r="O237" s="3" t="s">
        <v>432</v>
      </c>
      <c r="P237" s="4">
        <v>44399</v>
      </c>
    </row>
    <row r="238" spans="1:16" x14ac:dyDescent="0.2">
      <c r="A238" s="3" t="str">
        <f t="shared" si="18"/>
        <v>816639203971</v>
      </c>
      <c r="B238" s="16">
        <v>816639</v>
      </c>
      <c r="C238" s="16" t="s">
        <v>571</v>
      </c>
      <c r="D238" s="3">
        <v>203971</v>
      </c>
      <c r="E238" s="3" t="s">
        <v>572</v>
      </c>
      <c r="F238" s="9">
        <v>10</v>
      </c>
      <c r="G238" s="9">
        <f>IFERROR(VLOOKUP(F238,Sheet1!$B$15:$D$38,3,1),0)</f>
        <v>10</v>
      </c>
      <c r="H238" s="38">
        <f t="shared" si="19"/>
        <v>-2.5</v>
      </c>
      <c r="I238" s="38">
        <f t="shared" si="20"/>
        <v>2.5</v>
      </c>
      <c r="J238" s="38">
        <f t="shared" si="21"/>
        <v>10</v>
      </c>
      <c r="K238" s="38">
        <f t="shared" si="22"/>
        <v>20</v>
      </c>
      <c r="L238" s="38">
        <f t="shared" si="23"/>
        <v>40</v>
      </c>
      <c r="M238" s="3" t="s">
        <v>593</v>
      </c>
      <c r="N238" s="3" t="s">
        <v>593</v>
      </c>
      <c r="O238" s="3" t="s">
        <v>432</v>
      </c>
      <c r="P238" s="4">
        <v>44474</v>
      </c>
    </row>
    <row r="239" spans="1:16" x14ac:dyDescent="0.2">
      <c r="A239" s="3" t="str">
        <f t="shared" si="18"/>
        <v>813147204307</v>
      </c>
      <c r="B239" s="16">
        <v>813147</v>
      </c>
      <c r="C239" s="16" t="s">
        <v>292</v>
      </c>
      <c r="D239" s="1">
        <v>204307</v>
      </c>
      <c r="E239" s="3" t="s">
        <v>265</v>
      </c>
      <c r="F239" s="9">
        <v>0</v>
      </c>
      <c r="G239" s="9">
        <f>IFERROR(VLOOKUP(F239,Sheet1!$B$15:$D$38,3,1),0)</f>
        <v>0</v>
      </c>
      <c r="H239" s="38">
        <f t="shared" si="19"/>
        <v>7.5</v>
      </c>
      <c r="I239" s="38">
        <f t="shared" si="20"/>
        <v>12.5</v>
      </c>
      <c r="J239" s="38">
        <f t="shared" si="21"/>
        <v>20</v>
      </c>
      <c r="K239" s="38">
        <f t="shared" si="22"/>
        <v>30</v>
      </c>
      <c r="L239" s="38">
        <f t="shared" si="23"/>
        <v>50</v>
      </c>
      <c r="M239" s="3" t="s">
        <v>593</v>
      </c>
      <c r="N239" s="3" t="s">
        <v>593</v>
      </c>
      <c r="O239" s="3" t="s">
        <v>432</v>
      </c>
      <c r="P239" s="4">
        <v>44104</v>
      </c>
    </row>
    <row r="240" spans="1:16" x14ac:dyDescent="0.2">
      <c r="A240" s="3" t="str">
        <f t="shared" si="18"/>
        <v>814711205266</v>
      </c>
      <c r="B240" s="16">
        <v>814711</v>
      </c>
      <c r="C240" s="16" t="s">
        <v>388</v>
      </c>
      <c r="D240" s="1">
        <v>205266</v>
      </c>
      <c r="E240" s="3" t="s">
        <v>330</v>
      </c>
      <c r="F240" s="9">
        <v>10</v>
      </c>
      <c r="G240" s="9">
        <f>IFERROR(VLOOKUP(F240,Sheet1!$B$15:$D$38,3,1),0)</f>
        <v>10</v>
      </c>
      <c r="H240" s="38">
        <f t="shared" si="19"/>
        <v>-2.5</v>
      </c>
      <c r="I240" s="38">
        <f t="shared" si="20"/>
        <v>2.5</v>
      </c>
      <c r="J240" s="38">
        <f t="shared" si="21"/>
        <v>10</v>
      </c>
      <c r="K240" s="38">
        <f t="shared" si="22"/>
        <v>20</v>
      </c>
      <c r="L240" s="38">
        <f t="shared" si="23"/>
        <v>40</v>
      </c>
      <c r="M240" s="3" t="s">
        <v>593</v>
      </c>
      <c r="N240" s="3" t="s">
        <v>593</v>
      </c>
      <c r="O240" s="3" t="s">
        <v>432</v>
      </c>
      <c r="P240" s="4">
        <v>44261</v>
      </c>
    </row>
    <row r="241" spans="1:16" x14ac:dyDescent="0.2">
      <c r="A241" s="3" t="str">
        <f t="shared" si="18"/>
        <v>813946205270</v>
      </c>
      <c r="B241" s="16">
        <v>813946</v>
      </c>
      <c r="C241" s="16" t="s">
        <v>267</v>
      </c>
      <c r="D241" s="1">
        <v>205270</v>
      </c>
      <c r="E241" s="3" t="s">
        <v>255</v>
      </c>
      <c r="F241" s="9">
        <v>12.5</v>
      </c>
      <c r="G241" s="9">
        <f>IFERROR(VLOOKUP(F241,Sheet1!$B$15:$D$38,3,1),0)</f>
        <v>20</v>
      </c>
      <c r="H241" s="38">
        <f t="shared" si="19"/>
        <v>-5</v>
      </c>
      <c r="I241" s="38">
        <f t="shared" si="20"/>
        <v>0</v>
      </c>
      <c r="J241" s="38">
        <f t="shared" si="21"/>
        <v>7.5</v>
      </c>
      <c r="K241" s="38">
        <f t="shared" si="22"/>
        <v>17.5</v>
      </c>
      <c r="L241" s="38">
        <f t="shared" si="23"/>
        <v>37.5</v>
      </c>
      <c r="M241" s="3" t="s">
        <v>593</v>
      </c>
      <c r="N241" s="3" t="s">
        <v>593</v>
      </c>
      <c r="O241" s="3" t="s">
        <v>432</v>
      </c>
      <c r="P241" s="4">
        <v>44189</v>
      </c>
    </row>
    <row r="242" spans="1:16" x14ac:dyDescent="0.2">
      <c r="A242" s="3" t="str">
        <f t="shared" si="18"/>
        <v>808419206011</v>
      </c>
      <c r="B242" s="16">
        <v>808419</v>
      </c>
      <c r="C242" s="16" t="s">
        <v>46</v>
      </c>
      <c r="D242" s="1">
        <v>206011</v>
      </c>
      <c r="E242" s="3" t="s">
        <v>45</v>
      </c>
      <c r="F242" s="9">
        <v>50.55</v>
      </c>
      <c r="G242" s="9">
        <f>IFERROR(VLOOKUP(F242,Sheet1!$B$15:$D$38,3,1),0)</f>
        <v>160</v>
      </c>
      <c r="H242" s="38">
        <f t="shared" si="19"/>
        <v>-43.05</v>
      </c>
      <c r="I242" s="38">
        <f t="shared" si="20"/>
        <v>-38.049999999999997</v>
      </c>
      <c r="J242" s="38">
        <f t="shared" si="21"/>
        <v>-30.549999999999997</v>
      </c>
      <c r="K242" s="38">
        <f t="shared" si="22"/>
        <v>-20.549999999999997</v>
      </c>
      <c r="L242" s="38">
        <f t="shared" si="23"/>
        <v>-0.54999999999999716</v>
      </c>
      <c r="M242" s="3" t="s">
        <v>593</v>
      </c>
      <c r="N242" s="3" t="s">
        <v>593</v>
      </c>
      <c r="O242" s="3" t="s">
        <v>432</v>
      </c>
      <c r="P242" s="4">
        <v>43245</v>
      </c>
    </row>
    <row r="243" spans="1:16" x14ac:dyDescent="0.2">
      <c r="A243" s="3" t="str">
        <f t="shared" si="18"/>
        <v>815231206681</v>
      </c>
      <c r="B243" s="16">
        <v>815231</v>
      </c>
      <c r="C243" s="16" t="s">
        <v>459</v>
      </c>
      <c r="D243" s="1">
        <v>206681</v>
      </c>
      <c r="E243" s="3" t="s">
        <v>227</v>
      </c>
      <c r="F243" s="9">
        <v>0</v>
      </c>
      <c r="G243" s="9">
        <f>IFERROR(VLOOKUP(F243,Sheet1!$B$15:$D$38,3,1),0)</f>
        <v>0</v>
      </c>
      <c r="H243" s="38">
        <f t="shared" si="19"/>
        <v>7.5</v>
      </c>
      <c r="I243" s="38">
        <f t="shared" si="20"/>
        <v>12.5</v>
      </c>
      <c r="J243" s="38">
        <f t="shared" si="21"/>
        <v>20</v>
      </c>
      <c r="K243" s="38">
        <f t="shared" si="22"/>
        <v>30</v>
      </c>
      <c r="L243" s="38">
        <f t="shared" si="23"/>
        <v>50</v>
      </c>
      <c r="M243" s="3" t="s">
        <v>593</v>
      </c>
      <c r="N243" s="3" t="s">
        <v>593</v>
      </c>
      <c r="O243" s="3" t="s">
        <v>432</v>
      </c>
      <c r="P243" s="4">
        <v>44370</v>
      </c>
    </row>
    <row r="244" spans="1:16" x14ac:dyDescent="0.2">
      <c r="A244" s="3" t="str">
        <f t="shared" si="18"/>
        <v>815417207787</v>
      </c>
      <c r="B244" s="16">
        <v>815417</v>
      </c>
      <c r="C244" s="16" t="s">
        <v>32</v>
      </c>
      <c r="D244" s="3">
        <v>207787</v>
      </c>
      <c r="E244" s="3" t="s">
        <v>497</v>
      </c>
      <c r="F244" s="9">
        <v>0</v>
      </c>
      <c r="G244" s="9">
        <f>IFERROR(VLOOKUP(F244,Sheet1!$B$15:$D$38,3,1),0)</f>
        <v>0</v>
      </c>
      <c r="H244" s="38">
        <f t="shared" si="19"/>
        <v>7.5</v>
      </c>
      <c r="I244" s="38">
        <f t="shared" si="20"/>
        <v>12.5</v>
      </c>
      <c r="J244" s="38">
        <f t="shared" si="21"/>
        <v>20</v>
      </c>
      <c r="K244" s="38">
        <f t="shared" si="22"/>
        <v>30</v>
      </c>
      <c r="L244" s="38">
        <f t="shared" si="23"/>
        <v>50</v>
      </c>
      <c r="M244" s="3" t="s">
        <v>593</v>
      </c>
      <c r="N244" s="3" t="s">
        <v>593</v>
      </c>
      <c r="O244" s="3" t="s">
        <v>432</v>
      </c>
      <c r="P244" s="4">
        <v>44384</v>
      </c>
    </row>
    <row r="245" spans="1:16" x14ac:dyDescent="0.2">
      <c r="A245" s="3" t="str">
        <f t="shared" si="18"/>
        <v>815057207857</v>
      </c>
      <c r="B245" s="3">
        <v>815057</v>
      </c>
      <c r="C245" s="3" t="s">
        <v>436</v>
      </c>
      <c r="D245" s="3">
        <v>207857</v>
      </c>
      <c r="E245" s="3" t="s">
        <v>4</v>
      </c>
      <c r="F245" s="9">
        <v>50</v>
      </c>
      <c r="G245" s="9">
        <f>IFERROR(VLOOKUP(F245,Sheet1!$B$15:$D$38,3,1),0)</f>
        <v>160</v>
      </c>
      <c r="H245" s="38">
        <f t="shared" si="19"/>
        <v>-42.5</v>
      </c>
      <c r="I245" s="38">
        <f t="shared" si="20"/>
        <v>-37.5</v>
      </c>
      <c r="J245" s="38">
        <f t="shared" si="21"/>
        <v>-30</v>
      </c>
      <c r="K245" s="38">
        <f t="shared" si="22"/>
        <v>-20</v>
      </c>
      <c r="L245" s="38">
        <f t="shared" si="23"/>
        <v>0</v>
      </c>
      <c r="M245" s="3" t="s">
        <v>593</v>
      </c>
      <c r="N245" s="3" t="s">
        <v>593</v>
      </c>
      <c r="O245" s="3" t="s">
        <v>432</v>
      </c>
      <c r="P245" s="4">
        <v>44335</v>
      </c>
    </row>
    <row r="246" spans="1:16" x14ac:dyDescent="0.2">
      <c r="A246" s="3" t="str">
        <f t="shared" si="18"/>
        <v>815514207857</v>
      </c>
      <c r="B246" s="16">
        <v>815514</v>
      </c>
      <c r="C246" s="16" t="s">
        <v>198</v>
      </c>
      <c r="D246" s="3">
        <v>207857</v>
      </c>
      <c r="E246" s="3" t="s">
        <v>4</v>
      </c>
      <c r="F246" s="9">
        <v>0</v>
      </c>
      <c r="G246" s="9">
        <f>IFERROR(VLOOKUP(F246,Sheet1!$B$15:$D$38,3,1),0)</f>
        <v>0</v>
      </c>
      <c r="H246" s="38">
        <f t="shared" si="19"/>
        <v>7.5</v>
      </c>
      <c r="I246" s="38">
        <f t="shared" si="20"/>
        <v>12.5</v>
      </c>
      <c r="J246" s="38">
        <f t="shared" si="21"/>
        <v>20</v>
      </c>
      <c r="K246" s="38">
        <f t="shared" si="22"/>
        <v>30</v>
      </c>
      <c r="L246" s="38">
        <f t="shared" si="23"/>
        <v>50</v>
      </c>
      <c r="M246" s="3" t="s">
        <v>593</v>
      </c>
      <c r="N246" s="3" t="s">
        <v>593</v>
      </c>
      <c r="O246" s="3" t="s">
        <v>432</v>
      </c>
      <c r="P246" s="4">
        <v>44391</v>
      </c>
    </row>
    <row r="247" spans="1:16" x14ac:dyDescent="0.2">
      <c r="A247" s="3" t="str">
        <f t="shared" si="18"/>
        <v>815657207857</v>
      </c>
      <c r="B247" s="16">
        <v>815657</v>
      </c>
      <c r="C247" s="16" t="s">
        <v>505</v>
      </c>
      <c r="D247" s="3">
        <v>207857</v>
      </c>
      <c r="E247" s="3" t="s">
        <v>4</v>
      </c>
      <c r="F247" s="9">
        <v>0</v>
      </c>
      <c r="G247" s="9">
        <f>IFERROR(VLOOKUP(F247,Sheet1!$B$15:$D$38,3,1),0)</f>
        <v>0</v>
      </c>
      <c r="H247" s="38">
        <f t="shared" si="19"/>
        <v>7.5</v>
      </c>
      <c r="I247" s="38">
        <f t="shared" si="20"/>
        <v>12.5</v>
      </c>
      <c r="J247" s="38">
        <f t="shared" si="21"/>
        <v>20</v>
      </c>
      <c r="K247" s="38">
        <f t="shared" si="22"/>
        <v>30</v>
      </c>
      <c r="L247" s="38">
        <f t="shared" si="23"/>
        <v>50</v>
      </c>
      <c r="M247" s="3" t="s">
        <v>593</v>
      </c>
      <c r="N247" s="3" t="s">
        <v>593</v>
      </c>
      <c r="O247" s="3" t="s">
        <v>432</v>
      </c>
      <c r="P247" s="4">
        <v>44403</v>
      </c>
    </row>
    <row r="248" spans="1:16" x14ac:dyDescent="0.2">
      <c r="A248" s="3" t="str">
        <f t="shared" si="18"/>
        <v>815663207857</v>
      </c>
      <c r="B248" s="16">
        <v>815663</v>
      </c>
      <c r="C248" s="16" t="s">
        <v>510</v>
      </c>
      <c r="D248" s="3">
        <v>207857</v>
      </c>
      <c r="E248" s="3" t="s">
        <v>4</v>
      </c>
      <c r="F248" s="9">
        <v>0</v>
      </c>
      <c r="G248" s="9">
        <f>IFERROR(VLOOKUP(F248,Sheet1!$B$15:$D$38,3,1),0)</f>
        <v>0</v>
      </c>
      <c r="H248" s="38">
        <f t="shared" si="19"/>
        <v>7.5</v>
      </c>
      <c r="I248" s="38">
        <f t="shared" si="20"/>
        <v>12.5</v>
      </c>
      <c r="J248" s="38">
        <f t="shared" si="21"/>
        <v>20</v>
      </c>
      <c r="K248" s="38">
        <f t="shared" si="22"/>
        <v>30</v>
      </c>
      <c r="L248" s="38">
        <f t="shared" si="23"/>
        <v>50</v>
      </c>
      <c r="M248" s="3" t="s">
        <v>593</v>
      </c>
      <c r="N248" s="3" t="s">
        <v>593</v>
      </c>
      <c r="O248" s="3" t="s">
        <v>432</v>
      </c>
      <c r="P248" s="4">
        <v>44403</v>
      </c>
    </row>
    <row r="249" spans="1:16" x14ac:dyDescent="0.2">
      <c r="A249" s="3" t="str">
        <f t="shared" si="18"/>
        <v>815664207857</v>
      </c>
      <c r="B249" s="16">
        <v>815664</v>
      </c>
      <c r="C249" s="16" t="s">
        <v>511</v>
      </c>
      <c r="D249" s="3">
        <v>207857</v>
      </c>
      <c r="E249" s="3" t="s">
        <v>4</v>
      </c>
      <c r="F249" s="9">
        <v>0</v>
      </c>
      <c r="G249" s="9">
        <f>IFERROR(VLOOKUP(F249,Sheet1!$B$15:$D$38,3,1),0)</f>
        <v>0</v>
      </c>
      <c r="H249" s="38">
        <f t="shared" si="19"/>
        <v>7.5</v>
      </c>
      <c r="I249" s="38">
        <f t="shared" si="20"/>
        <v>12.5</v>
      </c>
      <c r="J249" s="38">
        <f t="shared" si="21"/>
        <v>20</v>
      </c>
      <c r="K249" s="38">
        <f t="shared" si="22"/>
        <v>30</v>
      </c>
      <c r="L249" s="38">
        <f t="shared" si="23"/>
        <v>50</v>
      </c>
      <c r="M249" s="3" t="s">
        <v>593</v>
      </c>
      <c r="N249" s="3" t="s">
        <v>593</v>
      </c>
      <c r="O249" s="3" t="s">
        <v>432</v>
      </c>
      <c r="P249" s="4">
        <v>44403</v>
      </c>
    </row>
    <row r="250" spans="1:16" x14ac:dyDescent="0.2">
      <c r="A250" s="3" t="str">
        <f t="shared" si="18"/>
        <v>815719207857</v>
      </c>
      <c r="B250" s="16">
        <v>815719</v>
      </c>
      <c r="C250" s="16" t="s">
        <v>512</v>
      </c>
      <c r="D250" s="3">
        <v>207857</v>
      </c>
      <c r="E250" s="3" t="s">
        <v>4</v>
      </c>
      <c r="F250" s="9">
        <v>0</v>
      </c>
      <c r="G250" s="9">
        <f>IFERROR(VLOOKUP(F250,Sheet1!$B$15:$D$38,3,1),0)</f>
        <v>0</v>
      </c>
      <c r="H250" s="38">
        <f t="shared" si="19"/>
        <v>7.5</v>
      </c>
      <c r="I250" s="38">
        <f t="shared" si="20"/>
        <v>12.5</v>
      </c>
      <c r="J250" s="38">
        <f t="shared" si="21"/>
        <v>20</v>
      </c>
      <c r="K250" s="38">
        <f t="shared" si="22"/>
        <v>30</v>
      </c>
      <c r="L250" s="38">
        <f t="shared" si="23"/>
        <v>50</v>
      </c>
      <c r="M250" s="3" t="s">
        <v>593</v>
      </c>
      <c r="N250" s="3" t="s">
        <v>593</v>
      </c>
      <c r="O250" s="3" t="s">
        <v>432</v>
      </c>
      <c r="P250" s="4">
        <v>44405</v>
      </c>
    </row>
    <row r="251" spans="1:16" x14ac:dyDescent="0.2">
      <c r="A251" s="3" t="str">
        <f t="shared" si="18"/>
        <v>815720207857</v>
      </c>
      <c r="B251" s="16">
        <v>815720</v>
      </c>
      <c r="C251" s="16" t="s">
        <v>513</v>
      </c>
      <c r="D251" s="3">
        <v>207857</v>
      </c>
      <c r="E251" s="3" t="s">
        <v>4</v>
      </c>
      <c r="F251" s="9">
        <v>20</v>
      </c>
      <c r="G251" s="9">
        <f>IFERROR(VLOOKUP(F251,Sheet1!$B$15:$D$38,3,1),0)</f>
        <v>40</v>
      </c>
      <c r="H251" s="38">
        <f t="shared" si="19"/>
        <v>-12.5</v>
      </c>
      <c r="I251" s="38">
        <f t="shared" si="20"/>
        <v>-7.5</v>
      </c>
      <c r="J251" s="38">
        <f t="shared" si="21"/>
        <v>0</v>
      </c>
      <c r="K251" s="38">
        <f t="shared" si="22"/>
        <v>10</v>
      </c>
      <c r="L251" s="38">
        <f t="shared" si="23"/>
        <v>30</v>
      </c>
      <c r="M251" s="3" t="s">
        <v>593</v>
      </c>
      <c r="N251" s="3" t="s">
        <v>593</v>
      </c>
      <c r="O251" s="3" t="s">
        <v>432</v>
      </c>
      <c r="P251" s="4">
        <v>44405</v>
      </c>
    </row>
    <row r="252" spans="1:16" x14ac:dyDescent="0.2">
      <c r="A252" s="3" t="str">
        <f t="shared" si="18"/>
        <v>816348207857</v>
      </c>
      <c r="B252" s="16">
        <v>816348</v>
      </c>
      <c r="C252" s="16" t="s">
        <v>541</v>
      </c>
      <c r="D252" s="3">
        <v>207857</v>
      </c>
      <c r="E252" s="3" t="s">
        <v>4</v>
      </c>
      <c r="F252" s="9">
        <v>0</v>
      </c>
      <c r="G252" s="9">
        <f>IFERROR(VLOOKUP(F252,Sheet1!$B$15:$D$38,3,1),0)</f>
        <v>0</v>
      </c>
      <c r="H252" s="38">
        <f t="shared" si="19"/>
        <v>7.5</v>
      </c>
      <c r="I252" s="38">
        <f t="shared" si="20"/>
        <v>12.5</v>
      </c>
      <c r="J252" s="38">
        <f t="shared" si="21"/>
        <v>20</v>
      </c>
      <c r="K252" s="38">
        <f t="shared" si="22"/>
        <v>30</v>
      </c>
      <c r="L252" s="38">
        <f t="shared" si="23"/>
        <v>50</v>
      </c>
      <c r="M252" s="3" t="s">
        <v>593</v>
      </c>
      <c r="N252" s="3" t="s">
        <v>593</v>
      </c>
      <c r="O252" s="3" t="s">
        <v>432</v>
      </c>
      <c r="P252" s="4">
        <v>44454</v>
      </c>
    </row>
    <row r="253" spans="1:16" x14ac:dyDescent="0.2">
      <c r="A253" s="3" t="str">
        <f t="shared" si="18"/>
        <v>816906207857</v>
      </c>
      <c r="B253" s="16">
        <v>816906</v>
      </c>
      <c r="C253" s="16" t="s">
        <v>178</v>
      </c>
      <c r="D253" s="3">
        <v>207857</v>
      </c>
      <c r="E253" s="3" t="s">
        <v>4</v>
      </c>
      <c r="F253" s="9">
        <v>0</v>
      </c>
      <c r="G253" s="9">
        <f>IFERROR(VLOOKUP(F253,Sheet1!$B$15:$D$38,3,1),0)</f>
        <v>0</v>
      </c>
      <c r="H253" s="38">
        <f t="shared" si="19"/>
        <v>7.5</v>
      </c>
      <c r="I253" s="38">
        <f t="shared" si="20"/>
        <v>12.5</v>
      </c>
      <c r="J253" s="38">
        <f t="shared" si="21"/>
        <v>20</v>
      </c>
      <c r="K253" s="38">
        <f t="shared" si="22"/>
        <v>30</v>
      </c>
      <c r="L253" s="38">
        <f t="shared" si="23"/>
        <v>50</v>
      </c>
      <c r="M253" s="3" t="s">
        <v>593</v>
      </c>
      <c r="N253" s="3" t="s">
        <v>593</v>
      </c>
      <c r="O253" s="3" t="s">
        <v>432</v>
      </c>
      <c r="P253" s="4">
        <v>44499</v>
      </c>
    </row>
    <row r="254" spans="1:16" x14ac:dyDescent="0.2">
      <c r="A254" s="3" t="str">
        <f t="shared" si="18"/>
        <v>817102207857</v>
      </c>
      <c r="B254" s="16">
        <v>817102</v>
      </c>
      <c r="C254" s="16" t="s">
        <v>298</v>
      </c>
      <c r="D254" s="3">
        <v>207857</v>
      </c>
      <c r="E254" s="3" t="s">
        <v>4</v>
      </c>
      <c r="F254" s="9">
        <v>0</v>
      </c>
      <c r="G254" s="9">
        <f>IFERROR(VLOOKUP(F254,Sheet1!$B$15:$D$38,3,1),0)</f>
        <v>0</v>
      </c>
      <c r="H254" s="38">
        <f t="shared" si="19"/>
        <v>7.5</v>
      </c>
      <c r="I254" s="38">
        <f t="shared" si="20"/>
        <v>12.5</v>
      </c>
      <c r="J254" s="38">
        <f t="shared" si="21"/>
        <v>20</v>
      </c>
      <c r="K254" s="38">
        <f t="shared" si="22"/>
        <v>30</v>
      </c>
      <c r="L254" s="38">
        <f t="shared" si="23"/>
        <v>50</v>
      </c>
      <c r="M254" s="3" t="s">
        <v>593</v>
      </c>
      <c r="N254" s="3" t="s">
        <v>593</v>
      </c>
      <c r="O254" s="3" t="s">
        <v>432</v>
      </c>
      <c r="P254" s="4">
        <v>44524</v>
      </c>
    </row>
    <row r="255" spans="1:16" x14ac:dyDescent="0.2">
      <c r="A255" s="3" t="str">
        <f t="shared" si="18"/>
        <v>817628207857</v>
      </c>
      <c r="B255" s="16">
        <v>817628</v>
      </c>
      <c r="C255" s="16" t="s">
        <v>627</v>
      </c>
      <c r="D255" s="3">
        <v>207857</v>
      </c>
      <c r="E255" s="3" t="s">
        <v>4</v>
      </c>
      <c r="F255" s="9">
        <v>0</v>
      </c>
      <c r="G255" s="9">
        <f>IFERROR(VLOOKUP(F255,Sheet1!$B$15:$D$38,3,1),0)</f>
        <v>0</v>
      </c>
      <c r="H255" s="38">
        <f t="shared" si="19"/>
        <v>7.5</v>
      </c>
      <c r="I255" s="38">
        <f t="shared" si="20"/>
        <v>12.5</v>
      </c>
      <c r="J255" s="38">
        <f t="shared" si="21"/>
        <v>20</v>
      </c>
      <c r="K255" s="38">
        <f t="shared" si="22"/>
        <v>30</v>
      </c>
      <c r="L255" s="38">
        <f t="shared" si="23"/>
        <v>50</v>
      </c>
      <c r="M255" s="3" t="s">
        <v>593</v>
      </c>
      <c r="N255" s="3" t="s">
        <v>593</v>
      </c>
      <c r="O255" s="3" t="s">
        <v>432</v>
      </c>
      <c r="P255" s="4">
        <v>44568</v>
      </c>
    </row>
    <row r="256" spans="1:16" x14ac:dyDescent="0.2">
      <c r="A256" s="3" t="str">
        <f t="shared" si="18"/>
        <v>806511208268</v>
      </c>
      <c r="B256" s="16">
        <v>806511</v>
      </c>
      <c r="C256" s="16" t="s">
        <v>304</v>
      </c>
      <c r="D256" s="3">
        <v>208268</v>
      </c>
      <c r="E256" s="3" t="s">
        <v>489</v>
      </c>
      <c r="F256" s="9">
        <v>0</v>
      </c>
      <c r="G256" s="9">
        <f>IFERROR(VLOOKUP(F256,Sheet1!$B$15:$D$38,3,1),0)</f>
        <v>0</v>
      </c>
      <c r="H256" s="38">
        <f t="shared" si="19"/>
        <v>7.5</v>
      </c>
      <c r="I256" s="38">
        <f t="shared" si="20"/>
        <v>12.5</v>
      </c>
      <c r="J256" s="38">
        <f t="shared" si="21"/>
        <v>20</v>
      </c>
      <c r="K256" s="38">
        <f t="shared" si="22"/>
        <v>30</v>
      </c>
      <c r="L256" s="38">
        <f t="shared" si="23"/>
        <v>50</v>
      </c>
      <c r="M256" s="3" t="s">
        <v>593</v>
      </c>
      <c r="N256" s="3" t="s">
        <v>593</v>
      </c>
      <c r="O256" s="3" t="s">
        <v>432</v>
      </c>
      <c r="P256" s="4">
        <v>42909</v>
      </c>
    </row>
    <row r="257" spans="1:16" x14ac:dyDescent="0.2">
      <c r="A257" s="3" t="str">
        <f t="shared" si="18"/>
        <v>817031208268</v>
      </c>
      <c r="B257" s="16">
        <v>817031</v>
      </c>
      <c r="C257" s="16" t="s">
        <v>599</v>
      </c>
      <c r="D257" s="3">
        <v>208268</v>
      </c>
      <c r="E257" s="3" t="s">
        <v>489</v>
      </c>
      <c r="F257" s="9">
        <v>0</v>
      </c>
      <c r="G257" s="9">
        <f>IFERROR(VLOOKUP(F257,Sheet1!$B$15:$D$38,3,1),0)</f>
        <v>0</v>
      </c>
      <c r="H257" s="38">
        <f t="shared" si="19"/>
        <v>7.5</v>
      </c>
      <c r="I257" s="38">
        <f t="shared" si="20"/>
        <v>12.5</v>
      </c>
      <c r="J257" s="38">
        <f t="shared" si="21"/>
        <v>20</v>
      </c>
      <c r="K257" s="38">
        <f t="shared" si="22"/>
        <v>30</v>
      </c>
      <c r="L257" s="38">
        <f t="shared" si="23"/>
        <v>50</v>
      </c>
      <c r="M257" s="3" t="s">
        <v>593</v>
      </c>
      <c r="N257" s="3" t="s">
        <v>593</v>
      </c>
      <c r="O257" s="3" t="s">
        <v>432</v>
      </c>
      <c r="P257" s="4">
        <v>44516</v>
      </c>
    </row>
    <row r="258" spans="1:16" x14ac:dyDescent="0.2">
      <c r="A258" s="3" t="str">
        <f t="shared" si="18"/>
        <v>817029208976</v>
      </c>
      <c r="B258" s="16">
        <v>817029</v>
      </c>
      <c r="C258" s="16" t="s">
        <v>589</v>
      </c>
      <c r="D258" s="3">
        <v>208976</v>
      </c>
      <c r="E258" s="3" t="s">
        <v>590</v>
      </c>
      <c r="F258" s="9">
        <v>0</v>
      </c>
      <c r="G258" s="9">
        <f>IFERROR(VLOOKUP(F258,Sheet1!$B$15:$D$38,3,1),0)</f>
        <v>0</v>
      </c>
      <c r="H258" s="38">
        <f t="shared" si="19"/>
        <v>7.5</v>
      </c>
      <c r="I258" s="38">
        <f t="shared" si="20"/>
        <v>12.5</v>
      </c>
      <c r="J258" s="38">
        <f t="shared" si="21"/>
        <v>20</v>
      </c>
      <c r="K258" s="38">
        <f t="shared" si="22"/>
        <v>30</v>
      </c>
      <c r="L258" s="38">
        <f t="shared" si="23"/>
        <v>50</v>
      </c>
      <c r="M258" s="3" t="s">
        <v>593</v>
      </c>
      <c r="N258" s="3" t="s">
        <v>593</v>
      </c>
      <c r="O258" s="3" t="s">
        <v>432</v>
      </c>
      <c r="P258" s="4">
        <v>44516</v>
      </c>
    </row>
    <row r="259" spans="1:16" x14ac:dyDescent="0.2">
      <c r="A259" s="3" t="str">
        <f t="shared" ref="A259:A322" si="24">B259&amp;D259</f>
        <v>817030209816</v>
      </c>
      <c r="B259" s="16">
        <v>817030</v>
      </c>
      <c r="C259" s="16" t="s">
        <v>591</v>
      </c>
      <c r="D259" s="3">
        <v>209816</v>
      </c>
      <c r="E259" s="3" t="s">
        <v>244</v>
      </c>
      <c r="F259" s="9">
        <v>37.700000000000003</v>
      </c>
      <c r="G259" s="9">
        <f>IFERROR(VLOOKUP(F259,Sheet1!$B$15:$D$38,3,1),0)</f>
        <v>80</v>
      </c>
      <c r="H259" s="38">
        <f t="shared" si="19"/>
        <v>-30.200000000000003</v>
      </c>
      <c r="I259" s="38">
        <f t="shared" si="20"/>
        <v>-25.200000000000003</v>
      </c>
      <c r="J259" s="38">
        <f t="shared" si="21"/>
        <v>-17.700000000000003</v>
      </c>
      <c r="K259" s="38">
        <f t="shared" si="22"/>
        <v>-7.7000000000000028</v>
      </c>
      <c r="L259" s="38">
        <f t="shared" si="23"/>
        <v>12.299999999999997</v>
      </c>
      <c r="M259" s="3" t="s">
        <v>593</v>
      </c>
      <c r="N259" s="3" t="s">
        <v>593</v>
      </c>
      <c r="O259" s="3" t="s">
        <v>432</v>
      </c>
      <c r="P259" s="4">
        <v>44516</v>
      </c>
    </row>
    <row r="260" spans="1:16" x14ac:dyDescent="0.2">
      <c r="A260" s="3" t="str">
        <f t="shared" si="24"/>
        <v>810734119065</v>
      </c>
      <c r="B260" s="16">
        <v>810734</v>
      </c>
      <c r="C260" s="16" t="s">
        <v>523</v>
      </c>
      <c r="D260" s="3">
        <v>119065</v>
      </c>
      <c r="E260" s="3" t="s">
        <v>524</v>
      </c>
      <c r="F260" s="9">
        <v>0</v>
      </c>
      <c r="G260" s="9">
        <f>IFERROR(VLOOKUP(F260,Sheet1!$B$15:$D$38,3,1),0)</f>
        <v>0</v>
      </c>
      <c r="H260" s="38">
        <f t="shared" ref="H260:H323" si="25">$H$2-$F260</f>
        <v>7.5</v>
      </c>
      <c r="I260" s="38">
        <f t="shared" ref="I260:I323" si="26">$I$2-$F260</f>
        <v>12.5</v>
      </c>
      <c r="J260" s="38">
        <f t="shared" ref="J260:J323" si="27">$J$2-$F260</f>
        <v>20</v>
      </c>
      <c r="K260" s="38">
        <f t="shared" ref="K260:K323" si="28">$K$2-$F260</f>
        <v>30</v>
      </c>
      <c r="L260" s="38">
        <f t="shared" ref="L260:L323" si="29">$L$2-$F260</f>
        <v>50</v>
      </c>
      <c r="M260" s="3" t="s">
        <v>594</v>
      </c>
      <c r="N260" s="3" t="s">
        <v>594</v>
      </c>
      <c r="O260" s="3" t="s">
        <v>432</v>
      </c>
      <c r="P260" s="4">
        <v>43774</v>
      </c>
    </row>
    <row r="261" spans="1:16" x14ac:dyDescent="0.2">
      <c r="A261" s="3" t="str">
        <f t="shared" si="24"/>
        <v>817382119065</v>
      </c>
      <c r="B261" s="16">
        <v>817382</v>
      </c>
      <c r="C261" s="16" t="s">
        <v>619</v>
      </c>
      <c r="D261" s="3">
        <v>119065</v>
      </c>
      <c r="E261" s="3" t="s">
        <v>524</v>
      </c>
      <c r="F261" s="9">
        <v>0</v>
      </c>
      <c r="G261" s="9">
        <f>IFERROR(VLOOKUP(F261,Sheet1!$B$15:$D$38,3,1),0)</f>
        <v>0</v>
      </c>
      <c r="H261" s="38">
        <f t="shared" si="25"/>
        <v>7.5</v>
      </c>
      <c r="I261" s="38">
        <f t="shared" si="26"/>
        <v>12.5</v>
      </c>
      <c r="J261" s="38">
        <f t="shared" si="27"/>
        <v>20</v>
      </c>
      <c r="K261" s="38">
        <f t="shared" si="28"/>
        <v>30</v>
      </c>
      <c r="L261" s="38">
        <f t="shared" si="29"/>
        <v>50</v>
      </c>
      <c r="M261" s="3" t="s">
        <v>594</v>
      </c>
      <c r="N261" s="3" t="s">
        <v>594</v>
      </c>
      <c r="O261" s="3" t="s">
        <v>432</v>
      </c>
      <c r="P261" s="4">
        <v>44550</v>
      </c>
    </row>
    <row r="262" spans="1:16" x14ac:dyDescent="0.2">
      <c r="A262" s="3" t="str">
        <f t="shared" si="24"/>
        <v>811480119071</v>
      </c>
      <c r="B262" s="16">
        <v>811480</v>
      </c>
      <c r="C262" s="16" t="s">
        <v>200</v>
      </c>
      <c r="D262" s="1">
        <v>119071</v>
      </c>
      <c r="E262" s="3" t="s">
        <v>256</v>
      </c>
      <c r="F262" s="9">
        <v>22.5</v>
      </c>
      <c r="G262" s="9">
        <f>IFERROR(VLOOKUP(F262,Sheet1!$B$15:$D$38,3,1),0)</f>
        <v>40</v>
      </c>
      <c r="H262" s="38">
        <f t="shared" si="25"/>
        <v>-15</v>
      </c>
      <c r="I262" s="38">
        <f t="shared" si="26"/>
        <v>-10</v>
      </c>
      <c r="J262" s="38">
        <f t="shared" si="27"/>
        <v>-2.5</v>
      </c>
      <c r="K262" s="38">
        <f t="shared" si="28"/>
        <v>7.5</v>
      </c>
      <c r="L262" s="38">
        <f t="shared" si="29"/>
        <v>27.5</v>
      </c>
      <c r="M262" s="3" t="s">
        <v>594</v>
      </c>
      <c r="N262" s="3" t="s">
        <v>594</v>
      </c>
      <c r="O262" s="3" t="s">
        <v>432</v>
      </c>
      <c r="P262" s="4">
        <v>43873</v>
      </c>
    </row>
    <row r="263" spans="1:16" x14ac:dyDescent="0.2">
      <c r="A263" s="3" t="str">
        <f t="shared" si="24"/>
        <v>812658119071</v>
      </c>
      <c r="B263" s="16">
        <v>812658</v>
      </c>
      <c r="C263" s="16" t="s">
        <v>389</v>
      </c>
      <c r="D263" s="1">
        <v>119071</v>
      </c>
      <c r="E263" s="3" t="s">
        <v>256</v>
      </c>
      <c r="F263" s="9">
        <v>0</v>
      </c>
      <c r="G263" s="9">
        <f>IFERROR(VLOOKUP(F263,Sheet1!$B$15:$D$38,3,1),0)</f>
        <v>0</v>
      </c>
      <c r="H263" s="38">
        <f t="shared" si="25"/>
        <v>7.5</v>
      </c>
      <c r="I263" s="38">
        <f t="shared" si="26"/>
        <v>12.5</v>
      </c>
      <c r="J263" s="38">
        <f t="shared" si="27"/>
        <v>20</v>
      </c>
      <c r="K263" s="38">
        <f t="shared" si="28"/>
        <v>30</v>
      </c>
      <c r="L263" s="38">
        <f t="shared" si="29"/>
        <v>50</v>
      </c>
      <c r="M263" s="3" t="s">
        <v>594</v>
      </c>
      <c r="N263" s="3" t="s">
        <v>594</v>
      </c>
      <c r="O263" s="3" t="s">
        <v>432</v>
      </c>
      <c r="P263" s="4">
        <v>44069</v>
      </c>
    </row>
    <row r="264" spans="1:16" x14ac:dyDescent="0.2">
      <c r="A264" s="3" t="str">
        <f t="shared" si="24"/>
        <v>801716119261</v>
      </c>
      <c r="B264" s="16">
        <v>801716</v>
      </c>
      <c r="C264" s="16" t="s">
        <v>68</v>
      </c>
      <c r="D264" s="1">
        <v>119261</v>
      </c>
      <c r="E264" s="3" t="s">
        <v>242</v>
      </c>
      <c r="F264" s="9">
        <v>30</v>
      </c>
      <c r="G264" s="9">
        <f>IFERROR(VLOOKUP(F264,Sheet1!$B$15:$D$38,3,1),0)</f>
        <v>80</v>
      </c>
      <c r="H264" s="38">
        <f t="shared" si="25"/>
        <v>-22.5</v>
      </c>
      <c r="I264" s="38">
        <f t="shared" si="26"/>
        <v>-17.5</v>
      </c>
      <c r="J264" s="38">
        <f t="shared" si="27"/>
        <v>-10</v>
      </c>
      <c r="K264" s="38">
        <f t="shared" si="28"/>
        <v>0</v>
      </c>
      <c r="L264" s="38">
        <f t="shared" si="29"/>
        <v>20</v>
      </c>
      <c r="M264" s="3" t="s">
        <v>594</v>
      </c>
      <c r="N264" s="3" t="s">
        <v>594</v>
      </c>
      <c r="O264" s="3" t="s">
        <v>432</v>
      </c>
      <c r="P264" s="4">
        <v>41318</v>
      </c>
    </row>
    <row r="265" spans="1:16" x14ac:dyDescent="0.2">
      <c r="A265" s="3" t="str">
        <f t="shared" si="24"/>
        <v>801729119261</v>
      </c>
      <c r="B265" s="16">
        <v>801729</v>
      </c>
      <c r="C265" s="16" t="s">
        <v>372</v>
      </c>
      <c r="D265" s="1">
        <v>119261</v>
      </c>
      <c r="E265" s="3" t="s">
        <v>242</v>
      </c>
      <c r="F265" s="9">
        <v>0</v>
      </c>
      <c r="G265" s="9">
        <f>IFERROR(VLOOKUP(F265,Sheet1!$B$15:$D$38,3,1),0)</f>
        <v>0</v>
      </c>
      <c r="H265" s="38">
        <f t="shared" si="25"/>
        <v>7.5</v>
      </c>
      <c r="I265" s="38">
        <f t="shared" si="26"/>
        <v>12.5</v>
      </c>
      <c r="J265" s="38">
        <f t="shared" si="27"/>
        <v>20</v>
      </c>
      <c r="K265" s="38">
        <f t="shared" si="28"/>
        <v>30</v>
      </c>
      <c r="L265" s="38">
        <f t="shared" si="29"/>
        <v>50</v>
      </c>
      <c r="M265" s="3" t="s">
        <v>594</v>
      </c>
      <c r="N265" s="3" t="s">
        <v>594</v>
      </c>
      <c r="O265" s="3" t="s">
        <v>432</v>
      </c>
      <c r="P265" s="4">
        <v>41323</v>
      </c>
    </row>
    <row r="266" spans="1:16" x14ac:dyDescent="0.2">
      <c r="A266" s="3" t="str">
        <f t="shared" si="24"/>
        <v>801876119261</v>
      </c>
      <c r="B266" s="16">
        <v>801876</v>
      </c>
      <c r="C266" s="16" t="s">
        <v>305</v>
      </c>
      <c r="D266" s="1">
        <v>119261</v>
      </c>
      <c r="E266" s="3" t="s">
        <v>242</v>
      </c>
      <c r="F266" s="9">
        <v>0</v>
      </c>
      <c r="G266" s="9">
        <f>IFERROR(VLOOKUP(F266,Sheet1!$B$15:$D$38,3,1),0)</f>
        <v>0</v>
      </c>
      <c r="H266" s="38">
        <f t="shared" si="25"/>
        <v>7.5</v>
      </c>
      <c r="I266" s="38">
        <f t="shared" si="26"/>
        <v>12.5</v>
      </c>
      <c r="J266" s="38">
        <f t="shared" si="27"/>
        <v>20</v>
      </c>
      <c r="K266" s="38">
        <f t="shared" si="28"/>
        <v>30</v>
      </c>
      <c r="L266" s="38">
        <f t="shared" si="29"/>
        <v>50</v>
      </c>
      <c r="M266" s="3" t="s">
        <v>594</v>
      </c>
      <c r="N266" s="3" t="s">
        <v>594</v>
      </c>
      <c r="O266" s="3" t="s">
        <v>432</v>
      </c>
      <c r="P266" s="4">
        <v>41355</v>
      </c>
    </row>
    <row r="267" spans="1:16" x14ac:dyDescent="0.2">
      <c r="A267" s="3" t="str">
        <f t="shared" si="24"/>
        <v>801965119261</v>
      </c>
      <c r="B267" s="16">
        <v>801965</v>
      </c>
      <c r="C267" s="16" t="s">
        <v>35</v>
      </c>
      <c r="D267" s="3">
        <v>119261</v>
      </c>
      <c r="E267" s="3" t="s">
        <v>242</v>
      </c>
      <c r="F267" s="9">
        <v>0</v>
      </c>
      <c r="G267" s="9">
        <f>IFERROR(VLOOKUP(F267,Sheet1!$B$15:$D$38,3,1),0)</f>
        <v>0</v>
      </c>
      <c r="H267" s="38">
        <f t="shared" si="25"/>
        <v>7.5</v>
      </c>
      <c r="I267" s="38">
        <f t="shared" si="26"/>
        <v>12.5</v>
      </c>
      <c r="J267" s="38">
        <f t="shared" si="27"/>
        <v>20</v>
      </c>
      <c r="K267" s="38">
        <f t="shared" si="28"/>
        <v>30</v>
      </c>
      <c r="L267" s="38">
        <f t="shared" si="29"/>
        <v>50</v>
      </c>
      <c r="M267" s="3" t="s">
        <v>594</v>
      </c>
      <c r="N267" s="3" t="s">
        <v>594</v>
      </c>
      <c r="O267" s="3" t="s">
        <v>432</v>
      </c>
      <c r="P267" s="4">
        <v>41380</v>
      </c>
    </row>
    <row r="268" spans="1:16" x14ac:dyDescent="0.2">
      <c r="A268" s="3" t="str">
        <f t="shared" si="24"/>
        <v>801966119261</v>
      </c>
      <c r="B268" s="16">
        <v>801966</v>
      </c>
      <c r="C268" s="16" t="s">
        <v>465</v>
      </c>
      <c r="D268" s="3">
        <v>119261</v>
      </c>
      <c r="E268" s="3" t="s">
        <v>242</v>
      </c>
      <c r="F268" s="9">
        <v>0</v>
      </c>
      <c r="G268" s="9">
        <f>IFERROR(VLOOKUP(F268,Sheet1!$B$15:$D$38,3,1),0)</f>
        <v>0</v>
      </c>
      <c r="H268" s="38">
        <f t="shared" si="25"/>
        <v>7.5</v>
      </c>
      <c r="I268" s="38">
        <f t="shared" si="26"/>
        <v>12.5</v>
      </c>
      <c r="J268" s="38">
        <f t="shared" si="27"/>
        <v>20</v>
      </c>
      <c r="K268" s="38">
        <f t="shared" si="28"/>
        <v>30</v>
      </c>
      <c r="L268" s="38">
        <f t="shared" si="29"/>
        <v>50</v>
      </c>
      <c r="M268" s="3" t="s">
        <v>594</v>
      </c>
      <c r="N268" s="3" t="s">
        <v>594</v>
      </c>
      <c r="O268" s="3" t="s">
        <v>432</v>
      </c>
      <c r="P268" s="4">
        <v>41380</v>
      </c>
    </row>
    <row r="269" spans="1:16" x14ac:dyDescent="0.2">
      <c r="A269" s="3" t="str">
        <f t="shared" si="24"/>
        <v>801967119261</v>
      </c>
      <c r="B269" s="16">
        <v>801967</v>
      </c>
      <c r="C269" s="16" t="s">
        <v>66</v>
      </c>
      <c r="D269" s="3">
        <v>119261</v>
      </c>
      <c r="E269" s="3" t="s">
        <v>242</v>
      </c>
      <c r="F269" s="9">
        <v>0</v>
      </c>
      <c r="G269" s="9">
        <f>IFERROR(VLOOKUP(F269,Sheet1!$B$15:$D$38,3,1),0)</f>
        <v>0</v>
      </c>
      <c r="H269" s="38">
        <f t="shared" si="25"/>
        <v>7.5</v>
      </c>
      <c r="I269" s="38">
        <f t="shared" si="26"/>
        <v>12.5</v>
      </c>
      <c r="J269" s="38">
        <f t="shared" si="27"/>
        <v>20</v>
      </c>
      <c r="K269" s="38">
        <f t="shared" si="28"/>
        <v>30</v>
      </c>
      <c r="L269" s="38">
        <f t="shared" si="29"/>
        <v>50</v>
      </c>
      <c r="M269" s="3" t="s">
        <v>594</v>
      </c>
      <c r="N269" s="3" t="s">
        <v>594</v>
      </c>
      <c r="O269" s="3" t="s">
        <v>432</v>
      </c>
      <c r="P269" s="4">
        <v>41380</v>
      </c>
    </row>
    <row r="270" spans="1:16" x14ac:dyDescent="0.2">
      <c r="A270" s="3" t="str">
        <f t="shared" si="24"/>
        <v>802073119261</v>
      </c>
      <c r="B270" s="16">
        <v>802073</v>
      </c>
      <c r="C270" s="16" t="s">
        <v>373</v>
      </c>
      <c r="D270" s="1">
        <v>119261</v>
      </c>
      <c r="E270" s="3" t="s">
        <v>242</v>
      </c>
      <c r="F270" s="9">
        <v>0</v>
      </c>
      <c r="G270" s="9">
        <f>IFERROR(VLOOKUP(F270,Sheet1!$B$15:$D$38,3,1),0)</f>
        <v>0</v>
      </c>
      <c r="H270" s="38">
        <f t="shared" si="25"/>
        <v>7.5</v>
      </c>
      <c r="I270" s="38">
        <f t="shared" si="26"/>
        <v>12.5</v>
      </c>
      <c r="J270" s="38">
        <f t="shared" si="27"/>
        <v>20</v>
      </c>
      <c r="K270" s="38">
        <f t="shared" si="28"/>
        <v>30</v>
      </c>
      <c r="L270" s="38">
        <f t="shared" si="29"/>
        <v>50</v>
      </c>
      <c r="M270" s="3" t="s">
        <v>594</v>
      </c>
      <c r="N270" s="3" t="s">
        <v>594</v>
      </c>
      <c r="O270" s="3" t="s">
        <v>432</v>
      </c>
      <c r="P270" s="4">
        <v>41432</v>
      </c>
    </row>
    <row r="271" spans="1:16" x14ac:dyDescent="0.2">
      <c r="A271" s="3" t="str">
        <f t="shared" si="24"/>
        <v>802948119261</v>
      </c>
      <c r="B271" s="16">
        <v>802948</v>
      </c>
      <c r="C271" s="16" t="s">
        <v>35</v>
      </c>
      <c r="D271" s="1">
        <v>119261</v>
      </c>
      <c r="E271" s="3" t="s">
        <v>242</v>
      </c>
      <c r="F271" s="9">
        <v>30</v>
      </c>
      <c r="G271" s="9">
        <f>IFERROR(VLOOKUP(F271,Sheet1!$B$15:$D$38,3,1),0)</f>
        <v>80</v>
      </c>
      <c r="H271" s="38">
        <f t="shared" si="25"/>
        <v>-22.5</v>
      </c>
      <c r="I271" s="38">
        <f t="shared" si="26"/>
        <v>-17.5</v>
      </c>
      <c r="J271" s="38">
        <f t="shared" si="27"/>
        <v>-10</v>
      </c>
      <c r="K271" s="38">
        <f t="shared" si="28"/>
        <v>0</v>
      </c>
      <c r="L271" s="38">
        <f t="shared" si="29"/>
        <v>20</v>
      </c>
      <c r="M271" s="3" t="s">
        <v>594</v>
      </c>
      <c r="N271" s="3" t="s">
        <v>594</v>
      </c>
      <c r="O271" s="3" t="s">
        <v>432</v>
      </c>
      <c r="P271" s="4">
        <v>41556</v>
      </c>
    </row>
    <row r="272" spans="1:16" x14ac:dyDescent="0.2">
      <c r="A272" s="3" t="str">
        <f t="shared" si="24"/>
        <v>805095119261</v>
      </c>
      <c r="B272" s="16">
        <v>805095</v>
      </c>
      <c r="C272" s="16" t="s">
        <v>151</v>
      </c>
      <c r="D272" s="1">
        <v>119261</v>
      </c>
      <c r="E272" s="3" t="s">
        <v>242</v>
      </c>
      <c r="F272" s="9">
        <v>0</v>
      </c>
      <c r="G272" s="9">
        <f>IFERROR(VLOOKUP(F272,Sheet1!$B$15:$D$38,3,1),0)</f>
        <v>0</v>
      </c>
      <c r="H272" s="38">
        <f t="shared" si="25"/>
        <v>7.5</v>
      </c>
      <c r="I272" s="38">
        <f t="shared" si="26"/>
        <v>12.5</v>
      </c>
      <c r="J272" s="38">
        <f t="shared" si="27"/>
        <v>20</v>
      </c>
      <c r="K272" s="38">
        <f t="shared" si="28"/>
        <v>30</v>
      </c>
      <c r="L272" s="38">
        <f t="shared" si="29"/>
        <v>50</v>
      </c>
      <c r="M272" s="3" t="s">
        <v>594</v>
      </c>
      <c r="N272" s="3" t="s">
        <v>594</v>
      </c>
      <c r="O272" s="3" t="s">
        <v>432</v>
      </c>
      <c r="P272" s="4">
        <v>42516</v>
      </c>
    </row>
    <row r="273" spans="1:16" x14ac:dyDescent="0.2">
      <c r="A273" s="3" t="str">
        <f t="shared" si="24"/>
        <v>805255119261</v>
      </c>
      <c r="B273" s="16">
        <v>805255</v>
      </c>
      <c r="C273" s="16" t="s">
        <v>522</v>
      </c>
      <c r="D273" s="3">
        <v>119261</v>
      </c>
      <c r="E273" s="3" t="s">
        <v>242</v>
      </c>
      <c r="F273" s="9">
        <v>0</v>
      </c>
      <c r="G273" s="9">
        <f>IFERROR(VLOOKUP(F273,Sheet1!$B$15:$D$38,3,1),0)</f>
        <v>0</v>
      </c>
      <c r="H273" s="38">
        <f t="shared" si="25"/>
        <v>7.5</v>
      </c>
      <c r="I273" s="38">
        <f t="shared" si="26"/>
        <v>12.5</v>
      </c>
      <c r="J273" s="38">
        <f t="shared" si="27"/>
        <v>20</v>
      </c>
      <c r="K273" s="38">
        <f t="shared" si="28"/>
        <v>30</v>
      </c>
      <c r="L273" s="38">
        <f t="shared" si="29"/>
        <v>50</v>
      </c>
      <c r="M273" s="3" t="s">
        <v>594</v>
      </c>
      <c r="N273" s="3" t="s">
        <v>594</v>
      </c>
      <c r="O273" s="3" t="s">
        <v>432</v>
      </c>
      <c r="P273" s="4">
        <v>42549</v>
      </c>
    </row>
    <row r="274" spans="1:16" x14ac:dyDescent="0.2">
      <c r="A274" s="3" t="str">
        <f t="shared" si="24"/>
        <v>805377119261</v>
      </c>
      <c r="B274" s="16">
        <v>805377</v>
      </c>
      <c r="C274" s="16" t="s">
        <v>449</v>
      </c>
      <c r="D274" s="1">
        <v>119261</v>
      </c>
      <c r="E274" s="3" t="s">
        <v>242</v>
      </c>
      <c r="F274" s="9">
        <v>30</v>
      </c>
      <c r="G274" s="9">
        <f>IFERROR(VLOOKUP(F274,Sheet1!$B$15:$D$38,3,1),0)</f>
        <v>80</v>
      </c>
      <c r="H274" s="38">
        <f t="shared" si="25"/>
        <v>-22.5</v>
      </c>
      <c r="I274" s="38">
        <f t="shared" si="26"/>
        <v>-17.5</v>
      </c>
      <c r="J274" s="38">
        <f t="shared" si="27"/>
        <v>-10</v>
      </c>
      <c r="K274" s="38">
        <f t="shared" si="28"/>
        <v>0</v>
      </c>
      <c r="L274" s="38">
        <f t="shared" si="29"/>
        <v>20</v>
      </c>
      <c r="M274" s="3" t="s">
        <v>594</v>
      </c>
      <c r="N274" s="3" t="s">
        <v>594</v>
      </c>
      <c r="O274" s="3" t="s">
        <v>432</v>
      </c>
      <c r="P274" s="4">
        <v>42580</v>
      </c>
    </row>
    <row r="275" spans="1:16" x14ac:dyDescent="0.2">
      <c r="A275" s="3" t="str">
        <f t="shared" si="24"/>
        <v>805406119261</v>
      </c>
      <c r="B275" s="16">
        <v>805406</v>
      </c>
      <c r="C275" s="16" t="s">
        <v>520</v>
      </c>
      <c r="D275" s="3">
        <v>119261</v>
      </c>
      <c r="E275" s="3" t="s">
        <v>242</v>
      </c>
      <c r="F275" s="9">
        <v>0</v>
      </c>
      <c r="G275" s="9">
        <f>IFERROR(VLOOKUP(F275,Sheet1!$B$15:$D$38,3,1),0)</f>
        <v>0</v>
      </c>
      <c r="H275" s="38">
        <f t="shared" si="25"/>
        <v>7.5</v>
      </c>
      <c r="I275" s="38">
        <f t="shared" si="26"/>
        <v>12.5</v>
      </c>
      <c r="J275" s="38">
        <f t="shared" si="27"/>
        <v>20</v>
      </c>
      <c r="K275" s="38">
        <f t="shared" si="28"/>
        <v>30</v>
      </c>
      <c r="L275" s="38">
        <f t="shared" si="29"/>
        <v>50</v>
      </c>
      <c r="M275" s="3" t="s">
        <v>594</v>
      </c>
      <c r="N275" s="3" t="s">
        <v>594</v>
      </c>
      <c r="O275" s="12" t="s">
        <v>432</v>
      </c>
      <c r="P275" s="4">
        <v>42591</v>
      </c>
    </row>
    <row r="276" spans="1:16" x14ac:dyDescent="0.2">
      <c r="A276" s="3" t="str">
        <f t="shared" si="24"/>
        <v>805419119261</v>
      </c>
      <c r="B276" s="16">
        <v>805419</v>
      </c>
      <c r="C276" s="16" t="s">
        <v>442</v>
      </c>
      <c r="D276" s="1">
        <v>119261</v>
      </c>
      <c r="E276" s="3" t="s">
        <v>242</v>
      </c>
      <c r="F276" s="9">
        <v>0</v>
      </c>
      <c r="G276" s="9">
        <f>IFERROR(VLOOKUP(F276,Sheet1!$B$15:$D$38,3,1),0)</f>
        <v>0</v>
      </c>
      <c r="H276" s="38">
        <f t="shared" si="25"/>
        <v>7.5</v>
      </c>
      <c r="I276" s="38">
        <f t="shared" si="26"/>
        <v>12.5</v>
      </c>
      <c r="J276" s="38">
        <f t="shared" si="27"/>
        <v>20</v>
      </c>
      <c r="K276" s="38">
        <f t="shared" si="28"/>
        <v>30</v>
      </c>
      <c r="L276" s="38">
        <f t="shared" si="29"/>
        <v>50</v>
      </c>
      <c r="M276" s="3" t="s">
        <v>594</v>
      </c>
      <c r="N276" s="3" t="s">
        <v>594</v>
      </c>
      <c r="O276" s="3" t="s">
        <v>432</v>
      </c>
      <c r="P276" s="4">
        <v>42594</v>
      </c>
    </row>
    <row r="277" spans="1:16" x14ac:dyDescent="0.2">
      <c r="A277" s="3" t="str">
        <f t="shared" si="24"/>
        <v>805453119261</v>
      </c>
      <c r="B277" s="16">
        <v>805453</v>
      </c>
      <c r="C277" s="16" t="s">
        <v>341</v>
      </c>
      <c r="D277" s="1">
        <v>119261</v>
      </c>
      <c r="E277" s="3" t="s">
        <v>242</v>
      </c>
      <c r="F277" s="9">
        <v>12.5</v>
      </c>
      <c r="G277" s="9">
        <f>IFERROR(VLOOKUP(F277,Sheet1!$B$15:$D$38,3,1),0)</f>
        <v>20</v>
      </c>
      <c r="H277" s="38">
        <f t="shared" si="25"/>
        <v>-5</v>
      </c>
      <c r="I277" s="38">
        <f t="shared" si="26"/>
        <v>0</v>
      </c>
      <c r="J277" s="38">
        <f t="shared" si="27"/>
        <v>7.5</v>
      </c>
      <c r="K277" s="38">
        <f t="shared" si="28"/>
        <v>17.5</v>
      </c>
      <c r="L277" s="38">
        <f t="shared" si="29"/>
        <v>37.5</v>
      </c>
      <c r="M277" s="3" t="s">
        <v>594</v>
      </c>
      <c r="N277" s="3" t="s">
        <v>594</v>
      </c>
      <c r="O277" s="3" t="s">
        <v>432</v>
      </c>
      <c r="P277" s="4">
        <v>42611</v>
      </c>
    </row>
    <row r="278" spans="1:16" x14ac:dyDescent="0.2">
      <c r="A278" s="3" t="str">
        <f t="shared" si="24"/>
        <v>806433119261</v>
      </c>
      <c r="B278" s="16">
        <v>806433</v>
      </c>
      <c r="C278" s="16" t="s">
        <v>243</v>
      </c>
      <c r="D278" s="1">
        <v>119261</v>
      </c>
      <c r="E278" s="3" t="s">
        <v>242</v>
      </c>
      <c r="F278" s="9">
        <v>178.5</v>
      </c>
      <c r="G278" s="9">
        <f>IFERROR(VLOOKUP(F278,Sheet1!$B$15:$D$38,3,1),0)</f>
        <v>215</v>
      </c>
      <c r="H278" s="38">
        <f t="shared" si="25"/>
        <v>-171</v>
      </c>
      <c r="I278" s="38">
        <f t="shared" si="26"/>
        <v>-166</v>
      </c>
      <c r="J278" s="38">
        <f t="shared" si="27"/>
        <v>-158.5</v>
      </c>
      <c r="K278" s="38">
        <f t="shared" si="28"/>
        <v>-148.5</v>
      </c>
      <c r="L278" s="38">
        <f t="shared" si="29"/>
        <v>-128.5</v>
      </c>
      <c r="M278" s="3" t="s">
        <v>594</v>
      </c>
      <c r="N278" s="3" t="s">
        <v>594</v>
      </c>
      <c r="O278" s="3" t="s">
        <v>432</v>
      </c>
      <c r="P278" s="4">
        <v>42892</v>
      </c>
    </row>
    <row r="279" spans="1:16" x14ac:dyDescent="0.2">
      <c r="A279" s="3" t="str">
        <f t="shared" si="24"/>
        <v>806510119261</v>
      </c>
      <c r="B279" s="16">
        <v>806510</v>
      </c>
      <c r="C279" s="16" t="s">
        <v>254</v>
      </c>
      <c r="D279" s="1">
        <v>119261</v>
      </c>
      <c r="E279" s="3" t="s">
        <v>242</v>
      </c>
      <c r="F279" s="9">
        <v>0</v>
      </c>
      <c r="G279" s="9">
        <f>IFERROR(VLOOKUP(F279,Sheet1!$B$15:$D$38,3,1),0)</f>
        <v>0</v>
      </c>
      <c r="H279" s="38">
        <f t="shared" si="25"/>
        <v>7.5</v>
      </c>
      <c r="I279" s="38">
        <f t="shared" si="26"/>
        <v>12.5</v>
      </c>
      <c r="J279" s="38">
        <f t="shared" si="27"/>
        <v>20</v>
      </c>
      <c r="K279" s="38">
        <f t="shared" si="28"/>
        <v>30</v>
      </c>
      <c r="L279" s="38">
        <f t="shared" si="29"/>
        <v>50</v>
      </c>
      <c r="M279" s="3" t="s">
        <v>594</v>
      </c>
      <c r="N279" s="3" t="s">
        <v>594</v>
      </c>
      <c r="O279" s="3" t="s">
        <v>432</v>
      </c>
      <c r="P279" s="4">
        <v>42909</v>
      </c>
    </row>
    <row r="280" spans="1:16" x14ac:dyDescent="0.2">
      <c r="A280" s="3" t="str">
        <f t="shared" si="24"/>
        <v>806722119261</v>
      </c>
      <c r="B280" s="16">
        <v>806722</v>
      </c>
      <c r="C280" s="16" t="s">
        <v>374</v>
      </c>
      <c r="D280" s="1">
        <v>119261</v>
      </c>
      <c r="E280" s="3" t="s">
        <v>242</v>
      </c>
      <c r="F280" s="9">
        <v>0</v>
      </c>
      <c r="G280" s="9">
        <f>IFERROR(VLOOKUP(F280,Sheet1!$B$15:$D$38,3,1),0)</f>
        <v>0</v>
      </c>
      <c r="H280" s="38">
        <f t="shared" si="25"/>
        <v>7.5</v>
      </c>
      <c r="I280" s="38">
        <f t="shared" si="26"/>
        <v>12.5</v>
      </c>
      <c r="J280" s="38">
        <f t="shared" si="27"/>
        <v>20</v>
      </c>
      <c r="K280" s="38">
        <f t="shared" si="28"/>
        <v>30</v>
      </c>
      <c r="L280" s="38">
        <f t="shared" si="29"/>
        <v>50</v>
      </c>
      <c r="M280" s="3" t="s">
        <v>594</v>
      </c>
      <c r="N280" s="3" t="s">
        <v>594</v>
      </c>
      <c r="O280" s="3" t="s">
        <v>432</v>
      </c>
      <c r="P280" s="4">
        <v>42964</v>
      </c>
    </row>
    <row r="281" spans="1:16" x14ac:dyDescent="0.2">
      <c r="A281" s="3" t="str">
        <f t="shared" si="24"/>
        <v>806723119261</v>
      </c>
      <c r="B281" s="16">
        <v>806723</v>
      </c>
      <c r="C281" s="16" t="s">
        <v>376</v>
      </c>
      <c r="D281" s="1">
        <v>119261</v>
      </c>
      <c r="E281" s="3" t="s">
        <v>242</v>
      </c>
      <c r="F281" s="9">
        <v>50</v>
      </c>
      <c r="G281" s="9">
        <f>IFERROR(VLOOKUP(F281,Sheet1!$B$15:$D$38,3,1),0)</f>
        <v>160</v>
      </c>
      <c r="H281" s="38">
        <f t="shared" si="25"/>
        <v>-42.5</v>
      </c>
      <c r="I281" s="38">
        <f t="shared" si="26"/>
        <v>-37.5</v>
      </c>
      <c r="J281" s="38">
        <f t="shared" si="27"/>
        <v>-30</v>
      </c>
      <c r="K281" s="38">
        <f t="shared" si="28"/>
        <v>-20</v>
      </c>
      <c r="L281" s="38">
        <f t="shared" si="29"/>
        <v>0</v>
      </c>
      <c r="M281" s="3" t="s">
        <v>594</v>
      </c>
      <c r="N281" s="3" t="s">
        <v>594</v>
      </c>
      <c r="O281" s="3" t="s">
        <v>432</v>
      </c>
      <c r="P281" s="4">
        <v>42964</v>
      </c>
    </row>
    <row r="282" spans="1:16" x14ac:dyDescent="0.2">
      <c r="A282" s="3" t="str">
        <f t="shared" si="24"/>
        <v>807120119261</v>
      </c>
      <c r="B282" s="16">
        <v>807120</v>
      </c>
      <c r="C282" s="16" t="s">
        <v>347</v>
      </c>
      <c r="D282" s="1">
        <v>119261</v>
      </c>
      <c r="E282" s="3" t="s">
        <v>242</v>
      </c>
      <c r="F282" s="9">
        <v>130</v>
      </c>
      <c r="G282" s="9">
        <f>IFERROR(VLOOKUP(F282,Sheet1!$B$15:$D$38,3,1),0)</f>
        <v>190</v>
      </c>
      <c r="H282" s="38">
        <f t="shared" si="25"/>
        <v>-122.5</v>
      </c>
      <c r="I282" s="38">
        <f t="shared" si="26"/>
        <v>-117.5</v>
      </c>
      <c r="J282" s="38">
        <f t="shared" si="27"/>
        <v>-110</v>
      </c>
      <c r="K282" s="38">
        <f t="shared" si="28"/>
        <v>-100</v>
      </c>
      <c r="L282" s="38">
        <f t="shared" si="29"/>
        <v>-80</v>
      </c>
      <c r="M282" s="3" t="s">
        <v>594</v>
      </c>
      <c r="N282" s="3" t="s">
        <v>594</v>
      </c>
      <c r="O282" s="3" t="s">
        <v>432</v>
      </c>
      <c r="P282" s="4">
        <v>43400</v>
      </c>
    </row>
    <row r="283" spans="1:16" x14ac:dyDescent="0.2">
      <c r="A283" s="3" t="str">
        <f t="shared" si="24"/>
        <v>807203119261</v>
      </c>
      <c r="B283" s="16">
        <v>807203</v>
      </c>
      <c r="C283" s="16" t="s">
        <v>472</v>
      </c>
      <c r="D283" s="3">
        <v>119261</v>
      </c>
      <c r="E283" s="3" t="s">
        <v>242</v>
      </c>
      <c r="F283" s="9">
        <v>0</v>
      </c>
      <c r="G283" s="9">
        <f>IFERROR(VLOOKUP(F283,Sheet1!$B$15:$D$38,3,1),0)</f>
        <v>0</v>
      </c>
      <c r="H283" s="38">
        <f t="shared" si="25"/>
        <v>7.5</v>
      </c>
      <c r="I283" s="38">
        <f t="shared" si="26"/>
        <v>12.5</v>
      </c>
      <c r="J283" s="38">
        <f t="shared" si="27"/>
        <v>20</v>
      </c>
      <c r="K283" s="38">
        <f t="shared" si="28"/>
        <v>30</v>
      </c>
      <c r="L283" s="38">
        <f t="shared" si="29"/>
        <v>50</v>
      </c>
      <c r="M283" s="3" t="s">
        <v>594</v>
      </c>
      <c r="N283" s="3" t="s">
        <v>594</v>
      </c>
      <c r="O283" s="3" t="s">
        <v>432</v>
      </c>
      <c r="P283" s="4">
        <v>43427</v>
      </c>
    </row>
    <row r="284" spans="1:16" x14ac:dyDescent="0.2">
      <c r="A284" s="3" t="str">
        <f t="shared" si="24"/>
        <v>807889119261</v>
      </c>
      <c r="B284" s="16">
        <v>807889</v>
      </c>
      <c r="C284" s="16" t="s">
        <v>317</v>
      </c>
      <c r="D284" s="1">
        <v>119261</v>
      </c>
      <c r="E284" s="3" t="s">
        <v>242</v>
      </c>
      <c r="F284" s="9">
        <v>30</v>
      </c>
      <c r="G284" s="9">
        <f>IFERROR(VLOOKUP(F284,Sheet1!$B$15:$D$38,3,1),0)</f>
        <v>80</v>
      </c>
      <c r="H284" s="38">
        <f t="shared" si="25"/>
        <v>-22.5</v>
      </c>
      <c r="I284" s="38">
        <f t="shared" si="26"/>
        <v>-17.5</v>
      </c>
      <c r="J284" s="38">
        <f t="shared" si="27"/>
        <v>-10</v>
      </c>
      <c r="K284" s="38">
        <f t="shared" si="28"/>
        <v>0</v>
      </c>
      <c r="L284" s="38">
        <f t="shared" si="29"/>
        <v>20</v>
      </c>
      <c r="M284" s="3" t="s">
        <v>594</v>
      </c>
      <c r="N284" s="3" t="s">
        <v>594</v>
      </c>
      <c r="O284" s="3" t="s">
        <v>432</v>
      </c>
      <c r="P284" s="4">
        <v>43111</v>
      </c>
    </row>
    <row r="285" spans="1:16" x14ac:dyDescent="0.2">
      <c r="A285" s="3" t="str">
        <f t="shared" si="24"/>
        <v>809579119261</v>
      </c>
      <c r="B285" s="16">
        <v>809579</v>
      </c>
      <c r="C285" s="16" t="s">
        <v>316</v>
      </c>
      <c r="D285" s="1">
        <v>119261</v>
      </c>
      <c r="E285" s="3" t="s">
        <v>242</v>
      </c>
      <c r="F285" s="9">
        <v>214.25</v>
      </c>
      <c r="G285" s="9">
        <f>IFERROR(VLOOKUP(F285,Sheet1!$B$15:$D$38,3,1),0)</f>
        <v>230</v>
      </c>
      <c r="H285" s="38">
        <f t="shared" si="25"/>
        <v>-206.75</v>
      </c>
      <c r="I285" s="38">
        <f t="shared" si="26"/>
        <v>-201.75</v>
      </c>
      <c r="J285" s="38">
        <f t="shared" si="27"/>
        <v>-194.25</v>
      </c>
      <c r="K285" s="38">
        <f t="shared" si="28"/>
        <v>-184.25</v>
      </c>
      <c r="L285" s="38">
        <f t="shared" si="29"/>
        <v>-164.25</v>
      </c>
      <c r="M285" s="3" t="s">
        <v>594</v>
      </c>
      <c r="N285" s="3" t="s">
        <v>594</v>
      </c>
      <c r="O285" s="3" t="s">
        <v>432</v>
      </c>
      <c r="P285" s="4">
        <v>43605</v>
      </c>
    </row>
    <row r="286" spans="1:16" x14ac:dyDescent="0.2">
      <c r="A286" s="3" t="str">
        <f t="shared" si="24"/>
        <v>810242119261</v>
      </c>
      <c r="B286" s="16">
        <v>810242</v>
      </c>
      <c r="C286" s="16" t="s">
        <v>203</v>
      </c>
      <c r="D286" s="1">
        <v>119261</v>
      </c>
      <c r="E286" s="3" t="s">
        <v>242</v>
      </c>
      <c r="F286" s="9">
        <v>120</v>
      </c>
      <c r="G286" s="9">
        <f>IFERROR(VLOOKUP(F286,Sheet1!$B$15:$D$38,3,1),0)</f>
        <v>185</v>
      </c>
      <c r="H286" s="38">
        <f t="shared" si="25"/>
        <v>-112.5</v>
      </c>
      <c r="I286" s="38">
        <f t="shared" si="26"/>
        <v>-107.5</v>
      </c>
      <c r="J286" s="38">
        <f t="shared" si="27"/>
        <v>-100</v>
      </c>
      <c r="K286" s="38">
        <f t="shared" si="28"/>
        <v>-90</v>
      </c>
      <c r="L286" s="38">
        <f t="shared" si="29"/>
        <v>-70</v>
      </c>
      <c r="M286" s="3" t="s">
        <v>594</v>
      </c>
      <c r="N286" s="3" t="s">
        <v>594</v>
      </c>
      <c r="O286" s="3" t="s">
        <v>432</v>
      </c>
      <c r="P286" s="4">
        <v>43691</v>
      </c>
    </row>
    <row r="287" spans="1:16" x14ac:dyDescent="0.2">
      <c r="A287" s="3" t="str">
        <f t="shared" si="24"/>
        <v>810684119261</v>
      </c>
      <c r="B287" s="16">
        <v>810684</v>
      </c>
      <c r="C287" s="16" t="s">
        <v>473</v>
      </c>
      <c r="D287" s="3">
        <v>119261</v>
      </c>
      <c r="E287" s="3" t="s">
        <v>242</v>
      </c>
      <c r="F287" s="9">
        <v>0</v>
      </c>
      <c r="G287" s="9">
        <f>IFERROR(VLOOKUP(F287,Sheet1!$B$15:$D$38,3,1),0)</f>
        <v>0</v>
      </c>
      <c r="H287" s="38">
        <f t="shared" si="25"/>
        <v>7.5</v>
      </c>
      <c r="I287" s="38">
        <f t="shared" si="26"/>
        <v>12.5</v>
      </c>
      <c r="J287" s="38">
        <f t="shared" si="27"/>
        <v>20</v>
      </c>
      <c r="K287" s="38">
        <f t="shared" si="28"/>
        <v>30</v>
      </c>
      <c r="L287" s="38">
        <f t="shared" si="29"/>
        <v>50</v>
      </c>
      <c r="M287" s="3" t="s">
        <v>594</v>
      </c>
      <c r="N287" s="3" t="s">
        <v>594</v>
      </c>
      <c r="O287" s="3" t="s">
        <v>432</v>
      </c>
      <c r="P287" s="4">
        <v>43761</v>
      </c>
    </row>
    <row r="288" spans="1:16" x14ac:dyDescent="0.2">
      <c r="A288" s="3" t="str">
        <f t="shared" si="24"/>
        <v>810830119261</v>
      </c>
      <c r="B288" s="16">
        <v>810830</v>
      </c>
      <c r="C288" s="16" t="s">
        <v>318</v>
      </c>
      <c r="D288" s="1">
        <v>119261</v>
      </c>
      <c r="E288" s="3" t="s">
        <v>242</v>
      </c>
      <c r="F288" s="9">
        <v>0</v>
      </c>
      <c r="G288" s="9">
        <f>IFERROR(VLOOKUP(F288,Sheet1!$B$15:$D$38,3,1),0)</f>
        <v>0</v>
      </c>
      <c r="H288" s="38">
        <f t="shared" si="25"/>
        <v>7.5</v>
      </c>
      <c r="I288" s="38">
        <f t="shared" si="26"/>
        <v>12.5</v>
      </c>
      <c r="J288" s="38">
        <f t="shared" si="27"/>
        <v>20</v>
      </c>
      <c r="K288" s="38">
        <f t="shared" si="28"/>
        <v>30</v>
      </c>
      <c r="L288" s="38">
        <f t="shared" si="29"/>
        <v>50</v>
      </c>
      <c r="M288" s="3" t="s">
        <v>594</v>
      </c>
      <c r="N288" s="3" t="s">
        <v>594</v>
      </c>
      <c r="O288" s="3" t="s">
        <v>432</v>
      </c>
      <c r="P288" s="4">
        <v>43792</v>
      </c>
    </row>
    <row r="289" spans="1:16" x14ac:dyDescent="0.2">
      <c r="A289" s="3" t="str">
        <f t="shared" si="24"/>
        <v>814290119261</v>
      </c>
      <c r="B289" s="16">
        <v>814290</v>
      </c>
      <c r="C289" s="16" t="s">
        <v>319</v>
      </c>
      <c r="D289" s="1">
        <v>119261</v>
      </c>
      <c r="E289" s="3" t="s">
        <v>242</v>
      </c>
      <c r="F289" s="9">
        <v>35.25</v>
      </c>
      <c r="G289" s="9">
        <f>IFERROR(VLOOKUP(F289,Sheet1!$B$15:$D$38,3,1),0)</f>
        <v>80</v>
      </c>
      <c r="H289" s="38">
        <f t="shared" si="25"/>
        <v>-27.75</v>
      </c>
      <c r="I289" s="38">
        <f t="shared" si="26"/>
        <v>-22.75</v>
      </c>
      <c r="J289" s="38">
        <f t="shared" si="27"/>
        <v>-15.25</v>
      </c>
      <c r="K289" s="38">
        <f t="shared" si="28"/>
        <v>-5.25</v>
      </c>
      <c r="L289" s="38">
        <f t="shared" si="29"/>
        <v>14.75</v>
      </c>
      <c r="M289" s="3" t="s">
        <v>594</v>
      </c>
      <c r="N289" s="3" t="s">
        <v>594</v>
      </c>
      <c r="O289" s="3" t="s">
        <v>432</v>
      </c>
      <c r="P289" s="4">
        <v>44223</v>
      </c>
    </row>
    <row r="290" spans="1:16" x14ac:dyDescent="0.2">
      <c r="A290" s="3" t="str">
        <f t="shared" si="24"/>
        <v>815646119261</v>
      </c>
      <c r="B290" s="16">
        <v>815646</v>
      </c>
      <c r="C290" s="16" t="s">
        <v>125</v>
      </c>
      <c r="D290" s="3">
        <v>119261</v>
      </c>
      <c r="E290" s="3" t="s">
        <v>242</v>
      </c>
      <c r="F290" s="9">
        <v>0</v>
      </c>
      <c r="G290" s="9">
        <f>IFERROR(VLOOKUP(F290,Sheet1!$B$15:$D$38,3,1),0)</f>
        <v>0</v>
      </c>
      <c r="H290" s="38">
        <f t="shared" si="25"/>
        <v>7.5</v>
      </c>
      <c r="I290" s="38">
        <f t="shared" si="26"/>
        <v>12.5</v>
      </c>
      <c r="J290" s="38">
        <f t="shared" si="27"/>
        <v>20</v>
      </c>
      <c r="K290" s="38">
        <f t="shared" si="28"/>
        <v>30</v>
      </c>
      <c r="L290" s="38">
        <f t="shared" si="29"/>
        <v>50</v>
      </c>
      <c r="M290" s="3" t="s">
        <v>594</v>
      </c>
      <c r="N290" s="3" t="s">
        <v>594</v>
      </c>
      <c r="O290" s="3" t="s">
        <v>432</v>
      </c>
      <c r="P290" s="4">
        <v>44403</v>
      </c>
    </row>
    <row r="291" spans="1:16" x14ac:dyDescent="0.2">
      <c r="A291" s="3" t="str">
        <f t="shared" si="24"/>
        <v>815647119261</v>
      </c>
      <c r="B291" s="16">
        <v>815647</v>
      </c>
      <c r="C291" s="16" t="s">
        <v>515</v>
      </c>
      <c r="D291" s="3">
        <v>119261</v>
      </c>
      <c r="E291" s="3" t="s">
        <v>242</v>
      </c>
      <c r="F291" s="9">
        <v>0</v>
      </c>
      <c r="G291" s="9">
        <f>IFERROR(VLOOKUP(F291,Sheet1!$B$15:$D$38,3,1),0)</f>
        <v>0</v>
      </c>
      <c r="H291" s="38">
        <f t="shared" si="25"/>
        <v>7.5</v>
      </c>
      <c r="I291" s="38">
        <f t="shared" si="26"/>
        <v>12.5</v>
      </c>
      <c r="J291" s="38">
        <f t="shared" si="27"/>
        <v>20</v>
      </c>
      <c r="K291" s="38">
        <f t="shared" si="28"/>
        <v>30</v>
      </c>
      <c r="L291" s="38">
        <f t="shared" si="29"/>
        <v>50</v>
      </c>
      <c r="M291" s="3" t="s">
        <v>594</v>
      </c>
      <c r="N291" s="3" t="s">
        <v>594</v>
      </c>
      <c r="O291" s="3" t="s">
        <v>432</v>
      </c>
      <c r="P291" s="4">
        <v>44403</v>
      </c>
    </row>
    <row r="292" spans="1:16" x14ac:dyDescent="0.2">
      <c r="A292" s="3" t="str">
        <f t="shared" si="24"/>
        <v>815658119261</v>
      </c>
      <c r="B292" s="16">
        <v>815658</v>
      </c>
      <c r="C292" s="16" t="s">
        <v>516</v>
      </c>
      <c r="D292" s="3">
        <v>119261</v>
      </c>
      <c r="E292" s="3" t="s">
        <v>242</v>
      </c>
      <c r="F292" s="9">
        <v>0</v>
      </c>
      <c r="G292" s="9">
        <f>IFERROR(VLOOKUP(F292,Sheet1!$B$15:$D$38,3,1),0)</f>
        <v>0</v>
      </c>
      <c r="H292" s="38">
        <f t="shared" si="25"/>
        <v>7.5</v>
      </c>
      <c r="I292" s="38">
        <f t="shared" si="26"/>
        <v>12.5</v>
      </c>
      <c r="J292" s="38">
        <f t="shared" si="27"/>
        <v>20</v>
      </c>
      <c r="K292" s="38">
        <f t="shared" si="28"/>
        <v>30</v>
      </c>
      <c r="L292" s="38">
        <f t="shared" si="29"/>
        <v>50</v>
      </c>
      <c r="M292" s="3" t="s">
        <v>594</v>
      </c>
      <c r="N292" s="3" t="s">
        <v>594</v>
      </c>
      <c r="O292" s="3" t="s">
        <v>432</v>
      </c>
      <c r="P292" s="4">
        <v>44403</v>
      </c>
    </row>
    <row r="293" spans="1:16" x14ac:dyDescent="0.2">
      <c r="A293" s="3" t="str">
        <f t="shared" si="24"/>
        <v>815672119261</v>
      </c>
      <c r="B293" s="16">
        <v>815672</v>
      </c>
      <c r="C293" s="16" t="s">
        <v>517</v>
      </c>
      <c r="D293" s="3">
        <v>119261</v>
      </c>
      <c r="E293" s="3" t="s">
        <v>242</v>
      </c>
      <c r="F293" s="9">
        <v>0</v>
      </c>
      <c r="G293" s="9">
        <f>IFERROR(VLOOKUP(F293,Sheet1!$B$15:$D$38,3,1),0)</f>
        <v>0</v>
      </c>
      <c r="H293" s="38">
        <f t="shared" si="25"/>
        <v>7.5</v>
      </c>
      <c r="I293" s="38">
        <f t="shared" si="26"/>
        <v>12.5</v>
      </c>
      <c r="J293" s="38">
        <f t="shared" si="27"/>
        <v>20</v>
      </c>
      <c r="K293" s="38">
        <f t="shared" si="28"/>
        <v>30</v>
      </c>
      <c r="L293" s="38">
        <f t="shared" si="29"/>
        <v>50</v>
      </c>
      <c r="M293" s="3" t="s">
        <v>594</v>
      </c>
      <c r="N293" s="3" t="s">
        <v>594</v>
      </c>
      <c r="O293" s="3" t="s">
        <v>432</v>
      </c>
      <c r="P293" s="4">
        <v>44404</v>
      </c>
    </row>
    <row r="294" spans="1:16" x14ac:dyDescent="0.2">
      <c r="A294" s="3" t="str">
        <f t="shared" si="24"/>
        <v>817153119261</v>
      </c>
      <c r="B294" s="16">
        <v>817153</v>
      </c>
      <c r="C294" s="16" t="s">
        <v>611</v>
      </c>
      <c r="D294" s="3">
        <v>119261</v>
      </c>
      <c r="E294" s="3" t="s">
        <v>242</v>
      </c>
      <c r="F294" s="9">
        <v>0</v>
      </c>
      <c r="G294" s="9">
        <f>IFERROR(VLOOKUP(F294,Sheet1!$B$15:$D$38,3,1),0)</f>
        <v>0</v>
      </c>
      <c r="H294" s="38">
        <f t="shared" si="25"/>
        <v>7.5</v>
      </c>
      <c r="I294" s="38">
        <f t="shared" si="26"/>
        <v>12.5</v>
      </c>
      <c r="J294" s="38">
        <f t="shared" si="27"/>
        <v>20</v>
      </c>
      <c r="K294" s="38">
        <f t="shared" si="28"/>
        <v>30</v>
      </c>
      <c r="L294" s="38">
        <f t="shared" si="29"/>
        <v>50</v>
      </c>
      <c r="M294" s="3" t="s">
        <v>594</v>
      </c>
      <c r="N294" s="3" t="s">
        <v>594</v>
      </c>
      <c r="O294" s="3" t="s">
        <v>432</v>
      </c>
      <c r="P294" s="4">
        <v>44527</v>
      </c>
    </row>
    <row r="295" spans="1:16" x14ac:dyDescent="0.2">
      <c r="A295" s="3" t="str">
        <f t="shared" si="24"/>
        <v>817189119261</v>
      </c>
      <c r="B295" s="16">
        <v>817189</v>
      </c>
      <c r="C295" s="16" t="s">
        <v>613</v>
      </c>
      <c r="D295" s="3">
        <v>119261</v>
      </c>
      <c r="E295" s="3" t="s">
        <v>242</v>
      </c>
      <c r="F295" s="9">
        <v>20</v>
      </c>
      <c r="G295" s="9">
        <f>IFERROR(VLOOKUP(F295,Sheet1!$B$15:$D$38,3,1),0)</f>
        <v>40</v>
      </c>
      <c r="H295" s="38">
        <f t="shared" si="25"/>
        <v>-12.5</v>
      </c>
      <c r="I295" s="38">
        <f t="shared" si="26"/>
        <v>-7.5</v>
      </c>
      <c r="J295" s="38">
        <f t="shared" si="27"/>
        <v>0</v>
      </c>
      <c r="K295" s="38">
        <f t="shared" si="28"/>
        <v>10</v>
      </c>
      <c r="L295" s="38">
        <f t="shared" si="29"/>
        <v>30</v>
      </c>
      <c r="M295" s="3" t="s">
        <v>594</v>
      </c>
      <c r="N295" s="3" t="s">
        <v>594</v>
      </c>
      <c r="O295" s="3" t="s">
        <v>432</v>
      </c>
      <c r="P295" s="4">
        <v>44532</v>
      </c>
    </row>
    <row r="296" spans="1:16" x14ac:dyDescent="0.2">
      <c r="A296" s="3" t="str">
        <f t="shared" si="24"/>
        <v>817417119261</v>
      </c>
      <c r="B296" s="16">
        <v>817417</v>
      </c>
      <c r="C296" s="16" t="s">
        <v>621</v>
      </c>
      <c r="D296" s="3">
        <v>119261</v>
      </c>
      <c r="E296" s="3" t="s">
        <v>242</v>
      </c>
      <c r="F296" s="9">
        <v>0</v>
      </c>
      <c r="G296" s="9">
        <f>IFERROR(VLOOKUP(F296,Sheet1!$B$15:$D$38,3,1),0)</f>
        <v>0</v>
      </c>
      <c r="H296" s="38">
        <f t="shared" si="25"/>
        <v>7.5</v>
      </c>
      <c r="I296" s="38">
        <f t="shared" si="26"/>
        <v>12.5</v>
      </c>
      <c r="J296" s="38">
        <f t="shared" si="27"/>
        <v>20</v>
      </c>
      <c r="K296" s="38">
        <f t="shared" si="28"/>
        <v>30</v>
      </c>
      <c r="L296" s="38">
        <f t="shared" si="29"/>
        <v>50</v>
      </c>
      <c r="M296" s="3" t="s">
        <v>594</v>
      </c>
      <c r="N296" s="3" t="s">
        <v>594</v>
      </c>
      <c r="O296" s="3" t="s">
        <v>432</v>
      </c>
      <c r="P296" s="4">
        <v>44552</v>
      </c>
    </row>
    <row r="297" spans="1:16" x14ac:dyDescent="0.2">
      <c r="A297" s="3" t="str">
        <f t="shared" si="24"/>
        <v>817514119261</v>
      </c>
      <c r="B297" s="16">
        <v>817514</v>
      </c>
      <c r="C297" s="16" t="s">
        <v>360</v>
      </c>
      <c r="D297" s="3">
        <v>119261</v>
      </c>
      <c r="E297" s="3" t="s">
        <v>242</v>
      </c>
      <c r="F297" s="9">
        <v>0</v>
      </c>
      <c r="G297" s="9">
        <f>IFERROR(VLOOKUP(F297,Sheet1!$B$15:$D$38,3,1),0)</f>
        <v>0</v>
      </c>
      <c r="H297" s="38">
        <f t="shared" si="25"/>
        <v>7.5</v>
      </c>
      <c r="I297" s="38">
        <f t="shared" si="26"/>
        <v>12.5</v>
      </c>
      <c r="J297" s="38">
        <f t="shared" si="27"/>
        <v>20</v>
      </c>
      <c r="K297" s="38">
        <f t="shared" si="28"/>
        <v>30</v>
      </c>
      <c r="L297" s="38">
        <f t="shared" si="29"/>
        <v>50</v>
      </c>
      <c r="M297" s="3" t="s">
        <v>594</v>
      </c>
      <c r="N297" s="3" t="s">
        <v>594</v>
      </c>
      <c r="O297" s="3" t="s">
        <v>432</v>
      </c>
      <c r="P297" s="4">
        <v>44558</v>
      </c>
    </row>
    <row r="298" spans="1:16" x14ac:dyDescent="0.2">
      <c r="A298" s="3" t="str">
        <f t="shared" si="24"/>
        <v>817591119261</v>
      </c>
      <c r="B298" s="16">
        <v>817591</v>
      </c>
      <c r="C298" s="16" t="s">
        <v>625</v>
      </c>
      <c r="D298" s="3">
        <v>119261</v>
      </c>
      <c r="E298" s="3" t="s">
        <v>242</v>
      </c>
      <c r="F298" s="9">
        <v>20</v>
      </c>
      <c r="G298" s="9">
        <f>IFERROR(VLOOKUP(F298,Sheet1!$B$15:$D$38,3,1),0)</f>
        <v>40</v>
      </c>
      <c r="H298" s="38">
        <f t="shared" si="25"/>
        <v>-12.5</v>
      </c>
      <c r="I298" s="38">
        <f t="shared" si="26"/>
        <v>-7.5</v>
      </c>
      <c r="J298" s="38">
        <f t="shared" si="27"/>
        <v>0</v>
      </c>
      <c r="K298" s="38">
        <f t="shared" si="28"/>
        <v>10</v>
      </c>
      <c r="L298" s="38">
        <f t="shared" si="29"/>
        <v>30</v>
      </c>
      <c r="M298" s="3" t="s">
        <v>594</v>
      </c>
      <c r="N298" s="3" t="s">
        <v>594</v>
      </c>
      <c r="O298" s="3" t="s">
        <v>432</v>
      </c>
      <c r="P298" s="4">
        <v>44565</v>
      </c>
    </row>
    <row r="299" spans="1:16" x14ac:dyDescent="0.2">
      <c r="A299" s="3" t="str">
        <f t="shared" si="24"/>
        <v>804935122537</v>
      </c>
      <c r="B299" s="16">
        <v>804935</v>
      </c>
      <c r="C299" s="16" t="s">
        <v>60</v>
      </c>
      <c r="D299" s="1">
        <v>122537</v>
      </c>
      <c r="E299" s="3" t="s">
        <v>331</v>
      </c>
      <c r="F299" s="9">
        <v>25</v>
      </c>
      <c r="G299" s="9">
        <f>IFERROR(VLOOKUP(F299,Sheet1!$B$15:$D$38,3,1),0)</f>
        <v>40</v>
      </c>
      <c r="H299" s="38">
        <f t="shared" si="25"/>
        <v>-17.5</v>
      </c>
      <c r="I299" s="38">
        <f t="shared" si="26"/>
        <v>-12.5</v>
      </c>
      <c r="J299" s="38">
        <f t="shared" si="27"/>
        <v>-5</v>
      </c>
      <c r="K299" s="38">
        <f t="shared" si="28"/>
        <v>5</v>
      </c>
      <c r="L299" s="38">
        <f t="shared" si="29"/>
        <v>25</v>
      </c>
      <c r="M299" s="3" t="s">
        <v>594</v>
      </c>
      <c r="N299" s="3" t="s">
        <v>594</v>
      </c>
      <c r="O299" s="3" t="s">
        <v>432</v>
      </c>
      <c r="P299" s="4">
        <v>42460</v>
      </c>
    </row>
    <row r="300" spans="1:16" x14ac:dyDescent="0.2">
      <c r="A300" s="3" t="str">
        <f t="shared" si="24"/>
        <v>808937125022</v>
      </c>
      <c r="B300" s="16">
        <v>808937</v>
      </c>
      <c r="C300" s="16" t="s">
        <v>85</v>
      </c>
      <c r="D300" s="1">
        <v>125022</v>
      </c>
      <c r="E300" s="3" t="s">
        <v>298</v>
      </c>
      <c r="F300" s="9">
        <v>0</v>
      </c>
      <c r="G300" s="9">
        <f>IFERROR(VLOOKUP(F300,Sheet1!$B$15:$D$38,3,1),0)</f>
        <v>0</v>
      </c>
      <c r="H300" s="38">
        <f t="shared" si="25"/>
        <v>7.5</v>
      </c>
      <c r="I300" s="38">
        <f t="shared" si="26"/>
        <v>12.5</v>
      </c>
      <c r="J300" s="38">
        <f t="shared" si="27"/>
        <v>20</v>
      </c>
      <c r="K300" s="38">
        <f t="shared" si="28"/>
        <v>30</v>
      </c>
      <c r="L300" s="38">
        <f t="shared" si="29"/>
        <v>50</v>
      </c>
      <c r="M300" s="3" t="s">
        <v>594</v>
      </c>
      <c r="N300" s="3" t="s">
        <v>594</v>
      </c>
      <c r="O300" s="3" t="s">
        <v>432</v>
      </c>
      <c r="P300" s="4">
        <v>43294</v>
      </c>
    </row>
    <row r="301" spans="1:16" x14ac:dyDescent="0.2">
      <c r="A301" s="3" t="str">
        <f t="shared" si="24"/>
        <v>806717141146</v>
      </c>
      <c r="B301" s="16">
        <v>806717</v>
      </c>
      <c r="C301" s="16" t="s">
        <v>631</v>
      </c>
      <c r="D301" s="3">
        <v>141146</v>
      </c>
      <c r="E301" s="3" t="s">
        <v>263</v>
      </c>
      <c r="F301" s="9">
        <v>0</v>
      </c>
      <c r="G301" s="9">
        <f>IFERROR(VLOOKUP(F301,Sheet1!$B$15:$D$38,3,1),0)</f>
        <v>0</v>
      </c>
      <c r="H301" s="38">
        <f t="shared" si="25"/>
        <v>7.5</v>
      </c>
      <c r="I301" s="38">
        <f t="shared" si="26"/>
        <v>12.5</v>
      </c>
      <c r="J301" s="38">
        <f t="shared" si="27"/>
        <v>20</v>
      </c>
      <c r="K301" s="38">
        <f t="shared" si="28"/>
        <v>30</v>
      </c>
      <c r="L301" s="38">
        <f t="shared" si="29"/>
        <v>50</v>
      </c>
      <c r="M301" s="3" t="s">
        <v>594</v>
      </c>
      <c r="N301" s="3" t="s">
        <v>594</v>
      </c>
      <c r="O301" s="3" t="s">
        <v>432</v>
      </c>
      <c r="P301" s="4">
        <v>42964</v>
      </c>
    </row>
    <row r="302" spans="1:16" x14ac:dyDescent="0.2">
      <c r="A302" s="3" t="str">
        <f t="shared" si="24"/>
        <v>814651141146</v>
      </c>
      <c r="B302" s="16">
        <v>814651</v>
      </c>
      <c r="C302" s="16" t="s">
        <v>264</v>
      </c>
      <c r="D302" s="1">
        <v>141146</v>
      </c>
      <c r="E302" s="3" t="s">
        <v>263</v>
      </c>
      <c r="F302" s="9">
        <v>0</v>
      </c>
      <c r="G302" s="9">
        <f>IFERROR(VLOOKUP(F302,Sheet1!$B$15:$D$38,3,1),0)</f>
        <v>0</v>
      </c>
      <c r="H302" s="38">
        <f t="shared" si="25"/>
        <v>7.5</v>
      </c>
      <c r="I302" s="38">
        <f t="shared" si="26"/>
        <v>12.5</v>
      </c>
      <c r="J302" s="38">
        <f t="shared" si="27"/>
        <v>20</v>
      </c>
      <c r="K302" s="38">
        <f t="shared" si="28"/>
        <v>30</v>
      </c>
      <c r="L302" s="38">
        <f t="shared" si="29"/>
        <v>50</v>
      </c>
      <c r="M302" s="3" t="s">
        <v>594</v>
      </c>
      <c r="N302" s="3" t="s">
        <v>594</v>
      </c>
      <c r="O302" s="3" t="s">
        <v>432</v>
      </c>
      <c r="P302" s="4">
        <v>44253</v>
      </c>
    </row>
    <row r="303" spans="1:16" x14ac:dyDescent="0.2">
      <c r="A303" s="3" t="str">
        <f t="shared" si="24"/>
        <v>811639141512</v>
      </c>
      <c r="B303" s="16">
        <v>811639</v>
      </c>
      <c r="C303" s="16" t="s">
        <v>342</v>
      </c>
      <c r="D303" s="1">
        <v>141512</v>
      </c>
      <c r="E303" s="3" t="s">
        <v>192</v>
      </c>
      <c r="F303" s="9">
        <v>0</v>
      </c>
      <c r="G303" s="9">
        <f>IFERROR(VLOOKUP(F303,Sheet1!$B$15:$D$38,3,1),0)</f>
        <v>0</v>
      </c>
      <c r="H303" s="38">
        <f t="shared" si="25"/>
        <v>7.5</v>
      </c>
      <c r="I303" s="38">
        <f t="shared" si="26"/>
        <v>12.5</v>
      </c>
      <c r="J303" s="38">
        <f t="shared" si="27"/>
        <v>20</v>
      </c>
      <c r="K303" s="38">
        <f t="shared" si="28"/>
        <v>30</v>
      </c>
      <c r="L303" s="38">
        <f t="shared" si="29"/>
        <v>50</v>
      </c>
      <c r="M303" s="3" t="s">
        <v>594</v>
      </c>
      <c r="N303" s="3" t="s">
        <v>594</v>
      </c>
      <c r="O303" s="3" t="s">
        <v>432</v>
      </c>
      <c r="P303" s="4">
        <v>43889</v>
      </c>
    </row>
    <row r="304" spans="1:16" x14ac:dyDescent="0.2">
      <c r="A304" s="3" t="str">
        <f t="shared" si="24"/>
        <v>803877143416</v>
      </c>
      <c r="B304" s="16">
        <v>803877</v>
      </c>
      <c r="C304" s="16" t="s">
        <v>377</v>
      </c>
      <c r="D304" s="1">
        <v>143416</v>
      </c>
      <c r="E304" s="3" t="s">
        <v>328</v>
      </c>
      <c r="F304" s="9">
        <v>0</v>
      </c>
      <c r="G304" s="9">
        <f>IFERROR(VLOOKUP(F304,Sheet1!$B$15:$D$38,3,1),0)</f>
        <v>0</v>
      </c>
      <c r="H304" s="38">
        <f t="shared" si="25"/>
        <v>7.5</v>
      </c>
      <c r="I304" s="38">
        <f t="shared" si="26"/>
        <v>12.5</v>
      </c>
      <c r="J304" s="38">
        <f t="shared" si="27"/>
        <v>20</v>
      </c>
      <c r="K304" s="38">
        <f t="shared" si="28"/>
        <v>30</v>
      </c>
      <c r="L304" s="38">
        <f t="shared" si="29"/>
        <v>50</v>
      </c>
      <c r="M304" s="3" t="s">
        <v>594</v>
      </c>
      <c r="N304" s="3" t="s">
        <v>594</v>
      </c>
      <c r="O304" s="3" t="s">
        <v>432</v>
      </c>
      <c r="P304" s="4">
        <v>42059</v>
      </c>
    </row>
    <row r="305" spans="1:16" x14ac:dyDescent="0.2">
      <c r="A305" s="3" t="str">
        <f t="shared" si="24"/>
        <v>814503143416</v>
      </c>
      <c r="B305" s="16">
        <v>814503</v>
      </c>
      <c r="C305" s="16" t="s">
        <v>301</v>
      </c>
      <c r="D305" s="3">
        <v>143416</v>
      </c>
      <c r="E305" s="3" t="s">
        <v>328</v>
      </c>
      <c r="F305" s="9">
        <v>0</v>
      </c>
      <c r="G305" s="9">
        <f>IFERROR(VLOOKUP(F305,Sheet1!$B$15:$D$38,3,1),0)</f>
        <v>0</v>
      </c>
      <c r="H305" s="38">
        <f t="shared" si="25"/>
        <v>7.5</v>
      </c>
      <c r="I305" s="38">
        <f t="shared" si="26"/>
        <v>12.5</v>
      </c>
      <c r="J305" s="38">
        <f t="shared" si="27"/>
        <v>20</v>
      </c>
      <c r="K305" s="38">
        <f t="shared" si="28"/>
        <v>30</v>
      </c>
      <c r="L305" s="38">
        <f t="shared" si="29"/>
        <v>50</v>
      </c>
      <c r="M305" s="3" t="s">
        <v>594</v>
      </c>
      <c r="N305" s="3" t="s">
        <v>594</v>
      </c>
      <c r="O305" s="3" t="s">
        <v>432</v>
      </c>
      <c r="P305" s="4">
        <v>44243</v>
      </c>
    </row>
    <row r="306" spans="1:16" x14ac:dyDescent="0.2">
      <c r="A306" s="3" t="str">
        <f t="shared" si="24"/>
        <v>814521143416</v>
      </c>
      <c r="B306" s="16">
        <v>814521</v>
      </c>
      <c r="C306" s="16" t="s">
        <v>343</v>
      </c>
      <c r="D306" s="1">
        <v>143416</v>
      </c>
      <c r="E306" s="3" t="s">
        <v>328</v>
      </c>
      <c r="F306" s="9">
        <v>31.75</v>
      </c>
      <c r="G306" s="9">
        <f>IFERROR(VLOOKUP(F306,Sheet1!$B$15:$D$38,3,1),0)</f>
        <v>80</v>
      </c>
      <c r="H306" s="38">
        <f t="shared" si="25"/>
        <v>-24.25</v>
      </c>
      <c r="I306" s="38">
        <f t="shared" si="26"/>
        <v>-19.25</v>
      </c>
      <c r="J306" s="38">
        <f t="shared" si="27"/>
        <v>-11.75</v>
      </c>
      <c r="K306" s="38">
        <f t="shared" si="28"/>
        <v>-1.75</v>
      </c>
      <c r="L306" s="38">
        <f t="shared" si="29"/>
        <v>18.25</v>
      </c>
      <c r="M306" s="3" t="s">
        <v>594</v>
      </c>
      <c r="N306" s="3" t="s">
        <v>594</v>
      </c>
      <c r="O306" s="3" t="s">
        <v>432</v>
      </c>
      <c r="P306" s="4">
        <v>44245</v>
      </c>
    </row>
    <row r="307" spans="1:16" x14ac:dyDescent="0.2">
      <c r="A307" s="3" t="str">
        <f t="shared" si="24"/>
        <v>809918144868</v>
      </c>
      <c r="B307" s="16">
        <v>809918</v>
      </c>
      <c r="C307" s="16" t="s">
        <v>270</v>
      </c>
      <c r="D307" s="1">
        <v>144868</v>
      </c>
      <c r="E307" s="3" t="s">
        <v>261</v>
      </c>
      <c r="F307" s="9">
        <v>20</v>
      </c>
      <c r="G307" s="9">
        <f>IFERROR(VLOOKUP(F307,Sheet1!$B$15:$D$38,3,1),0)</f>
        <v>40</v>
      </c>
      <c r="H307" s="38">
        <f t="shared" si="25"/>
        <v>-12.5</v>
      </c>
      <c r="I307" s="38">
        <f t="shared" si="26"/>
        <v>-7.5</v>
      </c>
      <c r="J307" s="38">
        <f t="shared" si="27"/>
        <v>0</v>
      </c>
      <c r="K307" s="38">
        <f t="shared" si="28"/>
        <v>10</v>
      </c>
      <c r="L307" s="38">
        <f t="shared" si="29"/>
        <v>30</v>
      </c>
      <c r="M307" s="3" t="s">
        <v>594</v>
      </c>
      <c r="N307" s="3" t="s">
        <v>594</v>
      </c>
      <c r="O307" s="3" t="s">
        <v>432</v>
      </c>
      <c r="P307" s="4">
        <v>43659</v>
      </c>
    </row>
    <row r="308" spans="1:16" x14ac:dyDescent="0.2">
      <c r="A308" s="3" t="str">
        <f t="shared" si="24"/>
        <v>811251144868</v>
      </c>
      <c r="B308" s="16">
        <v>811251</v>
      </c>
      <c r="C308" s="16" t="s">
        <v>271</v>
      </c>
      <c r="D308" s="1">
        <v>144868</v>
      </c>
      <c r="E308" s="3" t="s">
        <v>261</v>
      </c>
      <c r="F308" s="9">
        <v>10</v>
      </c>
      <c r="G308" s="9">
        <f>IFERROR(VLOOKUP(F308,Sheet1!$B$15:$D$38,3,1),0)</f>
        <v>10</v>
      </c>
      <c r="H308" s="38">
        <f t="shared" si="25"/>
        <v>-2.5</v>
      </c>
      <c r="I308" s="38">
        <f t="shared" si="26"/>
        <v>2.5</v>
      </c>
      <c r="J308" s="38">
        <f t="shared" si="27"/>
        <v>10</v>
      </c>
      <c r="K308" s="38">
        <f t="shared" si="28"/>
        <v>20</v>
      </c>
      <c r="L308" s="38">
        <f t="shared" si="29"/>
        <v>40</v>
      </c>
      <c r="M308" s="3" t="s">
        <v>594</v>
      </c>
      <c r="N308" s="3" t="s">
        <v>594</v>
      </c>
      <c r="O308" s="3" t="s">
        <v>432</v>
      </c>
      <c r="P308" s="4">
        <v>43844</v>
      </c>
    </row>
    <row r="309" spans="1:16" x14ac:dyDescent="0.2">
      <c r="A309" s="3" t="str">
        <f t="shared" si="24"/>
        <v>812072144868</v>
      </c>
      <c r="B309" s="16">
        <v>812072</v>
      </c>
      <c r="C309" s="16" t="s">
        <v>262</v>
      </c>
      <c r="D309" s="1">
        <v>144868</v>
      </c>
      <c r="E309" s="3" t="s">
        <v>261</v>
      </c>
      <c r="F309" s="9">
        <v>10</v>
      </c>
      <c r="G309" s="9">
        <f>IFERROR(VLOOKUP(F309,Sheet1!$B$15:$D$38,3,1),0)</f>
        <v>10</v>
      </c>
      <c r="H309" s="38">
        <f t="shared" si="25"/>
        <v>-2.5</v>
      </c>
      <c r="I309" s="38">
        <f t="shared" si="26"/>
        <v>2.5</v>
      </c>
      <c r="J309" s="38">
        <f t="shared" si="27"/>
        <v>10</v>
      </c>
      <c r="K309" s="38">
        <f t="shared" si="28"/>
        <v>20</v>
      </c>
      <c r="L309" s="38">
        <f t="shared" si="29"/>
        <v>40</v>
      </c>
      <c r="M309" s="3" t="s">
        <v>594</v>
      </c>
      <c r="N309" s="3" t="s">
        <v>594</v>
      </c>
      <c r="O309" s="3" t="s">
        <v>432</v>
      </c>
      <c r="P309" s="4">
        <v>44012</v>
      </c>
    </row>
    <row r="310" spans="1:16" x14ac:dyDescent="0.2">
      <c r="A310" s="3" t="str">
        <f t="shared" si="24"/>
        <v>813800144868</v>
      </c>
      <c r="B310" s="16">
        <v>813800</v>
      </c>
      <c r="C310" s="16" t="s">
        <v>420</v>
      </c>
      <c r="D310" s="1">
        <v>144868</v>
      </c>
      <c r="E310" s="3" t="s">
        <v>261</v>
      </c>
      <c r="F310" s="9">
        <v>0</v>
      </c>
      <c r="G310" s="9">
        <f>IFERROR(VLOOKUP(F310,Sheet1!$B$15:$D$38,3,1),0)</f>
        <v>0</v>
      </c>
      <c r="H310" s="38">
        <f t="shared" si="25"/>
        <v>7.5</v>
      </c>
      <c r="I310" s="38">
        <f t="shared" si="26"/>
        <v>12.5</v>
      </c>
      <c r="J310" s="38">
        <f t="shared" si="27"/>
        <v>20</v>
      </c>
      <c r="K310" s="38">
        <f t="shared" si="28"/>
        <v>30</v>
      </c>
      <c r="L310" s="38">
        <f t="shared" si="29"/>
        <v>50</v>
      </c>
      <c r="M310" s="3" t="s">
        <v>594</v>
      </c>
      <c r="N310" s="3" t="s">
        <v>594</v>
      </c>
      <c r="O310" s="3" t="s">
        <v>432</v>
      </c>
      <c r="P310" s="4">
        <v>44175</v>
      </c>
    </row>
    <row r="311" spans="1:16" x14ac:dyDescent="0.2">
      <c r="A311" s="3" t="str">
        <f t="shared" si="24"/>
        <v>817152144868</v>
      </c>
      <c r="B311" s="16">
        <v>817152</v>
      </c>
      <c r="C311" s="16" t="s">
        <v>610</v>
      </c>
      <c r="D311" s="3">
        <v>144868</v>
      </c>
      <c r="E311" s="3" t="s">
        <v>261</v>
      </c>
      <c r="F311" s="9">
        <v>10</v>
      </c>
      <c r="G311" s="9">
        <f>IFERROR(VLOOKUP(F311,Sheet1!$B$15:$D$38,3,1),0)</f>
        <v>10</v>
      </c>
      <c r="H311" s="38">
        <f t="shared" si="25"/>
        <v>-2.5</v>
      </c>
      <c r="I311" s="38">
        <f t="shared" si="26"/>
        <v>2.5</v>
      </c>
      <c r="J311" s="38">
        <f t="shared" si="27"/>
        <v>10</v>
      </c>
      <c r="K311" s="38">
        <f t="shared" si="28"/>
        <v>20</v>
      </c>
      <c r="L311" s="38">
        <f t="shared" si="29"/>
        <v>40</v>
      </c>
      <c r="M311" s="3" t="s">
        <v>594</v>
      </c>
      <c r="N311" s="3" t="s">
        <v>594</v>
      </c>
      <c r="O311" s="3" t="s">
        <v>432</v>
      </c>
      <c r="P311" s="4">
        <v>44527</v>
      </c>
    </row>
    <row r="312" spans="1:16" x14ac:dyDescent="0.2">
      <c r="A312" s="3" t="str">
        <f t="shared" si="24"/>
        <v>816351145135</v>
      </c>
      <c r="B312" s="16">
        <v>816351</v>
      </c>
      <c r="C312" s="16" t="s">
        <v>542</v>
      </c>
      <c r="D312" s="3">
        <v>145135</v>
      </c>
      <c r="E312" s="3" t="s">
        <v>543</v>
      </c>
      <c r="F312" s="9">
        <v>50</v>
      </c>
      <c r="G312" s="9">
        <f>IFERROR(VLOOKUP(F312,Sheet1!$B$15:$D$38,3,1),0)</f>
        <v>160</v>
      </c>
      <c r="H312" s="38">
        <f t="shared" si="25"/>
        <v>-42.5</v>
      </c>
      <c r="I312" s="38">
        <f t="shared" si="26"/>
        <v>-37.5</v>
      </c>
      <c r="J312" s="38">
        <f t="shared" si="27"/>
        <v>-30</v>
      </c>
      <c r="K312" s="38">
        <f t="shared" si="28"/>
        <v>-20</v>
      </c>
      <c r="L312" s="38">
        <f t="shared" si="29"/>
        <v>0</v>
      </c>
      <c r="M312" s="3" t="s">
        <v>594</v>
      </c>
      <c r="N312" s="3" t="s">
        <v>594</v>
      </c>
      <c r="O312" s="3" t="s">
        <v>432</v>
      </c>
      <c r="P312" s="4">
        <v>44455</v>
      </c>
    </row>
    <row r="313" spans="1:16" x14ac:dyDescent="0.2">
      <c r="A313" s="3" t="str">
        <f t="shared" si="24"/>
        <v>811401145639</v>
      </c>
      <c r="B313" s="16">
        <v>811401</v>
      </c>
      <c r="C313" s="16" t="s">
        <v>507</v>
      </c>
      <c r="D313" s="3">
        <v>145639</v>
      </c>
      <c r="E313" s="3" t="s">
        <v>254</v>
      </c>
      <c r="F313" s="9">
        <v>0</v>
      </c>
      <c r="G313" s="9">
        <f>IFERROR(VLOOKUP(F313,Sheet1!$B$15:$D$38,3,1),0)</f>
        <v>0</v>
      </c>
      <c r="H313" s="38">
        <f t="shared" si="25"/>
        <v>7.5</v>
      </c>
      <c r="I313" s="38">
        <f t="shared" si="26"/>
        <v>12.5</v>
      </c>
      <c r="J313" s="38">
        <f t="shared" si="27"/>
        <v>20</v>
      </c>
      <c r="K313" s="38">
        <f t="shared" si="28"/>
        <v>30</v>
      </c>
      <c r="L313" s="38">
        <f t="shared" si="29"/>
        <v>50</v>
      </c>
      <c r="M313" s="3" t="s">
        <v>594</v>
      </c>
      <c r="N313" s="3" t="s">
        <v>594</v>
      </c>
      <c r="O313" s="3" t="s">
        <v>432</v>
      </c>
      <c r="P313" s="4">
        <v>43865</v>
      </c>
    </row>
    <row r="314" spans="1:16" x14ac:dyDescent="0.2">
      <c r="A314" s="3" t="str">
        <f t="shared" si="24"/>
        <v>812161145639</v>
      </c>
      <c r="B314" s="16">
        <v>812161</v>
      </c>
      <c r="C314" s="16" t="s">
        <v>286</v>
      </c>
      <c r="D314" s="1">
        <v>145639</v>
      </c>
      <c r="E314" s="3" t="s">
        <v>254</v>
      </c>
      <c r="F314" s="9">
        <v>36.25</v>
      </c>
      <c r="G314" s="9">
        <f>IFERROR(VLOOKUP(F314,Sheet1!$B$15:$D$38,3,1),0)</f>
        <v>80</v>
      </c>
      <c r="H314" s="38">
        <f t="shared" si="25"/>
        <v>-28.75</v>
      </c>
      <c r="I314" s="38">
        <f t="shared" si="26"/>
        <v>-23.75</v>
      </c>
      <c r="J314" s="38">
        <f t="shared" si="27"/>
        <v>-16.25</v>
      </c>
      <c r="K314" s="38">
        <f t="shared" si="28"/>
        <v>-6.25</v>
      </c>
      <c r="L314" s="38">
        <f t="shared" si="29"/>
        <v>13.75</v>
      </c>
      <c r="M314" s="3" t="s">
        <v>594</v>
      </c>
      <c r="N314" s="3" t="s">
        <v>594</v>
      </c>
      <c r="O314" s="3" t="s">
        <v>432</v>
      </c>
      <c r="P314" s="4">
        <v>44021</v>
      </c>
    </row>
    <row r="315" spans="1:16" x14ac:dyDescent="0.2">
      <c r="A315" s="3" t="str">
        <f t="shared" si="24"/>
        <v>812425146909</v>
      </c>
      <c r="B315" s="16">
        <v>812425</v>
      </c>
      <c r="C315" s="16" t="s">
        <v>196</v>
      </c>
      <c r="D315" s="1">
        <v>146909</v>
      </c>
      <c r="E315" s="3" t="s">
        <v>195</v>
      </c>
      <c r="F315" s="9">
        <v>35</v>
      </c>
      <c r="G315" s="9">
        <f>IFERROR(VLOOKUP(F315,Sheet1!$B$15:$D$38,3,1),0)</f>
        <v>80</v>
      </c>
      <c r="H315" s="38">
        <f t="shared" si="25"/>
        <v>-27.5</v>
      </c>
      <c r="I315" s="38">
        <f t="shared" si="26"/>
        <v>-22.5</v>
      </c>
      <c r="J315" s="38">
        <f t="shared" si="27"/>
        <v>-15</v>
      </c>
      <c r="K315" s="38">
        <f t="shared" si="28"/>
        <v>-5</v>
      </c>
      <c r="L315" s="38">
        <f t="shared" si="29"/>
        <v>15</v>
      </c>
      <c r="M315" s="3" t="s">
        <v>594</v>
      </c>
      <c r="N315" s="3" t="s">
        <v>594</v>
      </c>
      <c r="O315" s="3" t="s">
        <v>432</v>
      </c>
      <c r="P315" s="4">
        <v>44043</v>
      </c>
    </row>
    <row r="316" spans="1:16" x14ac:dyDescent="0.2">
      <c r="A316" s="3" t="str">
        <f t="shared" si="24"/>
        <v>817343149825</v>
      </c>
      <c r="B316" s="16">
        <v>817343</v>
      </c>
      <c r="C316" s="16" t="s">
        <v>643</v>
      </c>
      <c r="D316" s="3">
        <v>149825</v>
      </c>
      <c r="E316" s="3" t="s">
        <v>336</v>
      </c>
      <c r="F316" s="9">
        <v>0</v>
      </c>
      <c r="G316" s="9">
        <f>IFERROR(VLOOKUP(F316,Sheet1!$B$15:$D$38,3,1),0)</f>
        <v>0</v>
      </c>
      <c r="H316" s="38">
        <f t="shared" si="25"/>
        <v>7.5</v>
      </c>
      <c r="I316" s="38">
        <f t="shared" si="26"/>
        <v>12.5</v>
      </c>
      <c r="J316" s="38">
        <f t="shared" si="27"/>
        <v>20</v>
      </c>
      <c r="K316" s="38">
        <f t="shared" si="28"/>
        <v>30</v>
      </c>
      <c r="L316" s="38">
        <f t="shared" si="29"/>
        <v>50</v>
      </c>
      <c r="M316" s="3" t="s">
        <v>594</v>
      </c>
      <c r="N316" s="3" t="s">
        <v>594</v>
      </c>
      <c r="O316" s="3" t="s">
        <v>432</v>
      </c>
      <c r="P316" s="4">
        <v>44546</v>
      </c>
    </row>
    <row r="317" spans="1:16" x14ac:dyDescent="0.2">
      <c r="A317" s="3" t="str">
        <f t="shared" si="24"/>
        <v>811862149872</v>
      </c>
      <c r="B317" s="16">
        <v>811862</v>
      </c>
      <c r="C317" s="16" t="s">
        <v>281</v>
      </c>
      <c r="D317" s="1">
        <v>149872</v>
      </c>
      <c r="E317" s="3" t="s">
        <v>241</v>
      </c>
      <c r="F317" s="9">
        <v>58.5</v>
      </c>
      <c r="G317" s="9">
        <f>IFERROR(VLOOKUP(F317,Sheet1!$B$15:$D$38,3,1),0)</f>
        <v>160</v>
      </c>
      <c r="H317" s="38">
        <f t="shared" si="25"/>
        <v>-51</v>
      </c>
      <c r="I317" s="38">
        <f t="shared" si="26"/>
        <v>-46</v>
      </c>
      <c r="J317" s="38">
        <f t="shared" si="27"/>
        <v>-38.5</v>
      </c>
      <c r="K317" s="38">
        <f t="shared" si="28"/>
        <v>-28.5</v>
      </c>
      <c r="L317" s="38">
        <f t="shared" si="29"/>
        <v>-8.5</v>
      </c>
      <c r="M317" s="3" t="s">
        <v>594</v>
      </c>
      <c r="N317" s="3" t="s">
        <v>594</v>
      </c>
      <c r="O317" s="3" t="s">
        <v>432</v>
      </c>
      <c r="P317" s="4">
        <v>43987</v>
      </c>
    </row>
    <row r="318" spans="1:16" x14ac:dyDescent="0.2">
      <c r="A318" s="3" t="str">
        <f t="shared" si="24"/>
        <v>807780149893</v>
      </c>
      <c r="B318" s="16">
        <v>807780</v>
      </c>
      <c r="C318" s="16" t="s">
        <v>127</v>
      </c>
      <c r="D318" s="1">
        <v>149893</v>
      </c>
      <c r="E318" s="3" t="s">
        <v>297</v>
      </c>
      <c r="F318" s="9">
        <v>0</v>
      </c>
      <c r="G318" s="9">
        <f>IFERROR(VLOOKUP(F318,Sheet1!$B$15:$D$38,3,1),0)</f>
        <v>0</v>
      </c>
      <c r="H318" s="38">
        <f t="shared" si="25"/>
        <v>7.5</v>
      </c>
      <c r="I318" s="38">
        <f t="shared" si="26"/>
        <v>12.5</v>
      </c>
      <c r="J318" s="38">
        <f t="shared" si="27"/>
        <v>20</v>
      </c>
      <c r="K318" s="38">
        <f t="shared" si="28"/>
        <v>30</v>
      </c>
      <c r="L318" s="38">
        <f t="shared" si="29"/>
        <v>50</v>
      </c>
      <c r="M318" s="3" t="s">
        <v>594</v>
      </c>
      <c r="N318" s="3" t="s">
        <v>594</v>
      </c>
      <c r="O318" s="3" t="s">
        <v>432</v>
      </c>
      <c r="P318" s="4">
        <v>43487</v>
      </c>
    </row>
    <row r="319" spans="1:16" x14ac:dyDescent="0.2">
      <c r="A319" s="3" t="str">
        <f t="shared" si="24"/>
        <v>807142171947</v>
      </c>
      <c r="B319" s="16">
        <v>807142</v>
      </c>
      <c r="C319" s="16" t="s">
        <v>273</v>
      </c>
      <c r="D319" s="1">
        <v>171947</v>
      </c>
      <c r="E319" s="3" t="s">
        <v>272</v>
      </c>
      <c r="F319" s="9">
        <v>50</v>
      </c>
      <c r="G319" s="9">
        <f>IFERROR(VLOOKUP(F319,Sheet1!$B$15:$D$38,3,1),0)</f>
        <v>160</v>
      </c>
      <c r="H319" s="38">
        <f t="shared" si="25"/>
        <v>-42.5</v>
      </c>
      <c r="I319" s="38">
        <f t="shared" si="26"/>
        <v>-37.5</v>
      </c>
      <c r="J319" s="38">
        <f t="shared" si="27"/>
        <v>-30</v>
      </c>
      <c r="K319" s="38">
        <f t="shared" si="28"/>
        <v>-20</v>
      </c>
      <c r="L319" s="38">
        <f t="shared" si="29"/>
        <v>0</v>
      </c>
      <c r="M319" s="3" t="s">
        <v>594</v>
      </c>
      <c r="N319" s="3" t="s">
        <v>594</v>
      </c>
      <c r="O319" s="3" t="s">
        <v>432</v>
      </c>
      <c r="P319" s="4">
        <v>43406</v>
      </c>
    </row>
    <row r="320" spans="1:16" x14ac:dyDescent="0.2">
      <c r="A320" s="3" t="str">
        <f t="shared" si="24"/>
        <v>807202171947</v>
      </c>
      <c r="B320" s="16">
        <v>807202</v>
      </c>
      <c r="C320" s="16" t="s">
        <v>375</v>
      </c>
      <c r="D320" s="1">
        <v>171947</v>
      </c>
      <c r="E320" s="3" t="s">
        <v>272</v>
      </c>
      <c r="F320" s="9">
        <v>7.5</v>
      </c>
      <c r="G320" s="9">
        <f>IFERROR(VLOOKUP(F320,Sheet1!$B$15:$D$38,3,1),0)</f>
        <v>10</v>
      </c>
      <c r="H320" s="38">
        <f t="shared" si="25"/>
        <v>0</v>
      </c>
      <c r="I320" s="38">
        <f t="shared" si="26"/>
        <v>5</v>
      </c>
      <c r="J320" s="38">
        <f t="shared" si="27"/>
        <v>12.5</v>
      </c>
      <c r="K320" s="38">
        <f t="shared" si="28"/>
        <v>22.5</v>
      </c>
      <c r="L320" s="38">
        <f t="shared" si="29"/>
        <v>42.5</v>
      </c>
      <c r="M320" s="3" t="s">
        <v>594</v>
      </c>
      <c r="N320" s="3" t="s">
        <v>594</v>
      </c>
      <c r="O320" s="3" t="s">
        <v>432</v>
      </c>
      <c r="P320" s="4">
        <v>43427</v>
      </c>
    </row>
    <row r="321" spans="1:16" x14ac:dyDescent="0.2">
      <c r="A321" s="3" t="str">
        <f t="shared" si="24"/>
        <v>809618171947</v>
      </c>
      <c r="B321" s="16">
        <v>809618</v>
      </c>
      <c r="C321" s="16" t="s">
        <v>303</v>
      </c>
      <c r="D321" s="1">
        <v>171947</v>
      </c>
      <c r="E321" s="3" t="s">
        <v>272</v>
      </c>
      <c r="F321" s="9">
        <v>0</v>
      </c>
      <c r="G321" s="9">
        <f>IFERROR(VLOOKUP(F321,Sheet1!$B$15:$D$38,3,1),0)</f>
        <v>0</v>
      </c>
      <c r="H321" s="38">
        <f t="shared" si="25"/>
        <v>7.5</v>
      </c>
      <c r="I321" s="38">
        <f t="shared" si="26"/>
        <v>12.5</v>
      </c>
      <c r="J321" s="38">
        <f t="shared" si="27"/>
        <v>20</v>
      </c>
      <c r="K321" s="38">
        <f t="shared" si="28"/>
        <v>30</v>
      </c>
      <c r="L321" s="38">
        <f t="shared" si="29"/>
        <v>50</v>
      </c>
      <c r="M321" s="3" t="s">
        <v>594</v>
      </c>
      <c r="N321" s="3" t="s">
        <v>594</v>
      </c>
      <c r="O321" s="3" t="s">
        <v>432</v>
      </c>
      <c r="P321" s="4">
        <v>43609</v>
      </c>
    </row>
    <row r="322" spans="1:16" x14ac:dyDescent="0.2">
      <c r="A322" s="3" t="str">
        <f t="shared" si="24"/>
        <v>809917172150</v>
      </c>
      <c r="B322" s="16">
        <v>809917</v>
      </c>
      <c r="C322" s="16" t="s">
        <v>285</v>
      </c>
      <c r="D322" s="1">
        <v>172150</v>
      </c>
      <c r="E322" s="3" t="s">
        <v>250</v>
      </c>
      <c r="F322" s="9">
        <v>50</v>
      </c>
      <c r="G322" s="9">
        <f>IFERROR(VLOOKUP(F322,Sheet1!$B$15:$D$38,3,1),0)</f>
        <v>160</v>
      </c>
      <c r="H322" s="38">
        <f t="shared" si="25"/>
        <v>-42.5</v>
      </c>
      <c r="I322" s="38">
        <f t="shared" si="26"/>
        <v>-37.5</v>
      </c>
      <c r="J322" s="38">
        <f t="shared" si="27"/>
        <v>-30</v>
      </c>
      <c r="K322" s="38">
        <f t="shared" si="28"/>
        <v>-20</v>
      </c>
      <c r="L322" s="38">
        <f t="shared" si="29"/>
        <v>0</v>
      </c>
      <c r="M322" s="3" t="s">
        <v>594</v>
      </c>
      <c r="N322" s="3" t="s">
        <v>594</v>
      </c>
      <c r="O322" s="3" t="s">
        <v>432</v>
      </c>
      <c r="P322" s="4">
        <v>43659</v>
      </c>
    </row>
    <row r="323" spans="1:16" x14ac:dyDescent="0.2">
      <c r="A323" s="3" t="str">
        <f t="shared" ref="A323:A386" si="30">B323&amp;D323</f>
        <v>809534174445</v>
      </c>
      <c r="B323" s="16">
        <v>809534</v>
      </c>
      <c r="C323" s="16" t="s">
        <v>353</v>
      </c>
      <c r="D323" s="1">
        <v>174445</v>
      </c>
      <c r="E323" s="3" t="s">
        <v>245</v>
      </c>
      <c r="F323" s="9">
        <v>0</v>
      </c>
      <c r="G323" s="9">
        <f>IFERROR(VLOOKUP(F323,Sheet1!$B$15:$D$38,3,1),0)</f>
        <v>0</v>
      </c>
      <c r="H323" s="38">
        <f t="shared" si="25"/>
        <v>7.5</v>
      </c>
      <c r="I323" s="38">
        <f t="shared" si="26"/>
        <v>12.5</v>
      </c>
      <c r="J323" s="38">
        <f t="shared" si="27"/>
        <v>20</v>
      </c>
      <c r="K323" s="38">
        <f t="shared" si="28"/>
        <v>30</v>
      </c>
      <c r="L323" s="38">
        <f t="shared" si="29"/>
        <v>50</v>
      </c>
      <c r="M323" s="3" t="s">
        <v>594</v>
      </c>
      <c r="N323" s="3" t="s">
        <v>594</v>
      </c>
      <c r="O323" s="3" t="s">
        <v>432</v>
      </c>
      <c r="P323" s="4">
        <v>43596</v>
      </c>
    </row>
    <row r="324" spans="1:16" x14ac:dyDescent="0.2">
      <c r="A324" s="3" t="str">
        <f t="shared" si="30"/>
        <v>811183174445</v>
      </c>
      <c r="B324" s="16">
        <v>811183</v>
      </c>
      <c r="C324" s="16" t="s">
        <v>275</v>
      </c>
      <c r="D324" s="1">
        <v>174445</v>
      </c>
      <c r="E324" s="3" t="s">
        <v>245</v>
      </c>
      <c r="F324" s="9">
        <v>0</v>
      </c>
      <c r="G324" s="9">
        <f>IFERROR(VLOOKUP(F324,Sheet1!$B$15:$D$38,3,1),0)</f>
        <v>0</v>
      </c>
      <c r="H324" s="38">
        <f t="shared" ref="H324:H387" si="31">$H$2-$F324</f>
        <v>7.5</v>
      </c>
      <c r="I324" s="38">
        <f t="shared" ref="I324:I387" si="32">$I$2-$F324</f>
        <v>12.5</v>
      </c>
      <c r="J324" s="38">
        <f t="shared" ref="J324:J387" si="33">$J$2-$F324</f>
        <v>20</v>
      </c>
      <c r="K324" s="38">
        <f t="shared" ref="K324:K387" si="34">$K$2-$F324</f>
        <v>30</v>
      </c>
      <c r="L324" s="38">
        <f t="shared" ref="L324:L387" si="35">$L$2-$F324</f>
        <v>50</v>
      </c>
      <c r="M324" s="3" t="s">
        <v>594</v>
      </c>
      <c r="N324" s="3" t="s">
        <v>594</v>
      </c>
      <c r="O324" s="3" t="s">
        <v>432</v>
      </c>
      <c r="P324" s="4">
        <v>43834</v>
      </c>
    </row>
    <row r="325" spans="1:16" x14ac:dyDescent="0.2">
      <c r="A325" s="3" t="str">
        <f t="shared" si="30"/>
        <v>812142174445</v>
      </c>
      <c r="B325" s="16">
        <v>812142</v>
      </c>
      <c r="C325" s="16" t="s">
        <v>392</v>
      </c>
      <c r="D325" s="1">
        <v>174445</v>
      </c>
      <c r="E325" s="3" t="s">
        <v>245</v>
      </c>
      <c r="F325" s="9">
        <v>0</v>
      </c>
      <c r="G325" s="9">
        <f>IFERROR(VLOOKUP(F325,Sheet1!$B$15:$D$38,3,1),0)</f>
        <v>0</v>
      </c>
      <c r="H325" s="38">
        <f t="shared" si="31"/>
        <v>7.5</v>
      </c>
      <c r="I325" s="38">
        <f t="shared" si="32"/>
        <v>12.5</v>
      </c>
      <c r="J325" s="38">
        <f t="shared" si="33"/>
        <v>20</v>
      </c>
      <c r="K325" s="38">
        <f t="shared" si="34"/>
        <v>30</v>
      </c>
      <c r="L325" s="38">
        <f t="shared" si="35"/>
        <v>50</v>
      </c>
      <c r="M325" s="3" t="s">
        <v>594</v>
      </c>
      <c r="N325" s="3" t="s">
        <v>594</v>
      </c>
      <c r="O325" s="3" t="s">
        <v>432</v>
      </c>
      <c r="P325" s="4">
        <v>44019</v>
      </c>
    </row>
    <row r="326" spans="1:16" x14ac:dyDescent="0.2">
      <c r="A326" s="3" t="str">
        <f t="shared" si="30"/>
        <v>812196174445</v>
      </c>
      <c r="B326" s="16">
        <v>812196</v>
      </c>
      <c r="C326" s="16" t="s">
        <v>405</v>
      </c>
      <c r="D326" s="1">
        <v>174445</v>
      </c>
      <c r="E326" s="3" t="s">
        <v>245</v>
      </c>
      <c r="F326" s="9">
        <v>0</v>
      </c>
      <c r="G326" s="9">
        <f>IFERROR(VLOOKUP(F326,Sheet1!$B$15:$D$38,3,1),0)</f>
        <v>0</v>
      </c>
      <c r="H326" s="38">
        <f t="shared" si="31"/>
        <v>7.5</v>
      </c>
      <c r="I326" s="38">
        <f t="shared" si="32"/>
        <v>12.5</v>
      </c>
      <c r="J326" s="38">
        <f t="shared" si="33"/>
        <v>20</v>
      </c>
      <c r="K326" s="38">
        <f t="shared" si="34"/>
        <v>30</v>
      </c>
      <c r="L326" s="38">
        <f t="shared" si="35"/>
        <v>50</v>
      </c>
      <c r="M326" s="3" t="s">
        <v>594</v>
      </c>
      <c r="N326" s="3" t="s">
        <v>594</v>
      </c>
      <c r="O326" s="3" t="s">
        <v>432</v>
      </c>
      <c r="P326" s="4">
        <v>44023</v>
      </c>
    </row>
    <row r="327" spans="1:16" x14ac:dyDescent="0.2">
      <c r="A327" s="3" t="str">
        <f t="shared" si="30"/>
        <v>804935176279</v>
      </c>
      <c r="B327" s="16">
        <v>804935</v>
      </c>
      <c r="C327" s="16" t="s">
        <v>60</v>
      </c>
      <c r="D327" s="3">
        <v>176279</v>
      </c>
      <c r="E327" s="3" t="s">
        <v>247</v>
      </c>
      <c r="F327" s="9">
        <v>0</v>
      </c>
      <c r="G327" s="9">
        <f>IFERROR(VLOOKUP(F327,Sheet1!$B$15:$D$38,3,1),0)</f>
        <v>0</v>
      </c>
      <c r="H327" s="38">
        <f t="shared" si="31"/>
        <v>7.5</v>
      </c>
      <c r="I327" s="38">
        <f t="shared" si="32"/>
        <v>12.5</v>
      </c>
      <c r="J327" s="38">
        <f t="shared" si="33"/>
        <v>20</v>
      </c>
      <c r="K327" s="38">
        <f t="shared" si="34"/>
        <v>30</v>
      </c>
      <c r="L327" s="38">
        <f t="shared" si="35"/>
        <v>50</v>
      </c>
      <c r="M327" s="3" t="s">
        <v>594</v>
      </c>
      <c r="N327" s="3" t="s">
        <v>594</v>
      </c>
      <c r="O327" s="3" t="s">
        <v>432</v>
      </c>
      <c r="P327" s="4">
        <v>42460</v>
      </c>
    </row>
    <row r="328" spans="1:16" x14ac:dyDescent="0.2">
      <c r="A328" s="3" t="str">
        <f t="shared" si="30"/>
        <v>807416176279</v>
      </c>
      <c r="B328" s="16">
        <v>807416</v>
      </c>
      <c r="C328" s="16" t="s">
        <v>334</v>
      </c>
      <c r="D328" s="1">
        <v>176279</v>
      </c>
      <c r="E328" s="3" t="s">
        <v>247</v>
      </c>
      <c r="F328" s="9">
        <v>20</v>
      </c>
      <c r="G328" s="9">
        <f>IFERROR(VLOOKUP(F328,Sheet1!$B$15:$D$38,3,1),0)</f>
        <v>40</v>
      </c>
      <c r="H328" s="38">
        <f t="shared" si="31"/>
        <v>-12.5</v>
      </c>
      <c r="I328" s="38">
        <f t="shared" si="32"/>
        <v>-7.5</v>
      </c>
      <c r="J328" s="38">
        <f t="shared" si="33"/>
        <v>0</v>
      </c>
      <c r="K328" s="38">
        <f t="shared" si="34"/>
        <v>10</v>
      </c>
      <c r="L328" s="38">
        <f t="shared" si="35"/>
        <v>30</v>
      </c>
      <c r="M328" s="3" t="s">
        <v>594</v>
      </c>
      <c r="N328" s="3" t="s">
        <v>594</v>
      </c>
      <c r="O328" s="3" t="s">
        <v>432</v>
      </c>
      <c r="P328" s="4">
        <v>43458</v>
      </c>
    </row>
    <row r="329" spans="1:16" x14ac:dyDescent="0.2">
      <c r="A329" s="3" t="str">
        <f t="shared" si="30"/>
        <v>811455176279</v>
      </c>
      <c r="B329" s="16">
        <v>811455</v>
      </c>
      <c r="C329" s="16" t="s">
        <v>402</v>
      </c>
      <c r="D329" s="1">
        <v>176279</v>
      </c>
      <c r="E329" s="3" t="s">
        <v>247</v>
      </c>
      <c r="F329" s="9">
        <v>0</v>
      </c>
      <c r="G329" s="9">
        <f>IFERROR(VLOOKUP(F329,Sheet1!$B$15:$D$38,3,1),0)</f>
        <v>0</v>
      </c>
      <c r="H329" s="38">
        <f t="shared" si="31"/>
        <v>7.5</v>
      </c>
      <c r="I329" s="38">
        <f t="shared" si="32"/>
        <v>12.5</v>
      </c>
      <c r="J329" s="38">
        <f t="shared" si="33"/>
        <v>20</v>
      </c>
      <c r="K329" s="38">
        <f t="shared" si="34"/>
        <v>30</v>
      </c>
      <c r="L329" s="38">
        <f t="shared" si="35"/>
        <v>50</v>
      </c>
      <c r="M329" s="3" t="s">
        <v>594</v>
      </c>
      <c r="N329" s="3" t="s">
        <v>594</v>
      </c>
      <c r="O329" s="3" t="s">
        <v>432</v>
      </c>
      <c r="P329" s="4">
        <v>43868</v>
      </c>
    </row>
    <row r="330" spans="1:16" x14ac:dyDescent="0.2">
      <c r="A330" s="3" t="str">
        <f t="shared" si="30"/>
        <v>811535176279</v>
      </c>
      <c r="B330" s="3">
        <v>811535</v>
      </c>
      <c r="C330" s="3" t="s">
        <v>384</v>
      </c>
      <c r="D330" s="3">
        <v>176279</v>
      </c>
      <c r="E330" s="3" t="s">
        <v>247</v>
      </c>
      <c r="F330" s="9">
        <v>5</v>
      </c>
      <c r="G330" s="9">
        <f>IFERROR(VLOOKUP(F330,Sheet1!$B$15:$D$38,3,1),0)</f>
        <v>0</v>
      </c>
      <c r="H330" s="38">
        <f t="shared" si="31"/>
        <v>2.5</v>
      </c>
      <c r="I330" s="38">
        <f t="shared" si="32"/>
        <v>7.5</v>
      </c>
      <c r="J330" s="38">
        <f t="shared" si="33"/>
        <v>15</v>
      </c>
      <c r="K330" s="38">
        <f t="shared" si="34"/>
        <v>25</v>
      </c>
      <c r="L330" s="38">
        <f t="shared" si="35"/>
        <v>45</v>
      </c>
      <c r="M330" s="3" t="s">
        <v>594</v>
      </c>
      <c r="N330" s="3" t="s">
        <v>594</v>
      </c>
      <c r="O330" s="3" t="s">
        <v>432</v>
      </c>
      <c r="P330" s="4">
        <v>43879</v>
      </c>
    </row>
    <row r="331" spans="1:16" x14ac:dyDescent="0.2">
      <c r="A331" s="3" t="str">
        <f t="shared" si="30"/>
        <v>812428176279</v>
      </c>
      <c r="B331" s="16">
        <v>812428</v>
      </c>
      <c r="C331" s="16" t="s">
        <v>346</v>
      </c>
      <c r="D331" s="1">
        <v>176279</v>
      </c>
      <c r="E331" s="3" t="s">
        <v>247</v>
      </c>
      <c r="F331" s="9">
        <v>0</v>
      </c>
      <c r="G331" s="9">
        <f>IFERROR(VLOOKUP(F331,Sheet1!$B$15:$D$38,3,1),0)</f>
        <v>0</v>
      </c>
      <c r="H331" s="38">
        <f t="shared" si="31"/>
        <v>7.5</v>
      </c>
      <c r="I331" s="38">
        <f t="shared" si="32"/>
        <v>12.5</v>
      </c>
      <c r="J331" s="38">
        <f t="shared" si="33"/>
        <v>20</v>
      </c>
      <c r="K331" s="38">
        <f t="shared" si="34"/>
        <v>30</v>
      </c>
      <c r="L331" s="38">
        <f t="shared" si="35"/>
        <v>50</v>
      </c>
      <c r="M331" s="3" t="s">
        <v>594</v>
      </c>
      <c r="N331" s="3" t="s">
        <v>594</v>
      </c>
      <c r="O331" s="3" t="s">
        <v>432</v>
      </c>
      <c r="P331" s="4">
        <v>44043</v>
      </c>
    </row>
    <row r="332" spans="1:16" x14ac:dyDescent="0.2">
      <c r="A332" s="3" t="str">
        <f t="shared" si="30"/>
        <v>807781176647</v>
      </c>
      <c r="B332" s="16">
        <v>807781</v>
      </c>
      <c r="C332" s="16" t="s">
        <v>127</v>
      </c>
      <c r="D332" s="1">
        <v>176647</v>
      </c>
      <c r="E332" s="3" t="s">
        <v>325</v>
      </c>
      <c r="F332" s="9">
        <v>20</v>
      </c>
      <c r="G332" s="9">
        <f>IFERROR(VLOOKUP(F332,Sheet1!$B$15:$D$38,3,1),0)</f>
        <v>40</v>
      </c>
      <c r="H332" s="38">
        <f t="shared" si="31"/>
        <v>-12.5</v>
      </c>
      <c r="I332" s="38">
        <f t="shared" si="32"/>
        <v>-7.5</v>
      </c>
      <c r="J332" s="38">
        <f t="shared" si="33"/>
        <v>0</v>
      </c>
      <c r="K332" s="38">
        <f t="shared" si="34"/>
        <v>10</v>
      </c>
      <c r="L332" s="38">
        <f t="shared" si="35"/>
        <v>30</v>
      </c>
      <c r="M332" s="3" t="s">
        <v>594</v>
      </c>
      <c r="N332" s="3" t="s">
        <v>594</v>
      </c>
      <c r="O332" s="3" t="s">
        <v>432</v>
      </c>
      <c r="P332" s="4">
        <v>43487</v>
      </c>
    </row>
    <row r="333" spans="1:16" x14ac:dyDescent="0.2">
      <c r="A333" s="3" t="str">
        <f t="shared" si="30"/>
        <v>809330176647</v>
      </c>
      <c r="B333" s="16">
        <v>809330</v>
      </c>
      <c r="C333" s="16" t="s">
        <v>326</v>
      </c>
      <c r="D333" s="1">
        <v>176647</v>
      </c>
      <c r="E333" s="3" t="s">
        <v>325</v>
      </c>
      <c r="F333" s="9">
        <v>50</v>
      </c>
      <c r="G333" s="9">
        <f>IFERROR(VLOOKUP(F333,Sheet1!$B$15:$D$38,3,1),0)</f>
        <v>160</v>
      </c>
      <c r="H333" s="38">
        <f t="shared" si="31"/>
        <v>-42.5</v>
      </c>
      <c r="I333" s="38">
        <f t="shared" si="32"/>
        <v>-37.5</v>
      </c>
      <c r="J333" s="38">
        <f t="shared" si="33"/>
        <v>-30</v>
      </c>
      <c r="K333" s="38">
        <f t="shared" si="34"/>
        <v>-20</v>
      </c>
      <c r="L333" s="38">
        <f t="shared" si="35"/>
        <v>0</v>
      </c>
      <c r="M333" s="3" t="s">
        <v>594</v>
      </c>
      <c r="N333" s="3" t="s">
        <v>594</v>
      </c>
      <c r="O333" s="3" t="s">
        <v>432</v>
      </c>
      <c r="P333" s="4">
        <v>43558</v>
      </c>
    </row>
    <row r="334" spans="1:16" x14ac:dyDescent="0.2">
      <c r="A334" s="3" t="str">
        <f t="shared" si="30"/>
        <v>813602177603</v>
      </c>
      <c r="B334" s="16">
        <v>813602</v>
      </c>
      <c r="C334" s="16" t="s">
        <v>446</v>
      </c>
      <c r="D334" s="1">
        <v>177603</v>
      </c>
      <c r="E334" s="3" t="s">
        <v>447</v>
      </c>
      <c r="F334" s="9">
        <v>14</v>
      </c>
      <c r="G334" s="9">
        <f>IFERROR(VLOOKUP(F334,Sheet1!$B$15:$D$38,3,1),0)</f>
        <v>20</v>
      </c>
      <c r="H334" s="38">
        <f t="shared" si="31"/>
        <v>-6.5</v>
      </c>
      <c r="I334" s="38">
        <f t="shared" si="32"/>
        <v>-1.5</v>
      </c>
      <c r="J334" s="38">
        <f t="shared" si="33"/>
        <v>6</v>
      </c>
      <c r="K334" s="38">
        <f t="shared" si="34"/>
        <v>16</v>
      </c>
      <c r="L334" s="38">
        <f t="shared" si="35"/>
        <v>36</v>
      </c>
      <c r="M334" s="3" t="s">
        <v>594</v>
      </c>
      <c r="N334" s="3" t="s">
        <v>594</v>
      </c>
      <c r="O334" s="3" t="s">
        <v>432</v>
      </c>
      <c r="P334" s="4">
        <v>44156</v>
      </c>
    </row>
    <row r="335" spans="1:16" x14ac:dyDescent="0.2">
      <c r="A335" s="3" t="str">
        <f t="shared" si="30"/>
        <v>811137177957</v>
      </c>
      <c r="B335" s="16">
        <v>811137</v>
      </c>
      <c r="C335" s="16" t="s">
        <v>222</v>
      </c>
      <c r="D335" s="1">
        <v>177957</v>
      </c>
      <c r="E335" s="3" t="s">
        <v>300</v>
      </c>
      <c r="F335" s="9">
        <v>38</v>
      </c>
      <c r="G335" s="9">
        <f>IFERROR(VLOOKUP(F335,Sheet1!$B$15:$D$38,3,1),0)</f>
        <v>80</v>
      </c>
      <c r="H335" s="38">
        <f t="shared" si="31"/>
        <v>-30.5</v>
      </c>
      <c r="I335" s="38">
        <f t="shared" si="32"/>
        <v>-25.5</v>
      </c>
      <c r="J335" s="38">
        <f t="shared" si="33"/>
        <v>-18</v>
      </c>
      <c r="K335" s="38">
        <f t="shared" si="34"/>
        <v>-8</v>
      </c>
      <c r="L335" s="38">
        <f t="shared" si="35"/>
        <v>12</v>
      </c>
      <c r="M335" s="3" t="s">
        <v>594</v>
      </c>
      <c r="N335" s="3" t="s">
        <v>594</v>
      </c>
      <c r="O335" s="3" t="s">
        <v>432</v>
      </c>
      <c r="P335" s="4">
        <v>43829</v>
      </c>
    </row>
    <row r="336" spans="1:16" x14ac:dyDescent="0.2">
      <c r="A336" s="3" t="str">
        <f t="shared" si="30"/>
        <v>813074177957</v>
      </c>
      <c r="B336" s="16">
        <v>813074</v>
      </c>
      <c r="C336" s="16" t="s">
        <v>329</v>
      </c>
      <c r="D336" s="1">
        <v>177957</v>
      </c>
      <c r="E336" s="3" t="s">
        <v>300</v>
      </c>
      <c r="F336" s="9">
        <v>1</v>
      </c>
      <c r="G336" s="9">
        <f>IFERROR(VLOOKUP(F336,Sheet1!$B$15:$D$38,3,1),0)</f>
        <v>0</v>
      </c>
      <c r="H336" s="38">
        <f t="shared" si="31"/>
        <v>6.5</v>
      </c>
      <c r="I336" s="38">
        <f t="shared" si="32"/>
        <v>11.5</v>
      </c>
      <c r="J336" s="38">
        <f t="shared" si="33"/>
        <v>19</v>
      </c>
      <c r="K336" s="38">
        <f t="shared" si="34"/>
        <v>29</v>
      </c>
      <c r="L336" s="38">
        <f t="shared" si="35"/>
        <v>49</v>
      </c>
      <c r="M336" s="3" t="s">
        <v>594</v>
      </c>
      <c r="N336" s="3" t="s">
        <v>594</v>
      </c>
      <c r="O336" s="3" t="s">
        <v>432</v>
      </c>
      <c r="P336" s="4">
        <v>44100</v>
      </c>
    </row>
    <row r="337" spans="1:16" x14ac:dyDescent="0.2">
      <c r="A337" s="3" t="str">
        <f t="shared" si="30"/>
        <v>814503177957</v>
      </c>
      <c r="B337" s="16">
        <v>814503</v>
      </c>
      <c r="C337" s="16" t="s">
        <v>301</v>
      </c>
      <c r="D337" s="1">
        <v>177957</v>
      </c>
      <c r="E337" s="3" t="s">
        <v>300</v>
      </c>
      <c r="F337" s="9">
        <v>7.5</v>
      </c>
      <c r="G337" s="9">
        <f>IFERROR(VLOOKUP(F337,Sheet1!$B$15:$D$38,3,1),0)</f>
        <v>10</v>
      </c>
      <c r="H337" s="38">
        <f t="shared" si="31"/>
        <v>0</v>
      </c>
      <c r="I337" s="38">
        <f t="shared" si="32"/>
        <v>5</v>
      </c>
      <c r="J337" s="38">
        <f t="shared" si="33"/>
        <v>12.5</v>
      </c>
      <c r="K337" s="38">
        <f t="shared" si="34"/>
        <v>22.5</v>
      </c>
      <c r="L337" s="38">
        <f t="shared" si="35"/>
        <v>42.5</v>
      </c>
      <c r="M337" s="3" t="s">
        <v>594</v>
      </c>
      <c r="N337" s="3" t="s">
        <v>594</v>
      </c>
      <c r="O337" s="3" t="s">
        <v>432</v>
      </c>
      <c r="P337" s="4">
        <v>44243</v>
      </c>
    </row>
    <row r="338" spans="1:16" x14ac:dyDescent="0.2">
      <c r="A338" s="3" t="str">
        <f t="shared" si="30"/>
        <v>817320178105</v>
      </c>
      <c r="B338" s="16">
        <v>817320</v>
      </c>
      <c r="C338" s="16" t="s">
        <v>616</v>
      </c>
      <c r="D338" s="3">
        <v>178105</v>
      </c>
      <c r="E338" s="3" t="s">
        <v>127</v>
      </c>
      <c r="F338" s="9">
        <v>7.5</v>
      </c>
      <c r="G338" s="9">
        <f>IFERROR(VLOOKUP(F338,Sheet1!$B$15:$D$38,3,1),0)</f>
        <v>10</v>
      </c>
      <c r="H338" s="38">
        <f t="shared" si="31"/>
        <v>0</v>
      </c>
      <c r="I338" s="38">
        <f t="shared" si="32"/>
        <v>5</v>
      </c>
      <c r="J338" s="38">
        <f t="shared" si="33"/>
        <v>12.5</v>
      </c>
      <c r="K338" s="38">
        <f t="shared" si="34"/>
        <v>22.5</v>
      </c>
      <c r="L338" s="38">
        <f t="shared" si="35"/>
        <v>42.5</v>
      </c>
      <c r="M338" s="3" t="s">
        <v>594</v>
      </c>
      <c r="N338" s="3" t="s">
        <v>594</v>
      </c>
      <c r="O338" s="3" t="s">
        <v>432</v>
      </c>
      <c r="P338" s="4">
        <v>44545</v>
      </c>
    </row>
    <row r="339" spans="1:16" x14ac:dyDescent="0.2">
      <c r="A339" s="3" t="str">
        <f t="shared" si="30"/>
        <v>817377178105</v>
      </c>
      <c r="B339" s="16">
        <v>817377</v>
      </c>
      <c r="C339" s="16" t="s">
        <v>264</v>
      </c>
      <c r="D339" s="3">
        <v>178105</v>
      </c>
      <c r="E339" s="3" t="s">
        <v>127</v>
      </c>
      <c r="F339" s="9">
        <v>12.5</v>
      </c>
      <c r="G339" s="9">
        <f>IFERROR(VLOOKUP(F339,Sheet1!$B$15:$D$38,3,1),0)</f>
        <v>20</v>
      </c>
      <c r="H339" s="38">
        <f t="shared" si="31"/>
        <v>-5</v>
      </c>
      <c r="I339" s="38">
        <f t="shared" si="32"/>
        <v>0</v>
      </c>
      <c r="J339" s="38">
        <f t="shared" si="33"/>
        <v>7.5</v>
      </c>
      <c r="K339" s="38">
        <f t="shared" si="34"/>
        <v>17.5</v>
      </c>
      <c r="L339" s="38">
        <f t="shared" si="35"/>
        <v>37.5</v>
      </c>
      <c r="M339" s="3" t="s">
        <v>594</v>
      </c>
      <c r="N339" s="3" t="s">
        <v>594</v>
      </c>
      <c r="O339" s="3" t="s">
        <v>432</v>
      </c>
      <c r="P339" s="4">
        <v>44550</v>
      </c>
    </row>
    <row r="340" spans="1:16" x14ac:dyDescent="0.2">
      <c r="A340" s="3" t="str">
        <f t="shared" si="30"/>
        <v>810127178137</v>
      </c>
      <c r="B340" s="16">
        <v>810127</v>
      </c>
      <c r="C340" s="16" t="s">
        <v>125</v>
      </c>
      <c r="D340" s="1">
        <v>178137</v>
      </c>
      <c r="E340" s="3" t="s">
        <v>280</v>
      </c>
      <c r="F340" s="9">
        <v>7.5</v>
      </c>
      <c r="G340" s="9">
        <f>IFERROR(VLOOKUP(F340,Sheet1!$B$15:$D$38,3,1),0)</f>
        <v>10</v>
      </c>
      <c r="H340" s="38">
        <f t="shared" si="31"/>
        <v>0</v>
      </c>
      <c r="I340" s="38">
        <f t="shared" si="32"/>
        <v>5</v>
      </c>
      <c r="J340" s="38">
        <f t="shared" si="33"/>
        <v>12.5</v>
      </c>
      <c r="K340" s="38">
        <f t="shared" si="34"/>
        <v>22.5</v>
      </c>
      <c r="L340" s="38">
        <f t="shared" si="35"/>
        <v>42.5</v>
      </c>
      <c r="M340" s="3" t="s">
        <v>594</v>
      </c>
      <c r="N340" s="3" t="s">
        <v>594</v>
      </c>
      <c r="O340" s="3" t="s">
        <v>432</v>
      </c>
      <c r="P340" s="4">
        <v>43678</v>
      </c>
    </row>
    <row r="341" spans="1:16" x14ac:dyDescent="0.2">
      <c r="A341" s="3" t="str">
        <f t="shared" si="30"/>
        <v>817342179396</v>
      </c>
      <c r="B341" s="16">
        <v>817342</v>
      </c>
      <c r="C341" s="16" t="s">
        <v>641</v>
      </c>
      <c r="D341" s="3">
        <v>179396</v>
      </c>
      <c r="E341" s="3" t="s">
        <v>642</v>
      </c>
      <c r="F341" s="9">
        <v>0</v>
      </c>
      <c r="G341" s="9">
        <f>IFERROR(VLOOKUP(F341,Sheet1!$B$15:$D$38,3,1),0)</f>
        <v>0</v>
      </c>
      <c r="H341" s="38">
        <f t="shared" si="31"/>
        <v>7.5</v>
      </c>
      <c r="I341" s="38">
        <f t="shared" si="32"/>
        <v>12.5</v>
      </c>
      <c r="J341" s="38">
        <f t="shared" si="33"/>
        <v>20</v>
      </c>
      <c r="K341" s="38">
        <f t="shared" si="34"/>
        <v>30</v>
      </c>
      <c r="L341" s="38">
        <f t="shared" si="35"/>
        <v>50</v>
      </c>
      <c r="M341" s="3" t="s">
        <v>594</v>
      </c>
      <c r="N341" s="3" t="s">
        <v>594</v>
      </c>
      <c r="O341" s="3" t="s">
        <v>432</v>
      </c>
      <c r="P341" s="4">
        <v>44546</v>
      </c>
    </row>
    <row r="342" spans="1:16" x14ac:dyDescent="0.2">
      <c r="A342" s="3" t="str">
        <f t="shared" si="30"/>
        <v>806289179796</v>
      </c>
      <c r="B342" s="16">
        <v>806289</v>
      </c>
      <c r="C342" s="16" t="s">
        <v>269</v>
      </c>
      <c r="D342" s="1">
        <v>179796</v>
      </c>
      <c r="E342" s="3" t="s">
        <v>268</v>
      </c>
      <c r="F342" s="9">
        <v>10</v>
      </c>
      <c r="G342" s="9">
        <f>IFERROR(VLOOKUP(F342,Sheet1!$B$15:$D$38,3,1),0)</f>
        <v>10</v>
      </c>
      <c r="H342" s="38">
        <f t="shared" si="31"/>
        <v>-2.5</v>
      </c>
      <c r="I342" s="38">
        <f t="shared" si="32"/>
        <v>2.5</v>
      </c>
      <c r="J342" s="38">
        <f t="shared" si="33"/>
        <v>10</v>
      </c>
      <c r="K342" s="38">
        <f t="shared" si="34"/>
        <v>20</v>
      </c>
      <c r="L342" s="38">
        <f t="shared" si="35"/>
        <v>40</v>
      </c>
      <c r="M342" s="3" t="s">
        <v>594</v>
      </c>
      <c r="N342" s="3" t="s">
        <v>594</v>
      </c>
      <c r="O342" s="3" t="s">
        <v>432</v>
      </c>
      <c r="P342" s="4">
        <v>42852</v>
      </c>
    </row>
    <row r="343" spans="1:16" x14ac:dyDescent="0.2">
      <c r="A343" s="3" t="str">
        <f t="shared" si="30"/>
        <v>810852179911</v>
      </c>
      <c r="B343" s="16">
        <v>810852</v>
      </c>
      <c r="C343" s="16" t="s">
        <v>296</v>
      </c>
      <c r="D343" s="1">
        <v>179911</v>
      </c>
      <c r="E343" s="3" t="s">
        <v>259</v>
      </c>
      <c r="F343" s="9">
        <v>0</v>
      </c>
      <c r="G343" s="9">
        <f>IFERROR(VLOOKUP(F343,Sheet1!$B$15:$D$38,3,1),0)</f>
        <v>0</v>
      </c>
      <c r="H343" s="38">
        <f t="shared" si="31"/>
        <v>7.5</v>
      </c>
      <c r="I343" s="38">
        <f t="shared" si="32"/>
        <v>12.5</v>
      </c>
      <c r="J343" s="38">
        <f t="shared" si="33"/>
        <v>20</v>
      </c>
      <c r="K343" s="38">
        <f t="shared" si="34"/>
        <v>30</v>
      </c>
      <c r="L343" s="38">
        <f t="shared" si="35"/>
        <v>50</v>
      </c>
      <c r="M343" s="3" t="s">
        <v>594</v>
      </c>
      <c r="N343" s="3" t="s">
        <v>594</v>
      </c>
      <c r="O343" s="3" t="s">
        <v>432</v>
      </c>
      <c r="P343" s="4">
        <v>43796</v>
      </c>
    </row>
    <row r="344" spans="1:16" x14ac:dyDescent="0.2">
      <c r="A344" s="3" t="str">
        <f t="shared" si="30"/>
        <v>817386179911</v>
      </c>
      <c r="B344" s="16">
        <v>817386</v>
      </c>
      <c r="C344" s="16" t="s">
        <v>620</v>
      </c>
      <c r="D344" s="3">
        <v>179911</v>
      </c>
      <c r="E344" s="3" t="s">
        <v>259</v>
      </c>
      <c r="F344" s="9">
        <v>0</v>
      </c>
      <c r="G344" s="9">
        <f>IFERROR(VLOOKUP(F344,Sheet1!$B$15:$D$38,3,1),0)</f>
        <v>0</v>
      </c>
      <c r="H344" s="38">
        <f t="shared" si="31"/>
        <v>7.5</v>
      </c>
      <c r="I344" s="38">
        <f t="shared" si="32"/>
        <v>12.5</v>
      </c>
      <c r="J344" s="38">
        <f t="shared" si="33"/>
        <v>20</v>
      </c>
      <c r="K344" s="38">
        <f t="shared" si="34"/>
        <v>30</v>
      </c>
      <c r="L344" s="38">
        <f t="shared" si="35"/>
        <v>50</v>
      </c>
      <c r="M344" s="3" t="s">
        <v>594</v>
      </c>
      <c r="N344" s="3" t="s">
        <v>594</v>
      </c>
      <c r="O344" s="3" t="s">
        <v>432</v>
      </c>
      <c r="P344" s="4">
        <v>44550</v>
      </c>
    </row>
    <row r="345" spans="1:16" x14ac:dyDescent="0.2">
      <c r="A345" s="3" t="str">
        <f t="shared" si="30"/>
        <v>807244201172</v>
      </c>
      <c r="B345" s="16">
        <v>807244</v>
      </c>
      <c r="C345" s="16" t="s">
        <v>247</v>
      </c>
      <c r="D345" s="1">
        <v>201172</v>
      </c>
      <c r="E345" s="3" t="s">
        <v>246</v>
      </c>
      <c r="F345" s="9">
        <v>0</v>
      </c>
      <c r="G345" s="9">
        <f>IFERROR(VLOOKUP(F345,Sheet1!$B$15:$D$38,3,1),0)</f>
        <v>0</v>
      </c>
      <c r="H345" s="38">
        <f t="shared" si="31"/>
        <v>7.5</v>
      </c>
      <c r="I345" s="38">
        <f t="shared" si="32"/>
        <v>12.5</v>
      </c>
      <c r="J345" s="38">
        <f t="shared" si="33"/>
        <v>20</v>
      </c>
      <c r="K345" s="38">
        <f t="shared" si="34"/>
        <v>30</v>
      </c>
      <c r="L345" s="38">
        <f t="shared" si="35"/>
        <v>50</v>
      </c>
      <c r="M345" s="3" t="s">
        <v>594</v>
      </c>
      <c r="N345" s="3" t="s">
        <v>594</v>
      </c>
      <c r="O345" s="3" t="s">
        <v>432</v>
      </c>
      <c r="P345" s="4">
        <v>43054</v>
      </c>
    </row>
    <row r="346" spans="1:16" x14ac:dyDescent="0.2">
      <c r="A346" s="3" t="str">
        <f t="shared" si="30"/>
        <v>807416201172</v>
      </c>
      <c r="B346" s="16">
        <v>807416</v>
      </c>
      <c r="C346" s="16" t="s">
        <v>334</v>
      </c>
      <c r="D346" s="3">
        <v>201172</v>
      </c>
      <c r="E346" s="3" t="s">
        <v>246</v>
      </c>
      <c r="F346" s="9">
        <v>0</v>
      </c>
      <c r="G346" s="9">
        <f>IFERROR(VLOOKUP(F346,Sheet1!$B$15:$D$38,3,1),0)</f>
        <v>0</v>
      </c>
      <c r="H346" s="38">
        <f t="shared" si="31"/>
        <v>7.5</v>
      </c>
      <c r="I346" s="38">
        <f t="shared" si="32"/>
        <v>12.5</v>
      </c>
      <c r="J346" s="38">
        <f t="shared" si="33"/>
        <v>20</v>
      </c>
      <c r="K346" s="38">
        <f t="shared" si="34"/>
        <v>30</v>
      </c>
      <c r="L346" s="38">
        <f t="shared" si="35"/>
        <v>50</v>
      </c>
      <c r="M346" s="3" t="s">
        <v>594</v>
      </c>
      <c r="N346" s="3" t="s">
        <v>594</v>
      </c>
      <c r="O346" s="3" t="s">
        <v>432</v>
      </c>
      <c r="P346" s="4">
        <v>43458</v>
      </c>
    </row>
    <row r="347" spans="1:16" x14ac:dyDescent="0.2">
      <c r="A347" s="3" t="str">
        <f t="shared" si="30"/>
        <v>807576201172</v>
      </c>
      <c r="B347" s="16">
        <v>807576</v>
      </c>
      <c r="C347" s="16" t="s">
        <v>275</v>
      </c>
      <c r="D347" s="1">
        <v>201172</v>
      </c>
      <c r="E347" s="3" t="s">
        <v>246</v>
      </c>
      <c r="F347" s="9">
        <v>17.5</v>
      </c>
      <c r="G347" s="9">
        <f>IFERROR(VLOOKUP(F347,Sheet1!$B$15:$D$38,3,1),0)</f>
        <v>20</v>
      </c>
      <c r="H347" s="38">
        <f t="shared" si="31"/>
        <v>-10</v>
      </c>
      <c r="I347" s="38">
        <f t="shared" si="32"/>
        <v>-5</v>
      </c>
      <c r="J347" s="38">
        <f t="shared" si="33"/>
        <v>2.5</v>
      </c>
      <c r="K347" s="38">
        <f t="shared" si="34"/>
        <v>12.5</v>
      </c>
      <c r="L347" s="38">
        <f t="shared" si="35"/>
        <v>32.5</v>
      </c>
      <c r="M347" s="3" t="s">
        <v>594</v>
      </c>
      <c r="N347" s="3" t="s">
        <v>594</v>
      </c>
      <c r="O347" s="3" t="s">
        <v>432</v>
      </c>
      <c r="P347" s="4">
        <v>43064</v>
      </c>
    </row>
    <row r="348" spans="1:16" x14ac:dyDescent="0.2">
      <c r="A348" s="3" t="str">
        <f t="shared" si="30"/>
        <v>808730201172</v>
      </c>
      <c r="B348" s="16">
        <v>808730</v>
      </c>
      <c r="C348" s="16" t="s">
        <v>295</v>
      </c>
      <c r="D348" s="1">
        <v>201172</v>
      </c>
      <c r="E348" s="3" t="s">
        <v>246</v>
      </c>
      <c r="F348" s="9">
        <v>15</v>
      </c>
      <c r="G348" s="9">
        <f>IFERROR(VLOOKUP(F348,Sheet1!$B$15:$D$38,3,1),0)</f>
        <v>20</v>
      </c>
      <c r="H348" s="38">
        <f t="shared" si="31"/>
        <v>-7.5</v>
      </c>
      <c r="I348" s="38">
        <f t="shared" si="32"/>
        <v>-2.5</v>
      </c>
      <c r="J348" s="38">
        <f t="shared" si="33"/>
        <v>5</v>
      </c>
      <c r="K348" s="38">
        <f t="shared" si="34"/>
        <v>15</v>
      </c>
      <c r="L348" s="38">
        <f t="shared" si="35"/>
        <v>35</v>
      </c>
      <c r="M348" s="3" t="s">
        <v>594</v>
      </c>
      <c r="N348" s="3" t="s">
        <v>594</v>
      </c>
      <c r="O348" s="3" t="s">
        <v>432</v>
      </c>
      <c r="P348" s="4">
        <v>43315</v>
      </c>
    </row>
    <row r="349" spans="1:16" x14ac:dyDescent="0.2">
      <c r="A349" s="3" t="str">
        <f t="shared" si="30"/>
        <v>813820201172</v>
      </c>
      <c r="B349" s="16">
        <v>813820</v>
      </c>
      <c r="C349" s="16" t="s">
        <v>293</v>
      </c>
      <c r="D349" s="1">
        <v>201172</v>
      </c>
      <c r="E349" s="3" t="s">
        <v>246</v>
      </c>
      <c r="F349" s="9">
        <v>0</v>
      </c>
      <c r="G349" s="9">
        <f>IFERROR(VLOOKUP(F349,Sheet1!$B$15:$D$38,3,1),0)</f>
        <v>0</v>
      </c>
      <c r="H349" s="38">
        <f t="shared" si="31"/>
        <v>7.5</v>
      </c>
      <c r="I349" s="38">
        <f t="shared" si="32"/>
        <v>12.5</v>
      </c>
      <c r="J349" s="38">
        <f t="shared" si="33"/>
        <v>20</v>
      </c>
      <c r="K349" s="38">
        <f t="shared" si="34"/>
        <v>30</v>
      </c>
      <c r="L349" s="38">
        <f t="shared" si="35"/>
        <v>50</v>
      </c>
      <c r="M349" s="3" t="s">
        <v>594</v>
      </c>
      <c r="N349" s="3" t="s">
        <v>594</v>
      </c>
      <c r="O349" s="3" t="s">
        <v>432</v>
      </c>
      <c r="P349" s="4">
        <v>44177</v>
      </c>
    </row>
    <row r="350" spans="1:16" x14ac:dyDescent="0.2">
      <c r="A350" s="3" t="str">
        <f t="shared" si="30"/>
        <v>816253201172</v>
      </c>
      <c r="B350" s="16">
        <v>816253</v>
      </c>
      <c r="C350" s="16" t="s">
        <v>547</v>
      </c>
      <c r="D350" s="3">
        <v>201172</v>
      </c>
      <c r="E350" s="3" t="s">
        <v>246</v>
      </c>
      <c r="F350" s="9">
        <v>0</v>
      </c>
      <c r="G350" s="9">
        <f>IFERROR(VLOOKUP(F350,Sheet1!$B$15:$D$38,3,1),0)</f>
        <v>0</v>
      </c>
      <c r="H350" s="38">
        <f t="shared" si="31"/>
        <v>7.5</v>
      </c>
      <c r="I350" s="38">
        <f t="shared" si="32"/>
        <v>12.5</v>
      </c>
      <c r="J350" s="38">
        <f t="shared" si="33"/>
        <v>20</v>
      </c>
      <c r="K350" s="38">
        <f t="shared" si="34"/>
        <v>30</v>
      </c>
      <c r="L350" s="38">
        <f t="shared" si="35"/>
        <v>50</v>
      </c>
      <c r="M350" s="3" t="s">
        <v>594</v>
      </c>
      <c r="N350" s="3" t="s">
        <v>594</v>
      </c>
      <c r="O350" s="3" t="s">
        <v>432</v>
      </c>
      <c r="P350" s="4">
        <v>44442</v>
      </c>
    </row>
    <row r="351" spans="1:16" x14ac:dyDescent="0.2">
      <c r="A351" s="3" t="str">
        <f t="shared" si="30"/>
        <v>813327204307</v>
      </c>
      <c r="B351" s="16">
        <v>813327</v>
      </c>
      <c r="C351" s="16" t="s">
        <v>266</v>
      </c>
      <c r="D351" s="1">
        <v>204307</v>
      </c>
      <c r="E351" s="3" t="s">
        <v>265</v>
      </c>
      <c r="F351" s="9">
        <v>12.5</v>
      </c>
      <c r="G351" s="9">
        <f>IFERROR(VLOOKUP(F351,Sheet1!$B$15:$D$38,3,1),0)</f>
        <v>20</v>
      </c>
      <c r="H351" s="38">
        <f t="shared" si="31"/>
        <v>-5</v>
      </c>
      <c r="I351" s="38">
        <f t="shared" si="32"/>
        <v>0</v>
      </c>
      <c r="J351" s="38">
        <f t="shared" si="33"/>
        <v>7.5</v>
      </c>
      <c r="K351" s="38">
        <f t="shared" si="34"/>
        <v>17.5</v>
      </c>
      <c r="L351" s="38">
        <f t="shared" si="35"/>
        <v>37.5</v>
      </c>
      <c r="M351" s="3" t="s">
        <v>594</v>
      </c>
      <c r="N351" s="3" t="s">
        <v>594</v>
      </c>
      <c r="O351" s="3" t="s">
        <v>432</v>
      </c>
      <c r="P351" s="4">
        <v>44124</v>
      </c>
    </row>
    <row r="352" spans="1:16" x14ac:dyDescent="0.2">
      <c r="A352" s="3" t="str">
        <f t="shared" si="30"/>
        <v>815401204307</v>
      </c>
      <c r="B352" s="16">
        <v>815401</v>
      </c>
      <c r="C352" s="16" t="s">
        <v>470</v>
      </c>
      <c r="D352" s="3">
        <v>204307</v>
      </c>
      <c r="E352" s="3" t="s">
        <v>265</v>
      </c>
      <c r="F352" s="9">
        <v>0</v>
      </c>
      <c r="G352" s="9">
        <f>IFERROR(VLOOKUP(F352,Sheet1!$B$15:$D$38,3,1),0)</f>
        <v>0</v>
      </c>
      <c r="H352" s="38">
        <f t="shared" si="31"/>
        <v>7.5</v>
      </c>
      <c r="I352" s="38">
        <f t="shared" si="32"/>
        <v>12.5</v>
      </c>
      <c r="J352" s="38">
        <f t="shared" si="33"/>
        <v>20</v>
      </c>
      <c r="K352" s="38">
        <f t="shared" si="34"/>
        <v>30</v>
      </c>
      <c r="L352" s="38">
        <f t="shared" si="35"/>
        <v>50</v>
      </c>
      <c r="M352" s="3" t="s">
        <v>594</v>
      </c>
      <c r="N352" s="3" t="s">
        <v>594</v>
      </c>
      <c r="O352" s="3" t="s">
        <v>432</v>
      </c>
      <c r="P352" s="4">
        <v>44382</v>
      </c>
    </row>
    <row r="353" spans="1:16" x14ac:dyDescent="0.2">
      <c r="A353" s="3" t="str">
        <f t="shared" si="30"/>
        <v>816529204307</v>
      </c>
      <c r="B353" s="16">
        <v>816529</v>
      </c>
      <c r="C353" s="16" t="s">
        <v>596</v>
      </c>
      <c r="D353" s="3">
        <v>204307</v>
      </c>
      <c r="E353" s="3" t="s">
        <v>265</v>
      </c>
      <c r="F353" s="9">
        <v>0</v>
      </c>
      <c r="G353" s="9">
        <f>IFERROR(VLOOKUP(F353,Sheet1!$B$15:$D$38,3,1),0)</f>
        <v>0</v>
      </c>
      <c r="H353" s="38">
        <f t="shared" si="31"/>
        <v>7.5</v>
      </c>
      <c r="I353" s="38">
        <f t="shared" si="32"/>
        <v>12.5</v>
      </c>
      <c r="J353" s="38">
        <f t="shared" si="33"/>
        <v>20</v>
      </c>
      <c r="K353" s="38">
        <f t="shared" si="34"/>
        <v>30</v>
      </c>
      <c r="L353" s="38">
        <f t="shared" si="35"/>
        <v>50</v>
      </c>
      <c r="M353" s="3" t="s">
        <v>594</v>
      </c>
      <c r="N353" s="3" t="s">
        <v>594</v>
      </c>
      <c r="O353" s="3" t="s">
        <v>432</v>
      </c>
      <c r="P353" s="4">
        <v>44466</v>
      </c>
    </row>
    <row r="354" spans="1:16" x14ac:dyDescent="0.2">
      <c r="A354" s="3" t="str">
        <f t="shared" si="30"/>
        <v>816905204307</v>
      </c>
      <c r="B354" s="16">
        <v>816905</v>
      </c>
      <c r="C354" s="16" t="s">
        <v>586</v>
      </c>
      <c r="D354" s="3">
        <v>204307</v>
      </c>
      <c r="E354" s="3" t="s">
        <v>265</v>
      </c>
      <c r="F354" s="9">
        <v>0</v>
      </c>
      <c r="G354" s="9">
        <f>IFERROR(VLOOKUP(F354,Sheet1!$B$15:$D$38,3,1),0)</f>
        <v>0</v>
      </c>
      <c r="H354" s="38">
        <f t="shared" si="31"/>
        <v>7.5</v>
      </c>
      <c r="I354" s="38">
        <f t="shared" si="32"/>
        <v>12.5</v>
      </c>
      <c r="J354" s="38">
        <f t="shared" si="33"/>
        <v>20</v>
      </c>
      <c r="K354" s="38">
        <f t="shared" si="34"/>
        <v>30</v>
      </c>
      <c r="L354" s="38">
        <f t="shared" si="35"/>
        <v>50</v>
      </c>
      <c r="M354" s="3" t="s">
        <v>594</v>
      </c>
      <c r="N354" s="3" t="s">
        <v>594</v>
      </c>
      <c r="O354" s="3" t="s">
        <v>432</v>
      </c>
      <c r="P354" s="4">
        <v>44499</v>
      </c>
    </row>
    <row r="355" spans="1:16" x14ac:dyDescent="0.2">
      <c r="A355" s="3" t="str">
        <f t="shared" si="30"/>
        <v>813897205225</v>
      </c>
      <c r="B355" s="16">
        <v>813897</v>
      </c>
      <c r="C355" s="16" t="s">
        <v>78</v>
      </c>
      <c r="D355" s="1">
        <v>205225</v>
      </c>
      <c r="E355" s="3" t="s">
        <v>59</v>
      </c>
      <c r="F355" s="9">
        <v>0</v>
      </c>
      <c r="G355" s="9">
        <f>IFERROR(VLOOKUP(F355,Sheet1!$B$15:$D$38,3,1),0)</f>
        <v>0</v>
      </c>
      <c r="H355" s="38">
        <f t="shared" si="31"/>
        <v>7.5</v>
      </c>
      <c r="I355" s="38">
        <f t="shared" si="32"/>
        <v>12.5</v>
      </c>
      <c r="J355" s="38">
        <f t="shared" si="33"/>
        <v>20</v>
      </c>
      <c r="K355" s="38">
        <f t="shared" si="34"/>
        <v>30</v>
      </c>
      <c r="L355" s="38">
        <f t="shared" si="35"/>
        <v>50</v>
      </c>
      <c r="M355" s="3" t="s">
        <v>594</v>
      </c>
      <c r="N355" s="3" t="s">
        <v>594</v>
      </c>
      <c r="O355" s="3" t="s">
        <v>432</v>
      </c>
      <c r="P355" s="4">
        <v>44184</v>
      </c>
    </row>
    <row r="356" spans="1:16" x14ac:dyDescent="0.2">
      <c r="A356" s="3" t="str">
        <f t="shared" si="30"/>
        <v>815393205225</v>
      </c>
      <c r="B356" s="16">
        <v>815393</v>
      </c>
      <c r="C356" s="16" t="s">
        <v>491</v>
      </c>
      <c r="D356" s="3">
        <v>205225</v>
      </c>
      <c r="E356" s="3" t="s">
        <v>59</v>
      </c>
      <c r="F356" s="9">
        <v>12.5</v>
      </c>
      <c r="G356" s="9">
        <f>IFERROR(VLOOKUP(F356,Sheet1!$B$15:$D$38,3,1),0)</f>
        <v>20</v>
      </c>
      <c r="H356" s="38">
        <f t="shared" si="31"/>
        <v>-5</v>
      </c>
      <c r="I356" s="38">
        <f t="shared" si="32"/>
        <v>0</v>
      </c>
      <c r="J356" s="38">
        <f t="shared" si="33"/>
        <v>7.5</v>
      </c>
      <c r="K356" s="38">
        <f t="shared" si="34"/>
        <v>17.5</v>
      </c>
      <c r="L356" s="38">
        <f t="shared" si="35"/>
        <v>37.5</v>
      </c>
      <c r="M356" s="3" t="s">
        <v>594</v>
      </c>
      <c r="N356" s="3" t="s">
        <v>594</v>
      </c>
      <c r="O356" s="3" t="s">
        <v>432</v>
      </c>
      <c r="P356" s="4">
        <v>44380</v>
      </c>
    </row>
    <row r="357" spans="1:16" x14ac:dyDescent="0.2">
      <c r="A357" s="3" t="str">
        <f t="shared" si="30"/>
        <v>817136205225</v>
      </c>
      <c r="B357" s="16">
        <v>817136</v>
      </c>
      <c r="C357" s="16" t="s">
        <v>602</v>
      </c>
      <c r="D357" s="3">
        <v>205225</v>
      </c>
      <c r="E357" s="3" t="s">
        <v>59</v>
      </c>
      <c r="F357" s="9">
        <v>42.5</v>
      </c>
      <c r="G357" s="9">
        <f>IFERROR(VLOOKUP(F357,Sheet1!$B$15:$D$38,3,1),0)</f>
        <v>80</v>
      </c>
      <c r="H357" s="38">
        <f t="shared" si="31"/>
        <v>-35</v>
      </c>
      <c r="I357" s="38">
        <f t="shared" si="32"/>
        <v>-30</v>
      </c>
      <c r="J357" s="38">
        <f t="shared" si="33"/>
        <v>-22.5</v>
      </c>
      <c r="K357" s="38">
        <f t="shared" si="34"/>
        <v>-12.5</v>
      </c>
      <c r="L357" s="38">
        <f t="shared" si="35"/>
        <v>7.5</v>
      </c>
      <c r="M357" s="3" t="s">
        <v>594</v>
      </c>
      <c r="N357" s="3" t="s">
        <v>594</v>
      </c>
      <c r="O357" s="3" t="s">
        <v>432</v>
      </c>
      <c r="P357" s="4">
        <v>44526</v>
      </c>
    </row>
    <row r="358" spans="1:16" x14ac:dyDescent="0.2">
      <c r="A358" s="3" t="str">
        <f t="shared" si="30"/>
        <v>814050206049</v>
      </c>
      <c r="B358" s="16">
        <v>814050</v>
      </c>
      <c r="C358" s="16" t="s">
        <v>327</v>
      </c>
      <c r="D358" s="1">
        <v>206049</v>
      </c>
      <c r="E358" s="3" t="s">
        <v>302</v>
      </c>
      <c r="F358" s="9">
        <v>25.75</v>
      </c>
      <c r="G358" s="9">
        <f>IFERROR(VLOOKUP(F358,Sheet1!$B$15:$D$38,3,1),0)</f>
        <v>40</v>
      </c>
      <c r="H358" s="38">
        <f t="shared" si="31"/>
        <v>-18.25</v>
      </c>
      <c r="I358" s="38">
        <f t="shared" si="32"/>
        <v>-13.25</v>
      </c>
      <c r="J358" s="38">
        <f t="shared" si="33"/>
        <v>-5.75</v>
      </c>
      <c r="K358" s="38">
        <f t="shared" si="34"/>
        <v>4.25</v>
      </c>
      <c r="L358" s="38">
        <f t="shared" si="35"/>
        <v>24.25</v>
      </c>
      <c r="M358" s="3" t="s">
        <v>594</v>
      </c>
      <c r="N358" s="3" t="s">
        <v>594</v>
      </c>
      <c r="O358" s="3" t="s">
        <v>432</v>
      </c>
      <c r="P358" s="4">
        <v>44196</v>
      </c>
    </row>
    <row r="359" spans="1:16" x14ac:dyDescent="0.2">
      <c r="A359" s="3" t="str">
        <f t="shared" si="30"/>
        <v>815594206049</v>
      </c>
      <c r="B359" s="16">
        <v>815594</v>
      </c>
      <c r="C359" s="16" t="s">
        <v>493</v>
      </c>
      <c r="D359" s="3">
        <v>206049</v>
      </c>
      <c r="E359" s="3" t="s">
        <v>302</v>
      </c>
      <c r="F359" s="9">
        <v>0</v>
      </c>
      <c r="G359" s="9">
        <f>IFERROR(VLOOKUP(F359,Sheet1!$B$15:$D$38,3,1),0)</f>
        <v>0</v>
      </c>
      <c r="H359" s="38">
        <f t="shared" si="31"/>
        <v>7.5</v>
      </c>
      <c r="I359" s="38">
        <f t="shared" si="32"/>
        <v>12.5</v>
      </c>
      <c r="J359" s="38">
        <f t="shared" si="33"/>
        <v>20</v>
      </c>
      <c r="K359" s="38">
        <f t="shared" si="34"/>
        <v>30</v>
      </c>
      <c r="L359" s="38">
        <f t="shared" si="35"/>
        <v>50</v>
      </c>
      <c r="M359" s="3" t="s">
        <v>594</v>
      </c>
      <c r="N359" s="3" t="s">
        <v>594</v>
      </c>
      <c r="O359" s="3" t="s">
        <v>432</v>
      </c>
      <c r="P359" s="4">
        <v>44399</v>
      </c>
    </row>
    <row r="360" spans="1:16" x14ac:dyDescent="0.2">
      <c r="A360" s="3" t="str">
        <f t="shared" si="30"/>
        <v>816116206049</v>
      </c>
      <c r="B360" s="16">
        <v>816116</v>
      </c>
      <c r="C360" s="16" t="s">
        <v>530</v>
      </c>
      <c r="D360" s="3">
        <v>206049</v>
      </c>
      <c r="E360" s="3" t="s">
        <v>302</v>
      </c>
      <c r="F360" s="9">
        <v>0</v>
      </c>
      <c r="G360" s="9">
        <f>IFERROR(VLOOKUP(F360,Sheet1!$B$15:$D$38,3,1),0)</f>
        <v>0</v>
      </c>
      <c r="H360" s="38">
        <f t="shared" si="31"/>
        <v>7.5</v>
      </c>
      <c r="I360" s="38">
        <f t="shared" si="32"/>
        <v>12.5</v>
      </c>
      <c r="J360" s="38">
        <f t="shared" si="33"/>
        <v>20</v>
      </c>
      <c r="K360" s="38">
        <f t="shared" si="34"/>
        <v>30</v>
      </c>
      <c r="L360" s="38">
        <f t="shared" si="35"/>
        <v>50</v>
      </c>
      <c r="M360" s="3" t="s">
        <v>594</v>
      </c>
      <c r="N360" s="3" t="s">
        <v>594</v>
      </c>
      <c r="O360" s="4" t="s">
        <v>432</v>
      </c>
      <c r="P360" s="4">
        <v>44433</v>
      </c>
    </row>
    <row r="361" spans="1:16" x14ac:dyDescent="0.2">
      <c r="A361" s="3" t="str">
        <f t="shared" si="30"/>
        <v>817032206049</v>
      </c>
      <c r="B361" s="16">
        <v>817032</v>
      </c>
      <c r="C361" s="16" t="s">
        <v>592</v>
      </c>
      <c r="D361" s="3">
        <v>206049</v>
      </c>
      <c r="E361" s="3" t="s">
        <v>302</v>
      </c>
      <c r="F361" s="9">
        <v>0</v>
      </c>
      <c r="G361" s="9">
        <f>IFERROR(VLOOKUP(F361,Sheet1!$B$15:$D$38,3,1),0)</f>
        <v>0</v>
      </c>
      <c r="H361" s="38">
        <f t="shared" si="31"/>
        <v>7.5</v>
      </c>
      <c r="I361" s="38">
        <f t="shared" si="32"/>
        <v>12.5</v>
      </c>
      <c r="J361" s="38">
        <f t="shared" si="33"/>
        <v>20</v>
      </c>
      <c r="K361" s="38">
        <f t="shared" si="34"/>
        <v>30</v>
      </c>
      <c r="L361" s="38">
        <f t="shared" si="35"/>
        <v>50</v>
      </c>
      <c r="M361" s="3" t="s">
        <v>594</v>
      </c>
      <c r="N361" s="3" t="s">
        <v>594</v>
      </c>
      <c r="O361" s="3" t="s">
        <v>432</v>
      </c>
      <c r="P361" s="4">
        <v>44516</v>
      </c>
    </row>
    <row r="362" spans="1:16" x14ac:dyDescent="0.2">
      <c r="A362" s="3" t="str">
        <f t="shared" si="30"/>
        <v>817052206049</v>
      </c>
      <c r="B362" s="16">
        <v>817052</v>
      </c>
      <c r="C362" s="16" t="s">
        <v>600</v>
      </c>
      <c r="D362" s="3">
        <v>206049</v>
      </c>
      <c r="E362" s="3" t="s">
        <v>302</v>
      </c>
      <c r="F362" s="9">
        <v>0</v>
      </c>
      <c r="G362" s="9">
        <f>IFERROR(VLOOKUP(F362,Sheet1!$B$15:$D$38,3,1),0)</f>
        <v>0</v>
      </c>
      <c r="H362" s="38">
        <f t="shared" si="31"/>
        <v>7.5</v>
      </c>
      <c r="I362" s="38">
        <f t="shared" si="32"/>
        <v>12.5</v>
      </c>
      <c r="J362" s="38">
        <f t="shared" si="33"/>
        <v>20</v>
      </c>
      <c r="K362" s="38">
        <f t="shared" si="34"/>
        <v>30</v>
      </c>
      <c r="L362" s="38">
        <f t="shared" si="35"/>
        <v>50</v>
      </c>
      <c r="M362" s="3" t="s">
        <v>594</v>
      </c>
      <c r="N362" s="3" t="s">
        <v>594</v>
      </c>
      <c r="O362" s="3" t="s">
        <v>432</v>
      </c>
      <c r="P362" s="4">
        <v>44518</v>
      </c>
    </row>
    <row r="363" spans="1:16" x14ac:dyDescent="0.2">
      <c r="A363" s="3" t="str">
        <f t="shared" si="30"/>
        <v>817127206049</v>
      </c>
      <c r="B363" s="16">
        <v>817127</v>
      </c>
      <c r="C363" s="16" t="s">
        <v>636</v>
      </c>
      <c r="D363" s="3">
        <v>206049</v>
      </c>
      <c r="E363" s="3" t="s">
        <v>302</v>
      </c>
      <c r="F363" s="9">
        <v>0</v>
      </c>
      <c r="G363" s="9">
        <f>IFERROR(VLOOKUP(F363,Sheet1!$B$15:$D$38,3,1),0)</f>
        <v>0</v>
      </c>
      <c r="H363" s="38">
        <f t="shared" si="31"/>
        <v>7.5</v>
      </c>
      <c r="I363" s="38">
        <f t="shared" si="32"/>
        <v>12.5</v>
      </c>
      <c r="J363" s="38">
        <f t="shared" si="33"/>
        <v>20</v>
      </c>
      <c r="K363" s="38">
        <f t="shared" si="34"/>
        <v>30</v>
      </c>
      <c r="L363" s="38">
        <f t="shared" si="35"/>
        <v>50</v>
      </c>
      <c r="M363" s="3" t="s">
        <v>594</v>
      </c>
      <c r="N363" s="3" t="s">
        <v>594</v>
      </c>
      <c r="O363" s="3" t="s">
        <v>432</v>
      </c>
      <c r="P363" s="4">
        <v>44525</v>
      </c>
    </row>
    <row r="364" spans="1:16" x14ac:dyDescent="0.2">
      <c r="A364" s="3" t="str">
        <f t="shared" si="30"/>
        <v>814935206807</v>
      </c>
      <c r="B364" s="16">
        <v>814935</v>
      </c>
      <c r="C364" s="16" t="s">
        <v>355</v>
      </c>
      <c r="D364" s="3">
        <v>206807</v>
      </c>
      <c r="E364" s="3" t="s">
        <v>546</v>
      </c>
      <c r="F364" s="9">
        <v>0</v>
      </c>
      <c r="G364" s="9">
        <f>IFERROR(VLOOKUP(F364,Sheet1!$B$15:$D$38,3,1),0)</f>
        <v>0</v>
      </c>
      <c r="H364" s="38">
        <f t="shared" si="31"/>
        <v>7.5</v>
      </c>
      <c r="I364" s="38">
        <f t="shared" si="32"/>
        <v>12.5</v>
      </c>
      <c r="J364" s="38">
        <f t="shared" si="33"/>
        <v>20</v>
      </c>
      <c r="K364" s="38">
        <f t="shared" si="34"/>
        <v>30</v>
      </c>
      <c r="L364" s="38">
        <f t="shared" si="35"/>
        <v>50</v>
      </c>
      <c r="M364" s="3" t="s">
        <v>594</v>
      </c>
      <c r="N364" s="3" t="s">
        <v>594</v>
      </c>
      <c r="O364" s="3" t="s">
        <v>432</v>
      </c>
      <c r="P364" s="4">
        <v>44298</v>
      </c>
    </row>
    <row r="365" spans="1:16" x14ac:dyDescent="0.2">
      <c r="A365" s="3" t="str">
        <f t="shared" si="30"/>
        <v>814602206933</v>
      </c>
      <c r="B365" s="16">
        <v>814602</v>
      </c>
      <c r="C365" s="16" t="s">
        <v>284</v>
      </c>
      <c r="D365" s="1">
        <v>206933</v>
      </c>
      <c r="E365" s="3" t="s">
        <v>283</v>
      </c>
      <c r="F365" s="9">
        <v>0</v>
      </c>
      <c r="G365" s="9">
        <f>IFERROR(VLOOKUP(F365,Sheet1!$B$15:$D$38,3,1),0)</f>
        <v>0</v>
      </c>
      <c r="H365" s="38">
        <f t="shared" si="31"/>
        <v>7.5</v>
      </c>
      <c r="I365" s="38">
        <f t="shared" si="32"/>
        <v>12.5</v>
      </c>
      <c r="J365" s="38">
        <f t="shared" si="33"/>
        <v>20</v>
      </c>
      <c r="K365" s="38">
        <f t="shared" si="34"/>
        <v>30</v>
      </c>
      <c r="L365" s="38">
        <f t="shared" si="35"/>
        <v>50</v>
      </c>
      <c r="M365" s="3" t="s">
        <v>594</v>
      </c>
      <c r="N365" s="3" t="s">
        <v>594</v>
      </c>
      <c r="O365" s="3" t="s">
        <v>432</v>
      </c>
      <c r="P365" s="4">
        <v>44252</v>
      </c>
    </row>
    <row r="366" spans="1:16" x14ac:dyDescent="0.2">
      <c r="A366" s="3" t="str">
        <f t="shared" si="30"/>
        <v>815595208184</v>
      </c>
      <c r="B366" s="16">
        <v>815595</v>
      </c>
      <c r="C366" s="16" t="s">
        <v>469</v>
      </c>
      <c r="D366" s="3">
        <v>208184</v>
      </c>
      <c r="E366" s="3" t="s">
        <v>494</v>
      </c>
      <c r="F366" s="9">
        <v>0</v>
      </c>
      <c r="G366" s="9">
        <f>IFERROR(VLOOKUP(F366,Sheet1!$B$15:$D$38,3,1),0)</f>
        <v>0</v>
      </c>
      <c r="H366" s="38">
        <f t="shared" si="31"/>
        <v>7.5</v>
      </c>
      <c r="I366" s="38">
        <f t="shared" si="32"/>
        <v>12.5</v>
      </c>
      <c r="J366" s="38">
        <f t="shared" si="33"/>
        <v>20</v>
      </c>
      <c r="K366" s="38">
        <f t="shared" si="34"/>
        <v>30</v>
      </c>
      <c r="L366" s="38">
        <f t="shared" si="35"/>
        <v>50</v>
      </c>
      <c r="M366" s="3" t="s">
        <v>594</v>
      </c>
      <c r="N366" s="3" t="s">
        <v>594</v>
      </c>
      <c r="O366" s="3" t="s">
        <v>432</v>
      </c>
      <c r="P366" s="4">
        <v>44399</v>
      </c>
    </row>
    <row r="367" spans="1:16" x14ac:dyDescent="0.2">
      <c r="A367" s="3" t="str">
        <f t="shared" si="30"/>
        <v>805796208268</v>
      </c>
      <c r="B367" s="16">
        <v>805796</v>
      </c>
      <c r="C367" s="16" t="s">
        <v>561</v>
      </c>
      <c r="D367" s="3">
        <v>208268</v>
      </c>
      <c r="E367" s="3" t="s">
        <v>489</v>
      </c>
      <c r="F367" s="9">
        <v>0</v>
      </c>
      <c r="G367" s="9">
        <f>IFERROR(VLOOKUP(F367,Sheet1!$B$15:$D$38,3,1),0)</f>
        <v>0</v>
      </c>
      <c r="H367" s="38">
        <f t="shared" si="31"/>
        <v>7.5</v>
      </c>
      <c r="I367" s="38">
        <f t="shared" si="32"/>
        <v>12.5</v>
      </c>
      <c r="J367" s="38">
        <f t="shared" si="33"/>
        <v>20</v>
      </c>
      <c r="K367" s="38">
        <f t="shared" si="34"/>
        <v>30</v>
      </c>
      <c r="L367" s="38">
        <f t="shared" si="35"/>
        <v>50</v>
      </c>
      <c r="M367" s="3" t="s">
        <v>594</v>
      </c>
      <c r="N367" s="3" t="s">
        <v>594</v>
      </c>
      <c r="O367" s="3" t="s">
        <v>432</v>
      </c>
      <c r="P367" s="4">
        <v>42697</v>
      </c>
    </row>
    <row r="368" spans="1:16" x14ac:dyDescent="0.2">
      <c r="A368" s="3" t="str">
        <f t="shared" si="30"/>
        <v>815502208268</v>
      </c>
      <c r="B368" s="16">
        <v>815502</v>
      </c>
      <c r="C368" s="16" t="s">
        <v>488</v>
      </c>
      <c r="D368" s="3">
        <v>208268</v>
      </c>
      <c r="E368" s="3" t="s">
        <v>489</v>
      </c>
      <c r="F368" s="9">
        <v>52.75</v>
      </c>
      <c r="G368" s="9">
        <f>IFERROR(VLOOKUP(F368,Sheet1!$B$15:$D$38,3,1),0)</f>
        <v>160</v>
      </c>
      <c r="H368" s="38">
        <f t="shared" si="31"/>
        <v>-45.25</v>
      </c>
      <c r="I368" s="38">
        <f t="shared" si="32"/>
        <v>-40.25</v>
      </c>
      <c r="J368" s="38">
        <f t="shared" si="33"/>
        <v>-32.75</v>
      </c>
      <c r="K368" s="38">
        <f t="shared" si="34"/>
        <v>-22.75</v>
      </c>
      <c r="L368" s="38">
        <f t="shared" si="35"/>
        <v>-2.75</v>
      </c>
      <c r="M368" s="3" t="s">
        <v>594</v>
      </c>
      <c r="N368" s="3" t="s">
        <v>594</v>
      </c>
      <c r="O368" s="3" t="s">
        <v>432</v>
      </c>
      <c r="P368" s="4">
        <v>44390</v>
      </c>
    </row>
    <row r="369" spans="1:16" x14ac:dyDescent="0.2">
      <c r="A369" s="3" t="str">
        <f t="shared" si="30"/>
        <v>817053208268</v>
      </c>
      <c r="B369" s="16">
        <v>817053</v>
      </c>
      <c r="C369" s="16" t="s">
        <v>608</v>
      </c>
      <c r="D369" s="3">
        <v>208268</v>
      </c>
      <c r="E369" s="3" t="s">
        <v>489</v>
      </c>
      <c r="F369" s="9">
        <v>0</v>
      </c>
      <c r="G369" s="9">
        <f>IFERROR(VLOOKUP(F369,Sheet1!$B$15:$D$38,3,1),0)</f>
        <v>0</v>
      </c>
      <c r="H369" s="38">
        <f t="shared" si="31"/>
        <v>7.5</v>
      </c>
      <c r="I369" s="38">
        <f t="shared" si="32"/>
        <v>12.5</v>
      </c>
      <c r="J369" s="38">
        <f t="shared" si="33"/>
        <v>20</v>
      </c>
      <c r="K369" s="38">
        <f t="shared" si="34"/>
        <v>30</v>
      </c>
      <c r="L369" s="38">
        <f t="shared" si="35"/>
        <v>50</v>
      </c>
      <c r="M369" s="3" t="s">
        <v>594</v>
      </c>
      <c r="N369" s="3" t="s">
        <v>594</v>
      </c>
      <c r="O369" s="3" t="s">
        <v>432</v>
      </c>
      <c r="P369" s="4">
        <v>44518</v>
      </c>
    </row>
    <row r="370" spans="1:16" x14ac:dyDescent="0.2">
      <c r="A370" s="3" t="str">
        <f t="shared" si="30"/>
        <v>817543210123</v>
      </c>
      <c r="B370" s="16">
        <v>817543</v>
      </c>
      <c r="C370" s="16" t="s">
        <v>622</v>
      </c>
      <c r="D370" s="3">
        <v>210123</v>
      </c>
      <c r="E370" s="3" t="s">
        <v>145</v>
      </c>
      <c r="F370" s="9">
        <v>70</v>
      </c>
      <c r="G370" s="9">
        <f>IFERROR(VLOOKUP(F370,Sheet1!$B$15:$D$38,3,1),0)</f>
        <v>160</v>
      </c>
      <c r="H370" s="38">
        <f t="shared" si="31"/>
        <v>-62.5</v>
      </c>
      <c r="I370" s="38">
        <f t="shared" si="32"/>
        <v>-57.5</v>
      </c>
      <c r="J370" s="38">
        <f t="shared" si="33"/>
        <v>-50</v>
      </c>
      <c r="K370" s="38">
        <f t="shared" si="34"/>
        <v>-40</v>
      </c>
      <c r="L370" s="38">
        <f t="shared" si="35"/>
        <v>-20</v>
      </c>
      <c r="M370" s="3" t="s">
        <v>594</v>
      </c>
      <c r="N370" s="3" t="s">
        <v>594</v>
      </c>
      <c r="O370" s="3" t="s">
        <v>432</v>
      </c>
      <c r="P370" s="4">
        <v>44560</v>
      </c>
    </row>
    <row r="371" spans="1:16" x14ac:dyDescent="0.2">
      <c r="A371" s="3" t="str">
        <f t="shared" si="30"/>
        <v>811106178234</v>
      </c>
      <c r="B371" s="16">
        <v>811106</v>
      </c>
      <c r="C371" s="16" t="s">
        <v>276</v>
      </c>
      <c r="D371" s="3">
        <v>178234</v>
      </c>
      <c r="E371" s="3" t="s">
        <v>310</v>
      </c>
      <c r="F371" s="9">
        <v>0</v>
      </c>
      <c r="G371" s="9">
        <f>IFERROR(VLOOKUP(F371,Sheet1!$B$15:$D$38,3,1),0)</f>
        <v>0</v>
      </c>
      <c r="H371" s="38">
        <f t="shared" si="31"/>
        <v>7.5</v>
      </c>
      <c r="I371" s="38">
        <f t="shared" si="32"/>
        <v>12.5</v>
      </c>
      <c r="J371" s="38">
        <f t="shared" si="33"/>
        <v>20</v>
      </c>
      <c r="K371" s="38">
        <f t="shared" si="34"/>
        <v>30</v>
      </c>
      <c r="L371" s="38">
        <f t="shared" si="35"/>
        <v>50</v>
      </c>
      <c r="M371" s="3" t="s">
        <v>121</v>
      </c>
      <c r="N371" s="3" t="s">
        <v>10</v>
      </c>
      <c r="O371" s="3" t="s">
        <v>630</v>
      </c>
      <c r="P371" s="4">
        <v>43826</v>
      </c>
    </row>
    <row r="372" spans="1:16" x14ac:dyDescent="0.2">
      <c r="A372" s="3" t="str">
        <f t="shared" si="30"/>
        <v>817404178234</v>
      </c>
      <c r="B372" s="16">
        <v>817404</v>
      </c>
      <c r="C372" s="16" t="s">
        <v>498</v>
      </c>
      <c r="D372" s="3">
        <v>178234</v>
      </c>
      <c r="E372" s="3" t="s">
        <v>310</v>
      </c>
      <c r="F372" s="9">
        <v>32.6</v>
      </c>
      <c r="G372" s="9">
        <f>IFERROR(VLOOKUP(F372,Sheet1!$B$15:$D$38,3,1),0)</f>
        <v>80</v>
      </c>
      <c r="H372" s="38">
        <f t="shared" si="31"/>
        <v>-25.1</v>
      </c>
      <c r="I372" s="38">
        <f t="shared" si="32"/>
        <v>-20.100000000000001</v>
      </c>
      <c r="J372" s="38">
        <f t="shared" si="33"/>
        <v>-12.600000000000001</v>
      </c>
      <c r="K372" s="38">
        <f t="shared" si="34"/>
        <v>-2.6000000000000014</v>
      </c>
      <c r="L372" s="38">
        <f t="shared" si="35"/>
        <v>17.399999999999999</v>
      </c>
      <c r="M372" s="3" t="s">
        <v>121</v>
      </c>
      <c r="N372" s="3" t="s">
        <v>10</v>
      </c>
      <c r="O372" s="3" t="s">
        <v>630</v>
      </c>
      <c r="P372" s="4">
        <v>44551</v>
      </c>
    </row>
    <row r="373" spans="1:16" x14ac:dyDescent="0.2">
      <c r="A373" s="3" t="str">
        <f t="shared" si="30"/>
        <v>812562178237</v>
      </c>
      <c r="B373" s="16">
        <v>812562</v>
      </c>
      <c r="C373" s="16" t="s">
        <v>606</v>
      </c>
      <c r="D373" s="3">
        <v>178237</v>
      </c>
      <c r="E373" s="3" t="s">
        <v>122</v>
      </c>
      <c r="F373" s="9">
        <v>9.5</v>
      </c>
      <c r="G373" s="9">
        <f>IFERROR(VLOOKUP(F373,Sheet1!$B$15:$D$38,3,1),0)</f>
        <v>10</v>
      </c>
      <c r="H373" s="38">
        <f t="shared" si="31"/>
        <v>-2</v>
      </c>
      <c r="I373" s="38">
        <f t="shared" si="32"/>
        <v>3</v>
      </c>
      <c r="J373" s="38">
        <f t="shared" si="33"/>
        <v>10.5</v>
      </c>
      <c r="K373" s="38">
        <f t="shared" si="34"/>
        <v>20.5</v>
      </c>
      <c r="L373" s="38">
        <f t="shared" si="35"/>
        <v>40.5</v>
      </c>
      <c r="M373" s="3" t="s">
        <v>121</v>
      </c>
      <c r="N373" s="3" t="s">
        <v>10</v>
      </c>
      <c r="O373" s="3" t="s">
        <v>630</v>
      </c>
      <c r="P373" s="4">
        <v>44061</v>
      </c>
    </row>
    <row r="374" spans="1:16" x14ac:dyDescent="0.2">
      <c r="A374" s="3" t="str">
        <f t="shared" si="30"/>
        <v>817366210355</v>
      </c>
      <c r="B374" s="16">
        <v>817366</v>
      </c>
      <c r="C374" s="16" t="s">
        <v>618</v>
      </c>
      <c r="D374" s="3">
        <v>210355</v>
      </c>
      <c r="E374" s="3" t="s">
        <v>532</v>
      </c>
      <c r="F374" s="9">
        <v>72</v>
      </c>
      <c r="G374" s="9">
        <f>IFERROR(VLOOKUP(F374,Sheet1!$B$15:$D$38,3,1),0)</f>
        <v>160</v>
      </c>
      <c r="H374" s="38">
        <f t="shared" si="31"/>
        <v>-64.5</v>
      </c>
      <c r="I374" s="38">
        <f t="shared" si="32"/>
        <v>-59.5</v>
      </c>
      <c r="J374" s="38">
        <f t="shared" si="33"/>
        <v>-52</v>
      </c>
      <c r="K374" s="38">
        <f t="shared" si="34"/>
        <v>-42</v>
      </c>
      <c r="L374" s="38">
        <f t="shared" si="35"/>
        <v>-22</v>
      </c>
      <c r="M374" s="3" t="s">
        <v>121</v>
      </c>
      <c r="N374" s="3" t="s">
        <v>10</v>
      </c>
      <c r="O374" s="3" t="s">
        <v>630</v>
      </c>
      <c r="P374" s="4">
        <v>44548</v>
      </c>
    </row>
    <row r="375" spans="1:16" x14ac:dyDescent="0.2">
      <c r="A375" s="3" t="str">
        <f t="shared" si="30"/>
        <v>808979149996</v>
      </c>
      <c r="B375" s="16">
        <v>808979</v>
      </c>
      <c r="C375" s="16" t="s">
        <v>166</v>
      </c>
      <c r="D375" s="1">
        <v>149996</v>
      </c>
      <c r="E375" s="3" t="s">
        <v>123</v>
      </c>
      <c r="F375" s="9">
        <v>0</v>
      </c>
      <c r="G375" s="9">
        <f>IFERROR(VLOOKUP(F375,Sheet1!$B$15:$D$38,3,1),0)</f>
        <v>0</v>
      </c>
      <c r="H375" s="38">
        <f t="shared" si="31"/>
        <v>7.5</v>
      </c>
      <c r="I375" s="38">
        <f t="shared" si="32"/>
        <v>12.5</v>
      </c>
      <c r="J375" s="38">
        <f t="shared" si="33"/>
        <v>20</v>
      </c>
      <c r="K375" s="38">
        <f t="shared" si="34"/>
        <v>30</v>
      </c>
      <c r="L375" s="38">
        <f t="shared" si="35"/>
        <v>50</v>
      </c>
      <c r="M375" s="3" t="s">
        <v>27</v>
      </c>
      <c r="N375" s="3" t="s">
        <v>10</v>
      </c>
      <c r="O375" s="3" t="s">
        <v>432</v>
      </c>
      <c r="P375" s="4">
        <v>43355</v>
      </c>
    </row>
    <row r="376" spans="1:16" x14ac:dyDescent="0.2">
      <c r="A376" s="3" t="str">
        <f t="shared" si="30"/>
        <v>805468170197</v>
      </c>
      <c r="B376" s="16">
        <v>805468</v>
      </c>
      <c r="C376" s="16" t="s">
        <v>218</v>
      </c>
      <c r="D376" s="1">
        <v>170197</v>
      </c>
      <c r="E376" s="3" t="s">
        <v>82</v>
      </c>
      <c r="F376" s="9">
        <v>0</v>
      </c>
      <c r="G376" s="9">
        <f>IFERROR(VLOOKUP(F376,Sheet1!$B$15:$D$38,3,1),0)</f>
        <v>0</v>
      </c>
      <c r="H376" s="38">
        <f t="shared" si="31"/>
        <v>7.5</v>
      </c>
      <c r="I376" s="38">
        <f t="shared" si="32"/>
        <v>12.5</v>
      </c>
      <c r="J376" s="38">
        <f t="shared" si="33"/>
        <v>20</v>
      </c>
      <c r="K376" s="38">
        <f t="shared" si="34"/>
        <v>30</v>
      </c>
      <c r="L376" s="38">
        <f t="shared" si="35"/>
        <v>50</v>
      </c>
      <c r="M376" s="3" t="s">
        <v>27</v>
      </c>
      <c r="N376" s="3" t="s">
        <v>10</v>
      </c>
      <c r="O376" s="3" t="s">
        <v>432</v>
      </c>
      <c r="P376" s="4">
        <v>42614</v>
      </c>
    </row>
    <row r="377" spans="1:16" x14ac:dyDescent="0.2">
      <c r="A377" s="3" t="str">
        <f t="shared" si="30"/>
        <v>807164170197</v>
      </c>
      <c r="B377" s="16">
        <v>807164</v>
      </c>
      <c r="C377" s="16" t="s">
        <v>451</v>
      </c>
      <c r="D377" s="1">
        <v>170197</v>
      </c>
      <c r="E377" s="3" t="s">
        <v>82</v>
      </c>
      <c r="F377" s="9">
        <v>0</v>
      </c>
      <c r="G377" s="9">
        <f>IFERROR(VLOOKUP(F377,Sheet1!$B$15:$D$38,3,1),0)</f>
        <v>0</v>
      </c>
      <c r="H377" s="38">
        <f t="shared" si="31"/>
        <v>7.5</v>
      </c>
      <c r="I377" s="38">
        <f t="shared" si="32"/>
        <v>12.5</v>
      </c>
      <c r="J377" s="38">
        <f t="shared" si="33"/>
        <v>20</v>
      </c>
      <c r="K377" s="38">
        <f t="shared" si="34"/>
        <v>30</v>
      </c>
      <c r="L377" s="38">
        <f t="shared" si="35"/>
        <v>50</v>
      </c>
      <c r="M377" s="3" t="s">
        <v>27</v>
      </c>
      <c r="N377" s="3" t="s">
        <v>10</v>
      </c>
      <c r="O377" s="3" t="s">
        <v>432</v>
      </c>
      <c r="P377" s="4">
        <v>43417</v>
      </c>
    </row>
    <row r="378" spans="1:16" x14ac:dyDescent="0.2">
      <c r="A378" s="3" t="str">
        <f t="shared" si="30"/>
        <v>808713170197</v>
      </c>
      <c r="B378" s="16">
        <v>808713</v>
      </c>
      <c r="C378" s="16" t="s">
        <v>128</v>
      </c>
      <c r="D378" s="1">
        <v>170197</v>
      </c>
      <c r="E378" s="3" t="s">
        <v>82</v>
      </c>
      <c r="F378" s="9">
        <v>0</v>
      </c>
      <c r="G378" s="9">
        <f>IFERROR(VLOOKUP(F378,Sheet1!$B$15:$D$38,3,1),0)</f>
        <v>0</v>
      </c>
      <c r="H378" s="38">
        <f t="shared" si="31"/>
        <v>7.5</v>
      </c>
      <c r="I378" s="38">
        <f t="shared" si="32"/>
        <v>12.5</v>
      </c>
      <c r="J378" s="38">
        <f t="shared" si="33"/>
        <v>20</v>
      </c>
      <c r="K378" s="38">
        <f t="shared" si="34"/>
        <v>30</v>
      </c>
      <c r="L378" s="38">
        <f t="shared" si="35"/>
        <v>50</v>
      </c>
      <c r="M378" s="3" t="s">
        <v>27</v>
      </c>
      <c r="N378" s="3" t="s">
        <v>10</v>
      </c>
      <c r="O378" s="3" t="s">
        <v>432</v>
      </c>
      <c r="P378" s="4">
        <v>43308</v>
      </c>
    </row>
    <row r="379" spans="1:16" x14ac:dyDescent="0.2">
      <c r="A379" s="3" t="str">
        <f t="shared" si="30"/>
        <v>811694170197</v>
      </c>
      <c r="B379" s="16">
        <v>811694</v>
      </c>
      <c r="C379" s="16" t="s">
        <v>138</v>
      </c>
      <c r="D379" s="1">
        <v>170197</v>
      </c>
      <c r="E379" s="3" t="s">
        <v>82</v>
      </c>
      <c r="F379" s="9">
        <v>45</v>
      </c>
      <c r="G379" s="9">
        <f>IFERROR(VLOOKUP(F379,Sheet1!$B$15:$D$38,3,1),0)</f>
        <v>80</v>
      </c>
      <c r="H379" s="38">
        <f t="shared" si="31"/>
        <v>-37.5</v>
      </c>
      <c r="I379" s="38">
        <f t="shared" si="32"/>
        <v>-32.5</v>
      </c>
      <c r="J379" s="38">
        <f t="shared" si="33"/>
        <v>-25</v>
      </c>
      <c r="K379" s="38">
        <f t="shared" si="34"/>
        <v>-15</v>
      </c>
      <c r="L379" s="38">
        <f t="shared" si="35"/>
        <v>5</v>
      </c>
      <c r="M379" s="3" t="s">
        <v>27</v>
      </c>
      <c r="N379" s="3" t="s">
        <v>10</v>
      </c>
      <c r="O379" s="3" t="s">
        <v>432</v>
      </c>
      <c r="P379" s="4">
        <v>43896</v>
      </c>
    </row>
    <row r="380" spans="1:16" x14ac:dyDescent="0.2">
      <c r="A380" s="3" t="str">
        <f t="shared" si="30"/>
        <v>816496170197</v>
      </c>
      <c r="B380" s="16">
        <v>816496</v>
      </c>
      <c r="C380" s="16" t="s">
        <v>566</v>
      </c>
      <c r="D380" s="3">
        <v>170197</v>
      </c>
      <c r="E380" s="3" t="s">
        <v>82</v>
      </c>
      <c r="F380" s="9">
        <v>20</v>
      </c>
      <c r="G380" s="9">
        <f>IFERROR(VLOOKUP(F380,Sheet1!$B$15:$D$38,3,1),0)</f>
        <v>40</v>
      </c>
      <c r="H380" s="38">
        <f t="shared" si="31"/>
        <v>-12.5</v>
      </c>
      <c r="I380" s="38">
        <f t="shared" si="32"/>
        <v>-7.5</v>
      </c>
      <c r="J380" s="38">
        <f t="shared" si="33"/>
        <v>0</v>
      </c>
      <c r="K380" s="38">
        <f t="shared" si="34"/>
        <v>10</v>
      </c>
      <c r="L380" s="38">
        <f t="shared" si="35"/>
        <v>30</v>
      </c>
      <c r="M380" s="3" t="s">
        <v>27</v>
      </c>
      <c r="N380" s="3" t="s">
        <v>10</v>
      </c>
      <c r="O380" s="3" t="s">
        <v>432</v>
      </c>
      <c r="P380" s="4">
        <v>44464</v>
      </c>
    </row>
    <row r="381" spans="1:16" x14ac:dyDescent="0.2">
      <c r="A381" s="3" t="str">
        <f t="shared" si="30"/>
        <v>817666170197</v>
      </c>
      <c r="B381" s="16">
        <v>817666</v>
      </c>
      <c r="C381" s="16" t="s">
        <v>629</v>
      </c>
      <c r="D381" s="3">
        <v>170197</v>
      </c>
      <c r="E381" s="3" t="s">
        <v>82</v>
      </c>
      <c r="F381" s="9">
        <v>0</v>
      </c>
      <c r="G381" s="9">
        <f>IFERROR(VLOOKUP(F381,Sheet1!$B$15:$D$38,3,1),0)</f>
        <v>0</v>
      </c>
      <c r="H381" s="38">
        <f t="shared" si="31"/>
        <v>7.5</v>
      </c>
      <c r="I381" s="38">
        <f t="shared" si="32"/>
        <v>12.5</v>
      </c>
      <c r="J381" s="38">
        <f t="shared" si="33"/>
        <v>20</v>
      </c>
      <c r="K381" s="38">
        <f t="shared" si="34"/>
        <v>30</v>
      </c>
      <c r="L381" s="38">
        <f t="shared" si="35"/>
        <v>50</v>
      </c>
      <c r="M381" s="3" t="s">
        <v>27</v>
      </c>
      <c r="N381" s="3" t="s">
        <v>10</v>
      </c>
      <c r="O381" s="3" t="s">
        <v>630</v>
      </c>
      <c r="P381" s="4">
        <v>44573</v>
      </c>
    </row>
    <row r="382" spans="1:16" x14ac:dyDescent="0.2">
      <c r="A382" s="3" t="str">
        <f t="shared" si="30"/>
        <v>805995170892</v>
      </c>
      <c r="B382" s="16">
        <v>805995</v>
      </c>
      <c r="C382" s="16" t="s">
        <v>136</v>
      </c>
      <c r="D382" s="1">
        <v>170892</v>
      </c>
      <c r="E382" s="3" t="s">
        <v>135</v>
      </c>
      <c r="F382" s="9">
        <v>15</v>
      </c>
      <c r="G382" s="9">
        <f>IFERROR(VLOOKUP(F382,Sheet1!$B$15:$D$38,3,1),0)</f>
        <v>20</v>
      </c>
      <c r="H382" s="38">
        <f t="shared" si="31"/>
        <v>-7.5</v>
      </c>
      <c r="I382" s="38">
        <f t="shared" si="32"/>
        <v>-2.5</v>
      </c>
      <c r="J382" s="38">
        <f t="shared" si="33"/>
        <v>5</v>
      </c>
      <c r="K382" s="38">
        <f t="shared" si="34"/>
        <v>15</v>
      </c>
      <c r="L382" s="38">
        <f t="shared" si="35"/>
        <v>35</v>
      </c>
      <c r="M382" s="3" t="s">
        <v>27</v>
      </c>
      <c r="N382" s="3" t="s">
        <v>10</v>
      </c>
      <c r="O382" s="3" t="s">
        <v>432</v>
      </c>
      <c r="P382" s="4">
        <v>42765</v>
      </c>
    </row>
    <row r="383" spans="1:16" x14ac:dyDescent="0.2">
      <c r="A383" s="3" t="str">
        <f t="shared" si="30"/>
        <v>806024170892</v>
      </c>
      <c r="B383" s="16">
        <v>806024</v>
      </c>
      <c r="C383" s="16" t="s">
        <v>137</v>
      </c>
      <c r="D383" s="1">
        <v>170892</v>
      </c>
      <c r="E383" s="3" t="s">
        <v>135</v>
      </c>
      <c r="F383" s="9">
        <v>0</v>
      </c>
      <c r="G383" s="9">
        <f>IFERROR(VLOOKUP(F383,Sheet1!$B$15:$D$38,3,1),0)</f>
        <v>0</v>
      </c>
      <c r="H383" s="38">
        <f t="shared" si="31"/>
        <v>7.5</v>
      </c>
      <c r="I383" s="38">
        <f t="shared" si="32"/>
        <v>12.5</v>
      </c>
      <c r="J383" s="38">
        <f t="shared" si="33"/>
        <v>20</v>
      </c>
      <c r="K383" s="38">
        <f t="shared" si="34"/>
        <v>30</v>
      </c>
      <c r="L383" s="38">
        <f t="shared" si="35"/>
        <v>50</v>
      </c>
      <c r="M383" s="3" t="s">
        <v>27</v>
      </c>
      <c r="N383" s="3" t="s">
        <v>10</v>
      </c>
      <c r="O383" s="3" t="s">
        <v>432</v>
      </c>
      <c r="P383" s="4">
        <v>42773</v>
      </c>
    </row>
    <row r="384" spans="1:16" x14ac:dyDescent="0.2">
      <c r="A384" s="3" t="str">
        <f t="shared" si="30"/>
        <v>816625171506</v>
      </c>
      <c r="B384" s="16">
        <v>816625</v>
      </c>
      <c r="C384" s="16" t="s">
        <v>597</v>
      </c>
      <c r="D384" s="3">
        <v>171506</v>
      </c>
      <c r="E384" s="3" t="s">
        <v>598</v>
      </c>
      <c r="F384" s="9">
        <v>0</v>
      </c>
      <c r="G384" s="9">
        <f>IFERROR(VLOOKUP(F384,Sheet1!$B$15:$D$38,3,1),0)</f>
        <v>0</v>
      </c>
      <c r="H384" s="38">
        <f t="shared" si="31"/>
        <v>7.5</v>
      </c>
      <c r="I384" s="38">
        <f t="shared" si="32"/>
        <v>12.5</v>
      </c>
      <c r="J384" s="38">
        <f t="shared" si="33"/>
        <v>20</v>
      </c>
      <c r="K384" s="38">
        <f t="shared" si="34"/>
        <v>30</v>
      </c>
      <c r="L384" s="38">
        <f t="shared" si="35"/>
        <v>50</v>
      </c>
      <c r="M384" s="3" t="s">
        <v>27</v>
      </c>
      <c r="N384" s="3" t="s">
        <v>10</v>
      </c>
      <c r="O384" s="3" t="s">
        <v>432</v>
      </c>
      <c r="P384" s="4">
        <v>44471</v>
      </c>
    </row>
    <row r="385" spans="1:16" x14ac:dyDescent="0.2">
      <c r="A385" s="3" t="str">
        <f t="shared" si="30"/>
        <v>812336178109</v>
      </c>
      <c r="B385" s="16">
        <v>812336</v>
      </c>
      <c r="C385" s="16" t="s">
        <v>234</v>
      </c>
      <c r="D385" s="1">
        <v>178109</v>
      </c>
      <c r="E385" s="3" t="s">
        <v>124</v>
      </c>
      <c r="F385" s="9">
        <v>0</v>
      </c>
      <c r="G385" s="9">
        <f>IFERROR(VLOOKUP(F385,Sheet1!$B$15:$D$38,3,1),0)</f>
        <v>0</v>
      </c>
      <c r="H385" s="38">
        <f t="shared" si="31"/>
        <v>7.5</v>
      </c>
      <c r="I385" s="38">
        <f t="shared" si="32"/>
        <v>12.5</v>
      </c>
      <c r="J385" s="38">
        <f t="shared" si="33"/>
        <v>20</v>
      </c>
      <c r="K385" s="38">
        <f t="shared" si="34"/>
        <v>30</v>
      </c>
      <c r="L385" s="38">
        <f t="shared" si="35"/>
        <v>50</v>
      </c>
      <c r="M385" s="3" t="s">
        <v>27</v>
      </c>
      <c r="N385" s="3" t="s">
        <v>10</v>
      </c>
      <c r="O385" s="3" t="s">
        <v>432</v>
      </c>
      <c r="P385" s="4">
        <v>44035</v>
      </c>
    </row>
    <row r="386" spans="1:16" x14ac:dyDescent="0.2">
      <c r="A386" s="3" t="str">
        <f t="shared" si="30"/>
        <v>812426178109</v>
      </c>
      <c r="B386" s="16">
        <v>812426</v>
      </c>
      <c r="C386" s="16" t="s">
        <v>120</v>
      </c>
      <c r="D386" s="1">
        <v>178109</v>
      </c>
      <c r="E386" s="3" t="s">
        <v>124</v>
      </c>
      <c r="F386" s="9">
        <v>0</v>
      </c>
      <c r="G386" s="9">
        <f>IFERROR(VLOOKUP(F386,Sheet1!$B$15:$D$38,3,1),0)</f>
        <v>0</v>
      </c>
      <c r="H386" s="38">
        <f t="shared" si="31"/>
        <v>7.5</v>
      </c>
      <c r="I386" s="38">
        <f t="shared" si="32"/>
        <v>12.5</v>
      </c>
      <c r="J386" s="38">
        <f t="shared" si="33"/>
        <v>20</v>
      </c>
      <c r="K386" s="38">
        <f t="shared" si="34"/>
        <v>30</v>
      </c>
      <c r="L386" s="38">
        <f t="shared" si="35"/>
        <v>50</v>
      </c>
      <c r="M386" s="3" t="s">
        <v>27</v>
      </c>
      <c r="N386" s="3" t="s">
        <v>10</v>
      </c>
      <c r="O386" s="3" t="s">
        <v>432</v>
      </c>
      <c r="P386" s="4">
        <v>44043</v>
      </c>
    </row>
    <row r="387" spans="1:16" x14ac:dyDescent="0.2">
      <c r="A387" s="3" t="str">
        <f t="shared" ref="A387:A450" si="36">B387&amp;D387</f>
        <v>812854178109</v>
      </c>
      <c r="B387" s="16">
        <v>812854</v>
      </c>
      <c r="C387" s="16" t="s">
        <v>220</v>
      </c>
      <c r="D387" s="1">
        <v>178109</v>
      </c>
      <c r="E387" s="3" t="s">
        <v>124</v>
      </c>
      <c r="F387" s="9">
        <v>0</v>
      </c>
      <c r="G387" s="9">
        <f>IFERROR(VLOOKUP(F387,Sheet1!$B$15:$D$38,3,1),0)</f>
        <v>0</v>
      </c>
      <c r="H387" s="38">
        <f t="shared" si="31"/>
        <v>7.5</v>
      </c>
      <c r="I387" s="38">
        <f t="shared" si="32"/>
        <v>12.5</v>
      </c>
      <c r="J387" s="38">
        <f t="shared" si="33"/>
        <v>20</v>
      </c>
      <c r="K387" s="38">
        <f t="shared" si="34"/>
        <v>30</v>
      </c>
      <c r="L387" s="38">
        <f t="shared" si="35"/>
        <v>50</v>
      </c>
      <c r="M387" s="3" t="s">
        <v>27</v>
      </c>
      <c r="N387" s="3" t="s">
        <v>10</v>
      </c>
      <c r="O387" s="3" t="s">
        <v>432</v>
      </c>
      <c r="P387" s="4">
        <v>44083</v>
      </c>
    </row>
    <row r="388" spans="1:16" x14ac:dyDescent="0.2">
      <c r="A388" s="3" t="str">
        <f t="shared" si="36"/>
        <v>815982178109</v>
      </c>
      <c r="B388" s="16">
        <v>815982</v>
      </c>
      <c r="C388" s="16" t="s">
        <v>529</v>
      </c>
      <c r="D388" s="3">
        <v>178109</v>
      </c>
      <c r="E388" s="3" t="s">
        <v>124</v>
      </c>
      <c r="F388" s="9">
        <v>0</v>
      </c>
      <c r="G388" s="9">
        <f>IFERROR(VLOOKUP(F388,Sheet1!$B$15:$D$38,3,1),0)</f>
        <v>0</v>
      </c>
      <c r="H388" s="38">
        <f t="shared" ref="H388:H451" si="37">$H$2-$F388</f>
        <v>7.5</v>
      </c>
      <c r="I388" s="38">
        <f t="shared" ref="I388:I451" si="38">$I$2-$F388</f>
        <v>12.5</v>
      </c>
      <c r="J388" s="38">
        <f t="shared" ref="J388:J451" si="39">$J$2-$F388</f>
        <v>20</v>
      </c>
      <c r="K388" s="38">
        <f t="shared" ref="K388:K451" si="40">$K$2-$F388</f>
        <v>30</v>
      </c>
      <c r="L388" s="38">
        <f t="shared" ref="L388:L451" si="41">$L$2-$F388</f>
        <v>50</v>
      </c>
      <c r="M388" s="4" t="s">
        <v>27</v>
      </c>
      <c r="N388" s="3" t="s">
        <v>10</v>
      </c>
      <c r="O388" s="3" t="s">
        <v>432</v>
      </c>
      <c r="P388" s="4">
        <v>44426</v>
      </c>
    </row>
    <row r="389" spans="1:16" x14ac:dyDescent="0.2">
      <c r="A389" s="3" t="str">
        <f t="shared" si="36"/>
        <v>816424178109</v>
      </c>
      <c r="B389" s="16">
        <v>816424</v>
      </c>
      <c r="C389" s="16" t="s">
        <v>582</v>
      </c>
      <c r="D389" s="3">
        <v>178109</v>
      </c>
      <c r="E389" s="3" t="s">
        <v>124</v>
      </c>
      <c r="F389" s="9">
        <v>0</v>
      </c>
      <c r="G389" s="9">
        <f>IFERROR(VLOOKUP(F389,Sheet1!$B$15:$D$38,3,1),0)</f>
        <v>0</v>
      </c>
      <c r="H389" s="38">
        <f t="shared" si="37"/>
        <v>7.5</v>
      </c>
      <c r="I389" s="38">
        <f t="shared" si="38"/>
        <v>12.5</v>
      </c>
      <c r="J389" s="38">
        <f t="shared" si="39"/>
        <v>20</v>
      </c>
      <c r="K389" s="38">
        <f t="shared" si="40"/>
        <v>30</v>
      </c>
      <c r="L389" s="38">
        <f t="shared" si="41"/>
        <v>50</v>
      </c>
      <c r="M389" s="3" t="s">
        <v>27</v>
      </c>
      <c r="N389" s="3" t="s">
        <v>10</v>
      </c>
      <c r="O389" s="3" t="s">
        <v>432</v>
      </c>
      <c r="P389" s="4">
        <v>44460</v>
      </c>
    </row>
    <row r="390" spans="1:16" x14ac:dyDescent="0.2">
      <c r="A390" s="3" t="str">
        <f t="shared" si="36"/>
        <v>813122205183</v>
      </c>
      <c r="B390" s="16">
        <v>813122</v>
      </c>
      <c r="C390" s="16" t="s">
        <v>474</v>
      </c>
      <c r="D390" s="3">
        <v>205183</v>
      </c>
      <c r="E390" s="3" t="s">
        <v>48</v>
      </c>
      <c r="F390" s="9">
        <v>0</v>
      </c>
      <c r="G390" s="9">
        <f>IFERROR(VLOOKUP(F390,Sheet1!$B$15:$D$38,3,1),0)</f>
        <v>0</v>
      </c>
      <c r="H390" s="38">
        <f t="shared" si="37"/>
        <v>7.5</v>
      </c>
      <c r="I390" s="38">
        <f t="shared" si="38"/>
        <v>12.5</v>
      </c>
      <c r="J390" s="38">
        <f t="shared" si="39"/>
        <v>20</v>
      </c>
      <c r="K390" s="38">
        <f t="shared" si="40"/>
        <v>30</v>
      </c>
      <c r="L390" s="38">
        <f t="shared" si="41"/>
        <v>50</v>
      </c>
      <c r="M390" s="3" t="s">
        <v>27</v>
      </c>
      <c r="N390" s="3" t="s">
        <v>10</v>
      </c>
      <c r="O390" s="3" t="s">
        <v>432</v>
      </c>
      <c r="P390" s="4">
        <v>44103</v>
      </c>
    </row>
    <row r="391" spans="1:16" x14ac:dyDescent="0.2">
      <c r="A391" s="3" t="str">
        <f t="shared" si="36"/>
        <v>814827205183</v>
      </c>
      <c r="B391" s="16">
        <v>814827</v>
      </c>
      <c r="C391" s="16" t="s">
        <v>49</v>
      </c>
      <c r="D391" s="1">
        <v>205183</v>
      </c>
      <c r="E391" s="3" t="s">
        <v>48</v>
      </c>
      <c r="F391" s="9">
        <v>0</v>
      </c>
      <c r="G391" s="9">
        <f>IFERROR(VLOOKUP(F391,Sheet1!$B$15:$D$38,3,1),0)</f>
        <v>0</v>
      </c>
      <c r="H391" s="38">
        <f t="shared" si="37"/>
        <v>7.5</v>
      </c>
      <c r="I391" s="38">
        <f t="shared" si="38"/>
        <v>12.5</v>
      </c>
      <c r="J391" s="38">
        <f t="shared" si="39"/>
        <v>20</v>
      </c>
      <c r="K391" s="38">
        <f t="shared" si="40"/>
        <v>30</v>
      </c>
      <c r="L391" s="38">
        <f t="shared" si="41"/>
        <v>50</v>
      </c>
      <c r="M391" s="3" t="s">
        <v>27</v>
      </c>
      <c r="N391" s="3" t="s">
        <v>10</v>
      </c>
      <c r="O391" s="3" t="s">
        <v>432</v>
      </c>
      <c r="P391" s="4">
        <v>44278</v>
      </c>
    </row>
    <row r="392" spans="1:16" x14ac:dyDescent="0.2">
      <c r="A392" s="3" t="str">
        <f t="shared" si="36"/>
        <v>814593207907</v>
      </c>
      <c r="B392" s="16">
        <v>814593</v>
      </c>
      <c r="C392" s="16" t="s">
        <v>406</v>
      </c>
      <c r="D392" s="1">
        <v>207907</v>
      </c>
      <c r="E392" s="3" t="s">
        <v>163</v>
      </c>
      <c r="F392" s="9">
        <v>7</v>
      </c>
      <c r="G392" s="9">
        <f>IFERROR(VLOOKUP(F392,Sheet1!$B$15:$D$38,3,1),0)</f>
        <v>0</v>
      </c>
      <c r="H392" s="38">
        <f t="shared" si="37"/>
        <v>0.5</v>
      </c>
      <c r="I392" s="38">
        <f t="shared" si="38"/>
        <v>5.5</v>
      </c>
      <c r="J392" s="38">
        <f t="shared" si="39"/>
        <v>13</v>
      </c>
      <c r="K392" s="38">
        <f t="shared" si="40"/>
        <v>23</v>
      </c>
      <c r="L392" s="38">
        <f t="shared" si="41"/>
        <v>43</v>
      </c>
      <c r="M392" s="3" t="s">
        <v>27</v>
      </c>
      <c r="N392" s="3" t="s">
        <v>10</v>
      </c>
      <c r="O392" s="3" t="s">
        <v>432</v>
      </c>
      <c r="P392" s="4">
        <v>44251</v>
      </c>
    </row>
    <row r="393" spans="1:16" x14ac:dyDescent="0.2">
      <c r="A393" s="3" t="str">
        <f t="shared" si="36"/>
        <v>816932207907</v>
      </c>
      <c r="B393" s="16">
        <v>816932</v>
      </c>
      <c r="C393" s="16" t="s">
        <v>587</v>
      </c>
      <c r="D393" s="3">
        <v>207907</v>
      </c>
      <c r="E393" s="3" t="s">
        <v>163</v>
      </c>
      <c r="F393" s="9">
        <v>0</v>
      </c>
      <c r="G393" s="9">
        <f>IFERROR(VLOOKUP(F393,Sheet1!$B$15:$D$38,3,1),0)</f>
        <v>0</v>
      </c>
      <c r="H393" s="38">
        <f t="shared" si="37"/>
        <v>7.5</v>
      </c>
      <c r="I393" s="38">
        <f t="shared" si="38"/>
        <v>12.5</v>
      </c>
      <c r="J393" s="38">
        <f t="shared" si="39"/>
        <v>20</v>
      </c>
      <c r="K393" s="38">
        <f t="shared" si="40"/>
        <v>30</v>
      </c>
      <c r="L393" s="38">
        <f t="shared" si="41"/>
        <v>50</v>
      </c>
      <c r="M393" s="3" t="s">
        <v>27</v>
      </c>
      <c r="N393" s="3" t="s">
        <v>10</v>
      </c>
      <c r="O393" s="3" t="s">
        <v>432</v>
      </c>
      <c r="P393" s="4">
        <v>44499</v>
      </c>
    </row>
    <row r="394" spans="1:16" x14ac:dyDescent="0.2">
      <c r="A394" s="3" t="str">
        <f t="shared" si="36"/>
        <v>807164208183</v>
      </c>
      <c r="B394" s="16">
        <v>807164</v>
      </c>
      <c r="C394" s="16" t="s">
        <v>451</v>
      </c>
      <c r="D394" s="1">
        <v>208183</v>
      </c>
      <c r="E394" s="3" t="s">
        <v>395</v>
      </c>
      <c r="F394" s="9">
        <v>0</v>
      </c>
      <c r="G394" s="9">
        <f>IFERROR(VLOOKUP(F394,Sheet1!$B$15:$D$38,3,1),0)</f>
        <v>0</v>
      </c>
      <c r="H394" s="38">
        <f t="shared" si="37"/>
        <v>7.5</v>
      </c>
      <c r="I394" s="38">
        <f t="shared" si="38"/>
        <v>12.5</v>
      </c>
      <c r="J394" s="38">
        <f t="shared" si="39"/>
        <v>20</v>
      </c>
      <c r="K394" s="38">
        <f t="shared" si="40"/>
        <v>30</v>
      </c>
      <c r="L394" s="38">
        <f t="shared" si="41"/>
        <v>50</v>
      </c>
      <c r="M394" s="3" t="s">
        <v>27</v>
      </c>
      <c r="N394" s="3" t="s">
        <v>10</v>
      </c>
      <c r="O394" s="3" t="s">
        <v>432</v>
      </c>
      <c r="P394" s="4">
        <v>43417</v>
      </c>
    </row>
    <row r="395" spans="1:16" x14ac:dyDescent="0.2">
      <c r="A395" s="3" t="str">
        <f t="shared" si="36"/>
        <v>809120208183</v>
      </c>
      <c r="B395" s="16">
        <v>809120</v>
      </c>
      <c r="C395" s="16" t="s">
        <v>413</v>
      </c>
      <c r="D395" s="1">
        <v>208183</v>
      </c>
      <c r="E395" s="3" t="s">
        <v>395</v>
      </c>
      <c r="F395" s="9">
        <v>0</v>
      </c>
      <c r="G395" s="9">
        <f>IFERROR(VLOOKUP(F395,Sheet1!$B$15:$D$38,3,1),0)</f>
        <v>0</v>
      </c>
      <c r="H395" s="38">
        <f t="shared" si="37"/>
        <v>7.5</v>
      </c>
      <c r="I395" s="38">
        <f t="shared" si="38"/>
        <v>12.5</v>
      </c>
      <c r="J395" s="38">
        <f t="shared" si="39"/>
        <v>20</v>
      </c>
      <c r="K395" s="38">
        <f t="shared" si="40"/>
        <v>30</v>
      </c>
      <c r="L395" s="38">
        <f t="shared" si="41"/>
        <v>50</v>
      </c>
      <c r="M395" s="3" t="s">
        <v>27</v>
      </c>
      <c r="N395" s="3" t="s">
        <v>10</v>
      </c>
      <c r="O395" s="3" t="s">
        <v>432</v>
      </c>
      <c r="P395" s="4">
        <v>43509</v>
      </c>
    </row>
    <row r="396" spans="1:16" x14ac:dyDescent="0.2">
      <c r="A396" s="3" t="str">
        <f t="shared" si="36"/>
        <v>809439208183</v>
      </c>
      <c r="B396" s="16">
        <v>809439</v>
      </c>
      <c r="C396" s="16" t="s">
        <v>452</v>
      </c>
      <c r="D396" s="1">
        <v>208183</v>
      </c>
      <c r="E396" s="3" t="s">
        <v>395</v>
      </c>
      <c r="F396" s="9">
        <v>0</v>
      </c>
      <c r="G396" s="9">
        <f>IFERROR(VLOOKUP(F396,Sheet1!$B$15:$D$38,3,1),0)</f>
        <v>0</v>
      </c>
      <c r="H396" s="38">
        <f t="shared" si="37"/>
        <v>7.5</v>
      </c>
      <c r="I396" s="38">
        <f t="shared" si="38"/>
        <v>12.5</v>
      </c>
      <c r="J396" s="38">
        <f t="shared" si="39"/>
        <v>20</v>
      </c>
      <c r="K396" s="38">
        <f t="shared" si="40"/>
        <v>30</v>
      </c>
      <c r="L396" s="38">
        <f t="shared" si="41"/>
        <v>50</v>
      </c>
      <c r="M396" s="3" t="s">
        <v>27</v>
      </c>
      <c r="N396" s="3" t="s">
        <v>10</v>
      </c>
      <c r="O396" s="3" t="s">
        <v>432</v>
      </c>
      <c r="P396" s="4">
        <v>43579</v>
      </c>
    </row>
    <row r="397" spans="1:16" x14ac:dyDescent="0.2">
      <c r="A397" s="3" t="str">
        <f t="shared" si="36"/>
        <v>809736208183</v>
      </c>
      <c r="B397" s="16">
        <v>809736</v>
      </c>
      <c r="C397" s="16" t="s">
        <v>412</v>
      </c>
      <c r="D397" s="1">
        <v>208183</v>
      </c>
      <c r="E397" s="3" t="s">
        <v>395</v>
      </c>
      <c r="F397" s="9">
        <v>0</v>
      </c>
      <c r="G397" s="9">
        <f>IFERROR(VLOOKUP(F397,Sheet1!$B$15:$D$38,3,1),0)</f>
        <v>0</v>
      </c>
      <c r="H397" s="38">
        <f t="shared" si="37"/>
        <v>7.5</v>
      </c>
      <c r="I397" s="38">
        <f t="shared" si="38"/>
        <v>12.5</v>
      </c>
      <c r="J397" s="38">
        <f t="shared" si="39"/>
        <v>20</v>
      </c>
      <c r="K397" s="38">
        <f t="shared" si="40"/>
        <v>30</v>
      </c>
      <c r="L397" s="38">
        <f t="shared" si="41"/>
        <v>50</v>
      </c>
      <c r="M397" s="3" t="s">
        <v>27</v>
      </c>
      <c r="N397" s="3" t="s">
        <v>10</v>
      </c>
      <c r="O397" s="3" t="s">
        <v>432</v>
      </c>
      <c r="P397" s="4">
        <v>43631</v>
      </c>
    </row>
    <row r="398" spans="1:16" x14ac:dyDescent="0.2">
      <c r="A398" s="3" t="str">
        <f t="shared" si="36"/>
        <v>816241208183</v>
      </c>
      <c r="B398" s="16">
        <v>816241</v>
      </c>
      <c r="C398" s="16" t="s">
        <v>536</v>
      </c>
      <c r="D398" s="3">
        <v>208183</v>
      </c>
      <c r="E398" s="3" t="s">
        <v>395</v>
      </c>
      <c r="F398" s="9">
        <v>0</v>
      </c>
      <c r="G398" s="9">
        <f>IFERROR(VLOOKUP(F398,Sheet1!$B$15:$D$38,3,1),0)</f>
        <v>0</v>
      </c>
      <c r="H398" s="38">
        <f t="shared" si="37"/>
        <v>7.5</v>
      </c>
      <c r="I398" s="38">
        <f t="shared" si="38"/>
        <v>12.5</v>
      </c>
      <c r="J398" s="38">
        <f t="shared" si="39"/>
        <v>20</v>
      </c>
      <c r="K398" s="38">
        <f t="shared" si="40"/>
        <v>30</v>
      </c>
      <c r="L398" s="38">
        <f t="shared" si="41"/>
        <v>50</v>
      </c>
      <c r="M398" s="3" t="s">
        <v>27</v>
      </c>
      <c r="N398" s="3" t="s">
        <v>10</v>
      </c>
      <c r="O398" s="3" t="s">
        <v>432</v>
      </c>
      <c r="P398" s="4">
        <v>44440</v>
      </c>
    </row>
    <row r="399" spans="1:16" x14ac:dyDescent="0.2">
      <c r="A399" s="3" t="str">
        <f t="shared" si="36"/>
        <v>816315208183</v>
      </c>
      <c r="B399" s="16">
        <v>816315</v>
      </c>
      <c r="C399" s="16" t="s">
        <v>559</v>
      </c>
      <c r="D399" s="3">
        <v>208183</v>
      </c>
      <c r="E399" s="3" t="s">
        <v>395</v>
      </c>
      <c r="F399" s="9">
        <v>0</v>
      </c>
      <c r="G399" s="9">
        <f>IFERROR(VLOOKUP(F399,Sheet1!$B$15:$D$38,3,1),0)</f>
        <v>0</v>
      </c>
      <c r="H399" s="38">
        <f t="shared" si="37"/>
        <v>7.5</v>
      </c>
      <c r="I399" s="38">
        <f t="shared" si="38"/>
        <v>12.5</v>
      </c>
      <c r="J399" s="38">
        <f t="shared" si="39"/>
        <v>20</v>
      </c>
      <c r="K399" s="38">
        <f t="shared" si="40"/>
        <v>30</v>
      </c>
      <c r="L399" s="38">
        <f t="shared" si="41"/>
        <v>50</v>
      </c>
      <c r="M399" s="3" t="s">
        <v>27</v>
      </c>
      <c r="N399" s="3" t="s">
        <v>10</v>
      </c>
      <c r="O399" s="3" t="s">
        <v>432</v>
      </c>
      <c r="P399" s="4">
        <v>44450</v>
      </c>
    </row>
    <row r="400" spans="1:16" x14ac:dyDescent="0.2">
      <c r="A400" s="3" t="str">
        <f t="shared" si="36"/>
        <v>816425208183</v>
      </c>
      <c r="B400" s="16">
        <v>816425</v>
      </c>
      <c r="C400" s="16" t="s">
        <v>545</v>
      </c>
      <c r="D400" s="3">
        <v>208183</v>
      </c>
      <c r="E400" s="3" t="s">
        <v>395</v>
      </c>
      <c r="F400" s="9">
        <v>10</v>
      </c>
      <c r="G400" s="9">
        <f>IFERROR(VLOOKUP(F400,Sheet1!$B$15:$D$38,3,1),0)</f>
        <v>10</v>
      </c>
      <c r="H400" s="38">
        <f t="shared" si="37"/>
        <v>-2.5</v>
      </c>
      <c r="I400" s="38">
        <f t="shared" si="38"/>
        <v>2.5</v>
      </c>
      <c r="J400" s="38">
        <f t="shared" si="39"/>
        <v>10</v>
      </c>
      <c r="K400" s="38">
        <f t="shared" si="40"/>
        <v>20</v>
      </c>
      <c r="L400" s="38">
        <f t="shared" si="41"/>
        <v>40</v>
      </c>
      <c r="M400" s="3" t="s">
        <v>27</v>
      </c>
      <c r="N400" s="3" t="s">
        <v>10</v>
      </c>
      <c r="O400" s="3" t="s">
        <v>432</v>
      </c>
      <c r="P400" s="4">
        <v>44460</v>
      </c>
    </row>
    <row r="401" spans="1:16" x14ac:dyDescent="0.2">
      <c r="A401" s="3" t="str">
        <f t="shared" si="36"/>
        <v>816496208183</v>
      </c>
      <c r="B401" s="16">
        <v>816496</v>
      </c>
      <c r="C401" s="16" t="s">
        <v>566</v>
      </c>
      <c r="D401" s="3">
        <v>208183</v>
      </c>
      <c r="E401" s="3" t="s">
        <v>395</v>
      </c>
      <c r="F401" s="9">
        <v>0</v>
      </c>
      <c r="G401" s="9">
        <f>IFERROR(VLOOKUP(F401,Sheet1!$B$15:$D$38,3,1),0)</f>
        <v>0</v>
      </c>
      <c r="H401" s="38">
        <f t="shared" si="37"/>
        <v>7.5</v>
      </c>
      <c r="I401" s="38">
        <f t="shared" si="38"/>
        <v>12.5</v>
      </c>
      <c r="J401" s="38">
        <f t="shared" si="39"/>
        <v>20</v>
      </c>
      <c r="K401" s="38">
        <f t="shared" si="40"/>
        <v>30</v>
      </c>
      <c r="L401" s="38">
        <f t="shared" si="41"/>
        <v>50</v>
      </c>
      <c r="M401" s="3" t="s">
        <v>27</v>
      </c>
      <c r="N401" s="3" t="s">
        <v>10</v>
      </c>
      <c r="O401" s="3" t="s">
        <v>630</v>
      </c>
      <c r="P401" s="4">
        <v>44464</v>
      </c>
    </row>
    <row r="402" spans="1:16" x14ac:dyDescent="0.2">
      <c r="A402" s="3" t="str">
        <f t="shared" si="36"/>
        <v>816984208183</v>
      </c>
      <c r="B402" s="16">
        <v>816984</v>
      </c>
      <c r="C402" s="16" t="s">
        <v>437</v>
      </c>
      <c r="D402" s="3">
        <v>208183</v>
      </c>
      <c r="E402" s="3" t="s">
        <v>395</v>
      </c>
      <c r="F402" s="9">
        <v>0</v>
      </c>
      <c r="G402" s="9">
        <f>IFERROR(VLOOKUP(F402,Sheet1!$B$15:$D$38,3,1),0)</f>
        <v>0</v>
      </c>
      <c r="H402" s="38">
        <f t="shared" si="37"/>
        <v>7.5</v>
      </c>
      <c r="I402" s="38">
        <f t="shared" si="38"/>
        <v>12.5</v>
      </c>
      <c r="J402" s="38">
        <f t="shared" si="39"/>
        <v>20</v>
      </c>
      <c r="K402" s="38">
        <f t="shared" si="40"/>
        <v>30</v>
      </c>
      <c r="L402" s="38">
        <f t="shared" si="41"/>
        <v>50</v>
      </c>
      <c r="M402" s="3" t="s">
        <v>27</v>
      </c>
      <c r="N402" s="3" t="s">
        <v>10</v>
      </c>
      <c r="O402" s="3" t="s">
        <v>432</v>
      </c>
      <c r="P402" s="4">
        <v>44510</v>
      </c>
    </row>
    <row r="403" spans="1:16" x14ac:dyDescent="0.2">
      <c r="A403" s="3" t="str">
        <f t="shared" si="36"/>
        <v>817064208183</v>
      </c>
      <c r="B403" s="16">
        <v>817064</v>
      </c>
      <c r="C403" s="16" t="s">
        <v>635</v>
      </c>
      <c r="D403" s="3">
        <v>208183</v>
      </c>
      <c r="E403" s="3" t="s">
        <v>395</v>
      </c>
      <c r="F403" s="9">
        <v>0</v>
      </c>
      <c r="G403" s="9">
        <f>IFERROR(VLOOKUP(F403,Sheet1!$B$15:$D$38,3,1),0)</f>
        <v>0</v>
      </c>
      <c r="H403" s="38">
        <f t="shared" si="37"/>
        <v>7.5</v>
      </c>
      <c r="I403" s="38">
        <f t="shared" si="38"/>
        <v>12.5</v>
      </c>
      <c r="J403" s="38">
        <f t="shared" si="39"/>
        <v>20</v>
      </c>
      <c r="K403" s="38">
        <f t="shared" si="40"/>
        <v>30</v>
      </c>
      <c r="L403" s="38">
        <f t="shared" si="41"/>
        <v>50</v>
      </c>
      <c r="M403" s="3" t="s">
        <v>27</v>
      </c>
      <c r="N403" s="3" t="s">
        <v>10</v>
      </c>
      <c r="O403" s="3" t="s">
        <v>630</v>
      </c>
      <c r="P403" s="4">
        <v>44520</v>
      </c>
    </row>
    <row r="404" spans="1:16" x14ac:dyDescent="0.2">
      <c r="A404" s="3" t="str">
        <f t="shared" si="36"/>
        <v>817093208183</v>
      </c>
      <c r="B404" s="16">
        <v>817093</v>
      </c>
      <c r="C404" s="16" t="s">
        <v>566</v>
      </c>
      <c r="D404" s="3">
        <v>208183</v>
      </c>
      <c r="E404" s="3" t="s">
        <v>395</v>
      </c>
      <c r="F404" s="9">
        <v>21</v>
      </c>
      <c r="G404" s="9">
        <f>IFERROR(VLOOKUP(F404,Sheet1!$B$15:$D$38,3,1),0)</f>
        <v>40</v>
      </c>
      <c r="H404" s="38">
        <f t="shared" si="37"/>
        <v>-13.5</v>
      </c>
      <c r="I404" s="38">
        <f t="shared" si="38"/>
        <v>-8.5</v>
      </c>
      <c r="J404" s="38">
        <f t="shared" si="39"/>
        <v>-1</v>
      </c>
      <c r="K404" s="38">
        <f t="shared" si="40"/>
        <v>9</v>
      </c>
      <c r="L404" s="38">
        <f t="shared" si="41"/>
        <v>29</v>
      </c>
      <c r="M404" s="3" t="s">
        <v>27</v>
      </c>
      <c r="N404" s="3" t="s">
        <v>10</v>
      </c>
      <c r="O404" s="3" t="s">
        <v>630</v>
      </c>
      <c r="P404" s="4">
        <v>44524</v>
      </c>
    </row>
    <row r="405" spans="1:16" x14ac:dyDescent="0.2">
      <c r="A405" s="3" t="str">
        <f t="shared" si="36"/>
        <v>817587208183</v>
      </c>
      <c r="B405" s="16">
        <v>817587</v>
      </c>
      <c r="C405" s="16" t="s">
        <v>624</v>
      </c>
      <c r="D405" s="3">
        <v>208183</v>
      </c>
      <c r="E405" s="3" t="s">
        <v>395</v>
      </c>
      <c r="F405" s="9">
        <v>0</v>
      </c>
      <c r="G405" s="9">
        <f>IFERROR(VLOOKUP(F405,Sheet1!$B$15:$D$38,3,1),0)</f>
        <v>0</v>
      </c>
      <c r="H405" s="38">
        <f t="shared" si="37"/>
        <v>7.5</v>
      </c>
      <c r="I405" s="38">
        <f t="shared" si="38"/>
        <v>12.5</v>
      </c>
      <c r="J405" s="38">
        <f t="shared" si="39"/>
        <v>20</v>
      </c>
      <c r="K405" s="38">
        <f t="shared" si="40"/>
        <v>30</v>
      </c>
      <c r="L405" s="38">
        <f t="shared" si="41"/>
        <v>50</v>
      </c>
      <c r="M405" s="3" t="s">
        <v>27</v>
      </c>
      <c r="N405" s="3" t="s">
        <v>10</v>
      </c>
      <c r="O405" s="3" t="s">
        <v>630</v>
      </c>
      <c r="P405" s="4">
        <v>44564</v>
      </c>
    </row>
    <row r="406" spans="1:16" x14ac:dyDescent="0.2">
      <c r="A406" s="3" t="str">
        <f t="shared" si="36"/>
        <v>817791208183</v>
      </c>
      <c r="B406" s="16">
        <v>817791</v>
      </c>
      <c r="C406" s="16" t="s">
        <v>649</v>
      </c>
      <c r="D406" s="3">
        <v>208183</v>
      </c>
      <c r="E406" s="3" t="s">
        <v>395</v>
      </c>
      <c r="F406" s="9">
        <v>21</v>
      </c>
      <c r="G406" s="9">
        <f>IFERROR(VLOOKUP(F406,Sheet1!$B$15:$D$38,3,1),0)</f>
        <v>40</v>
      </c>
      <c r="H406" s="38">
        <f t="shared" si="37"/>
        <v>-13.5</v>
      </c>
      <c r="I406" s="38">
        <f t="shared" si="38"/>
        <v>-8.5</v>
      </c>
      <c r="J406" s="38">
        <f t="shared" si="39"/>
        <v>-1</v>
      </c>
      <c r="K406" s="38">
        <f t="shared" si="40"/>
        <v>9</v>
      </c>
      <c r="L406" s="38">
        <f t="shared" si="41"/>
        <v>29</v>
      </c>
      <c r="M406" s="3" t="s">
        <v>27</v>
      </c>
      <c r="N406" s="3" t="s">
        <v>10</v>
      </c>
      <c r="O406" s="3" t="s">
        <v>630</v>
      </c>
      <c r="P406" s="4">
        <v>44585</v>
      </c>
    </row>
    <row r="407" spans="1:16" x14ac:dyDescent="0.2">
      <c r="A407" s="3" t="str">
        <f t="shared" si="36"/>
        <v>810756208329</v>
      </c>
      <c r="B407" s="16">
        <v>810756</v>
      </c>
      <c r="C407" s="16" t="s">
        <v>455</v>
      </c>
      <c r="D407" s="1">
        <v>208329</v>
      </c>
      <c r="E407" s="3" t="s">
        <v>456</v>
      </c>
      <c r="F407" s="9">
        <v>0</v>
      </c>
      <c r="G407" s="9">
        <f>IFERROR(VLOOKUP(F407,Sheet1!$B$15:$D$38,3,1),0)</f>
        <v>0</v>
      </c>
      <c r="H407" s="38">
        <f t="shared" si="37"/>
        <v>7.5</v>
      </c>
      <c r="I407" s="38">
        <f t="shared" si="38"/>
        <v>12.5</v>
      </c>
      <c r="J407" s="38">
        <f t="shared" si="39"/>
        <v>20</v>
      </c>
      <c r="K407" s="38">
        <f t="shared" si="40"/>
        <v>30</v>
      </c>
      <c r="L407" s="38">
        <f t="shared" si="41"/>
        <v>50</v>
      </c>
      <c r="M407" s="3" t="s">
        <v>27</v>
      </c>
      <c r="N407" s="3" t="s">
        <v>10</v>
      </c>
      <c r="O407" s="3" t="s">
        <v>432</v>
      </c>
      <c r="P407" s="4">
        <v>43777</v>
      </c>
    </row>
    <row r="408" spans="1:16" x14ac:dyDescent="0.2">
      <c r="A408" s="3" t="str">
        <f t="shared" si="36"/>
        <v>816240208874</v>
      </c>
      <c r="B408" s="16">
        <v>816240</v>
      </c>
      <c r="C408" s="16" t="s">
        <v>534</v>
      </c>
      <c r="D408" s="3">
        <v>208874</v>
      </c>
      <c r="E408" s="3" t="s">
        <v>535</v>
      </c>
      <c r="F408" s="9">
        <v>0</v>
      </c>
      <c r="G408" s="9">
        <f>IFERROR(VLOOKUP(F408,Sheet1!$B$15:$D$38,3,1),0)</f>
        <v>0</v>
      </c>
      <c r="H408" s="38">
        <f t="shared" si="37"/>
        <v>7.5</v>
      </c>
      <c r="I408" s="38">
        <f t="shared" si="38"/>
        <v>12.5</v>
      </c>
      <c r="J408" s="38">
        <f t="shared" si="39"/>
        <v>20</v>
      </c>
      <c r="K408" s="38">
        <f t="shared" si="40"/>
        <v>30</v>
      </c>
      <c r="L408" s="38">
        <f t="shared" si="41"/>
        <v>50</v>
      </c>
      <c r="M408" s="3" t="s">
        <v>27</v>
      </c>
      <c r="N408" s="3" t="s">
        <v>10</v>
      </c>
      <c r="O408" s="3" t="s">
        <v>432</v>
      </c>
      <c r="P408" s="4">
        <v>44440</v>
      </c>
    </row>
    <row r="409" spans="1:16" x14ac:dyDescent="0.2">
      <c r="A409" s="3" t="str">
        <f t="shared" si="36"/>
        <v>817665208874</v>
      </c>
      <c r="B409" s="16">
        <v>817665</v>
      </c>
      <c r="C409" s="16" t="s">
        <v>628</v>
      </c>
      <c r="D409" s="3">
        <v>208874</v>
      </c>
      <c r="E409" s="3" t="s">
        <v>535</v>
      </c>
      <c r="F409" s="9">
        <v>0</v>
      </c>
      <c r="G409" s="9">
        <f>IFERROR(VLOOKUP(F409,Sheet1!$B$15:$D$38,3,1),0)</f>
        <v>0</v>
      </c>
      <c r="H409" s="38">
        <f t="shared" si="37"/>
        <v>7.5</v>
      </c>
      <c r="I409" s="38">
        <f t="shared" si="38"/>
        <v>12.5</v>
      </c>
      <c r="J409" s="38">
        <f t="shared" si="39"/>
        <v>20</v>
      </c>
      <c r="K409" s="38">
        <f t="shared" si="40"/>
        <v>30</v>
      </c>
      <c r="L409" s="38">
        <f t="shared" si="41"/>
        <v>50</v>
      </c>
      <c r="M409" s="3" t="s">
        <v>27</v>
      </c>
      <c r="N409" s="3" t="s">
        <v>10</v>
      </c>
      <c r="O409" s="3" t="s">
        <v>630</v>
      </c>
      <c r="P409" s="4">
        <v>44573</v>
      </c>
    </row>
    <row r="410" spans="1:16" x14ac:dyDescent="0.2">
      <c r="A410" s="3" t="str">
        <f t="shared" si="36"/>
        <v>810122211137</v>
      </c>
      <c r="B410" s="16">
        <v>810122</v>
      </c>
      <c r="C410" s="16" t="s">
        <v>646</v>
      </c>
      <c r="D410" s="3">
        <v>211137</v>
      </c>
      <c r="E410" s="3" t="s">
        <v>647</v>
      </c>
      <c r="F410" s="9">
        <v>23.5</v>
      </c>
      <c r="G410" s="9">
        <f>IFERROR(VLOOKUP(F410,Sheet1!$B$15:$D$38,3,1),0)</f>
        <v>40</v>
      </c>
      <c r="H410" s="38">
        <f t="shared" si="37"/>
        <v>-16</v>
      </c>
      <c r="I410" s="38">
        <f t="shared" si="38"/>
        <v>-11</v>
      </c>
      <c r="J410" s="38">
        <f t="shared" si="39"/>
        <v>-3.5</v>
      </c>
      <c r="K410" s="38">
        <f t="shared" si="40"/>
        <v>6.5</v>
      </c>
      <c r="L410" s="38">
        <f t="shared" si="41"/>
        <v>26.5</v>
      </c>
      <c r="M410" s="3" t="s">
        <v>27</v>
      </c>
      <c r="N410" s="3" t="s">
        <v>10</v>
      </c>
      <c r="O410" s="3" t="s">
        <v>630</v>
      </c>
      <c r="P410" s="4">
        <v>43678</v>
      </c>
    </row>
    <row r="411" spans="1:16" x14ac:dyDescent="0.2">
      <c r="A411" s="3" t="str">
        <f t="shared" si="36"/>
        <v>809191170132</v>
      </c>
      <c r="B411" s="16">
        <v>809191</v>
      </c>
      <c r="C411" s="16" t="s">
        <v>141</v>
      </c>
      <c r="D411" s="1">
        <v>170132</v>
      </c>
      <c r="E411" s="3" t="s">
        <v>56</v>
      </c>
      <c r="F411" s="9">
        <v>0</v>
      </c>
      <c r="G411" s="9">
        <f>IFERROR(VLOOKUP(F411,Sheet1!$B$15:$D$38,3,1),0)</f>
        <v>0</v>
      </c>
      <c r="H411" s="38">
        <f t="shared" si="37"/>
        <v>7.5</v>
      </c>
      <c r="I411" s="38">
        <f t="shared" si="38"/>
        <v>12.5</v>
      </c>
      <c r="J411" s="38">
        <f t="shared" si="39"/>
        <v>20</v>
      </c>
      <c r="K411" s="38">
        <f t="shared" si="40"/>
        <v>30</v>
      </c>
      <c r="L411" s="38">
        <f t="shared" si="41"/>
        <v>50</v>
      </c>
      <c r="M411" s="3" t="s">
        <v>10</v>
      </c>
      <c r="N411" s="3" t="s">
        <v>10</v>
      </c>
      <c r="O411" s="3" t="s">
        <v>432</v>
      </c>
      <c r="P411" s="4">
        <v>43521</v>
      </c>
    </row>
    <row r="412" spans="1:16" x14ac:dyDescent="0.2">
      <c r="A412" s="3" t="str">
        <f t="shared" si="36"/>
        <v>811357170132</v>
      </c>
      <c r="B412" s="16">
        <v>811357</v>
      </c>
      <c r="C412" s="16" t="s">
        <v>457</v>
      </c>
      <c r="D412" s="1">
        <v>170132</v>
      </c>
      <c r="E412" s="3" t="s">
        <v>56</v>
      </c>
      <c r="F412" s="9">
        <v>0</v>
      </c>
      <c r="G412" s="9">
        <f>IFERROR(VLOOKUP(F412,Sheet1!$B$15:$D$38,3,1),0)</f>
        <v>0</v>
      </c>
      <c r="H412" s="38">
        <f t="shared" si="37"/>
        <v>7.5</v>
      </c>
      <c r="I412" s="38">
        <f t="shared" si="38"/>
        <v>12.5</v>
      </c>
      <c r="J412" s="38">
        <f t="shared" si="39"/>
        <v>20</v>
      </c>
      <c r="K412" s="38">
        <f t="shared" si="40"/>
        <v>30</v>
      </c>
      <c r="L412" s="38">
        <f t="shared" si="41"/>
        <v>50</v>
      </c>
      <c r="M412" s="3" t="s">
        <v>10</v>
      </c>
      <c r="N412" s="3" t="s">
        <v>10</v>
      </c>
      <c r="O412" s="3" t="s">
        <v>432</v>
      </c>
      <c r="P412" s="4">
        <v>43859</v>
      </c>
    </row>
    <row r="413" spans="1:16" x14ac:dyDescent="0.2">
      <c r="A413" s="3" t="str">
        <f t="shared" si="36"/>
        <v>812964170132</v>
      </c>
      <c r="B413" s="16">
        <v>812964</v>
      </c>
      <c r="C413" s="16" t="s">
        <v>207</v>
      </c>
      <c r="D413" s="1">
        <v>170132</v>
      </c>
      <c r="E413" s="3" t="s">
        <v>56</v>
      </c>
      <c r="F413" s="9">
        <v>0</v>
      </c>
      <c r="G413" s="9">
        <f>IFERROR(VLOOKUP(F413,Sheet1!$B$15:$D$38,3,1),0)</f>
        <v>0</v>
      </c>
      <c r="H413" s="38">
        <f t="shared" si="37"/>
        <v>7.5</v>
      </c>
      <c r="I413" s="38">
        <f t="shared" si="38"/>
        <v>12.5</v>
      </c>
      <c r="J413" s="38">
        <f t="shared" si="39"/>
        <v>20</v>
      </c>
      <c r="K413" s="38">
        <f t="shared" si="40"/>
        <v>30</v>
      </c>
      <c r="L413" s="38">
        <f t="shared" si="41"/>
        <v>50</v>
      </c>
      <c r="M413" s="3" t="s">
        <v>10</v>
      </c>
      <c r="N413" s="3" t="s">
        <v>10</v>
      </c>
      <c r="O413" s="3" t="s">
        <v>432</v>
      </c>
      <c r="P413" s="4">
        <v>44092</v>
      </c>
    </row>
    <row r="414" spans="1:16" x14ac:dyDescent="0.2">
      <c r="A414" s="3" t="str">
        <f t="shared" si="36"/>
        <v>814390170132</v>
      </c>
      <c r="B414" s="16">
        <v>814390</v>
      </c>
      <c r="C414" s="16" t="s">
        <v>57</v>
      </c>
      <c r="D414" s="1">
        <v>170132</v>
      </c>
      <c r="E414" s="3" t="s">
        <v>56</v>
      </c>
      <c r="F414" s="9">
        <v>0</v>
      </c>
      <c r="G414" s="9">
        <f>IFERROR(VLOOKUP(F414,Sheet1!$B$15:$D$38,3,1),0)</f>
        <v>0</v>
      </c>
      <c r="H414" s="38">
        <f t="shared" si="37"/>
        <v>7.5</v>
      </c>
      <c r="I414" s="38">
        <f t="shared" si="38"/>
        <v>12.5</v>
      </c>
      <c r="J414" s="38">
        <f t="shared" si="39"/>
        <v>20</v>
      </c>
      <c r="K414" s="38">
        <f t="shared" si="40"/>
        <v>30</v>
      </c>
      <c r="L414" s="38">
        <f t="shared" si="41"/>
        <v>50</v>
      </c>
      <c r="M414" s="3" t="s">
        <v>10</v>
      </c>
      <c r="N414" s="3" t="s">
        <v>10</v>
      </c>
      <c r="O414" s="3" t="s">
        <v>432</v>
      </c>
      <c r="P414" s="4">
        <v>44231</v>
      </c>
    </row>
    <row r="415" spans="1:16" x14ac:dyDescent="0.2">
      <c r="A415" s="3" t="str">
        <f t="shared" si="36"/>
        <v>814431170132</v>
      </c>
      <c r="B415" s="16">
        <v>814431</v>
      </c>
      <c r="C415" s="16" t="s">
        <v>144</v>
      </c>
      <c r="D415" s="1">
        <v>170132</v>
      </c>
      <c r="E415" s="3" t="s">
        <v>56</v>
      </c>
      <c r="F415" s="9">
        <v>0</v>
      </c>
      <c r="G415" s="9">
        <f>IFERROR(VLOOKUP(F415,Sheet1!$B$15:$D$38,3,1),0)</f>
        <v>0</v>
      </c>
      <c r="H415" s="38">
        <f t="shared" si="37"/>
        <v>7.5</v>
      </c>
      <c r="I415" s="38">
        <f t="shared" si="38"/>
        <v>12.5</v>
      </c>
      <c r="J415" s="38">
        <f t="shared" si="39"/>
        <v>20</v>
      </c>
      <c r="K415" s="38">
        <f t="shared" si="40"/>
        <v>30</v>
      </c>
      <c r="L415" s="38">
        <f t="shared" si="41"/>
        <v>50</v>
      </c>
      <c r="M415" s="3" t="s">
        <v>10</v>
      </c>
      <c r="N415" s="3" t="s">
        <v>10</v>
      </c>
      <c r="O415" s="3" t="s">
        <v>432</v>
      </c>
      <c r="P415" s="4">
        <v>44236</v>
      </c>
    </row>
    <row r="416" spans="1:16" x14ac:dyDescent="0.2">
      <c r="A416" s="3" t="str">
        <f t="shared" si="36"/>
        <v>814441170132</v>
      </c>
      <c r="B416" s="16">
        <v>814441</v>
      </c>
      <c r="C416" s="16" t="s">
        <v>143</v>
      </c>
      <c r="D416" s="1">
        <v>170132</v>
      </c>
      <c r="E416" s="3" t="s">
        <v>56</v>
      </c>
      <c r="F416" s="9">
        <v>0</v>
      </c>
      <c r="G416" s="9">
        <f>IFERROR(VLOOKUP(F416,Sheet1!$B$15:$D$38,3,1),0)</f>
        <v>0</v>
      </c>
      <c r="H416" s="38">
        <f t="shared" si="37"/>
        <v>7.5</v>
      </c>
      <c r="I416" s="38">
        <f t="shared" si="38"/>
        <v>12.5</v>
      </c>
      <c r="J416" s="38">
        <f t="shared" si="39"/>
        <v>20</v>
      </c>
      <c r="K416" s="38">
        <f t="shared" si="40"/>
        <v>30</v>
      </c>
      <c r="L416" s="38">
        <f t="shared" si="41"/>
        <v>50</v>
      </c>
      <c r="M416" s="3" t="s">
        <v>10</v>
      </c>
      <c r="N416" s="3" t="s">
        <v>10</v>
      </c>
      <c r="O416" s="3" t="s">
        <v>432</v>
      </c>
      <c r="P416" s="4">
        <v>44237</v>
      </c>
    </row>
    <row r="417" spans="1:16" x14ac:dyDescent="0.2">
      <c r="A417" s="3" t="str">
        <f t="shared" si="36"/>
        <v>815211170132</v>
      </c>
      <c r="B417" s="16">
        <v>815211</v>
      </c>
      <c r="C417" s="16" t="s">
        <v>475</v>
      </c>
      <c r="D417" s="3">
        <v>170132</v>
      </c>
      <c r="E417" s="3" t="s">
        <v>56</v>
      </c>
      <c r="F417" s="9">
        <v>50</v>
      </c>
      <c r="G417" s="9">
        <f>IFERROR(VLOOKUP(F417,Sheet1!$B$15:$D$38,3,1),0)</f>
        <v>160</v>
      </c>
      <c r="H417" s="38">
        <f t="shared" si="37"/>
        <v>-42.5</v>
      </c>
      <c r="I417" s="38">
        <f t="shared" si="38"/>
        <v>-37.5</v>
      </c>
      <c r="J417" s="38">
        <f t="shared" si="39"/>
        <v>-30</v>
      </c>
      <c r="K417" s="38">
        <f t="shared" si="40"/>
        <v>-20</v>
      </c>
      <c r="L417" s="38">
        <f t="shared" si="41"/>
        <v>0</v>
      </c>
      <c r="M417" s="3" t="s">
        <v>10</v>
      </c>
      <c r="N417" s="3" t="s">
        <v>10</v>
      </c>
      <c r="O417" s="3" t="s">
        <v>432</v>
      </c>
      <c r="P417" s="4">
        <v>44369</v>
      </c>
    </row>
    <row r="418" spans="1:16" x14ac:dyDescent="0.2">
      <c r="A418" s="3" t="str">
        <f t="shared" si="36"/>
        <v>811241170146</v>
      </c>
      <c r="B418" s="16">
        <v>811241</v>
      </c>
      <c r="C418" s="16" t="s">
        <v>482</v>
      </c>
      <c r="D418" s="3">
        <v>170146</v>
      </c>
      <c r="E418" s="3" t="s">
        <v>74</v>
      </c>
      <c r="F418" s="9">
        <v>0</v>
      </c>
      <c r="G418" s="9">
        <f>IFERROR(VLOOKUP(F418,Sheet1!$B$15:$D$38,3,1),0)</f>
        <v>0</v>
      </c>
      <c r="H418" s="38">
        <f t="shared" si="37"/>
        <v>7.5</v>
      </c>
      <c r="I418" s="38">
        <f t="shared" si="38"/>
        <v>12.5</v>
      </c>
      <c r="J418" s="38">
        <f t="shared" si="39"/>
        <v>20</v>
      </c>
      <c r="K418" s="38">
        <f t="shared" si="40"/>
        <v>30</v>
      </c>
      <c r="L418" s="38">
        <f t="shared" si="41"/>
        <v>50</v>
      </c>
      <c r="M418" s="3" t="s">
        <v>10</v>
      </c>
      <c r="N418" s="3" t="s">
        <v>10</v>
      </c>
      <c r="O418" s="3" t="s">
        <v>432</v>
      </c>
      <c r="P418" s="4">
        <v>43844</v>
      </c>
    </row>
    <row r="419" spans="1:16" x14ac:dyDescent="0.2">
      <c r="A419" s="3" t="str">
        <f t="shared" si="36"/>
        <v>811356170146</v>
      </c>
      <c r="B419" s="16">
        <v>811356</v>
      </c>
      <c r="C419" s="16" t="s">
        <v>87</v>
      </c>
      <c r="D419" s="1">
        <v>170146</v>
      </c>
      <c r="E419" s="3" t="s">
        <v>74</v>
      </c>
      <c r="F419" s="9">
        <v>0</v>
      </c>
      <c r="G419" s="9">
        <f>IFERROR(VLOOKUP(F419,Sheet1!$B$15:$D$38,3,1),0)</f>
        <v>0</v>
      </c>
      <c r="H419" s="38">
        <f t="shared" si="37"/>
        <v>7.5</v>
      </c>
      <c r="I419" s="38">
        <f t="shared" si="38"/>
        <v>12.5</v>
      </c>
      <c r="J419" s="38">
        <f t="shared" si="39"/>
        <v>20</v>
      </c>
      <c r="K419" s="38">
        <f t="shared" si="40"/>
        <v>30</v>
      </c>
      <c r="L419" s="38">
        <f t="shared" si="41"/>
        <v>50</v>
      </c>
      <c r="M419" s="3" t="s">
        <v>10</v>
      </c>
      <c r="N419" s="3" t="s">
        <v>10</v>
      </c>
      <c r="O419" s="3" t="s">
        <v>432</v>
      </c>
      <c r="P419" s="4">
        <v>43859</v>
      </c>
    </row>
    <row r="420" spans="1:16" x14ac:dyDescent="0.2">
      <c r="A420" s="3" t="str">
        <f t="shared" si="36"/>
        <v>811357170146</v>
      </c>
      <c r="B420" s="16">
        <v>811357</v>
      </c>
      <c r="C420" s="16" t="s">
        <v>457</v>
      </c>
      <c r="D420" s="3">
        <v>170146</v>
      </c>
      <c r="E420" s="3" t="s">
        <v>74</v>
      </c>
      <c r="F420" s="9">
        <v>0</v>
      </c>
      <c r="G420" s="9">
        <f>IFERROR(VLOOKUP(F420,Sheet1!$B$15:$D$38,3,1),0)</f>
        <v>0</v>
      </c>
      <c r="H420" s="38">
        <f t="shared" si="37"/>
        <v>7.5</v>
      </c>
      <c r="I420" s="38">
        <f t="shared" si="38"/>
        <v>12.5</v>
      </c>
      <c r="J420" s="38">
        <f t="shared" si="39"/>
        <v>20</v>
      </c>
      <c r="K420" s="38">
        <f t="shared" si="40"/>
        <v>30</v>
      </c>
      <c r="L420" s="38">
        <f t="shared" si="41"/>
        <v>50</v>
      </c>
      <c r="M420" s="3" t="s">
        <v>10</v>
      </c>
      <c r="N420" s="3" t="s">
        <v>10</v>
      </c>
      <c r="O420" s="3" t="s">
        <v>432</v>
      </c>
      <c r="P420" s="4">
        <v>43859</v>
      </c>
    </row>
    <row r="421" spans="1:16" x14ac:dyDescent="0.2">
      <c r="A421" s="3" t="str">
        <f t="shared" si="36"/>
        <v>812134170146</v>
      </c>
      <c r="B421" s="16">
        <v>812134</v>
      </c>
      <c r="C421" s="16" t="s">
        <v>75</v>
      </c>
      <c r="D421" s="1">
        <v>170146</v>
      </c>
      <c r="E421" s="3" t="s">
        <v>74</v>
      </c>
      <c r="F421" s="9">
        <v>0</v>
      </c>
      <c r="G421" s="9">
        <f>IFERROR(VLOOKUP(F421,Sheet1!$B$15:$D$38,3,1),0)</f>
        <v>0</v>
      </c>
      <c r="H421" s="38">
        <f t="shared" si="37"/>
        <v>7.5</v>
      </c>
      <c r="I421" s="38">
        <f t="shared" si="38"/>
        <v>12.5</v>
      </c>
      <c r="J421" s="38">
        <f t="shared" si="39"/>
        <v>20</v>
      </c>
      <c r="K421" s="38">
        <f t="shared" si="40"/>
        <v>30</v>
      </c>
      <c r="L421" s="38">
        <f t="shared" si="41"/>
        <v>50</v>
      </c>
      <c r="M421" s="3" t="s">
        <v>10</v>
      </c>
      <c r="N421" s="3" t="s">
        <v>10</v>
      </c>
      <c r="O421" s="3" t="s">
        <v>432</v>
      </c>
      <c r="P421" s="4">
        <v>44018</v>
      </c>
    </row>
    <row r="422" spans="1:16" x14ac:dyDescent="0.2">
      <c r="A422" s="3" t="str">
        <f t="shared" si="36"/>
        <v>812964170146</v>
      </c>
      <c r="B422" s="16">
        <v>812964</v>
      </c>
      <c r="C422" s="16" t="s">
        <v>207</v>
      </c>
      <c r="D422" s="1">
        <v>170146</v>
      </c>
      <c r="E422" s="3" t="s">
        <v>74</v>
      </c>
      <c r="F422" s="9">
        <v>0</v>
      </c>
      <c r="G422" s="9">
        <f>IFERROR(VLOOKUP(F422,Sheet1!$B$15:$D$38,3,1),0)</f>
        <v>0</v>
      </c>
      <c r="H422" s="38">
        <f t="shared" si="37"/>
        <v>7.5</v>
      </c>
      <c r="I422" s="38">
        <f t="shared" si="38"/>
        <v>12.5</v>
      </c>
      <c r="J422" s="38">
        <f t="shared" si="39"/>
        <v>20</v>
      </c>
      <c r="K422" s="38">
        <f t="shared" si="40"/>
        <v>30</v>
      </c>
      <c r="L422" s="38">
        <f t="shared" si="41"/>
        <v>50</v>
      </c>
      <c r="M422" s="3" t="s">
        <v>10</v>
      </c>
      <c r="N422" s="3" t="s">
        <v>10</v>
      </c>
      <c r="O422" s="3" t="s">
        <v>432</v>
      </c>
      <c r="P422" s="4">
        <v>44092</v>
      </c>
    </row>
    <row r="423" spans="1:16" x14ac:dyDescent="0.2">
      <c r="A423" s="3" t="str">
        <f t="shared" si="36"/>
        <v>813409170146</v>
      </c>
      <c r="B423" s="16">
        <v>813409</v>
      </c>
      <c r="C423" s="16" t="s">
        <v>184</v>
      </c>
      <c r="D423" s="1">
        <v>170146</v>
      </c>
      <c r="E423" s="3" t="s">
        <v>74</v>
      </c>
      <c r="F423" s="9">
        <v>0</v>
      </c>
      <c r="G423" s="9">
        <f>IFERROR(VLOOKUP(F423,Sheet1!$B$15:$D$38,3,1),0)</f>
        <v>0</v>
      </c>
      <c r="H423" s="38">
        <f t="shared" si="37"/>
        <v>7.5</v>
      </c>
      <c r="I423" s="38">
        <f t="shared" si="38"/>
        <v>12.5</v>
      </c>
      <c r="J423" s="38">
        <f t="shared" si="39"/>
        <v>20</v>
      </c>
      <c r="K423" s="38">
        <f t="shared" si="40"/>
        <v>30</v>
      </c>
      <c r="L423" s="38">
        <f t="shared" si="41"/>
        <v>50</v>
      </c>
      <c r="M423" s="3" t="s">
        <v>10</v>
      </c>
      <c r="N423" s="3" t="s">
        <v>10</v>
      </c>
      <c r="O423" s="3" t="s">
        <v>432</v>
      </c>
      <c r="P423" s="4">
        <v>44132</v>
      </c>
    </row>
    <row r="424" spans="1:16" x14ac:dyDescent="0.2">
      <c r="A424" s="3" t="str">
        <f t="shared" si="36"/>
        <v>813539170146</v>
      </c>
      <c r="B424" s="16">
        <v>813539</v>
      </c>
      <c r="C424" s="16" t="s">
        <v>171</v>
      </c>
      <c r="D424" s="1">
        <v>170146</v>
      </c>
      <c r="E424" s="3" t="s">
        <v>74</v>
      </c>
      <c r="F424" s="9">
        <v>42</v>
      </c>
      <c r="G424" s="9">
        <f>IFERROR(VLOOKUP(F424,Sheet1!$B$15:$D$38,3,1),0)</f>
        <v>80</v>
      </c>
      <c r="H424" s="38">
        <f t="shared" si="37"/>
        <v>-34.5</v>
      </c>
      <c r="I424" s="38">
        <f t="shared" si="38"/>
        <v>-29.5</v>
      </c>
      <c r="J424" s="38">
        <f t="shared" si="39"/>
        <v>-22</v>
      </c>
      <c r="K424" s="38">
        <f t="shared" si="40"/>
        <v>-12</v>
      </c>
      <c r="L424" s="38">
        <f t="shared" si="41"/>
        <v>8</v>
      </c>
      <c r="M424" s="3" t="s">
        <v>10</v>
      </c>
      <c r="N424" s="3" t="s">
        <v>10</v>
      </c>
      <c r="O424" s="3" t="s">
        <v>432</v>
      </c>
      <c r="P424" s="4">
        <v>44146</v>
      </c>
    </row>
    <row r="425" spans="1:16" x14ac:dyDescent="0.2">
      <c r="A425" s="3" t="str">
        <f t="shared" si="36"/>
        <v>814496170146</v>
      </c>
      <c r="B425" s="16">
        <v>814496</v>
      </c>
      <c r="C425" s="16" t="s">
        <v>81</v>
      </c>
      <c r="D425" s="1">
        <v>170146</v>
      </c>
      <c r="E425" s="3" t="s">
        <v>74</v>
      </c>
      <c r="F425" s="9">
        <v>0</v>
      </c>
      <c r="G425" s="9">
        <f>IFERROR(VLOOKUP(F425,Sheet1!$B$15:$D$38,3,1),0)</f>
        <v>0</v>
      </c>
      <c r="H425" s="38">
        <f t="shared" si="37"/>
        <v>7.5</v>
      </c>
      <c r="I425" s="38">
        <f t="shared" si="38"/>
        <v>12.5</v>
      </c>
      <c r="J425" s="38">
        <f t="shared" si="39"/>
        <v>20</v>
      </c>
      <c r="K425" s="38">
        <f t="shared" si="40"/>
        <v>30</v>
      </c>
      <c r="L425" s="38">
        <f t="shared" si="41"/>
        <v>50</v>
      </c>
      <c r="M425" s="3" t="s">
        <v>10</v>
      </c>
      <c r="N425" s="3" t="s">
        <v>10</v>
      </c>
      <c r="O425" s="3" t="s">
        <v>432</v>
      </c>
      <c r="P425" s="4">
        <v>44243</v>
      </c>
    </row>
    <row r="426" spans="1:16" x14ac:dyDescent="0.2">
      <c r="A426" s="3" t="str">
        <f t="shared" si="36"/>
        <v>814497170146</v>
      </c>
      <c r="B426" s="16">
        <v>814497</v>
      </c>
      <c r="C426" s="16" t="s">
        <v>240</v>
      </c>
      <c r="D426" s="1">
        <v>170146</v>
      </c>
      <c r="E426" s="3" t="s">
        <v>74</v>
      </c>
      <c r="F426" s="9">
        <v>0</v>
      </c>
      <c r="G426" s="9">
        <f>IFERROR(VLOOKUP(F426,Sheet1!$B$15:$D$38,3,1),0)</f>
        <v>0</v>
      </c>
      <c r="H426" s="38">
        <f t="shared" si="37"/>
        <v>7.5</v>
      </c>
      <c r="I426" s="38">
        <f t="shared" si="38"/>
        <v>12.5</v>
      </c>
      <c r="J426" s="38">
        <f t="shared" si="39"/>
        <v>20</v>
      </c>
      <c r="K426" s="38">
        <f t="shared" si="40"/>
        <v>30</v>
      </c>
      <c r="L426" s="38">
        <f t="shared" si="41"/>
        <v>50</v>
      </c>
      <c r="M426" s="3" t="s">
        <v>10</v>
      </c>
      <c r="N426" s="3" t="s">
        <v>10</v>
      </c>
      <c r="O426" s="3" t="s">
        <v>432</v>
      </c>
      <c r="P426" s="4">
        <v>44243</v>
      </c>
    </row>
    <row r="427" spans="1:16" x14ac:dyDescent="0.2">
      <c r="A427" s="3" t="str">
        <f t="shared" si="36"/>
        <v>815093170146</v>
      </c>
      <c r="B427" s="3">
        <v>815093</v>
      </c>
      <c r="C427" s="3" t="s">
        <v>440</v>
      </c>
      <c r="D427" s="3">
        <v>170146</v>
      </c>
      <c r="E427" s="3" t="s">
        <v>74</v>
      </c>
      <c r="F427" s="9">
        <v>0</v>
      </c>
      <c r="G427" s="9">
        <f>IFERROR(VLOOKUP(F427,Sheet1!$B$15:$D$38,3,1),0)</f>
        <v>0</v>
      </c>
      <c r="H427" s="38">
        <f t="shared" si="37"/>
        <v>7.5</v>
      </c>
      <c r="I427" s="38">
        <f t="shared" si="38"/>
        <v>12.5</v>
      </c>
      <c r="J427" s="38">
        <f t="shared" si="39"/>
        <v>20</v>
      </c>
      <c r="K427" s="38">
        <f t="shared" si="40"/>
        <v>30</v>
      </c>
      <c r="L427" s="38">
        <f t="shared" si="41"/>
        <v>50</v>
      </c>
      <c r="M427" s="3" t="s">
        <v>10</v>
      </c>
      <c r="N427" s="3" t="s">
        <v>10</v>
      </c>
      <c r="O427" s="3" t="s">
        <v>432</v>
      </c>
      <c r="P427" s="4">
        <v>44344</v>
      </c>
    </row>
    <row r="428" spans="1:16" x14ac:dyDescent="0.2">
      <c r="A428" s="3" t="str">
        <f t="shared" si="36"/>
        <v>815501170147</v>
      </c>
      <c r="B428" s="16">
        <v>815501</v>
      </c>
      <c r="C428" s="16" t="s">
        <v>191</v>
      </c>
      <c r="D428" s="3">
        <v>170147</v>
      </c>
      <c r="E428" s="3" t="s">
        <v>87</v>
      </c>
      <c r="F428" s="9">
        <v>0</v>
      </c>
      <c r="G428" s="9">
        <f>IFERROR(VLOOKUP(F428,Sheet1!$B$15:$D$38,3,1),0)</f>
        <v>0</v>
      </c>
      <c r="H428" s="38">
        <f t="shared" si="37"/>
        <v>7.5</v>
      </c>
      <c r="I428" s="38">
        <f t="shared" si="38"/>
        <v>12.5</v>
      </c>
      <c r="J428" s="38">
        <f t="shared" si="39"/>
        <v>20</v>
      </c>
      <c r="K428" s="38">
        <f t="shared" si="40"/>
        <v>30</v>
      </c>
      <c r="L428" s="38">
        <f t="shared" si="41"/>
        <v>50</v>
      </c>
      <c r="M428" s="3" t="s">
        <v>10</v>
      </c>
      <c r="N428" s="3" t="s">
        <v>10</v>
      </c>
      <c r="O428" s="3" t="s">
        <v>432</v>
      </c>
      <c r="P428" s="4">
        <v>44390</v>
      </c>
    </row>
    <row r="429" spans="1:16" x14ac:dyDescent="0.2">
      <c r="A429" s="3" t="str">
        <f t="shared" si="36"/>
        <v>808791170149</v>
      </c>
      <c r="B429" s="16">
        <v>808791</v>
      </c>
      <c r="C429" s="16" t="s">
        <v>205</v>
      </c>
      <c r="D429" s="1">
        <v>170149</v>
      </c>
      <c r="E429" s="3" t="s">
        <v>142</v>
      </c>
      <c r="F429" s="9">
        <v>0</v>
      </c>
      <c r="G429" s="9">
        <f>IFERROR(VLOOKUP(F429,Sheet1!$B$15:$D$38,3,1),0)</f>
        <v>0</v>
      </c>
      <c r="H429" s="38">
        <f t="shared" si="37"/>
        <v>7.5</v>
      </c>
      <c r="I429" s="38">
        <f t="shared" si="38"/>
        <v>12.5</v>
      </c>
      <c r="J429" s="38">
        <f t="shared" si="39"/>
        <v>20</v>
      </c>
      <c r="K429" s="38">
        <f t="shared" si="40"/>
        <v>30</v>
      </c>
      <c r="L429" s="38">
        <f t="shared" si="41"/>
        <v>50</v>
      </c>
      <c r="M429" s="3" t="s">
        <v>10</v>
      </c>
      <c r="N429" s="3" t="s">
        <v>10</v>
      </c>
      <c r="O429" s="3" t="s">
        <v>432</v>
      </c>
      <c r="P429" s="4">
        <v>43329</v>
      </c>
    </row>
    <row r="430" spans="1:16" x14ac:dyDescent="0.2">
      <c r="A430" s="3" t="str">
        <f t="shared" si="36"/>
        <v>812066170149</v>
      </c>
      <c r="B430" s="16">
        <v>812066</v>
      </c>
      <c r="C430" s="16" t="s">
        <v>40</v>
      </c>
      <c r="D430" s="1">
        <v>170149</v>
      </c>
      <c r="E430" s="3" t="s">
        <v>142</v>
      </c>
      <c r="F430" s="9">
        <v>0</v>
      </c>
      <c r="G430" s="9">
        <f>IFERROR(VLOOKUP(F430,Sheet1!$B$15:$D$38,3,1),0)</f>
        <v>0</v>
      </c>
      <c r="H430" s="38">
        <f t="shared" si="37"/>
        <v>7.5</v>
      </c>
      <c r="I430" s="38">
        <f t="shared" si="38"/>
        <v>12.5</v>
      </c>
      <c r="J430" s="38">
        <f t="shared" si="39"/>
        <v>20</v>
      </c>
      <c r="K430" s="38">
        <f t="shared" si="40"/>
        <v>30</v>
      </c>
      <c r="L430" s="38">
        <f t="shared" si="41"/>
        <v>50</v>
      </c>
      <c r="M430" s="3" t="s">
        <v>10</v>
      </c>
      <c r="N430" s="3" t="s">
        <v>10</v>
      </c>
      <c r="O430" s="3" t="s">
        <v>432</v>
      </c>
      <c r="P430" s="4">
        <v>44011</v>
      </c>
    </row>
    <row r="431" spans="1:16" x14ac:dyDescent="0.2">
      <c r="A431" s="3" t="str">
        <f t="shared" si="36"/>
        <v>813763170149</v>
      </c>
      <c r="B431" s="16">
        <v>813763</v>
      </c>
      <c r="C431" s="16" t="s">
        <v>212</v>
      </c>
      <c r="D431" s="1">
        <v>170149</v>
      </c>
      <c r="E431" s="3" t="s">
        <v>142</v>
      </c>
      <c r="F431" s="9">
        <v>0</v>
      </c>
      <c r="G431" s="9">
        <f>IFERROR(VLOOKUP(F431,Sheet1!$B$15:$D$38,3,1),0)</f>
        <v>0</v>
      </c>
      <c r="H431" s="38">
        <f t="shared" si="37"/>
        <v>7.5</v>
      </c>
      <c r="I431" s="38">
        <f t="shared" si="38"/>
        <v>12.5</v>
      </c>
      <c r="J431" s="38">
        <f t="shared" si="39"/>
        <v>20</v>
      </c>
      <c r="K431" s="38">
        <f t="shared" si="40"/>
        <v>30</v>
      </c>
      <c r="L431" s="38">
        <f t="shared" si="41"/>
        <v>50</v>
      </c>
      <c r="M431" s="3" t="s">
        <v>10</v>
      </c>
      <c r="N431" s="3" t="s">
        <v>10</v>
      </c>
      <c r="O431" s="3" t="s">
        <v>432</v>
      </c>
      <c r="P431" s="4">
        <v>44170</v>
      </c>
    </row>
    <row r="432" spans="1:16" x14ac:dyDescent="0.2">
      <c r="A432" s="3" t="str">
        <f t="shared" si="36"/>
        <v>814670170149</v>
      </c>
      <c r="B432" s="16">
        <v>814670</v>
      </c>
      <c r="C432" s="16" t="s">
        <v>208</v>
      </c>
      <c r="D432" s="1">
        <v>170149</v>
      </c>
      <c r="E432" s="3" t="s">
        <v>142</v>
      </c>
      <c r="F432" s="9">
        <v>0</v>
      </c>
      <c r="G432" s="9">
        <f>IFERROR(VLOOKUP(F432,Sheet1!$B$15:$D$38,3,1),0)</f>
        <v>0</v>
      </c>
      <c r="H432" s="38">
        <f t="shared" si="37"/>
        <v>7.5</v>
      </c>
      <c r="I432" s="38">
        <f t="shared" si="38"/>
        <v>12.5</v>
      </c>
      <c r="J432" s="38">
        <f t="shared" si="39"/>
        <v>20</v>
      </c>
      <c r="K432" s="38">
        <f t="shared" si="40"/>
        <v>30</v>
      </c>
      <c r="L432" s="38">
        <f t="shared" si="41"/>
        <v>50</v>
      </c>
      <c r="M432" s="3" t="s">
        <v>10</v>
      </c>
      <c r="N432" s="3" t="s">
        <v>10</v>
      </c>
      <c r="O432" s="3" t="s">
        <v>432</v>
      </c>
      <c r="P432" s="4">
        <v>44257</v>
      </c>
    </row>
    <row r="433" spans="1:16" x14ac:dyDescent="0.2">
      <c r="A433" s="3" t="str">
        <f t="shared" si="36"/>
        <v>816574170149</v>
      </c>
      <c r="B433" s="16">
        <v>816574</v>
      </c>
      <c r="C433" s="16" t="s">
        <v>568</v>
      </c>
      <c r="D433" s="3">
        <v>170149</v>
      </c>
      <c r="E433" s="3" t="s">
        <v>142</v>
      </c>
      <c r="F433" s="9">
        <v>0</v>
      </c>
      <c r="G433" s="9">
        <f>IFERROR(VLOOKUP(F433,Sheet1!$B$15:$D$38,3,1),0)</f>
        <v>0</v>
      </c>
      <c r="H433" s="38">
        <f t="shared" si="37"/>
        <v>7.5</v>
      </c>
      <c r="I433" s="38">
        <f t="shared" si="38"/>
        <v>12.5</v>
      </c>
      <c r="J433" s="38">
        <f t="shared" si="39"/>
        <v>20</v>
      </c>
      <c r="K433" s="38">
        <f t="shared" si="40"/>
        <v>30</v>
      </c>
      <c r="L433" s="38">
        <f t="shared" si="41"/>
        <v>50</v>
      </c>
      <c r="M433" s="3" t="s">
        <v>10</v>
      </c>
      <c r="N433" s="3" t="s">
        <v>10</v>
      </c>
      <c r="O433" s="3" t="s">
        <v>432</v>
      </c>
      <c r="P433" s="4">
        <v>44468</v>
      </c>
    </row>
    <row r="434" spans="1:16" x14ac:dyDescent="0.2">
      <c r="A434" s="3" t="str">
        <f t="shared" si="36"/>
        <v>803017170200</v>
      </c>
      <c r="B434" s="16">
        <v>803017</v>
      </c>
      <c r="C434" s="16" t="s">
        <v>93</v>
      </c>
      <c r="D434" s="1">
        <v>170200</v>
      </c>
      <c r="E434" s="3" t="s">
        <v>92</v>
      </c>
      <c r="F434" s="9">
        <v>0</v>
      </c>
      <c r="G434" s="9">
        <f>IFERROR(VLOOKUP(F434,Sheet1!$B$15:$D$38,3,1),0)</f>
        <v>0</v>
      </c>
      <c r="H434" s="38">
        <f t="shared" si="37"/>
        <v>7.5</v>
      </c>
      <c r="I434" s="38">
        <f t="shared" si="38"/>
        <v>12.5</v>
      </c>
      <c r="J434" s="38">
        <f t="shared" si="39"/>
        <v>20</v>
      </c>
      <c r="K434" s="38">
        <f t="shared" si="40"/>
        <v>30</v>
      </c>
      <c r="L434" s="38">
        <f t="shared" si="41"/>
        <v>50</v>
      </c>
      <c r="M434" s="3" t="s">
        <v>10</v>
      </c>
      <c r="N434" s="3" t="s">
        <v>10</v>
      </c>
      <c r="O434" s="3" t="s">
        <v>432</v>
      </c>
      <c r="P434" s="4">
        <v>41607</v>
      </c>
    </row>
    <row r="435" spans="1:16" x14ac:dyDescent="0.2">
      <c r="A435" s="3" t="str">
        <f t="shared" si="36"/>
        <v>803251170200</v>
      </c>
      <c r="B435" s="16">
        <v>803251</v>
      </c>
      <c r="C435" s="16" t="s">
        <v>221</v>
      </c>
      <c r="D435" s="1">
        <v>170200</v>
      </c>
      <c r="E435" s="3" t="s">
        <v>92</v>
      </c>
      <c r="F435" s="9">
        <v>0</v>
      </c>
      <c r="G435" s="9">
        <f>IFERROR(VLOOKUP(F435,Sheet1!$B$15:$D$38,3,1),0)</f>
        <v>0</v>
      </c>
      <c r="H435" s="38">
        <f t="shared" si="37"/>
        <v>7.5</v>
      </c>
      <c r="I435" s="38">
        <f t="shared" si="38"/>
        <v>12.5</v>
      </c>
      <c r="J435" s="38">
        <f t="shared" si="39"/>
        <v>20</v>
      </c>
      <c r="K435" s="38">
        <f t="shared" si="40"/>
        <v>30</v>
      </c>
      <c r="L435" s="38">
        <f t="shared" si="41"/>
        <v>50</v>
      </c>
      <c r="M435" s="3" t="s">
        <v>10</v>
      </c>
      <c r="N435" s="3" t="s">
        <v>10</v>
      </c>
      <c r="O435" s="3" t="s">
        <v>432</v>
      </c>
      <c r="P435" s="4">
        <v>41726</v>
      </c>
    </row>
    <row r="436" spans="1:16" x14ac:dyDescent="0.2">
      <c r="A436" s="3" t="str">
        <f t="shared" si="36"/>
        <v>806327170200</v>
      </c>
      <c r="B436" s="16">
        <v>806327</v>
      </c>
      <c r="C436" s="16" t="s">
        <v>94</v>
      </c>
      <c r="D436" s="1">
        <v>170200</v>
      </c>
      <c r="E436" s="3" t="s">
        <v>92</v>
      </c>
      <c r="F436" s="9">
        <v>0</v>
      </c>
      <c r="G436" s="9">
        <f>IFERROR(VLOOKUP(F436,Sheet1!$B$15:$D$38,3,1),0)</f>
        <v>0</v>
      </c>
      <c r="H436" s="38">
        <f t="shared" si="37"/>
        <v>7.5</v>
      </c>
      <c r="I436" s="38">
        <f t="shared" si="38"/>
        <v>12.5</v>
      </c>
      <c r="J436" s="38">
        <f t="shared" si="39"/>
        <v>20</v>
      </c>
      <c r="K436" s="38">
        <f t="shared" si="40"/>
        <v>30</v>
      </c>
      <c r="L436" s="38">
        <f t="shared" si="41"/>
        <v>50</v>
      </c>
      <c r="M436" s="3" t="s">
        <v>10</v>
      </c>
      <c r="N436" s="3" t="s">
        <v>10</v>
      </c>
      <c r="O436" s="3" t="s">
        <v>432</v>
      </c>
      <c r="P436" s="4">
        <v>42860</v>
      </c>
    </row>
    <row r="437" spans="1:16" x14ac:dyDescent="0.2">
      <c r="A437" s="3" t="str">
        <f t="shared" si="36"/>
        <v>806968170200</v>
      </c>
      <c r="B437" s="16">
        <v>806968</v>
      </c>
      <c r="C437" s="16" t="s">
        <v>197</v>
      </c>
      <c r="D437" s="1">
        <v>170200</v>
      </c>
      <c r="E437" s="3" t="s">
        <v>92</v>
      </c>
      <c r="F437" s="9">
        <v>0</v>
      </c>
      <c r="G437" s="9">
        <f>IFERROR(VLOOKUP(F437,Sheet1!$B$15:$D$38,3,1),0)</f>
        <v>0</v>
      </c>
      <c r="H437" s="38">
        <f t="shared" si="37"/>
        <v>7.5</v>
      </c>
      <c r="I437" s="38">
        <f t="shared" si="38"/>
        <v>12.5</v>
      </c>
      <c r="J437" s="38">
        <f t="shared" si="39"/>
        <v>20</v>
      </c>
      <c r="K437" s="38">
        <f t="shared" si="40"/>
        <v>30</v>
      </c>
      <c r="L437" s="38">
        <f t="shared" si="41"/>
        <v>50</v>
      </c>
      <c r="M437" s="3" t="s">
        <v>10</v>
      </c>
      <c r="N437" s="3" t="s">
        <v>10</v>
      </c>
      <c r="O437" s="3" t="s">
        <v>432</v>
      </c>
      <c r="P437" s="4">
        <v>43020</v>
      </c>
    </row>
    <row r="438" spans="1:16" x14ac:dyDescent="0.2">
      <c r="A438" s="3" t="str">
        <f t="shared" si="36"/>
        <v>817264170200</v>
      </c>
      <c r="B438" s="16">
        <v>817264</v>
      </c>
      <c r="C438" s="16" t="s">
        <v>614</v>
      </c>
      <c r="D438" s="3">
        <v>170200</v>
      </c>
      <c r="E438" s="3" t="s">
        <v>92</v>
      </c>
      <c r="F438" s="9">
        <v>0</v>
      </c>
      <c r="G438" s="9">
        <f>IFERROR(VLOOKUP(F438,Sheet1!$B$15:$D$38,3,1),0)</f>
        <v>0</v>
      </c>
      <c r="H438" s="38">
        <f t="shared" si="37"/>
        <v>7.5</v>
      </c>
      <c r="I438" s="38">
        <f t="shared" si="38"/>
        <v>12.5</v>
      </c>
      <c r="J438" s="38">
        <f t="shared" si="39"/>
        <v>20</v>
      </c>
      <c r="K438" s="38">
        <f t="shared" si="40"/>
        <v>30</v>
      </c>
      <c r="L438" s="38">
        <f t="shared" si="41"/>
        <v>50</v>
      </c>
      <c r="M438" s="3" t="s">
        <v>10</v>
      </c>
      <c r="N438" s="3" t="s">
        <v>10</v>
      </c>
      <c r="O438" s="3" t="s">
        <v>630</v>
      </c>
      <c r="P438" s="4">
        <v>44541</v>
      </c>
    </row>
    <row r="439" spans="1:16" x14ac:dyDescent="0.2">
      <c r="A439" s="3" t="str">
        <f t="shared" si="36"/>
        <v>803201170204</v>
      </c>
      <c r="B439" s="16">
        <v>803201</v>
      </c>
      <c r="C439" s="16" t="s">
        <v>180</v>
      </c>
      <c r="D439" s="3">
        <v>170204</v>
      </c>
      <c r="E439" s="3" t="s">
        <v>9</v>
      </c>
      <c r="F439" s="9">
        <v>0</v>
      </c>
      <c r="G439" s="9">
        <f>IFERROR(VLOOKUP(F439,Sheet1!$B$15:$D$38,3,1),0)</f>
        <v>0</v>
      </c>
      <c r="H439" s="38">
        <f t="shared" si="37"/>
        <v>7.5</v>
      </c>
      <c r="I439" s="38">
        <f t="shared" si="38"/>
        <v>12.5</v>
      </c>
      <c r="J439" s="38">
        <f t="shared" si="39"/>
        <v>20</v>
      </c>
      <c r="K439" s="38">
        <f t="shared" si="40"/>
        <v>30</v>
      </c>
      <c r="L439" s="38">
        <f t="shared" si="41"/>
        <v>50</v>
      </c>
      <c r="M439" s="3" t="s">
        <v>10</v>
      </c>
      <c r="N439" s="3" t="s">
        <v>10</v>
      </c>
      <c r="O439" s="3" t="s">
        <v>432</v>
      </c>
      <c r="P439" s="4">
        <v>41694</v>
      </c>
    </row>
    <row r="440" spans="1:16" x14ac:dyDescent="0.2">
      <c r="A440" s="3" t="str">
        <f t="shared" si="36"/>
        <v>803256170204</v>
      </c>
      <c r="B440" s="16">
        <v>803256</v>
      </c>
      <c r="C440" s="16" t="s">
        <v>11</v>
      </c>
      <c r="D440" s="1">
        <v>170204</v>
      </c>
      <c r="E440" s="3" t="s">
        <v>9</v>
      </c>
      <c r="F440" s="9">
        <v>84</v>
      </c>
      <c r="G440" s="9">
        <f>IFERROR(VLOOKUP(F440,Sheet1!$B$15:$D$38,3,1),0)</f>
        <v>160</v>
      </c>
      <c r="H440" s="38">
        <f t="shared" si="37"/>
        <v>-76.5</v>
      </c>
      <c r="I440" s="38">
        <f t="shared" si="38"/>
        <v>-71.5</v>
      </c>
      <c r="J440" s="38">
        <f t="shared" si="39"/>
        <v>-64</v>
      </c>
      <c r="K440" s="38">
        <f t="shared" si="40"/>
        <v>-54</v>
      </c>
      <c r="L440" s="38">
        <f t="shared" si="41"/>
        <v>-34</v>
      </c>
      <c r="M440" s="3" t="s">
        <v>10</v>
      </c>
      <c r="N440" s="3" t="s">
        <v>10</v>
      </c>
      <c r="O440" s="3" t="s">
        <v>432</v>
      </c>
      <c r="P440" s="4">
        <v>41726</v>
      </c>
    </row>
    <row r="441" spans="1:16" x14ac:dyDescent="0.2">
      <c r="A441" s="3" t="str">
        <f t="shared" si="36"/>
        <v>803364170204</v>
      </c>
      <c r="B441" s="16">
        <v>803364</v>
      </c>
      <c r="C441" s="16" t="s">
        <v>495</v>
      </c>
      <c r="D441" s="3">
        <v>170204</v>
      </c>
      <c r="E441" s="3" t="s">
        <v>9</v>
      </c>
      <c r="F441" s="9">
        <v>0</v>
      </c>
      <c r="G441" s="9">
        <f>IFERROR(VLOOKUP(F441,Sheet1!$B$15:$D$38,3,1),0)</f>
        <v>0</v>
      </c>
      <c r="H441" s="38">
        <f t="shared" si="37"/>
        <v>7.5</v>
      </c>
      <c r="I441" s="38">
        <f t="shared" si="38"/>
        <v>12.5</v>
      </c>
      <c r="J441" s="38">
        <f t="shared" si="39"/>
        <v>20</v>
      </c>
      <c r="K441" s="38">
        <f t="shared" si="40"/>
        <v>30</v>
      </c>
      <c r="L441" s="38">
        <f t="shared" si="41"/>
        <v>50</v>
      </c>
      <c r="M441" s="3" t="s">
        <v>10</v>
      </c>
      <c r="N441" s="3" t="s">
        <v>10</v>
      </c>
      <c r="O441" s="3" t="s">
        <v>432</v>
      </c>
      <c r="P441" s="4">
        <v>41782</v>
      </c>
    </row>
    <row r="442" spans="1:16" x14ac:dyDescent="0.2">
      <c r="A442" s="3" t="str">
        <f t="shared" si="36"/>
        <v>805574170204</v>
      </c>
      <c r="B442" s="16">
        <v>805574</v>
      </c>
      <c r="C442" s="16" t="s">
        <v>84</v>
      </c>
      <c r="D442" s="1">
        <v>170204</v>
      </c>
      <c r="E442" s="3" t="s">
        <v>9</v>
      </c>
      <c r="F442" s="9">
        <v>35</v>
      </c>
      <c r="G442" s="9">
        <f>IFERROR(VLOOKUP(F442,Sheet1!$B$15:$D$38,3,1),0)</f>
        <v>80</v>
      </c>
      <c r="H442" s="38">
        <f t="shared" si="37"/>
        <v>-27.5</v>
      </c>
      <c r="I442" s="38">
        <f t="shared" si="38"/>
        <v>-22.5</v>
      </c>
      <c r="J442" s="38">
        <f t="shared" si="39"/>
        <v>-15</v>
      </c>
      <c r="K442" s="38">
        <f t="shared" si="40"/>
        <v>-5</v>
      </c>
      <c r="L442" s="38">
        <f t="shared" si="41"/>
        <v>15</v>
      </c>
      <c r="M442" s="3" t="s">
        <v>10</v>
      </c>
      <c r="N442" s="3" t="s">
        <v>10</v>
      </c>
      <c r="O442" s="3" t="s">
        <v>432</v>
      </c>
      <c r="P442" s="4">
        <v>42641</v>
      </c>
    </row>
    <row r="443" spans="1:16" x14ac:dyDescent="0.2">
      <c r="A443" s="3" t="str">
        <f t="shared" si="36"/>
        <v>806051170204</v>
      </c>
      <c r="B443" s="16">
        <v>806051</v>
      </c>
      <c r="C443" s="16" t="s">
        <v>31</v>
      </c>
      <c r="D443" s="1">
        <v>170204</v>
      </c>
      <c r="E443" s="3" t="s">
        <v>9</v>
      </c>
      <c r="F443" s="9">
        <v>0</v>
      </c>
      <c r="G443" s="9">
        <f>IFERROR(VLOOKUP(F443,Sheet1!$B$15:$D$38,3,1),0)</f>
        <v>0</v>
      </c>
      <c r="H443" s="38">
        <f t="shared" si="37"/>
        <v>7.5</v>
      </c>
      <c r="I443" s="38">
        <f t="shared" si="38"/>
        <v>12.5</v>
      </c>
      <c r="J443" s="38">
        <f t="shared" si="39"/>
        <v>20</v>
      </c>
      <c r="K443" s="38">
        <f t="shared" si="40"/>
        <v>30</v>
      </c>
      <c r="L443" s="38">
        <f t="shared" si="41"/>
        <v>50</v>
      </c>
      <c r="M443" s="3" t="s">
        <v>10</v>
      </c>
      <c r="N443" s="3" t="s">
        <v>10</v>
      </c>
      <c r="O443" s="3" t="s">
        <v>432</v>
      </c>
      <c r="P443" s="4">
        <v>42780</v>
      </c>
    </row>
    <row r="444" spans="1:16" x14ac:dyDescent="0.2">
      <c r="A444" s="3" t="str">
        <f t="shared" si="36"/>
        <v>806322170204</v>
      </c>
      <c r="B444" s="16">
        <v>806322</v>
      </c>
      <c r="C444" s="16" t="s">
        <v>52</v>
      </c>
      <c r="D444" s="1">
        <v>170204</v>
      </c>
      <c r="E444" s="3" t="s">
        <v>9</v>
      </c>
      <c r="F444" s="9">
        <v>0</v>
      </c>
      <c r="G444" s="9">
        <f>IFERROR(VLOOKUP(F444,Sheet1!$B$15:$D$38,3,1),0)</f>
        <v>0</v>
      </c>
      <c r="H444" s="38">
        <f t="shared" si="37"/>
        <v>7.5</v>
      </c>
      <c r="I444" s="38">
        <f t="shared" si="38"/>
        <v>12.5</v>
      </c>
      <c r="J444" s="38">
        <f t="shared" si="39"/>
        <v>20</v>
      </c>
      <c r="K444" s="38">
        <f t="shared" si="40"/>
        <v>30</v>
      </c>
      <c r="L444" s="38">
        <f t="shared" si="41"/>
        <v>50</v>
      </c>
      <c r="M444" s="3" t="s">
        <v>10</v>
      </c>
      <c r="N444" s="3" t="s">
        <v>10</v>
      </c>
      <c r="O444" s="3" t="s">
        <v>432</v>
      </c>
      <c r="P444" s="4">
        <v>42860</v>
      </c>
    </row>
    <row r="445" spans="1:16" x14ac:dyDescent="0.2">
      <c r="A445" s="3" t="str">
        <f t="shared" si="36"/>
        <v>806323170204</v>
      </c>
      <c r="B445" s="16">
        <v>806323</v>
      </c>
      <c r="C445" s="16" t="s">
        <v>30</v>
      </c>
      <c r="D445" s="1">
        <v>170204</v>
      </c>
      <c r="E445" s="3" t="s">
        <v>9</v>
      </c>
      <c r="F445" s="9">
        <v>0</v>
      </c>
      <c r="G445" s="9">
        <f>IFERROR(VLOOKUP(F445,Sheet1!$B$15:$D$38,3,1),0)</f>
        <v>0</v>
      </c>
      <c r="H445" s="38">
        <f t="shared" si="37"/>
        <v>7.5</v>
      </c>
      <c r="I445" s="38">
        <f t="shared" si="38"/>
        <v>12.5</v>
      </c>
      <c r="J445" s="38">
        <f t="shared" si="39"/>
        <v>20</v>
      </c>
      <c r="K445" s="38">
        <f t="shared" si="40"/>
        <v>30</v>
      </c>
      <c r="L445" s="38">
        <f t="shared" si="41"/>
        <v>50</v>
      </c>
      <c r="M445" s="3" t="s">
        <v>10</v>
      </c>
      <c r="N445" s="3" t="s">
        <v>10</v>
      </c>
      <c r="O445" s="3" t="s">
        <v>432</v>
      </c>
      <c r="P445" s="4">
        <v>42860</v>
      </c>
    </row>
    <row r="446" spans="1:16" x14ac:dyDescent="0.2">
      <c r="A446" s="3" t="str">
        <f t="shared" si="36"/>
        <v>806346170204</v>
      </c>
      <c r="B446" s="16">
        <v>806346</v>
      </c>
      <c r="C446" s="16" t="s">
        <v>39</v>
      </c>
      <c r="D446" s="1">
        <v>170204</v>
      </c>
      <c r="E446" s="3" t="s">
        <v>9</v>
      </c>
      <c r="F446" s="9">
        <v>55</v>
      </c>
      <c r="G446" s="9">
        <f>IFERROR(VLOOKUP(F446,Sheet1!$B$15:$D$38,3,1),0)</f>
        <v>160</v>
      </c>
      <c r="H446" s="38">
        <f t="shared" si="37"/>
        <v>-47.5</v>
      </c>
      <c r="I446" s="38">
        <f t="shared" si="38"/>
        <v>-42.5</v>
      </c>
      <c r="J446" s="38">
        <f t="shared" si="39"/>
        <v>-35</v>
      </c>
      <c r="K446" s="38">
        <f t="shared" si="40"/>
        <v>-25</v>
      </c>
      <c r="L446" s="38">
        <f t="shared" si="41"/>
        <v>-5</v>
      </c>
      <c r="M446" s="3" t="s">
        <v>10</v>
      </c>
      <c r="N446" s="3" t="s">
        <v>10</v>
      </c>
      <c r="O446" s="3" t="s">
        <v>432</v>
      </c>
      <c r="P446" s="4">
        <v>42864</v>
      </c>
    </row>
    <row r="447" spans="1:16" x14ac:dyDescent="0.2">
      <c r="A447" s="3" t="str">
        <f t="shared" si="36"/>
        <v>806748170204</v>
      </c>
      <c r="B447" s="16">
        <v>806748</v>
      </c>
      <c r="C447" s="16" t="s">
        <v>102</v>
      </c>
      <c r="D447" s="1">
        <v>170204</v>
      </c>
      <c r="E447" s="3" t="s">
        <v>9</v>
      </c>
      <c r="F447" s="9">
        <v>35</v>
      </c>
      <c r="G447" s="9">
        <f>IFERROR(VLOOKUP(F447,Sheet1!$B$15:$D$38,3,1),0)</f>
        <v>80</v>
      </c>
      <c r="H447" s="38">
        <f t="shared" si="37"/>
        <v>-27.5</v>
      </c>
      <c r="I447" s="38">
        <f t="shared" si="38"/>
        <v>-22.5</v>
      </c>
      <c r="J447" s="38">
        <f t="shared" si="39"/>
        <v>-15</v>
      </c>
      <c r="K447" s="38">
        <f t="shared" si="40"/>
        <v>-5</v>
      </c>
      <c r="L447" s="38">
        <f t="shared" si="41"/>
        <v>15</v>
      </c>
      <c r="M447" s="3" t="s">
        <v>10</v>
      </c>
      <c r="N447" s="3" t="s">
        <v>10</v>
      </c>
      <c r="O447" s="3" t="s">
        <v>432</v>
      </c>
      <c r="P447" s="4">
        <v>43372</v>
      </c>
    </row>
    <row r="448" spans="1:16" x14ac:dyDescent="0.2">
      <c r="A448" s="3" t="str">
        <f t="shared" si="36"/>
        <v>807017170204</v>
      </c>
      <c r="B448" s="16">
        <v>807017</v>
      </c>
      <c r="C448" s="16" t="s">
        <v>282</v>
      </c>
      <c r="D448" s="1">
        <v>170204</v>
      </c>
      <c r="E448" s="3" t="s">
        <v>9</v>
      </c>
      <c r="F448" s="9">
        <v>0</v>
      </c>
      <c r="G448" s="9">
        <f>IFERROR(VLOOKUP(F448,Sheet1!$B$15:$D$38,3,1),0)</f>
        <v>0</v>
      </c>
      <c r="H448" s="38">
        <f t="shared" si="37"/>
        <v>7.5</v>
      </c>
      <c r="I448" s="38">
        <f t="shared" si="38"/>
        <v>12.5</v>
      </c>
      <c r="J448" s="38">
        <f t="shared" si="39"/>
        <v>20</v>
      </c>
      <c r="K448" s="38">
        <f t="shared" si="40"/>
        <v>30</v>
      </c>
      <c r="L448" s="38">
        <f t="shared" si="41"/>
        <v>50</v>
      </c>
      <c r="M448" s="3" t="s">
        <v>10</v>
      </c>
      <c r="N448" s="3" t="s">
        <v>10</v>
      </c>
      <c r="O448" s="3" t="s">
        <v>432</v>
      </c>
      <c r="P448" s="4">
        <v>43036</v>
      </c>
    </row>
    <row r="449" spans="1:16" x14ac:dyDescent="0.2">
      <c r="A449" s="3" t="str">
        <f t="shared" si="36"/>
        <v>807988170204</v>
      </c>
      <c r="B449" s="16">
        <v>807988</v>
      </c>
      <c r="C449" s="16" t="s">
        <v>147</v>
      </c>
      <c r="D449" s="1">
        <v>170204</v>
      </c>
      <c r="E449" s="3" t="s">
        <v>9</v>
      </c>
      <c r="F449" s="9">
        <v>0</v>
      </c>
      <c r="G449" s="9">
        <f>IFERROR(VLOOKUP(F449,Sheet1!$B$15:$D$38,3,1),0)</f>
        <v>0</v>
      </c>
      <c r="H449" s="38">
        <f t="shared" si="37"/>
        <v>7.5</v>
      </c>
      <c r="I449" s="38">
        <f t="shared" si="38"/>
        <v>12.5</v>
      </c>
      <c r="J449" s="38">
        <f t="shared" si="39"/>
        <v>20</v>
      </c>
      <c r="K449" s="38">
        <f t="shared" si="40"/>
        <v>30</v>
      </c>
      <c r="L449" s="38">
        <f t="shared" si="41"/>
        <v>50</v>
      </c>
      <c r="M449" s="3" t="s">
        <v>10</v>
      </c>
      <c r="N449" s="3" t="s">
        <v>10</v>
      </c>
      <c r="O449" s="3" t="s">
        <v>432</v>
      </c>
      <c r="P449" s="4">
        <v>43140</v>
      </c>
    </row>
    <row r="450" spans="1:16" x14ac:dyDescent="0.2">
      <c r="A450" s="3" t="str">
        <f t="shared" si="36"/>
        <v>808094170204</v>
      </c>
      <c r="B450" s="16">
        <v>808094</v>
      </c>
      <c r="C450" s="16" t="s">
        <v>101</v>
      </c>
      <c r="D450" s="3">
        <v>170204</v>
      </c>
      <c r="E450" s="3" t="s">
        <v>9</v>
      </c>
      <c r="F450" s="9">
        <v>0</v>
      </c>
      <c r="G450" s="9">
        <f>IFERROR(VLOOKUP(F450,Sheet1!$B$15:$D$38,3,1),0)</f>
        <v>0</v>
      </c>
      <c r="H450" s="38">
        <f t="shared" si="37"/>
        <v>7.5</v>
      </c>
      <c r="I450" s="38">
        <f t="shared" si="38"/>
        <v>12.5</v>
      </c>
      <c r="J450" s="38">
        <f t="shared" si="39"/>
        <v>20</v>
      </c>
      <c r="K450" s="38">
        <f t="shared" si="40"/>
        <v>30</v>
      </c>
      <c r="L450" s="38">
        <f t="shared" si="41"/>
        <v>50</v>
      </c>
      <c r="M450" s="3" t="s">
        <v>10</v>
      </c>
      <c r="N450" s="3" t="s">
        <v>10</v>
      </c>
      <c r="O450" s="3" t="s">
        <v>432</v>
      </c>
      <c r="P450" s="4">
        <v>43165</v>
      </c>
    </row>
    <row r="451" spans="1:16" x14ac:dyDescent="0.2">
      <c r="A451" s="3" t="str">
        <f t="shared" ref="A451:A511" si="42">B451&amp;D451</f>
        <v>808259170204</v>
      </c>
      <c r="B451" s="16">
        <v>808259</v>
      </c>
      <c r="C451" s="16" t="s">
        <v>151</v>
      </c>
      <c r="D451" s="1">
        <v>170204</v>
      </c>
      <c r="E451" s="3" t="s">
        <v>9</v>
      </c>
      <c r="F451" s="9">
        <v>0</v>
      </c>
      <c r="G451" s="9">
        <f>IFERROR(VLOOKUP(F451,Sheet1!$B$15:$D$38,3,1),0)</f>
        <v>0</v>
      </c>
      <c r="H451" s="38">
        <f t="shared" si="37"/>
        <v>7.5</v>
      </c>
      <c r="I451" s="38">
        <f t="shared" si="38"/>
        <v>12.5</v>
      </c>
      <c r="J451" s="38">
        <f t="shared" si="39"/>
        <v>20</v>
      </c>
      <c r="K451" s="38">
        <f t="shared" si="40"/>
        <v>30</v>
      </c>
      <c r="L451" s="38">
        <f t="shared" si="41"/>
        <v>50</v>
      </c>
      <c r="M451" s="3" t="s">
        <v>10</v>
      </c>
      <c r="N451" s="3" t="s">
        <v>10</v>
      </c>
      <c r="O451" s="3" t="s">
        <v>432</v>
      </c>
      <c r="P451" s="4">
        <v>43154</v>
      </c>
    </row>
    <row r="452" spans="1:16" x14ac:dyDescent="0.2">
      <c r="A452" s="3" t="str">
        <f t="shared" si="42"/>
        <v>808791170204</v>
      </c>
      <c r="B452" s="16">
        <v>808791</v>
      </c>
      <c r="C452" s="16" t="s">
        <v>205</v>
      </c>
      <c r="D452" s="3">
        <v>170204</v>
      </c>
      <c r="E452" s="3" t="s">
        <v>9</v>
      </c>
      <c r="F452" s="9">
        <v>0</v>
      </c>
      <c r="G452" s="9">
        <f>IFERROR(VLOOKUP(F452,Sheet1!$B$15:$D$38,3,1),0)</f>
        <v>0</v>
      </c>
      <c r="H452" s="38">
        <f t="shared" ref="H452:H511" si="43">$H$2-$F452</f>
        <v>7.5</v>
      </c>
      <c r="I452" s="38">
        <f t="shared" ref="I452:I511" si="44">$I$2-$F452</f>
        <v>12.5</v>
      </c>
      <c r="J452" s="38">
        <f t="shared" ref="J452:J511" si="45">$J$2-$F452</f>
        <v>20</v>
      </c>
      <c r="K452" s="38">
        <f t="shared" ref="K452:K511" si="46">$K$2-$F452</f>
        <v>30</v>
      </c>
      <c r="L452" s="38">
        <f t="shared" ref="L452:L511" si="47">$L$2-$F452</f>
        <v>50</v>
      </c>
      <c r="M452" s="3" t="s">
        <v>10</v>
      </c>
      <c r="N452" s="3" t="s">
        <v>10</v>
      </c>
      <c r="O452" s="3" t="s">
        <v>432</v>
      </c>
      <c r="P452" s="4">
        <v>43329</v>
      </c>
    </row>
    <row r="453" spans="1:16" x14ac:dyDescent="0.2">
      <c r="A453" s="3" t="str">
        <f t="shared" si="42"/>
        <v>809580170204</v>
      </c>
      <c r="B453" s="16">
        <v>809580</v>
      </c>
      <c r="C453" s="16" t="s">
        <v>445</v>
      </c>
      <c r="D453" s="1">
        <v>170204</v>
      </c>
      <c r="E453" s="3" t="s">
        <v>9</v>
      </c>
      <c r="F453" s="9">
        <v>0</v>
      </c>
      <c r="G453" s="9">
        <f>IFERROR(VLOOKUP(F453,Sheet1!$B$15:$D$38,3,1),0)</f>
        <v>0</v>
      </c>
      <c r="H453" s="38">
        <f t="shared" si="43"/>
        <v>7.5</v>
      </c>
      <c r="I453" s="38">
        <f t="shared" si="44"/>
        <v>12.5</v>
      </c>
      <c r="J453" s="38">
        <f t="shared" si="45"/>
        <v>20</v>
      </c>
      <c r="K453" s="38">
        <f t="shared" si="46"/>
        <v>30</v>
      </c>
      <c r="L453" s="38">
        <f t="shared" si="47"/>
        <v>50</v>
      </c>
      <c r="M453" s="3" t="s">
        <v>10</v>
      </c>
      <c r="N453" s="3" t="s">
        <v>10</v>
      </c>
      <c r="O453" s="3" t="s">
        <v>432</v>
      </c>
      <c r="P453" s="4">
        <v>43605</v>
      </c>
    </row>
    <row r="454" spans="1:16" x14ac:dyDescent="0.2">
      <c r="A454" s="3" t="str">
        <f t="shared" si="42"/>
        <v>811032170204</v>
      </c>
      <c r="B454" s="16">
        <v>811032</v>
      </c>
      <c r="C454" s="16" t="s">
        <v>393</v>
      </c>
      <c r="D454" s="1">
        <v>170204</v>
      </c>
      <c r="E454" s="3" t="s">
        <v>9</v>
      </c>
      <c r="F454" s="9">
        <v>0</v>
      </c>
      <c r="G454" s="9">
        <f>IFERROR(VLOOKUP(F454,Sheet1!$B$15:$D$38,3,1),0)</f>
        <v>0</v>
      </c>
      <c r="H454" s="38">
        <f t="shared" si="43"/>
        <v>7.5</v>
      </c>
      <c r="I454" s="38">
        <f t="shared" si="44"/>
        <v>12.5</v>
      </c>
      <c r="J454" s="38">
        <f t="shared" si="45"/>
        <v>20</v>
      </c>
      <c r="K454" s="38">
        <f t="shared" si="46"/>
        <v>30</v>
      </c>
      <c r="L454" s="38">
        <f t="shared" si="47"/>
        <v>50</v>
      </c>
      <c r="M454" s="3" t="s">
        <v>10</v>
      </c>
      <c r="N454" s="3" t="s">
        <v>10</v>
      </c>
      <c r="O454" s="3" t="s">
        <v>432</v>
      </c>
      <c r="P454" s="4">
        <v>43820</v>
      </c>
    </row>
    <row r="455" spans="1:16" x14ac:dyDescent="0.2">
      <c r="A455" s="3" t="str">
        <f t="shared" si="42"/>
        <v>811107170204</v>
      </c>
      <c r="B455" s="16">
        <v>811107</v>
      </c>
      <c r="C455" s="16" t="s">
        <v>490</v>
      </c>
      <c r="D455" s="3">
        <v>170204</v>
      </c>
      <c r="E455" s="3" t="s">
        <v>9</v>
      </c>
      <c r="F455" s="9">
        <v>0</v>
      </c>
      <c r="G455" s="9">
        <f>IFERROR(VLOOKUP(F455,Sheet1!$B$15:$D$38,3,1),0)</f>
        <v>0</v>
      </c>
      <c r="H455" s="38">
        <f t="shared" si="43"/>
        <v>7.5</v>
      </c>
      <c r="I455" s="38">
        <f t="shared" si="44"/>
        <v>12.5</v>
      </c>
      <c r="J455" s="38">
        <f t="shared" si="45"/>
        <v>20</v>
      </c>
      <c r="K455" s="38">
        <f t="shared" si="46"/>
        <v>30</v>
      </c>
      <c r="L455" s="38">
        <f t="shared" si="47"/>
        <v>50</v>
      </c>
      <c r="M455" s="3" t="s">
        <v>10</v>
      </c>
      <c r="N455" s="3" t="s">
        <v>10</v>
      </c>
      <c r="O455" s="3" t="s">
        <v>432</v>
      </c>
      <c r="P455" s="4">
        <v>43826</v>
      </c>
    </row>
    <row r="456" spans="1:16" x14ac:dyDescent="0.2">
      <c r="A456" s="3" t="str">
        <f t="shared" si="42"/>
        <v>811324170204</v>
      </c>
      <c r="B456" s="16">
        <v>811324</v>
      </c>
      <c r="C456" s="16" t="s">
        <v>40</v>
      </c>
      <c r="D456" s="1">
        <v>170204</v>
      </c>
      <c r="E456" s="3" t="s">
        <v>9</v>
      </c>
      <c r="F456" s="9">
        <v>45</v>
      </c>
      <c r="G456" s="9">
        <f>IFERROR(VLOOKUP(F456,Sheet1!$B$15:$D$38,3,1),0)</f>
        <v>80</v>
      </c>
      <c r="H456" s="38">
        <f t="shared" si="43"/>
        <v>-37.5</v>
      </c>
      <c r="I456" s="38">
        <f t="shared" si="44"/>
        <v>-32.5</v>
      </c>
      <c r="J456" s="38">
        <f t="shared" si="45"/>
        <v>-25</v>
      </c>
      <c r="K456" s="38">
        <f t="shared" si="46"/>
        <v>-15</v>
      </c>
      <c r="L456" s="38">
        <f t="shared" si="47"/>
        <v>5</v>
      </c>
      <c r="M456" s="3" t="s">
        <v>10</v>
      </c>
      <c r="N456" s="3" t="s">
        <v>10</v>
      </c>
      <c r="O456" s="3" t="s">
        <v>432</v>
      </c>
      <c r="P456" s="4">
        <v>43855</v>
      </c>
    </row>
    <row r="457" spans="1:16" x14ac:dyDescent="0.2">
      <c r="A457" s="3" t="str">
        <f t="shared" si="42"/>
        <v>812066170204</v>
      </c>
      <c r="B457" s="16">
        <v>812066</v>
      </c>
      <c r="C457" s="16" t="s">
        <v>40</v>
      </c>
      <c r="D457" s="3">
        <v>170204</v>
      </c>
      <c r="E457" s="3" t="s">
        <v>9</v>
      </c>
      <c r="F457" s="9">
        <v>0</v>
      </c>
      <c r="G457" s="9">
        <f>IFERROR(VLOOKUP(F457,Sheet1!$B$15:$D$38,3,1),0)</f>
        <v>0</v>
      </c>
      <c r="H457" s="38">
        <f t="shared" si="43"/>
        <v>7.5</v>
      </c>
      <c r="I457" s="38">
        <f t="shared" si="44"/>
        <v>12.5</v>
      </c>
      <c r="J457" s="38">
        <f t="shared" si="45"/>
        <v>20</v>
      </c>
      <c r="K457" s="38">
        <f t="shared" si="46"/>
        <v>30</v>
      </c>
      <c r="L457" s="38">
        <f t="shared" si="47"/>
        <v>50</v>
      </c>
      <c r="M457" s="3" t="s">
        <v>10</v>
      </c>
      <c r="N457" s="3" t="s">
        <v>10</v>
      </c>
      <c r="O457" s="3" t="s">
        <v>432</v>
      </c>
      <c r="P457" s="4">
        <v>44011</v>
      </c>
    </row>
    <row r="458" spans="1:16" x14ac:dyDescent="0.2">
      <c r="A458" s="3" t="str">
        <f t="shared" si="42"/>
        <v>813054170204</v>
      </c>
      <c r="B458" s="16">
        <v>813054</v>
      </c>
      <c r="C458" s="16" t="s">
        <v>53</v>
      </c>
      <c r="D458" s="1">
        <v>170204</v>
      </c>
      <c r="E458" s="3" t="s">
        <v>9</v>
      </c>
      <c r="F458" s="9">
        <v>0</v>
      </c>
      <c r="G458" s="9">
        <f>IFERROR(VLOOKUP(F458,Sheet1!$B$15:$D$38,3,1),0)</f>
        <v>0</v>
      </c>
      <c r="H458" s="38">
        <f t="shared" si="43"/>
        <v>7.5</v>
      </c>
      <c r="I458" s="38">
        <f t="shared" si="44"/>
        <v>12.5</v>
      </c>
      <c r="J458" s="38">
        <f t="shared" si="45"/>
        <v>20</v>
      </c>
      <c r="K458" s="38">
        <f t="shared" si="46"/>
        <v>30</v>
      </c>
      <c r="L458" s="38">
        <f t="shared" si="47"/>
        <v>50</v>
      </c>
      <c r="M458" s="3" t="s">
        <v>10</v>
      </c>
      <c r="N458" s="3" t="s">
        <v>10</v>
      </c>
      <c r="O458" s="3" t="s">
        <v>432</v>
      </c>
      <c r="P458" s="4">
        <v>44098</v>
      </c>
    </row>
    <row r="459" spans="1:16" x14ac:dyDescent="0.2">
      <c r="A459" s="3" t="str">
        <f t="shared" si="42"/>
        <v>813541170204</v>
      </c>
      <c r="B459" s="16">
        <v>813541</v>
      </c>
      <c r="C459" s="5" t="s">
        <v>60</v>
      </c>
      <c r="D459" s="6">
        <v>170204</v>
      </c>
      <c r="E459" s="5" t="s">
        <v>9</v>
      </c>
      <c r="F459" s="9">
        <v>0</v>
      </c>
      <c r="G459" s="9">
        <f>IFERROR(VLOOKUP(F459,Sheet1!$B$15:$D$38,3,1),0)</f>
        <v>0</v>
      </c>
      <c r="H459" s="38">
        <f t="shared" si="43"/>
        <v>7.5</v>
      </c>
      <c r="I459" s="38">
        <f t="shared" si="44"/>
        <v>12.5</v>
      </c>
      <c r="J459" s="38">
        <f t="shared" si="45"/>
        <v>20</v>
      </c>
      <c r="K459" s="38">
        <f t="shared" si="46"/>
        <v>30</v>
      </c>
      <c r="L459" s="38">
        <f t="shared" si="47"/>
        <v>50</v>
      </c>
      <c r="M459" s="3" t="s">
        <v>10</v>
      </c>
      <c r="N459" s="3" t="s">
        <v>10</v>
      </c>
      <c r="O459" s="3" t="s">
        <v>432</v>
      </c>
      <c r="P459" s="4">
        <v>44146</v>
      </c>
    </row>
    <row r="460" spans="1:16" x14ac:dyDescent="0.2">
      <c r="A460" s="3" t="str">
        <f t="shared" si="42"/>
        <v>813763170204</v>
      </c>
      <c r="B460" s="16">
        <v>813763</v>
      </c>
      <c r="C460" s="16" t="s">
        <v>212</v>
      </c>
      <c r="D460" s="3">
        <v>170204</v>
      </c>
      <c r="E460" s="3" t="s">
        <v>9</v>
      </c>
      <c r="F460" s="9">
        <v>0</v>
      </c>
      <c r="G460" s="9">
        <f>IFERROR(VLOOKUP(F460,Sheet1!$B$15:$D$38,3,1),0)</f>
        <v>0</v>
      </c>
      <c r="H460" s="38">
        <f t="shared" si="43"/>
        <v>7.5</v>
      </c>
      <c r="I460" s="38">
        <f t="shared" si="44"/>
        <v>12.5</v>
      </c>
      <c r="J460" s="38">
        <f t="shared" si="45"/>
        <v>20</v>
      </c>
      <c r="K460" s="38">
        <f t="shared" si="46"/>
        <v>30</v>
      </c>
      <c r="L460" s="38">
        <f t="shared" si="47"/>
        <v>50</v>
      </c>
      <c r="M460" s="3" t="s">
        <v>10</v>
      </c>
      <c r="N460" s="3" t="s">
        <v>10</v>
      </c>
      <c r="O460" s="3" t="s">
        <v>432</v>
      </c>
      <c r="P460" s="4">
        <v>44170</v>
      </c>
    </row>
    <row r="461" spans="1:16" x14ac:dyDescent="0.2">
      <c r="A461" s="3" t="str">
        <f t="shared" si="42"/>
        <v>813765170204</v>
      </c>
      <c r="B461" s="16">
        <v>813765</v>
      </c>
      <c r="C461" s="16" t="s">
        <v>47</v>
      </c>
      <c r="D461" s="1">
        <v>170204</v>
      </c>
      <c r="E461" s="3" t="s">
        <v>9</v>
      </c>
      <c r="F461" s="9">
        <v>84</v>
      </c>
      <c r="G461" s="9">
        <f>IFERROR(VLOOKUP(F461,Sheet1!$B$15:$D$38,3,1),0)</f>
        <v>160</v>
      </c>
      <c r="H461" s="38">
        <f t="shared" si="43"/>
        <v>-76.5</v>
      </c>
      <c r="I461" s="38">
        <f t="shared" si="44"/>
        <v>-71.5</v>
      </c>
      <c r="J461" s="38">
        <f t="shared" si="45"/>
        <v>-64</v>
      </c>
      <c r="K461" s="38">
        <f t="shared" si="46"/>
        <v>-54</v>
      </c>
      <c r="L461" s="38">
        <f t="shared" si="47"/>
        <v>-34</v>
      </c>
      <c r="M461" s="3" t="s">
        <v>10</v>
      </c>
      <c r="N461" s="3" t="s">
        <v>10</v>
      </c>
      <c r="O461" s="3" t="s">
        <v>432</v>
      </c>
      <c r="P461" s="4">
        <v>44170</v>
      </c>
    </row>
    <row r="462" spans="1:16" x14ac:dyDescent="0.2">
      <c r="A462" s="3" t="str">
        <f t="shared" si="42"/>
        <v>813847170204</v>
      </c>
      <c r="B462" s="16">
        <v>813847</v>
      </c>
      <c r="C462" s="16" t="s">
        <v>162</v>
      </c>
      <c r="D462" s="1">
        <v>170204</v>
      </c>
      <c r="E462" s="3" t="s">
        <v>9</v>
      </c>
      <c r="F462" s="9">
        <v>0</v>
      </c>
      <c r="G462" s="9">
        <f>IFERROR(VLOOKUP(F462,Sheet1!$B$15:$D$38,3,1),0)</f>
        <v>0</v>
      </c>
      <c r="H462" s="38">
        <f t="shared" si="43"/>
        <v>7.5</v>
      </c>
      <c r="I462" s="38">
        <f t="shared" si="44"/>
        <v>12.5</v>
      </c>
      <c r="J462" s="38">
        <f t="shared" si="45"/>
        <v>20</v>
      </c>
      <c r="K462" s="38">
        <f t="shared" si="46"/>
        <v>30</v>
      </c>
      <c r="L462" s="38">
        <f t="shared" si="47"/>
        <v>50</v>
      </c>
      <c r="M462" s="3" t="s">
        <v>10</v>
      </c>
      <c r="N462" s="3" t="s">
        <v>10</v>
      </c>
      <c r="O462" s="3" t="s">
        <v>432</v>
      </c>
      <c r="P462" s="4">
        <v>44180</v>
      </c>
    </row>
    <row r="463" spans="1:16" x14ac:dyDescent="0.2">
      <c r="A463" s="3" t="str">
        <f t="shared" si="42"/>
        <v>814482170204</v>
      </c>
      <c r="B463" s="16">
        <v>814482</v>
      </c>
      <c r="C463" s="16" t="s">
        <v>403</v>
      </c>
      <c r="D463" s="1">
        <v>170204</v>
      </c>
      <c r="E463" s="3" t="s">
        <v>9</v>
      </c>
      <c r="F463" s="9">
        <v>0</v>
      </c>
      <c r="G463" s="9">
        <f>IFERROR(VLOOKUP(F463,Sheet1!$B$15:$D$38,3,1),0)</f>
        <v>0</v>
      </c>
      <c r="H463" s="38">
        <f t="shared" si="43"/>
        <v>7.5</v>
      </c>
      <c r="I463" s="38">
        <f t="shared" si="44"/>
        <v>12.5</v>
      </c>
      <c r="J463" s="38">
        <f t="shared" si="45"/>
        <v>20</v>
      </c>
      <c r="K463" s="38">
        <f t="shared" si="46"/>
        <v>30</v>
      </c>
      <c r="L463" s="38">
        <f t="shared" si="47"/>
        <v>50</v>
      </c>
      <c r="M463" s="3" t="s">
        <v>10</v>
      </c>
      <c r="N463" s="3" t="s">
        <v>10</v>
      </c>
      <c r="O463" s="3" t="s">
        <v>432</v>
      </c>
      <c r="P463" s="4">
        <v>44242</v>
      </c>
    </row>
    <row r="464" spans="1:16" x14ac:dyDescent="0.2">
      <c r="A464" s="3" t="str">
        <f t="shared" si="42"/>
        <v>814524170204</v>
      </c>
      <c r="B464" s="16">
        <v>814524</v>
      </c>
      <c r="C464" s="16" t="s">
        <v>496</v>
      </c>
      <c r="D464" s="3">
        <v>170204</v>
      </c>
      <c r="E464" s="3" t="s">
        <v>9</v>
      </c>
      <c r="F464" s="9">
        <v>0</v>
      </c>
      <c r="G464" s="9">
        <f>IFERROR(VLOOKUP(F464,Sheet1!$B$15:$D$38,3,1),0)</f>
        <v>0</v>
      </c>
      <c r="H464" s="38">
        <f t="shared" si="43"/>
        <v>7.5</v>
      </c>
      <c r="I464" s="38">
        <f t="shared" si="44"/>
        <v>12.5</v>
      </c>
      <c r="J464" s="38">
        <f t="shared" si="45"/>
        <v>20</v>
      </c>
      <c r="K464" s="38">
        <f t="shared" si="46"/>
        <v>30</v>
      </c>
      <c r="L464" s="38">
        <f t="shared" si="47"/>
        <v>50</v>
      </c>
      <c r="M464" s="3" t="s">
        <v>10</v>
      </c>
      <c r="N464" s="3" t="s">
        <v>10</v>
      </c>
      <c r="O464" s="3" t="s">
        <v>432</v>
      </c>
      <c r="P464" s="4">
        <v>44245</v>
      </c>
    </row>
    <row r="465" spans="1:16" x14ac:dyDescent="0.2">
      <c r="A465" s="3" t="str">
        <f t="shared" si="42"/>
        <v>815218170204</v>
      </c>
      <c r="B465" s="16">
        <v>815218</v>
      </c>
      <c r="C465" s="16" t="s">
        <v>462</v>
      </c>
      <c r="D465" s="3">
        <v>170204</v>
      </c>
      <c r="E465" s="3" t="s">
        <v>9</v>
      </c>
      <c r="F465" s="9">
        <v>0</v>
      </c>
      <c r="G465" s="9">
        <f>IFERROR(VLOOKUP(F465,Sheet1!$B$15:$D$38,3,1),0)</f>
        <v>0</v>
      </c>
      <c r="H465" s="38">
        <f t="shared" si="43"/>
        <v>7.5</v>
      </c>
      <c r="I465" s="38">
        <f t="shared" si="44"/>
        <v>12.5</v>
      </c>
      <c r="J465" s="38">
        <f t="shared" si="45"/>
        <v>20</v>
      </c>
      <c r="K465" s="38">
        <f t="shared" si="46"/>
        <v>30</v>
      </c>
      <c r="L465" s="38">
        <f t="shared" si="47"/>
        <v>50</v>
      </c>
      <c r="M465" s="3" t="s">
        <v>10</v>
      </c>
      <c r="N465" s="3" t="s">
        <v>10</v>
      </c>
      <c r="O465" s="3" t="s">
        <v>432</v>
      </c>
      <c r="P465" s="4">
        <v>44369</v>
      </c>
    </row>
    <row r="466" spans="1:16" x14ac:dyDescent="0.2">
      <c r="A466" s="3" t="str">
        <f t="shared" si="42"/>
        <v>815256170204</v>
      </c>
      <c r="B466" s="16">
        <v>815256</v>
      </c>
      <c r="C466" s="16" t="s">
        <v>460</v>
      </c>
      <c r="D466" s="1">
        <v>170204</v>
      </c>
      <c r="E466" s="3" t="s">
        <v>9</v>
      </c>
      <c r="F466" s="9">
        <v>43</v>
      </c>
      <c r="G466" s="9">
        <f>IFERROR(VLOOKUP(F466,Sheet1!$B$15:$D$38,3,1),0)</f>
        <v>80</v>
      </c>
      <c r="H466" s="38">
        <f t="shared" si="43"/>
        <v>-35.5</v>
      </c>
      <c r="I466" s="38">
        <f t="shared" si="44"/>
        <v>-30.5</v>
      </c>
      <c r="J466" s="38">
        <f t="shared" si="45"/>
        <v>-23</v>
      </c>
      <c r="K466" s="38">
        <f t="shared" si="46"/>
        <v>-13</v>
      </c>
      <c r="L466" s="38">
        <f t="shared" si="47"/>
        <v>7</v>
      </c>
      <c r="M466" s="3" t="s">
        <v>10</v>
      </c>
      <c r="N466" s="3" t="s">
        <v>10</v>
      </c>
      <c r="O466" s="3" t="s">
        <v>432</v>
      </c>
      <c r="P466" s="4">
        <v>44372</v>
      </c>
    </row>
    <row r="467" spans="1:16" x14ac:dyDescent="0.2">
      <c r="A467" s="3" t="str">
        <f t="shared" si="42"/>
        <v>815420170204</v>
      </c>
      <c r="B467" s="16">
        <v>815420</v>
      </c>
      <c r="C467" s="16" t="s">
        <v>477</v>
      </c>
      <c r="D467" s="3">
        <v>170204</v>
      </c>
      <c r="E467" s="3" t="s">
        <v>9</v>
      </c>
      <c r="F467" s="9">
        <v>10</v>
      </c>
      <c r="G467" s="9">
        <f>IFERROR(VLOOKUP(F467,Sheet1!$B$15:$D$38,3,1),0)</f>
        <v>10</v>
      </c>
      <c r="H467" s="38">
        <f t="shared" si="43"/>
        <v>-2.5</v>
      </c>
      <c r="I467" s="38">
        <f t="shared" si="44"/>
        <v>2.5</v>
      </c>
      <c r="J467" s="38">
        <f t="shared" si="45"/>
        <v>10</v>
      </c>
      <c r="K467" s="38">
        <f t="shared" si="46"/>
        <v>20</v>
      </c>
      <c r="L467" s="38">
        <f t="shared" si="47"/>
        <v>40</v>
      </c>
      <c r="M467" s="3" t="s">
        <v>10</v>
      </c>
      <c r="N467" s="3" t="s">
        <v>10</v>
      </c>
      <c r="O467" s="3" t="s">
        <v>432</v>
      </c>
      <c r="P467" s="4">
        <v>44384</v>
      </c>
    </row>
    <row r="468" spans="1:16" x14ac:dyDescent="0.2">
      <c r="A468" s="3" t="str">
        <f t="shared" si="42"/>
        <v>815424170204</v>
      </c>
      <c r="B468" s="16">
        <v>815424</v>
      </c>
      <c r="C468" s="16" t="s">
        <v>479</v>
      </c>
      <c r="D468" s="3">
        <v>170204</v>
      </c>
      <c r="E468" s="3" t="s">
        <v>9</v>
      </c>
      <c r="F468" s="9">
        <v>0</v>
      </c>
      <c r="G468" s="9">
        <f>IFERROR(VLOOKUP(F468,Sheet1!$B$15:$D$38,3,1),0)</f>
        <v>0</v>
      </c>
      <c r="H468" s="38">
        <f t="shared" si="43"/>
        <v>7.5</v>
      </c>
      <c r="I468" s="38">
        <f t="shared" si="44"/>
        <v>12.5</v>
      </c>
      <c r="J468" s="38">
        <f t="shared" si="45"/>
        <v>20</v>
      </c>
      <c r="K468" s="38">
        <f t="shared" si="46"/>
        <v>30</v>
      </c>
      <c r="L468" s="38">
        <f t="shared" si="47"/>
        <v>50</v>
      </c>
      <c r="M468" s="3" t="s">
        <v>10</v>
      </c>
      <c r="N468" s="3" t="s">
        <v>10</v>
      </c>
      <c r="O468" s="3" t="s">
        <v>432</v>
      </c>
      <c r="P468" s="4">
        <v>44384</v>
      </c>
    </row>
    <row r="469" spans="1:16" x14ac:dyDescent="0.2">
      <c r="A469" s="3" t="str">
        <f t="shared" si="42"/>
        <v>815428170204</v>
      </c>
      <c r="B469" s="16">
        <v>815428</v>
      </c>
      <c r="C469" s="16" t="s">
        <v>480</v>
      </c>
      <c r="D469" s="3">
        <v>170204</v>
      </c>
      <c r="E469" s="3" t="s">
        <v>9</v>
      </c>
      <c r="F469" s="9">
        <v>0</v>
      </c>
      <c r="G469" s="9">
        <f>IFERROR(VLOOKUP(F469,Sheet1!$B$15:$D$38,3,1),0)</f>
        <v>0</v>
      </c>
      <c r="H469" s="38">
        <f t="shared" si="43"/>
        <v>7.5</v>
      </c>
      <c r="I469" s="38">
        <f t="shared" si="44"/>
        <v>12.5</v>
      </c>
      <c r="J469" s="38">
        <f t="shared" si="45"/>
        <v>20</v>
      </c>
      <c r="K469" s="38">
        <f t="shared" si="46"/>
        <v>30</v>
      </c>
      <c r="L469" s="38">
        <f t="shared" si="47"/>
        <v>50</v>
      </c>
      <c r="M469" s="3" t="s">
        <v>10</v>
      </c>
      <c r="N469" s="3" t="s">
        <v>10</v>
      </c>
      <c r="O469" s="3" t="s">
        <v>432</v>
      </c>
      <c r="P469" s="4">
        <v>44384</v>
      </c>
    </row>
    <row r="470" spans="1:16" x14ac:dyDescent="0.2">
      <c r="A470" s="3" t="str">
        <f t="shared" si="42"/>
        <v>815429170204</v>
      </c>
      <c r="B470" s="16">
        <v>815429</v>
      </c>
      <c r="C470" s="16" t="s">
        <v>481</v>
      </c>
      <c r="D470" s="3">
        <v>170204</v>
      </c>
      <c r="E470" s="3" t="s">
        <v>9</v>
      </c>
      <c r="F470" s="9">
        <v>0</v>
      </c>
      <c r="G470" s="9">
        <f>IFERROR(VLOOKUP(F470,Sheet1!$B$15:$D$38,3,1),0)</f>
        <v>0</v>
      </c>
      <c r="H470" s="38">
        <f t="shared" si="43"/>
        <v>7.5</v>
      </c>
      <c r="I470" s="38">
        <f t="shared" si="44"/>
        <v>12.5</v>
      </c>
      <c r="J470" s="38">
        <f t="shared" si="45"/>
        <v>20</v>
      </c>
      <c r="K470" s="38">
        <f t="shared" si="46"/>
        <v>30</v>
      </c>
      <c r="L470" s="38">
        <f t="shared" si="47"/>
        <v>50</v>
      </c>
      <c r="M470" s="3" t="s">
        <v>10</v>
      </c>
      <c r="N470" s="3" t="s">
        <v>10</v>
      </c>
      <c r="O470" s="3" t="s">
        <v>432</v>
      </c>
      <c r="P470" s="4">
        <v>44384</v>
      </c>
    </row>
    <row r="471" spans="1:16" x14ac:dyDescent="0.2">
      <c r="A471" s="3" t="str">
        <f t="shared" si="42"/>
        <v>815430170204</v>
      </c>
      <c r="B471" s="16">
        <v>815430</v>
      </c>
      <c r="C471" s="16" t="s">
        <v>471</v>
      </c>
      <c r="D471" s="3">
        <v>170204</v>
      </c>
      <c r="E471" s="3" t="s">
        <v>9</v>
      </c>
      <c r="F471" s="9">
        <v>114</v>
      </c>
      <c r="G471" s="9">
        <f>IFERROR(VLOOKUP(F471,Sheet1!$B$15:$D$38,3,1),0)</f>
        <v>180</v>
      </c>
      <c r="H471" s="38">
        <f t="shared" si="43"/>
        <v>-106.5</v>
      </c>
      <c r="I471" s="38">
        <f t="shared" si="44"/>
        <v>-101.5</v>
      </c>
      <c r="J471" s="38">
        <f t="shared" si="45"/>
        <v>-94</v>
      </c>
      <c r="K471" s="38">
        <f t="shared" si="46"/>
        <v>-84</v>
      </c>
      <c r="L471" s="38">
        <f t="shared" si="47"/>
        <v>-64</v>
      </c>
      <c r="M471" s="3" t="s">
        <v>10</v>
      </c>
      <c r="N471" s="3" t="s">
        <v>10</v>
      </c>
      <c r="O471" s="3" t="s">
        <v>432</v>
      </c>
      <c r="P471" s="4">
        <v>44384</v>
      </c>
    </row>
    <row r="472" spans="1:16" x14ac:dyDescent="0.2">
      <c r="A472" s="3" t="str">
        <f t="shared" si="42"/>
        <v>815474170204</v>
      </c>
      <c r="B472" s="16">
        <v>815474</v>
      </c>
      <c r="C472" s="16" t="s">
        <v>487</v>
      </c>
      <c r="D472" s="3">
        <v>170204</v>
      </c>
      <c r="E472" s="3" t="s">
        <v>9</v>
      </c>
      <c r="F472" s="9">
        <v>52</v>
      </c>
      <c r="G472" s="9">
        <f>IFERROR(VLOOKUP(F472,Sheet1!$B$15:$D$38,3,1),0)</f>
        <v>160</v>
      </c>
      <c r="H472" s="38">
        <f t="shared" si="43"/>
        <v>-44.5</v>
      </c>
      <c r="I472" s="38">
        <f t="shared" si="44"/>
        <v>-39.5</v>
      </c>
      <c r="J472" s="38">
        <f t="shared" si="45"/>
        <v>-32</v>
      </c>
      <c r="K472" s="38">
        <f t="shared" si="46"/>
        <v>-22</v>
      </c>
      <c r="L472" s="38">
        <f t="shared" si="47"/>
        <v>-2</v>
      </c>
      <c r="M472" s="3" t="s">
        <v>10</v>
      </c>
      <c r="N472" s="3" t="s">
        <v>10</v>
      </c>
      <c r="O472" s="3" t="s">
        <v>432</v>
      </c>
      <c r="P472" s="4">
        <v>44389</v>
      </c>
    </row>
    <row r="473" spans="1:16" x14ac:dyDescent="0.2">
      <c r="A473" s="3" t="str">
        <f t="shared" si="42"/>
        <v>815985170204</v>
      </c>
      <c r="B473" s="16">
        <v>815985</v>
      </c>
      <c r="C473" s="16" t="s">
        <v>533</v>
      </c>
      <c r="D473" s="3">
        <v>170204</v>
      </c>
      <c r="E473" s="3" t="s">
        <v>9</v>
      </c>
      <c r="F473" s="9">
        <v>0</v>
      </c>
      <c r="G473" s="9">
        <f>IFERROR(VLOOKUP(F473,Sheet1!$B$15:$D$38,3,1),0)</f>
        <v>0</v>
      </c>
      <c r="H473" s="38">
        <f t="shared" si="43"/>
        <v>7.5</v>
      </c>
      <c r="I473" s="38">
        <f t="shared" si="44"/>
        <v>12.5</v>
      </c>
      <c r="J473" s="38">
        <f t="shared" si="45"/>
        <v>20</v>
      </c>
      <c r="K473" s="38">
        <f t="shared" si="46"/>
        <v>30</v>
      </c>
      <c r="L473" s="38">
        <f t="shared" si="47"/>
        <v>50</v>
      </c>
      <c r="M473" s="3" t="s">
        <v>10</v>
      </c>
      <c r="N473" s="3" t="s">
        <v>10</v>
      </c>
      <c r="O473" s="3" t="s">
        <v>432</v>
      </c>
      <c r="P473" s="4">
        <v>44426</v>
      </c>
    </row>
    <row r="474" spans="1:16" x14ac:dyDescent="0.2">
      <c r="A474" s="3" t="str">
        <f t="shared" si="42"/>
        <v>815986170204</v>
      </c>
      <c r="B474" s="16">
        <v>815986</v>
      </c>
      <c r="C474" s="16" t="s">
        <v>539</v>
      </c>
      <c r="D474" s="3">
        <v>170204</v>
      </c>
      <c r="E474" s="3" t="s">
        <v>9</v>
      </c>
      <c r="F474" s="9">
        <v>0</v>
      </c>
      <c r="G474" s="9">
        <f>IFERROR(VLOOKUP(F474,Sheet1!$B$15:$D$38,3,1),0)</f>
        <v>0</v>
      </c>
      <c r="H474" s="38">
        <f t="shared" si="43"/>
        <v>7.5</v>
      </c>
      <c r="I474" s="38">
        <f t="shared" si="44"/>
        <v>12.5</v>
      </c>
      <c r="J474" s="38">
        <f t="shared" si="45"/>
        <v>20</v>
      </c>
      <c r="K474" s="38">
        <f t="shared" si="46"/>
        <v>30</v>
      </c>
      <c r="L474" s="38">
        <f t="shared" si="47"/>
        <v>50</v>
      </c>
      <c r="M474" s="3" t="s">
        <v>10</v>
      </c>
      <c r="N474" s="3" t="s">
        <v>10</v>
      </c>
      <c r="O474" s="3" t="s">
        <v>432</v>
      </c>
      <c r="P474" s="4">
        <v>44426</v>
      </c>
    </row>
    <row r="475" spans="1:16" x14ac:dyDescent="0.2">
      <c r="A475" s="3" t="str">
        <f t="shared" si="42"/>
        <v>816038170204</v>
      </c>
      <c r="B475" s="16">
        <v>816038</v>
      </c>
      <c r="C475" s="16" t="s">
        <v>361</v>
      </c>
      <c r="D475" s="3">
        <v>170204</v>
      </c>
      <c r="E475" s="3" t="s">
        <v>9</v>
      </c>
      <c r="F475" s="9">
        <v>35</v>
      </c>
      <c r="G475" s="9">
        <f>IFERROR(VLOOKUP(F475,Sheet1!$B$15:$D$38,3,1),0)</f>
        <v>80</v>
      </c>
      <c r="H475" s="38">
        <f t="shared" si="43"/>
        <v>-27.5</v>
      </c>
      <c r="I475" s="38">
        <f t="shared" si="44"/>
        <v>-22.5</v>
      </c>
      <c r="J475" s="38">
        <f t="shared" si="45"/>
        <v>-15</v>
      </c>
      <c r="K475" s="38">
        <f t="shared" si="46"/>
        <v>-5</v>
      </c>
      <c r="L475" s="38">
        <f t="shared" si="47"/>
        <v>15</v>
      </c>
      <c r="M475" s="3" t="s">
        <v>10</v>
      </c>
      <c r="N475" s="3" t="s">
        <v>10</v>
      </c>
      <c r="O475" s="3" t="s">
        <v>432</v>
      </c>
      <c r="P475" s="4">
        <v>44428</v>
      </c>
    </row>
    <row r="476" spans="1:16" x14ac:dyDescent="0.2">
      <c r="A476" s="3" t="str">
        <f t="shared" si="42"/>
        <v>816986170204</v>
      </c>
      <c r="B476" s="16">
        <v>816986</v>
      </c>
      <c r="C476" s="16" t="s">
        <v>632</v>
      </c>
      <c r="D476" s="3">
        <v>170204</v>
      </c>
      <c r="E476" s="3" t="s">
        <v>9</v>
      </c>
      <c r="F476" s="9">
        <v>10</v>
      </c>
      <c r="G476" s="9">
        <f>IFERROR(VLOOKUP(F476,Sheet1!$B$15:$D$38,3,1),0)</f>
        <v>10</v>
      </c>
      <c r="H476" s="38">
        <f t="shared" si="43"/>
        <v>-2.5</v>
      </c>
      <c r="I476" s="38">
        <f t="shared" si="44"/>
        <v>2.5</v>
      </c>
      <c r="J476" s="38">
        <f t="shared" si="45"/>
        <v>10</v>
      </c>
      <c r="K476" s="38">
        <f t="shared" si="46"/>
        <v>20</v>
      </c>
      <c r="L476" s="38">
        <f t="shared" si="47"/>
        <v>40</v>
      </c>
      <c r="M476" s="3" t="s">
        <v>10</v>
      </c>
      <c r="N476" s="3" t="s">
        <v>10</v>
      </c>
      <c r="O476" s="3" t="s">
        <v>630</v>
      </c>
      <c r="P476" s="4">
        <v>44510</v>
      </c>
    </row>
    <row r="477" spans="1:16" x14ac:dyDescent="0.2">
      <c r="A477" s="3" t="str">
        <f t="shared" si="42"/>
        <v>816987170204</v>
      </c>
      <c r="B477" s="16">
        <v>816987</v>
      </c>
      <c r="C477" s="16" t="s">
        <v>633</v>
      </c>
      <c r="D477" s="3">
        <v>170204</v>
      </c>
      <c r="E477" s="3" t="s">
        <v>9</v>
      </c>
      <c r="F477" s="9">
        <v>35</v>
      </c>
      <c r="G477" s="9">
        <f>IFERROR(VLOOKUP(F477,Sheet1!$B$15:$D$38,3,1),0)</f>
        <v>80</v>
      </c>
      <c r="H477" s="38">
        <f t="shared" si="43"/>
        <v>-27.5</v>
      </c>
      <c r="I477" s="38">
        <f t="shared" si="44"/>
        <v>-22.5</v>
      </c>
      <c r="J477" s="38">
        <f t="shared" si="45"/>
        <v>-15</v>
      </c>
      <c r="K477" s="38">
        <f t="shared" si="46"/>
        <v>-5</v>
      </c>
      <c r="L477" s="38">
        <f t="shared" si="47"/>
        <v>15</v>
      </c>
      <c r="M477" s="3" t="s">
        <v>10</v>
      </c>
      <c r="N477" s="3" t="s">
        <v>10</v>
      </c>
      <c r="O477" s="3" t="s">
        <v>630</v>
      </c>
      <c r="P477" s="4">
        <v>44510</v>
      </c>
    </row>
    <row r="478" spans="1:16" x14ac:dyDescent="0.2">
      <c r="A478" s="3" t="str">
        <f t="shared" si="42"/>
        <v>817005170204</v>
      </c>
      <c r="B478" s="16">
        <v>817005</v>
      </c>
      <c r="C478" s="16" t="s">
        <v>607</v>
      </c>
      <c r="D478" s="3">
        <v>170204</v>
      </c>
      <c r="E478" s="3" t="s">
        <v>9</v>
      </c>
      <c r="F478" s="9">
        <v>0</v>
      </c>
      <c r="G478" s="9">
        <f>IFERROR(VLOOKUP(F478,Sheet1!$B$15:$D$38,3,1),0)</f>
        <v>0</v>
      </c>
      <c r="H478" s="38">
        <f t="shared" si="43"/>
        <v>7.5</v>
      </c>
      <c r="I478" s="38">
        <f t="shared" si="44"/>
        <v>12.5</v>
      </c>
      <c r="J478" s="38">
        <f t="shared" si="45"/>
        <v>20</v>
      </c>
      <c r="K478" s="38">
        <f t="shared" si="46"/>
        <v>30</v>
      </c>
      <c r="L478" s="38">
        <f t="shared" si="47"/>
        <v>50</v>
      </c>
      <c r="M478" s="3" t="s">
        <v>10</v>
      </c>
      <c r="N478" s="3" t="s">
        <v>10</v>
      </c>
      <c r="O478" s="3" t="s">
        <v>630</v>
      </c>
      <c r="P478" s="4">
        <v>44513</v>
      </c>
    </row>
    <row r="479" spans="1:16" x14ac:dyDescent="0.2">
      <c r="A479" s="3" t="str">
        <f t="shared" si="42"/>
        <v>817014170204</v>
      </c>
      <c r="B479" s="16">
        <v>817014</v>
      </c>
      <c r="C479" s="16" t="s">
        <v>634</v>
      </c>
      <c r="D479" s="3">
        <v>170204</v>
      </c>
      <c r="E479" s="3" t="s">
        <v>9</v>
      </c>
      <c r="F479" s="9">
        <v>0</v>
      </c>
      <c r="G479" s="9">
        <f>IFERROR(VLOOKUP(F479,Sheet1!$B$15:$D$38,3,1),0)</f>
        <v>0</v>
      </c>
      <c r="H479" s="38">
        <f t="shared" si="43"/>
        <v>7.5</v>
      </c>
      <c r="I479" s="38">
        <f t="shared" si="44"/>
        <v>12.5</v>
      </c>
      <c r="J479" s="38">
        <f t="shared" si="45"/>
        <v>20</v>
      </c>
      <c r="K479" s="38">
        <f t="shared" si="46"/>
        <v>30</v>
      </c>
      <c r="L479" s="38">
        <f t="shared" si="47"/>
        <v>50</v>
      </c>
      <c r="M479" s="3" t="s">
        <v>10</v>
      </c>
      <c r="N479" s="3" t="s">
        <v>10</v>
      </c>
      <c r="O479" s="3" t="s">
        <v>630</v>
      </c>
      <c r="P479" s="4">
        <v>44513</v>
      </c>
    </row>
    <row r="480" spans="1:16" x14ac:dyDescent="0.2">
      <c r="A480" s="3" t="str">
        <f t="shared" si="42"/>
        <v>817263170204</v>
      </c>
      <c r="B480" s="16">
        <v>817263</v>
      </c>
      <c r="C480" s="16" t="s">
        <v>637</v>
      </c>
      <c r="D480" s="3">
        <v>170204</v>
      </c>
      <c r="E480" s="3" t="s">
        <v>9</v>
      </c>
      <c r="F480" s="9">
        <v>0</v>
      </c>
      <c r="G480" s="9">
        <f>IFERROR(VLOOKUP(F480,Sheet1!$B$15:$D$38,3,1),0)</f>
        <v>0</v>
      </c>
      <c r="H480" s="38">
        <f t="shared" si="43"/>
        <v>7.5</v>
      </c>
      <c r="I480" s="38">
        <f t="shared" si="44"/>
        <v>12.5</v>
      </c>
      <c r="J480" s="38">
        <f t="shared" si="45"/>
        <v>20</v>
      </c>
      <c r="K480" s="38">
        <f t="shared" si="46"/>
        <v>30</v>
      </c>
      <c r="L480" s="38">
        <f t="shared" si="47"/>
        <v>50</v>
      </c>
      <c r="M480" s="3" t="s">
        <v>10</v>
      </c>
      <c r="N480" s="3" t="s">
        <v>10</v>
      </c>
      <c r="O480" s="3" t="s">
        <v>630</v>
      </c>
      <c r="P480" s="4">
        <v>44541</v>
      </c>
    </row>
    <row r="481" spans="1:16" x14ac:dyDescent="0.2">
      <c r="A481" s="3" t="str">
        <f t="shared" si="42"/>
        <v>817271170204</v>
      </c>
      <c r="B481" s="16">
        <v>817271</v>
      </c>
      <c r="C481" s="16" t="s">
        <v>638</v>
      </c>
      <c r="D481" s="3">
        <v>170204</v>
      </c>
      <c r="E481" s="3" t="s">
        <v>9</v>
      </c>
      <c r="F481" s="9">
        <v>42</v>
      </c>
      <c r="G481" s="9">
        <f>IFERROR(VLOOKUP(F481,Sheet1!$B$15:$D$38,3,1),0)</f>
        <v>80</v>
      </c>
      <c r="H481" s="38">
        <f t="shared" si="43"/>
        <v>-34.5</v>
      </c>
      <c r="I481" s="38">
        <f t="shared" si="44"/>
        <v>-29.5</v>
      </c>
      <c r="J481" s="38">
        <f t="shared" si="45"/>
        <v>-22</v>
      </c>
      <c r="K481" s="38">
        <f t="shared" si="46"/>
        <v>-12</v>
      </c>
      <c r="L481" s="38">
        <f t="shared" si="47"/>
        <v>8</v>
      </c>
      <c r="M481" s="3" t="s">
        <v>10</v>
      </c>
      <c r="N481" s="3" t="s">
        <v>10</v>
      </c>
      <c r="O481" s="3" t="s">
        <v>630</v>
      </c>
      <c r="P481" s="4">
        <v>44541</v>
      </c>
    </row>
    <row r="482" spans="1:16" x14ac:dyDescent="0.2">
      <c r="A482" s="3" t="str">
        <f t="shared" si="42"/>
        <v>808269170363</v>
      </c>
      <c r="B482" s="3">
        <v>808269</v>
      </c>
      <c r="C482" s="3" t="s">
        <v>434</v>
      </c>
      <c r="D482" s="3">
        <v>170363</v>
      </c>
      <c r="E482" s="3" t="s">
        <v>19</v>
      </c>
      <c r="F482" s="9">
        <v>42</v>
      </c>
      <c r="G482" s="9">
        <f>IFERROR(VLOOKUP(F482,Sheet1!$B$15:$D$38,3,1),0)</f>
        <v>80</v>
      </c>
      <c r="H482" s="38">
        <f t="shared" si="43"/>
        <v>-34.5</v>
      </c>
      <c r="I482" s="38">
        <f t="shared" si="44"/>
        <v>-29.5</v>
      </c>
      <c r="J482" s="38">
        <f t="shared" si="45"/>
        <v>-22</v>
      </c>
      <c r="K482" s="38">
        <f t="shared" si="46"/>
        <v>-12</v>
      </c>
      <c r="L482" s="38">
        <f t="shared" si="47"/>
        <v>8</v>
      </c>
      <c r="M482" s="3" t="s">
        <v>10</v>
      </c>
      <c r="N482" s="3" t="s">
        <v>10</v>
      </c>
      <c r="O482" s="3" t="s">
        <v>432</v>
      </c>
      <c r="P482" s="4">
        <v>43217</v>
      </c>
    </row>
    <row r="483" spans="1:16" x14ac:dyDescent="0.2">
      <c r="A483" s="3" t="str">
        <f t="shared" si="42"/>
        <v>808789170363</v>
      </c>
      <c r="B483" s="16">
        <v>808789</v>
      </c>
      <c r="C483" s="16" t="s">
        <v>397</v>
      </c>
      <c r="D483" s="1">
        <v>170363</v>
      </c>
      <c r="E483" s="3" t="s">
        <v>19</v>
      </c>
      <c r="F483" s="9">
        <v>0</v>
      </c>
      <c r="G483" s="9">
        <f>IFERROR(VLOOKUP(F483,Sheet1!$B$15:$D$38,3,1),0)</f>
        <v>0</v>
      </c>
      <c r="H483" s="38">
        <f t="shared" si="43"/>
        <v>7.5</v>
      </c>
      <c r="I483" s="38">
        <f t="shared" si="44"/>
        <v>12.5</v>
      </c>
      <c r="J483" s="38">
        <f t="shared" si="45"/>
        <v>20</v>
      </c>
      <c r="K483" s="38">
        <f t="shared" si="46"/>
        <v>30</v>
      </c>
      <c r="L483" s="38">
        <f t="shared" si="47"/>
        <v>50</v>
      </c>
      <c r="M483" s="3" t="s">
        <v>10</v>
      </c>
      <c r="N483" s="3" t="s">
        <v>10</v>
      </c>
      <c r="O483" s="3" t="s">
        <v>432</v>
      </c>
      <c r="P483" s="4">
        <v>43329</v>
      </c>
    </row>
    <row r="484" spans="1:16" x14ac:dyDescent="0.2">
      <c r="A484" s="3" t="str">
        <f t="shared" si="42"/>
        <v>811924170363</v>
      </c>
      <c r="B484" s="16">
        <v>811924</v>
      </c>
      <c r="C484" s="16" t="s">
        <v>210</v>
      </c>
      <c r="D484" s="1">
        <v>170363</v>
      </c>
      <c r="E484" s="3" t="s">
        <v>19</v>
      </c>
      <c r="F484" s="9">
        <v>77</v>
      </c>
      <c r="G484" s="9">
        <f>IFERROR(VLOOKUP(F484,Sheet1!$B$15:$D$38,3,1),0)</f>
        <v>160</v>
      </c>
      <c r="H484" s="38">
        <f t="shared" si="43"/>
        <v>-69.5</v>
      </c>
      <c r="I484" s="38">
        <f t="shared" si="44"/>
        <v>-64.5</v>
      </c>
      <c r="J484" s="38">
        <f t="shared" si="45"/>
        <v>-57</v>
      </c>
      <c r="K484" s="38">
        <f t="shared" si="46"/>
        <v>-47</v>
      </c>
      <c r="L484" s="38">
        <f t="shared" si="47"/>
        <v>-27</v>
      </c>
      <c r="M484" s="3" t="s">
        <v>10</v>
      </c>
      <c r="N484" s="3" t="s">
        <v>10</v>
      </c>
      <c r="O484" s="3" t="s">
        <v>432</v>
      </c>
      <c r="P484" s="4">
        <v>43995</v>
      </c>
    </row>
    <row r="485" spans="1:16" x14ac:dyDescent="0.2">
      <c r="A485" s="3" t="str">
        <f t="shared" si="42"/>
        <v>812684170363</v>
      </c>
      <c r="B485" s="3">
        <v>812684</v>
      </c>
      <c r="C485" s="3" t="s">
        <v>435</v>
      </c>
      <c r="D485" s="3">
        <v>170363</v>
      </c>
      <c r="E485" s="3" t="s">
        <v>19</v>
      </c>
      <c r="F485" s="9">
        <v>0</v>
      </c>
      <c r="G485" s="9">
        <f>IFERROR(VLOOKUP(F485,Sheet1!$B$15:$D$38,3,1),0)</f>
        <v>0</v>
      </c>
      <c r="H485" s="38">
        <f t="shared" si="43"/>
        <v>7.5</v>
      </c>
      <c r="I485" s="38">
        <f t="shared" si="44"/>
        <v>12.5</v>
      </c>
      <c r="J485" s="38">
        <f t="shared" si="45"/>
        <v>20</v>
      </c>
      <c r="K485" s="38">
        <f t="shared" si="46"/>
        <v>30</v>
      </c>
      <c r="L485" s="38">
        <f t="shared" si="47"/>
        <v>50</v>
      </c>
      <c r="M485" s="3" t="s">
        <v>10</v>
      </c>
      <c r="N485" s="3" t="s">
        <v>10</v>
      </c>
      <c r="O485" s="3" t="s">
        <v>432</v>
      </c>
      <c r="P485" s="4">
        <v>44071</v>
      </c>
    </row>
    <row r="486" spans="1:16" x14ac:dyDescent="0.2">
      <c r="A486" s="3" t="str">
        <f t="shared" si="42"/>
        <v>813213170363</v>
      </c>
      <c r="B486" s="16">
        <v>813213</v>
      </c>
      <c r="C486" s="16" t="s">
        <v>230</v>
      </c>
      <c r="D486" s="1">
        <v>170363</v>
      </c>
      <c r="E486" s="3" t="s">
        <v>19</v>
      </c>
      <c r="F486" s="9">
        <v>77</v>
      </c>
      <c r="G486" s="9">
        <f>IFERROR(VLOOKUP(F486,Sheet1!$B$15:$D$38,3,1),0)</f>
        <v>160</v>
      </c>
      <c r="H486" s="38">
        <f t="shared" si="43"/>
        <v>-69.5</v>
      </c>
      <c r="I486" s="38">
        <f t="shared" si="44"/>
        <v>-64.5</v>
      </c>
      <c r="J486" s="38">
        <f t="shared" si="45"/>
        <v>-57</v>
      </c>
      <c r="K486" s="38">
        <f t="shared" si="46"/>
        <v>-47</v>
      </c>
      <c r="L486" s="38">
        <f t="shared" si="47"/>
        <v>-27</v>
      </c>
      <c r="M486" s="3" t="s">
        <v>10</v>
      </c>
      <c r="N486" s="3" t="s">
        <v>10</v>
      </c>
      <c r="O486" s="3" t="s">
        <v>432</v>
      </c>
      <c r="P486" s="4">
        <v>44112</v>
      </c>
    </row>
    <row r="487" spans="1:16" x14ac:dyDescent="0.2">
      <c r="A487" s="3" t="str">
        <f t="shared" si="42"/>
        <v>814388170363</v>
      </c>
      <c r="B487" s="16">
        <v>814388</v>
      </c>
      <c r="C487" s="16" t="s">
        <v>211</v>
      </c>
      <c r="D487" s="1">
        <v>170363</v>
      </c>
      <c r="E487" s="3" t="s">
        <v>19</v>
      </c>
      <c r="F487" s="9">
        <v>0</v>
      </c>
      <c r="G487" s="9">
        <f>IFERROR(VLOOKUP(F487,Sheet1!$B$15:$D$38,3,1),0)</f>
        <v>0</v>
      </c>
      <c r="H487" s="38">
        <f t="shared" si="43"/>
        <v>7.5</v>
      </c>
      <c r="I487" s="38">
        <f t="shared" si="44"/>
        <v>12.5</v>
      </c>
      <c r="J487" s="38">
        <f t="shared" si="45"/>
        <v>20</v>
      </c>
      <c r="K487" s="38">
        <f t="shared" si="46"/>
        <v>30</v>
      </c>
      <c r="L487" s="38">
        <f t="shared" si="47"/>
        <v>50</v>
      </c>
      <c r="M487" s="3" t="s">
        <v>10</v>
      </c>
      <c r="N487" s="3" t="s">
        <v>10</v>
      </c>
      <c r="O487" s="3" t="s">
        <v>432</v>
      </c>
      <c r="P487" s="4">
        <v>44231</v>
      </c>
    </row>
    <row r="488" spans="1:16" x14ac:dyDescent="0.2">
      <c r="A488" s="3" t="str">
        <f t="shared" si="42"/>
        <v>815210170363</v>
      </c>
      <c r="B488" s="16">
        <v>815210</v>
      </c>
      <c r="C488" s="16" t="s">
        <v>458</v>
      </c>
      <c r="D488" s="1">
        <v>170363</v>
      </c>
      <c r="E488" s="3" t="s">
        <v>19</v>
      </c>
      <c r="F488" s="9">
        <v>0</v>
      </c>
      <c r="G488" s="9">
        <f>IFERROR(VLOOKUP(F488,Sheet1!$B$15:$D$38,3,1),0)</f>
        <v>0</v>
      </c>
      <c r="H488" s="38">
        <f t="shared" si="43"/>
        <v>7.5</v>
      </c>
      <c r="I488" s="38">
        <f t="shared" si="44"/>
        <v>12.5</v>
      </c>
      <c r="J488" s="38">
        <f t="shared" si="45"/>
        <v>20</v>
      </c>
      <c r="K488" s="38">
        <f t="shared" si="46"/>
        <v>30</v>
      </c>
      <c r="L488" s="38">
        <f t="shared" si="47"/>
        <v>50</v>
      </c>
      <c r="M488" s="3" t="s">
        <v>10</v>
      </c>
      <c r="N488" s="3" t="s">
        <v>10</v>
      </c>
      <c r="O488" s="3" t="s">
        <v>432</v>
      </c>
      <c r="P488" s="4">
        <v>44369</v>
      </c>
    </row>
    <row r="489" spans="1:16" x14ac:dyDescent="0.2">
      <c r="A489" s="3" t="str">
        <f t="shared" si="42"/>
        <v>803148171226</v>
      </c>
      <c r="B489" s="16">
        <v>803148</v>
      </c>
      <c r="C489" s="16" t="s">
        <v>70</v>
      </c>
      <c r="D489" s="1">
        <v>171226</v>
      </c>
      <c r="E489" s="3" t="s">
        <v>69</v>
      </c>
      <c r="F489" s="9">
        <v>0</v>
      </c>
      <c r="G489" s="9">
        <f>IFERROR(VLOOKUP(F489,Sheet1!$B$15:$D$38,3,1),0)</f>
        <v>0</v>
      </c>
      <c r="H489" s="38">
        <f t="shared" si="43"/>
        <v>7.5</v>
      </c>
      <c r="I489" s="38">
        <f t="shared" si="44"/>
        <v>12.5</v>
      </c>
      <c r="J489" s="38">
        <f t="shared" si="45"/>
        <v>20</v>
      </c>
      <c r="K489" s="38">
        <f t="shared" si="46"/>
        <v>30</v>
      </c>
      <c r="L489" s="38">
        <f t="shared" si="47"/>
        <v>50</v>
      </c>
      <c r="M489" s="3" t="s">
        <v>10</v>
      </c>
      <c r="N489" s="3" t="s">
        <v>10</v>
      </c>
      <c r="O489" s="3" t="s">
        <v>432</v>
      </c>
      <c r="P489" s="4">
        <v>41662</v>
      </c>
    </row>
    <row r="490" spans="1:16" x14ac:dyDescent="0.2">
      <c r="A490" s="3" t="str">
        <f t="shared" si="42"/>
        <v>803201171226</v>
      </c>
      <c r="B490" s="16">
        <v>803201</v>
      </c>
      <c r="C490" s="16" t="s">
        <v>180</v>
      </c>
      <c r="D490" s="1">
        <v>171226</v>
      </c>
      <c r="E490" s="3" t="s">
        <v>69</v>
      </c>
      <c r="F490" s="9">
        <v>0</v>
      </c>
      <c r="G490" s="9">
        <f>IFERROR(VLOOKUP(F490,Sheet1!$B$15:$D$38,3,1),0)</f>
        <v>0</v>
      </c>
      <c r="H490" s="38">
        <f t="shared" si="43"/>
        <v>7.5</v>
      </c>
      <c r="I490" s="38">
        <f t="shared" si="44"/>
        <v>12.5</v>
      </c>
      <c r="J490" s="38">
        <f t="shared" si="45"/>
        <v>20</v>
      </c>
      <c r="K490" s="38">
        <f t="shared" si="46"/>
        <v>30</v>
      </c>
      <c r="L490" s="38">
        <f t="shared" si="47"/>
        <v>50</v>
      </c>
      <c r="M490" s="3" t="s">
        <v>10</v>
      </c>
      <c r="N490" s="3" t="s">
        <v>10</v>
      </c>
      <c r="O490" s="3" t="s">
        <v>432</v>
      </c>
      <c r="P490" s="4">
        <v>41694</v>
      </c>
    </row>
    <row r="491" spans="1:16" x14ac:dyDescent="0.2">
      <c r="A491" s="3" t="str">
        <f t="shared" si="42"/>
        <v>806841171226</v>
      </c>
      <c r="B491" s="16">
        <v>806841</v>
      </c>
      <c r="C491" s="16" t="s">
        <v>204</v>
      </c>
      <c r="D491" s="1">
        <v>171226</v>
      </c>
      <c r="E491" s="3" t="s">
        <v>69</v>
      </c>
      <c r="F491" s="9">
        <v>0</v>
      </c>
      <c r="G491" s="9">
        <f>IFERROR(VLOOKUP(F491,Sheet1!$B$15:$D$38,3,1),0)</f>
        <v>0</v>
      </c>
      <c r="H491" s="38">
        <f t="shared" si="43"/>
        <v>7.5</v>
      </c>
      <c r="I491" s="38">
        <f t="shared" si="44"/>
        <v>12.5</v>
      </c>
      <c r="J491" s="38">
        <f t="shared" si="45"/>
        <v>20</v>
      </c>
      <c r="K491" s="38">
        <f t="shared" si="46"/>
        <v>30</v>
      </c>
      <c r="L491" s="38">
        <f t="shared" si="47"/>
        <v>50</v>
      </c>
      <c r="M491" s="3" t="s">
        <v>10</v>
      </c>
      <c r="N491" s="3" t="s">
        <v>10</v>
      </c>
      <c r="O491" s="3" t="s">
        <v>432</v>
      </c>
      <c r="P491" s="4">
        <v>42916</v>
      </c>
    </row>
    <row r="492" spans="1:16" x14ac:dyDescent="0.2">
      <c r="A492" s="3" t="str">
        <f t="shared" si="42"/>
        <v>812738171226</v>
      </c>
      <c r="B492" s="16">
        <v>812738</v>
      </c>
      <c r="C492" s="16" t="s">
        <v>119</v>
      </c>
      <c r="D492" s="1">
        <v>171226</v>
      </c>
      <c r="E492" s="3" t="s">
        <v>69</v>
      </c>
      <c r="F492" s="9">
        <v>0</v>
      </c>
      <c r="G492" s="9">
        <f>IFERROR(VLOOKUP(F492,Sheet1!$B$15:$D$38,3,1),0)</f>
        <v>0</v>
      </c>
      <c r="H492" s="38">
        <f t="shared" si="43"/>
        <v>7.5</v>
      </c>
      <c r="I492" s="38">
        <f t="shared" si="44"/>
        <v>12.5</v>
      </c>
      <c r="J492" s="38">
        <f t="shared" si="45"/>
        <v>20</v>
      </c>
      <c r="K492" s="38">
        <f t="shared" si="46"/>
        <v>30</v>
      </c>
      <c r="L492" s="38">
        <f t="shared" si="47"/>
        <v>50</v>
      </c>
      <c r="M492" s="3" t="s">
        <v>10</v>
      </c>
      <c r="N492" s="3" t="s">
        <v>10</v>
      </c>
      <c r="O492" s="3" t="s">
        <v>432</v>
      </c>
      <c r="P492" s="4">
        <v>44074</v>
      </c>
    </row>
    <row r="493" spans="1:16" x14ac:dyDescent="0.2">
      <c r="A493" s="3" t="str">
        <f t="shared" si="42"/>
        <v>813217171226</v>
      </c>
      <c r="B493" s="16">
        <v>813217</v>
      </c>
      <c r="C493" s="16" t="s">
        <v>411</v>
      </c>
      <c r="D493" s="1">
        <v>171226</v>
      </c>
      <c r="E493" s="3" t="s">
        <v>69</v>
      </c>
      <c r="F493" s="9">
        <v>20</v>
      </c>
      <c r="G493" s="9">
        <f>IFERROR(VLOOKUP(F493,Sheet1!$B$15:$D$38,3,1),0)</f>
        <v>40</v>
      </c>
      <c r="H493" s="38">
        <f t="shared" si="43"/>
        <v>-12.5</v>
      </c>
      <c r="I493" s="38">
        <f t="shared" si="44"/>
        <v>-7.5</v>
      </c>
      <c r="J493" s="38">
        <f t="shared" si="45"/>
        <v>0</v>
      </c>
      <c r="K493" s="38">
        <f t="shared" si="46"/>
        <v>10</v>
      </c>
      <c r="L493" s="38">
        <f t="shared" si="47"/>
        <v>30</v>
      </c>
      <c r="M493" s="3" t="s">
        <v>10</v>
      </c>
      <c r="N493" s="3" t="s">
        <v>10</v>
      </c>
      <c r="O493" s="3" t="s">
        <v>432</v>
      </c>
      <c r="P493" s="4">
        <v>44112</v>
      </c>
    </row>
    <row r="494" spans="1:16" x14ac:dyDescent="0.2">
      <c r="A494" s="3" t="str">
        <f t="shared" si="42"/>
        <v>815218171226</v>
      </c>
      <c r="B494" s="16">
        <v>815218</v>
      </c>
      <c r="C494" s="16" t="s">
        <v>462</v>
      </c>
      <c r="D494" s="1">
        <v>171226</v>
      </c>
      <c r="E494" s="3" t="s">
        <v>69</v>
      </c>
      <c r="F494" s="9">
        <v>15</v>
      </c>
      <c r="G494" s="9">
        <f>IFERROR(VLOOKUP(F494,Sheet1!$B$15:$D$38,3,1),0)</f>
        <v>20</v>
      </c>
      <c r="H494" s="38">
        <f t="shared" si="43"/>
        <v>-7.5</v>
      </c>
      <c r="I494" s="38">
        <f t="shared" si="44"/>
        <v>-2.5</v>
      </c>
      <c r="J494" s="38">
        <f t="shared" si="45"/>
        <v>5</v>
      </c>
      <c r="K494" s="38">
        <f t="shared" si="46"/>
        <v>15</v>
      </c>
      <c r="L494" s="38">
        <f t="shared" si="47"/>
        <v>35</v>
      </c>
      <c r="M494" s="3" t="s">
        <v>10</v>
      </c>
      <c r="N494" s="3" t="s">
        <v>10</v>
      </c>
      <c r="O494" s="3" t="s">
        <v>432</v>
      </c>
      <c r="P494" s="4">
        <v>44369</v>
      </c>
    </row>
    <row r="495" spans="1:16" x14ac:dyDescent="0.2">
      <c r="A495" s="3" t="str">
        <f t="shared" si="42"/>
        <v>817063171226</v>
      </c>
      <c r="B495" s="16">
        <v>817063</v>
      </c>
      <c r="C495" s="16" t="s">
        <v>609</v>
      </c>
      <c r="D495" s="3">
        <v>171226</v>
      </c>
      <c r="E495" s="3" t="s">
        <v>69</v>
      </c>
      <c r="F495" s="9">
        <v>35</v>
      </c>
      <c r="G495" s="9">
        <f>IFERROR(VLOOKUP(F495,Sheet1!$B$15:$D$38,3,1),0)</f>
        <v>80</v>
      </c>
      <c r="H495" s="38">
        <f t="shared" si="43"/>
        <v>-27.5</v>
      </c>
      <c r="I495" s="38">
        <f t="shared" si="44"/>
        <v>-22.5</v>
      </c>
      <c r="J495" s="38">
        <f t="shared" si="45"/>
        <v>-15</v>
      </c>
      <c r="K495" s="38">
        <f t="shared" si="46"/>
        <v>-5</v>
      </c>
      <c r="L495" s="38">
        <f t="shared" si="47"/>
        <v>15</v>
      </c>
      <c r="M495" s="3" t="s">
        <v>10</v>
      </c>
      <c r="N495" s="3" t="s">
        <v>10</v>
      </c>
      <c r="O495" s="3" t="s">
        <v>630</v>
      </c>
      <c r="P495" s="4">
        <v>44520</v>
      </c>
    </row>
    <row r="496" spans="1:16" x14ac:dyDescent="0.2">
      <c r="A496" s="3" t="str">
        <f t="shared" si="42"/>
        <v>814095172086</v>
      </c>
      <c r="B496" s="16">
        <v>814095</v>
      </c>
      <c r="C496" s="16" t="s">
        <v>175</v>
      </c>
      <c r="D496" s="3">
        <v>172086</v>
      </c>
      <c r="E496" s="3" t="s">
        <v>484</v>
      </c>
      <c r="F496" s="9">
        <v>0</v>
      </c>
      <c r="G496" s="9">
        <f>IFERROR(VLOOKUP(F496,Sheet1!$B$15:$D$38,3,1),0)</f>
        <v>0</v>
      </c>
      <c r="H496" s="38">
        <f t="shared" si="43"/>
        <v>7.5</v>
      </c>
      <c r="I496" s="38">
        <f t="shared" si="44"/>
        <v>12.5</v>
      </c>
      <c r="J496" s="38">
        <f t="shared" si="45"/>
        <v>20</v>
      </c>
      <c r="K496" s="38">
        <f t="shared" si="46"/>
        <v>30</v>
      </c>
      <c r="L496" s="38">
        <f t="shared" si="47"/>
        <v>50</v>
      </c>
      <c r="M496" s="3" t="s">
        <v>10</v>
      </c>
      <c r="N496" s="3" t="s">
        <v>10</v>
      </c>
      <c r="O496" s="3" t="s">
        <v>432</v>
      </c>
      <c r="P496" s="4">
        <v>44203</v>
      </c>
    </row>
    <row r="497" spans="1:16" x14ac:dyDescent="0.2">
      <c r="A497" s="3" t="str">
        <f t="shared" si="42"/>
        <v>814139172097</v>
      </c>
      <c r="B497" s="16">
        <v>814139</v>
      </c>
      <c r="C497" s="16" t="s">
        <v>258</v>
      </c>
      <c r="D497" s="1">
        <v>172097</v>
      </c>
      <c r="E497" s="3" t="s">
        <v>50</v>
      </c>
      <c r="F497" s="9">
        <v>0</v>
      </c>
      <c r="G497" s="9">
        <f>IFERROR(VLOOKUP(F497,Sheet1!$B$15:$D$38,3,1),0)</f>
        <v>0</v>
      </c>
      <c r="H497" s="38">
        <f t="shared" si="43"/>
        <v>7.5</v>
      </c>
      <c r="I497" s="38">
        <f t="shared" si="44"/>
        <v>12.5</v>
      </c>
      <c r="J497" s="38">
        <f t="shared" si="45"/>
        <v>20</v>
      </c>
      <c r="K497" s="38">
        <f t="shared" si="46"/>
        <v>30</v>
      </c>
      <c r="L497" s="38">
        <f t="shared" si="47"/>
        <v>50</v>
      </c>
      <c r="M497" s="3" t="s">
        <v>10</v>
      </c>
      <c r="N497" s="3" t="s">
        <v>10</v>
      </c>
      <c r="O497" s="3" t="s">
        <v>432</v>
      </c>
      <c r="P497" s="4">
        <v>44209</v>
      </c>
    </row>
    <row r="498" spans="1:16" x14ac:dyDescent="0.2">
      <c r="A498" s="3" t="str">
        <f t="shared" si="42"/>
        <v>814095172702</v>
      </c>
      <c r="B498" s="16">
        <v>814095</v>
      </c>
      <c r="C498" s="16" t="s">
        <v>175</v>
      </c>
      <c r="D498" s="1">
        <v>172702</v>
      </c>
      <c r="E498" s="3" t="s">
        <v>174</v>
      </c>
      <c r="F498" s="9">
        <v>0</v>
      </c>
      <c r="G498" s="9">
        <f>IFERROR(VLOOKUP(F498,Sheet1!$B$15:$D$38,3,1),0)</f>
        <v>0</v>
      </c>
      <c r="H498" s="38">
        <f t="shared" si="43"/>
        <v>7.5</v>
      </c>
      <c r="I498" s="38">
        <f t="shared" si="44"/>
        <v>12.5</v>
      </c>
      <c r="J498" s="38">
        <f t="shared" si="45"/>
        <v>20</v>
      </c>
      <c r="K498" s="38">
        <f t="shared" si="46"/>
        <v>30</v>
      </c>
      <c r="L498" s="38">
        <f t="shared" si="47"/>
        <v>50</v>
      </c>
      <c r="M498" s="3" t="s">
        <v>10</v>
      </c>
      <c r="N498" s="3" t="s">
        <v>10</v>
      </c>
      <c r="O498" s="3" t="s">
        <v>432</v>
      </c>
      <c r="P498" s="4">
        <v>44203</v>
      </c>
    </row>
    <row r="499" spans="1:16" x14ac:dyDescent="0.2">
      <c r="A499" s="3" t="str">
        <f t="shared" si="42"/>
        <v>815930172702</v>
      </c>
      <c r="B499" s="16">
        <v>815930</v>
      </c>
      <c r="C499" s="16" t="s">
        <v>528</v>
      </c>
      <c r="D499" s="3">
        <v>172702</v>
      </c>
      <c r="E499" s="3" t="s">
        <v>174</v>
      </c>
      <c r="F499" s="9">
        <v>35</v>
      </c>
      <c r="G499" s="9">
        <f>IFERROR(VLOOKUP(F499,Sheet1!$B$15:$D$38,3,1),0)</f>
        <v>80</v>
      </c>
      <c r="H499" s="38">
        <f t="shared" si="43"/>
        <v>-27.5</v>
      </c>
      <c r="I499" s="38">
        <f t="shared" si="44"/>
        <v>-22.5</v>
      </c>
      <c r="J499" s="38">
        <f t="shared" si="45"/>
        <v>-15</v>
      </c>
      <c r="K499" s="38">
        <f t="shared" si="46"/>
        <v>-5</v>
      </c>
      <c r="L499" s="38">
        <f t="shared" si="47"/>
        <v>15</v>
      </c>
      <c r="M499" s="4" t="s">
        <v>10</v>
      </c>
      <c r="N499" s="3" t="s">
        <v>10</v>
      </c>
      <c r="O499" s="3" t="s">
        <v>432</v>
      </c>
      <c r="P499" s="4">
        <v>44422</v>
      </c>
    </row>
    <row r="500" spans="1:16" x14ac:dyDescent="0.2">
      <c r="A500" s="3" t="str">
        <f t="shared" si="42"/>
        <v>813541174008</v>
      </c>
      <c r="B500" s="16">
        <v>813541</v>
      </c>
      <c r="C500" s="5" t="s">
        <v>60</v>
      </c>
      <c r="D500" s="6">
        <v>174008</v>
      </c>
      <c r="E500" s="5" t="s">
        <v>63</v>
      </c>
      <c r="F500" s="9">
        <v>0</v>
      </c>
      <c r="G500" s="9">
        <f>IFERROR(VLOOKUP(F500,Sheet1!$B$15:$D$38,3,1),0)</f>
        <v>0</v>
      </c>
      <c r="H500" s="38">
        <f t="shared" si="43"/>
        <v>7.5</v>
      </c>
      <c r="I500" s="38">
        <f t="shared" si="44"/>
        <v>12.5</v>
      </c>
      <c r="J500" s="38">
        <f t="shared" si="45"/>
        <v>20</v>
      </c>
      <c r="K500" s="38">
        <f t="shared" si="46"/>
        <v>30</v>
      </c>
      <c r="L500" s="38">
        <f t="shared" si="47"/>
        <v>50</v>
      </c>
      <c r="M500" s="3" t="s">
        <v>10</v>
      </c>
      <c r="N500" s="3" t="s">
        <v>10</v>
      </c>
      <c r="O500" s="3" t="s">
        <v>432</v>
      </c>
      <c r="P500" s="4">
        <v>44146</v>
      </c>
    </row>
    <row r="501" spans="1:16" x14ac:dyDescent="0.2">
      <c r="A501" s="3" t="str">
        <f t="shared" si="42"/>
        <v>814723178386</v>
      </c>
      <c r="B501" s="16">
        <v>814723</v>
      </c>
      <c r="C501" s="16" t="s">
        <v>108</v>
      </c>
      <c r="D501" s="1">
        <v>178386</v>
      </c>
      <c r="E501" s="3" t="s">
        <v>107</v>
      </c>
      <c r="F501" s="9">
        <v>35</v>
      </c>
      <c r="G501" s="9">
        <f>IFERROR(VLOOKUP(F501,Sheet1!$B$15:$D$38,3,1),0)</f>
        <v>80</v>
      </c>
      <c r="H501" s="38">
        <f t="shared" si="43"/>
        <v>-27.5</v>
      </c>
      <c r="I501" s="38">
        <f t="shared" si="44"/>
        <v>-22.5</v>
      </c>
      <c r="J501" s="38">
        <f t="shared" si="45"/>
        <v>-15</v>
      </c>
      <c r="K501" s="38">
        <f t="shared" si="46"/>
        <v>-5</v>
      </c>
      <c r="L501" s="38">
        <f t="shared" si="47"/>
        <v>15</v>
      </c>
      <c r="M501" s="3" t="s">
        <v>10</v>
      </c>
      <c r="N501" s="3" t="s">
        <v>10</v>
      </c>
      <c r="O501" s="3" t="s">
        <v>432</v>
      </c>
      <c r="P501" s="4">
        <v>44264</v>
      </c>
    </row>
    <row r="502" spans="1:16" x14ac:dyDescent="0.2">
      <c r="A502" s="3" t="str">
        <f t="shared" si="42"/>
        <v>816575201741</v>
      </c>
      <c r="B502" s="16">
        <v>816575</v>
      </c>
      <c r="C502" s="16" t="s">
        <v>569</v>
      </c>
      <c r="D502" s="3">
        <v>201741</v>
      </c>
      <c r="E502" s="3" t="s">
        <v>570</v>
      </c>
      <c r="F502" s="9">
        <v>25</v>
      </c>
      <c r="G502" s="9">
        <f>IFERROR(VLOOKUP(F502,Sheet1!$B$15:$D$38,3,1),0)</f>
        <v>40</v>
      </c>
      <c r="H502" s="38">
        <f t="shared" si="43"/>
        <v>-17.5</v>
      </c>
      <c r="I502" s="38">
        <f t="shared" si="44"/>
        <v>-12.5</v>
      </c>
      <c r="J502" s="38">
        <f t="shared" si="45"/>
        <v>-5</v>
      </c>
      <c r="K502" s="38">
        <f t="shared" si="46"/>
        <v>5</v>
      </c>
      <c r="L502" s="38">
        <f t="shared" si="47"/>
        <v>25</v>
      </c>
      <c r="M502" s="3" t="s">
        <v>10</v>
      </c>
      <c r="N502" s="3" t="s">
        <v>10</v>
      </c>
      <c r="O502" s="3" t="s">
        <v>432</v>
      </c>
      <c r="P502" s="4">
        <v>44468</v>
      </c>
    </row>
    <row r="503" spans="1:16" x14ac:dyDescent="0.2">
      <c r="A503" s="3" t="str">
        <f t="shared" si="42"/>
        <v>812687202142</v>
      </c>
      <c r="B503" s="16">
        <v>812687</v>
      </c>
      <c r="C503" s="16" t="s">
        <v>237</v>
      </c>
      <c r="D503" s="1">
        <v>202142</v>
      </c>
      <c r="E503" s="3" t="s">
        <v>83</v>
      </c>
      <c r="F503" s="9">
        <v>0</v>
      </c>
      <c r="G503" s="9">
        <f>IFERROR(VLOOKUP(F503,Sheet1!$B$15:$D$38,3,1),0)</f>
        <v>0</v>
      </c>
      <c r="H503" s="38">
        <f t="shared" si="43"/>
        <v>7.5</v>
      </c>
      <c r="I503" s="38">
        <f t="shared" si="44"/>
        <v>12.5</v>
      </c>
      <c r="J503" s="38">
        <f t="shared" si="45"/>
        <v>20</v>
      </c>
      <c r="K503" s="38">
        <f t="shared" si="46"/>
        <v>30</v>
      </c>
      <c r="L503" s="38">
        <f t="shared" si="47"/>
        <v>50</v>
      </c>
      <c r="M503" s="3" t="s">
        <v>10</v>
      </c>
      <c r="N503" s="3" t="s">
        <v>10</v>
      </c>
      <c r="O503" s="3" t="s">
        <v>432</v>
      </c>
      <c r="P503" s="4">
        <v>44071</v>
      </c>
    </row>
    <row r="504" spans="1:16" x14ac:dyDescent="0.2">
      <c r="A504" s="3" t="str">
        <f t="shared" si="42"/>
        <v>815123202142</v>
      </c>
      <c r="B504" s="16">
        <v>815123</v>
      </c>
      <c r="C504" s="16" t="s">
        <v>448</v>
      </c>
      <c r="D504" s="1">
        <v>202142</v>
      </c>
      <c r="E504" s="3" t="s">
        <v>83</v>
      </c>
      <c r="F504" s="9">
        <v>0</v>
      </c>
      <c r="G504" s="9">
        <f>IFERROR(VLOOKUP(F504,Sheet1!$B$15:$D$38,3,1),0)</f>
        <v>0</v>
      </c>
      <c r="H504" s="38">
        <f t="shared" si="43"/>
        <v>7.5</v>
      </c>
      <c r="I504" s="38">
        <f t="shared" si="44"/>
        <v>12.5</v>
      </c>
      <c r="J504" s="38">
        <f t="shared" si="45"/>
        <v>20</v>
      </c>
      <c r="K504" s="38">
        <f t="shared" si="46"/>
        <v>30</v>
      </c>
      <c r="L504" s="38">
        <f t="shared" si="47"/>
        <v>50</v>
      </c>
      <c r="M504" s="3" t="s">
        <v>10</v>
      </c>
      <c r="N504" s="3" t="s">
        <v>10</v>
      </c>
      <c r="O504" s="3" t="s">
        <v>432</v>
      </c>
      <c r="P504" s="4">
        <v>44351</v>
      </c>
    </row>
    <row r="505" spans="1:16" x14ac:dyDescent="0.2">
      <c r="A505" s="3" t="str">
        <f t="shared" si="42"/>
        <v>812755203811</v>
      </c>
      <c r="B505" s="16">
        <v>812755</v>
      </c>
      <c r="C505" s="16" t="s">
        <v>134</v>
      </c>
      <c r="D505" s="1">
        <v>203811</v>
      </c>
      <c r="E505" s="3" t="s">
        <v>133</v>
      </c>
      <c r="F505" s="9">
        <v>0</v>
      </c>
      <c r="G505" s="9">
        <f>IFERROR(VLOOKUP(F505,Sheet1!$B$15:$D$38,3,1),0)</f>
        <v>0</v>
      </c>
      <c r="H505" s="38">
        <f t="shared" si="43"/>
        <v>7.5</v>
      </c>
      <c r="I505" s="38">
        <f t="shared" si="44"/>
        <v>12.5</v>
      </c>
      <c r="J505" s="38">
        <f t="shared" si="45"/>
        <v>20</v>
      </c>
      <c r="K505" s="38">
        <f t="shared" si="46"/>
        <v>30</v>
      </c>
      <c r="L505" s="38">
        <f t="shared" si="47"/>
        <v>50</v>
      </c>
      <c r="M505" s="3" t="s">
        <v>10</v>
      </c>
      <c r="N505" s="3" t="s">
        <v>10</v>
      </c>
      <c r="O505" s="3" t="s">
        <v>432</v>
      </c>
      <c r="P505" s="4">
        <v>44076</v>
      </c>
    </row>
    <row r="506" spans="1:16" x14ac:dyDescent="0.2">
      <c r="A506" s="3" t="str">
        <f t="shared" si="42"/>
        <v>814494205192</v>
      </c>
      <c r="B506" s="16">
        <v>814494</v>
      </c>
      <c r="C506" s="16" t="s">
        <v>217</v>
      </c>
      <c r="D506" s="1">
        <v>205192</v>
      </c>
      <c r="E506" s="3" t="s">
        <v>97</v>
      </c>
      <c r="F506" s="9">
        <v>0</v>
      </c>
      <c r="G506" s="9">
        <f>IFERROR(VLOOKUP(F506,Sheet1!$B$15:$D$38,3,1),0)</f>
        <v>0</v>
      </c>
      <c r="H506" s="38">
        <f t="shared" si="43"/>
        <v>7.5</v>
      </c>
      <c r="I506" s="38">
        <f t="shared" si="44"/>
        <v>12.5</v>
      </c>
      <c r="J506" s="38">
        <f t="shared" si="45"/>
        <v>20</v>
      </c>
      <c r="K506" s="38">
        <f t="shared" si="46"/>
        <v>30</v>
      </c>
      <c r="L506" s="38">
        <f t="shared" si="47"/>
        <v>50</v>
      </c>
      <c r="M506" s="3" t="s">
        <v>10</v>
      </c>
      <c r="N506" s="3" t="s">
        <v>10</v>
      </c>
      <c r="O506" s="3" t="s">
        <v>432</v>
      </c>
      <c r="P506" s="4">
        <v>44243</v>
      </c>
    </row>
    <row r="507" spans="1:16" x14ac:dyDescent="0.2">
      <c r="A507" s="3" t="str">
        <f t="shared" si="42"/>
        <v>806099208033</v>
      </c>
      <c r="B507" s="16">
        <v>806099</v>
      </c>
      <c r="C507" s="16" t="s">
        <v>161</v>
      </c>
      <c r="D507" s="1">
        <v>208033</v>
      </c>
      <c r="E507" s="3" t="s">
        <v>158</v>
      </c>
      <c r="F507" s="9">
        <v>0</v>
      </c>
      <c r="G507" s="9">
        <f>IFERROR(VLOOKUP(F507,Sheet1!$B$15:$D$38,3,1),0)</f>
        <v>0</v>
      </c>
      <c r="H507" s="38">
        <f t="shared" si="43"/>
        <v>7.5</v>
      </c>
      <c r="I507" s="38">
        <f t="shared" si="44"/>
        <v>12.5</v>
      </c>
      <c r="J507" s="38">
        <f t="shared" si="45"/>
        <v>20</v>
      </c>
      <c r="K507" s="38">
        <f t="shared" si="46"/>
        <v>30</v>
      </c>
      <c r="L507" s="38">
        <f t="shared" si="47"/>
        <v>50</v>
      </c>
      <c r="M507" s="3" t="s">
        <v>10</v>
      </c>
      <c r="N507" s="3" t="s">
        <v>10</v>
      </c>
      <c r="O507" s="3" t="s">
        <v>432</v>
      </c>
      <c r="P507" s="4">
        <v>42789</v>
      </c>
    </row>
    <row r="508" spans="1:16" x14ac:dyDescent="0.2">
      <c r="A508" s="3" t="str">
        <f t="shared" si="42"/>
        <v>814094208033</v>
      </c>
      <c r="B508" s="16">
        <v>814094</v>
      </c>
      <c r="C508" s="16" t="s">
        <v>244</v>
      </c>
      <c r="D508" s="1">
        <v>208033</v>
      </c>
      <c r="E508" s="3" t="s">
        <v>158</v>
      </c>
      <c r="F508" s="9">
        <v>0</v>
      </c>
      <c r="G508" s="9">
        <f>IFERROR(VLOOKUP(F508,Sheet1!$B$15:$D$38,3,1),0)</f>
        <v>0</v>
      </c>
      <c r="H508" s="38">
        <f t="shared" si="43"/>
        <v>7.5</v>
      </c>
      <c r="I508" s="38">
        <f t="shared" si="44"/>
        <v>12.5</v>
      </c>
      <c r="J508" s="38">
        <f t="shared" si="45"/>
        <v>20</v>
      </c>
      <c r="K508" s="38">
        <f t="shared" si="46"/>
        <v>30</v>
      </c>
      <c r="L508" s="38">
        <f t="shared" si="47"/>
        <v>50</v>
      </c>
      <c r="M508" s="3" t="s">
        <v>10</v>
      </c>
      <c r="N508" s="3" t="s">
        <v>10</v>
      </c>
      <c r="O508" s="3" t="s">
        <v>432</v>
      </c>
      <c r="P508" s="4">
        <v>44203</v>
      </c>
    </row>
    <row r="509" spans="1:16" x14ac:dyDescent="0.2">
      <c r="A509" s="3" t="str">
        <f t="shared" si="42"/>
        <v>802156211138</v>
      </c>
      <c r="B509" s="16">
        <v>802156</v>
      </c>
      <c r="C509" s="16" t="s">
        <v>644</v>
      </c>
      <c r="D509" s="3">
        <v>211138</v>
      </c>
      <c r="E509" s="3" t="s">
        <v>645</v>
      </c>
      <c r="F509" s="9">
        <v>0</v>
      </c>
      <c r="G509" s="9">
        <f>IFERROR(VLOOKUP(F509,Sheet1!$B$15:$D$38,3,1),0)</f>
        <v>0</v>
      </c>
      <c r="H509" s="38">
        <f t="shared" si="43"/>
        <v>7.5</v>
      </c>
      <c r="I509" s="38">
        <f t="shared" si="44"/>
        <v>12.5</v>
      </c>
      <c r="J509" s="38">
        <f t="shared" si="45"/>
        <v>20</v>
      </c>
      <c r="K509" s="38">
        <f t="shared" si="46"/>
        <v>30</v>
      </c>
      <c r="L509" s="38">
        <f t="shared" si="47"/>
        <v>50</v>
      </c>
      <c r="M509" s="3" t="s">
        <v>10</v>
      </c>
      <c r="N509" s="3" t="s">
        <v>10</v>
      </c>
      <c r="O509" s="3" t="s">
        <v>630</v>
      </c>
      <c r="P509" s="4">
        <v>41460</v>
      </c>
    </row>
    <row r="510" spans="1:16" x14ac:dyDescent="0.2">
      <c r="A510" s="3" t="str">
        <f t="shared" si="42"/>
        <v>806099211138</v>
      </c>
      <c r="B510" s="16">
        <v>806099</v>
      </c>
      <c r="C510" s="16" t="s">
        <v>161</v>
      </c>
      <c r="D510" s="3">
        <v>211138</v>
      </c>
      <c r="E510" s="3" t="s">
        <v>645</v>
      </c>
      <c r="F510" s="9">
        <v>35</v>
      </c>
      <c r="G510" s="9">
        <f>IFERROR(VLOOKUP(F510,Sheet1!$B$15:$D$38,3,1),0)</f>
        <v>80</v>
      </c>
      <c r="H510" s="38">
        <f t="shared" si="43"/>
        <v>-27.5</v>
      </c>
      <c r="I510" s="38">
        <f t="shared" si="44"/>
        <v>-22.5</v>
      </c>
      <c r="J510" s="38">
        <f t="shared" si="45"/>
        <v>-15</v>
      </c>
      <c r="K510" s="38">
        <f t="shared" si="46"/>
        <v>-5</v>
      </c>
      <c r="L510" s="38">
        <f t="shared" si="47"/>
        <v>15</v>
      </c>
      <c r="M510" s="3" t="s">
        <v>10</v>
      </c>
      <c r="N510" s="3" t="s">
        <v>10</v>
      </c>
      <c r="O510" s="3" t="s">
        <v>630</v>
      </c>
      <c r="P510" s="4">
        <v>42789</v>
      </c>
    </row>
    <row r="511" spans="1:16" x14ac:dyDescent="0.2">
      <c r="A511" s="3" t="str">
        <f t="shared" si="42"/>
        <v>814094211138</v>
      </c>
      <c r="B511" s="16">
        <v>814094</v>
      </c>
      <c r="C511" s="16" t="s">
        <v>244</v>
      </c>
      <c r="D511" s="3">
        <v>211138</v>
      </c>
      <c r="E511" s="3" t="s">
        <v>645</v>
      </c>
      <c r="F511" s="9">
        <v>0</v>
      </c>
      <c r="G511" s="9">
        <f>IFERROR(VLOOKUP(F511,Sheet1!$B$15:$D$38,3,1),0)</f>
        <v>0</v>
      </c>
      <c r="H511" s="38">
        <f t="shared" si="43"/>
        <v>7.5</v>
      </c>
      <c r="I511" s="38">
        <f t="shared" si="44"/>
        <v>12.5</v>
      </c>
      <c r="J511" s="38">
        <f t="shared" si="45"/>
        <v>20</v>
      </c>
      <c r="K511" s="38">
        <f t="shared" si="46"/>
        <v>30</v>
      </c>
      <c r="L511" s="38">
        <f t="shared" si="47"/>
        <v>50</v>
      </c>
      <c r="M511" s="3" t="s">
        <v>10</v>
      </c>
      <c r="N511" s="3" t="s">
        <v>10</v>
      </c>
      <c r="O511" s="3" t="s">
        <v>630</v>
      </c>
      <c r="P511" s="4">
        <v>44203</v>
      </c>
    </row>
    <row r="512" spans="1:16" x14ac:dyDescent="0.2">
      <c r="A512" s="7"/>
      <c r="B512" s="7"/>
      <c r="C512" s="7"/>
      <c r="D512" s="11" t="s">
        <v>439</v>
      </c>
      <c r="E512" s="11"/>
      <c r="F512" s="10">
        <f>SUM(F3:F511)</f>
        <v>5594.6</v>
      </c>
      <c r="G512" s="10">
        <f>SUM(G3:G511)</f>
        <v>11490</v>
      </c>
      <c r="H512" s="10"/>
      <c r="I512" s="10"/>
      <c r="J512" s="10"/>
      <c r="K512" s="10"/>
      <c r="L512" s="10"/>
      <c r="M512" s="7"/>
      <c r="N512" s="7"/>
      <c r="O512" s="7"/>
      <c r="P512" s="7"/>
    </row>
    <row r="513" spans="6:12" x14ac:dyDescent="0.2">
      <c r="F513" s="8"/>
      <c r="G513" s="8"/>
      <c r="H513" s="8"/>
      <c r="I513" s="8"/>
      <c r="J513" s="8"/>
      <c r="K513" s="8"/>
      <c r="L513" s="8"/>
    </row>
  </sheetData>
  <autoFilter ref="A1:P512">
    <filterColumn colId="7" showButton="0"/>
    <filterColumn colId="8" showButton="0"/>
    <filterColumn colId="9" showButton="0"/>
    <filterColumn colId="10" showButton="0"/>
  </autoFilter>
  <mergeCells count="12">
    <mergeCell ref="F1:F2"/>
    <mergeCell ref="G1:G2"/>
    <mergeCell ref="H1:L1"/>
    <mergeCell ref="M1:M2"/>
    <mergeCell ref="N1:N2"/>
    <mergeCell ref="O1:O2"/>
    <mergeCell ref="P1:P2"/>
    <mergeCell ref="A1:A2"/>
    <mergeCell ref="B1:B2"/>
    <mergeCell ref="C1:C2"/>
    <mergeCell ref="D1:D2"/>
    <mergeCell ref="E1:E2"/>
  </mergeCells>
  <conditionalFormatting sqref="H3:L511">
    <cfRule type="cellIs" dxfId="4" priority="5" operator="greaterThan">
      <formula>0</formula>
    </cfRule>
    <cfRule type="cellIs" dxfId="3" priority="6" operator="lessThanOrEqual">
      <formula>0</formula>
    </cfRule>
  </conditionalFormatting>
  <conditionalFormatting sqref="H3:L511">
    <cfRule type="cellIs" dxfId="2" priority="4" operator="lessThan">
      <formula>0</formula>
    </cfRule>
  </conditionalFormatting>
  <conditionalFormatting sqref="B3:B511">
    <cfRule type="duplicateValues" dxfId="1" priority="74"/>
  </conditionalFormatting>
  <conditionalFormatting sqref="A3:A511">
    <cfRule type="duplicateValues" dxfId="0" priority="75"/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2:G38"/>
  <sheetViews>
    <sheetView topLeftCell="A17" workbookViewId="0">
      <selection activeCell="D34" sqref="D34"/>
    </sheetView>
  </sheetViews>
  <sheetFormatPr defaultRowHeight="12.75" x14ac:dyDescent="0.2"/>
  <cols>
    <col min="2" max="2" width="5" bestFit="1" customWidth="1"/>
    <col min="3" max="3" width="32" bestFit="1" customWidth="1"/>
    <col min="4" max="4" width="13.7109375" bestFit="1" customWidth="1"/>
    <col min="5" max="5" width="21.7109375" bestFit="1" customWidth="1"/>
    <col min="6" max="6" width="18.7109375" bestFit="1" customWidth="1"/>
    <col min="7" max="7" width="20" bestFit="1" customWidth="1"/>
  </cols>
  <sheetData>
    <row r="12" spans="2:7" ht="15" x14ac:dyDescent="0.25">
      <c r="B12" s="28"/>
      <c r="C12" s="29" t="s">
        <v>652</v>
      </c>
      <c r="D12" s="28"/>
      <c r="E12" s="28"/>
      <c r="F12" s="28"/>
      <c r="G12" s="28"/>
    </row>
    <row r="13" spans="2:7" ht="15" x14ac:dyDescent="0.25">
      <c r="B13" s="28"/>
      <c r="C13" s="52" t="s">
        <v>653</v>
      </c>
      <c r="D13" s="52"/>
      <c r="E13" s="52"/>
      <c r="F13" s="52"/>
      <c r="G13" s="28"/>
    </row>
    <row r="14" spans="2:7" ht="15" x14ac:dyDescent="0.25">
      <c r="B14" s="28"/>
      <c r="C14" s="30" t="s">
        <v>654</v>
      </c>
      <c r="D14" s="31" t="s">
        <v>655</v>
      </c>
      <c r="E14" s="31" t="s">
        <v>656</v>
      </c>
      <c r="F14" s="31" t="s">
        <v>657</v>
      </c>
      <c r="G14" s="32"/>
    </row>
    <row r="15" spans="2:7" ht="15" x14ac:dyDescent="0.25">
      <c r="B15" s="28">
        <v>7.5</v>
      </c>
      <c r="C15" s="33" t="s">
        <v>658</v>
      </c>
      <c r="D15" s="33">
        <v>10</v>
      </c>
      <c r="E15" s="33">
        <f t="shared" ref="E15:E20" si="0">D15*70</f>
        <v>700</v>
      </c>
      <c r="F15" s="34">
        <f>E15/B15/20</f>
        <v>4.6666666666666661</v>
      </c>
      <c r="G15" s="35"/>
    </row>
    <row r="16" spans="2:7" ht="15" x14ac:dyDescent="0.25">
      <c r="B16" s="28">
        <v>12.5</v>
      </c>
      <c r="C16" s="33" t="s">
        <v>659</v>
      </c>
      <c r="D16" s="33">
        <v>20</v>
      </c>
      <c r="E16" s="33">
        <f t="shared" si="0"/>
        <v>1400</v>
      </c>
      <c r="F16" s="34">
        <f t="shared" ref="F16:F20" si="1">E16/B16/20</f>
        <v>5.6</v>
      </c>
      <c r="G16" s="35"/>
    </row>
    <row r="17" spans="2:7" ht="15" x14ac:dyDescent="0.25">
      <c r="B17" s="28">
        <v>20</v>
      </c>
      <c r="C17" s="33" t="s">
        <v>660</v>
      </c>
      <c r="D17" s="33">
        <v>40</v>
      </c>
      <c r="E17" s="33">
        <f t="shared" si="0"/>
        <v>2800</v>
      </c>
      <c r="F17" s="34">
        <f t="shared" si="1"/>
        <v>7</v>
      </c>
      <c r="G17" s="35"/>
    </row>
    <row r="18" spans="2:7" ht="15" x14ac:dyDescent="0.25">
      <c r="B18" s="28">
        <v>30</v>
      </c>
      <c r="C18" s="33" t="s">
        <v>661</v>
      </c>
      <c r="D18" s="33">
        <v>80</v>
      </c>
      <c r="E18" s="33">
        <f t="shared" si="0"/>
        <v>5600</v>
      </c>
      <c r="F18" s="34">
        <f>E18/B18/20</f>
        <v>9.3333333333333321</v>
      </c>
      <c r="G18" s="35"/>
    </row>
    <row r="19" spans="2:7" ht="15" x14ac:dyDescent="0.25">
      <c r="B19" s="28">
        <v>50</v>
      </c>
      <c r="C19" s="33" t="s">
        <v>662</v>
      </c>
      <c r="D19" s="33">
        <v>160</v>
      </c>
      <c r="E19" s="33">
        <f>D19*70</f>
        <v>11200</v>
      </c>
      <c r="F19" s="34">
        <f>E19/B19/20</f>
        <v>11.2</v>
      </c>
      <c r="G19" s="35"/>
    </row>
    <row r="20" spans="2:7" ht="15" x14ac:dyDescent="0.25">
      <c r="B20" s="28">
        <v>75</v>
      </c>
      <c r="C20" s="33" t="s">
        <v>663</v>
      </c>
      <c r="D20" s="33">
        <v>160</v>
      </c>
      <c r="E20" s="33">
        <f t="shared" si="0"/>
        <v>11200</v>
      </c>
      <c r="F20" s="34">
        <f t="shared" si="1"/>
        <v>7.4666666666666668</v>
      </c>
      <c r="G20" s="35" t="s">
        <v>664</v>
      </c>
    </row>
    <row r="21" spans="2:7" ht="15" x14ac:dyDescent="0.25">
      <c r="B21" s="28">
        <f>B20+10</f>
        <v>85</v>
      </c>
      <c r="C21" s="36"/>
      <c r="D21" s="36">
        <f>D20+10</f>
        <v>170</v>
      </c>
      <c r="E21" s="36"/>
      <c r="F21" s="35"/>
      <c r="G21" s="35"/>
    </row>
    <row r="22" spans="2:7" ht="15" x14ac:dyDescent="0.25">
      <c r="B22" s="28">
        <f>B21+10</f>
        <v>95</v>
      </c>
      <c r="C22" s="36"/>
      <c r="D22" s="36">
        <f t="shared" ref="D22:D38" si="2">D21+5</f>
        <v>175</v>
      </c>
      <c r="E22" s="36"/>
      <c r="F22" s="35"/>
      <c r="G22" s="35"/>
    </row>
    <row r="23" spans="2:7" ht="15" x14ac:dyDescent="0.25">
      <c r="B23" s="28">
        <f t="shared" ref="B23:B38" si="3">B22+10</f>
        <v>105</v>
      </c>
      <c r="C23" s="36"/>
      <c r="D23" s="36">
        <f t="shared" si="2"/>
        <v>180</v>
      </c>
      <c r="E23" s="36"/>
      <c r="F23" s="35"/>
      <c r="G23" s="35"/>
    </row>
    <row r="24" spans="2:7" ht="15" x14ac:dyDescent="0.25">
      <c r="B24" s="28">
        <f t="shared" si="3"/>
        <v>115</v>
      </c>
      <c r="C24" s="36"/>
      <c r="D24" s="36">
        <f t="shared" si="2"/>
        <v>185</v>
      </c>
      <c r="E24" s="36"/>
      <c r="F24" s="35"/>
      <c r="G24" s="35"/>
    </row>
    <row r="25" spans="2:7" ht="15" x14ac:dyDescent="0.25">
      <c r="B25" s="28">
        <f t="shared" si="3"/>
        <v>125</v>
      </c>
      <c r="C25" s="36"/>
      <c r="D25" s="36">
        <f t="shared" si="2"/>
        <v>190</v>
      </c>
      <c r="E25" s="36"/>
      <c r="F25" s="35"/>
      <c r="G25" s="35"/>
    </row>
    <row r="26" spans="2:7" ht="15" x14ac:dyDescent="0.25">
      <c r="B26" s="28">
        <f t="shared" si="3"/>
        <v>135</v>
      </c>
      <c r="C26" s="36"/>
      <c r="D26" s="36">
        <f t="shared" si="2"/>
        <v>195</v>
      </c>
      <c r="E26" s="36"/>
      <c r="F26" s="35"/>
      <c r="G26" s="35"/>
    </row>
    <row r="27" spans="2:7" ht="15" x14ac:dyDescent="0.25">
      <c r="B27" s="28">
        <f t="shared" si="3"/>
        <v>145</v>
      </c>
      <c r="C27" s="36"/>
      <c r="D27" s="36">
        <f t="shared" si="2"/>
        <v>200</v>
      </c>
      <c r="E27" s="36"/>
      <c r="F27" s="35"/>
      <c r="G27" s="35"/>
    </row>
    <row r="28" spans="2:7" ht="15" x14ac:dyDescent="0.25">
      <c r="B28" s="28">
        <f t="shared" si="3"/>
        <v>155</v>
      </c>
      <c r="C28" s="36"/>
      <c r="D28" s="36">
        <f t="shared" si="2"/>
        <v>205</v>
      </c>
      <c r="E28" s="36"/>
      <c r="F28" s="35"/>
      <c r="G28" s="35"/>
    </row>
    <row r="29" spans="2:7" ht="15" x14ac:dyDescent="0.25">
      <c r="B29" s="28">
        <f t="shared" si="3"/>
        <v>165</v>
      </c>
      <c r="C29" s="36"/>
      <c r="D29" s="36">
        <f t="shared" si="2"/>
        <v>210</v>
      </c>
      <c r="E29" s="36"/>
      <c r="F29" s="35"/>
      <c r="G29" s="35"/>
    </row>
    <row r="30" spans="2:7" ht="15" x14ac:dyDescent="0.25">
      <c r="B30" s="28">
        <f t="shared" si="3"/>
        <v>175</v>
      </c>
      <c r="C30" s="36"/>
      <c r="D30" s="36">
        <f t="shared" si="2"/>
        <v>215</v>
      </c>
      <c r="E30" s="36"/>
      <c r="F30" s="35"/>
      <c r="G30" s="35"/>
    </row>
    <row r="31" spans="2:7" ht="15" x14ac:dyDescent="0.25">
      <c r="B31" s="28">
        <f t="shared" si="3"/>
        <v>185</v>
      </c>
      <c r="C31" s="36"/>
      <c r="D31" s="36">
        <f t="shared" si="2"/>
        <v>220</v>
      </c>
      <c r="E31" s="36"/>
      <c r="F31" s="35"/>
      <c r="G31" s="35"/>
    </row>
    <row r="32" spans="2:7" ht="15" x14ac:dyDescent="0.25">
      <c r="B32" s="28">
        <f t="shared" si="3"/>
        <v>195</v>
      </c>
      <c r="C32" s="36"/>
      <c r="D32" s="36">
        <f t="shared" si="2"/>
        <v>225</v>
      </c>
      <c r="E32" s="36"/>
      <c r="F32" s="35"/>
      <c r="G32" s="35"/>
    </row>
    <row r="33" spans="2:7" ht="15" x14ac:dyDescent="0.25">
      <c r="B33" s="28">
        <f t="shared" si="3"/>
        <v>205</v>
      </c>
      <c r="C33" s="36"/>
      <c r="D33" s="36">
        <f t="shared" si="2"/>
        <v>230</v>
      </c>
      <c r="E33" s="36"/>
      <c r="F33" s="35"/>
      <c r="G33" s="35"/>
    </row>
    <row r="34" spans="2:7" ht="15" x14ac:dyDescent="0.25">
      <c r="B34" s="28">
        <f t="shared" si="3"/>
        <v>215</v>
      </c>
      <c r="C34" s="36"/>
      <c r="D34" s="36">
        <f t="shared" si="2"/>
        <v>235</v>
      </c>
      <c r="E34" s="36"/>
      <c r="F34" s="35"/>
      <c r="G34" s="35"/>
    </row>
    <row r="35" spans="2:7" ht="15" x14ac:dyDescent="0.25">
      <c r="B35" s="28">
        <f t="shared" si="3"/>
        <v>225</v>
      </c>
      <c r="C35" s="36"/>
      <c r="D35" s="36">
        <f t="shared" si="2"/>
        <v>240</v>
      </c>
      <c r="E35" s="36"/>
      <c r="F35" s="35"/>
      <c r="G35" s="35"/>
    </row>
    <row r="36" spans="2:7" ht="15" x14ac:dyDescent="0.25">
      <c r="B36" s="28">
        <f t="shared" si="3"/>
        <v>235</v>
      </c>
      <c r="C36" s="36"/>
      <c r="D36" s="36">
        <f t="shared" si="2"/>
        <v>245</v>
      </c>
      <c r="E36" s="36"/>
      <c r="F36" s="35"/>
      <c r="G36" s="35"/>
    </row>
    <row r="37" spans="2:7" ht="15" x14ac:dyDescent="0.25">
      <c r="B37" s="28">
        <f t="shared" si="3"/>
        <v>245</v>
      </c>
      <c r="C37" s="36"/>
      <c r="D37" s="36">
        <f t="shared" si="2"/>
        <v>250</v>
      </c>
      <c r="E37" s="36"/>
      <c r="F37" s="35"/>
      <c r="G37" s="35"/>
    </row>
    <row r="38" spans="2:7" ht="15" x14ac:dyDescent="0.25">
      <c r="B38" s="28">
        <f t="shared" si="3"/>
        <v>255</v>
      </c>
      <c r="C38" s="36"/>
      <c r="D38" s="36">
        <f t="shared" si="2"/>
        <v>255</v>
      </c>
      <c r="E38" s="36"/>
      <c r="F38" s="35"/>
      <c r="G38" s="35"/>
    </row>
  </sheetData>
  <mergeCells count="1">
    <mergeCell ref="C13:F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F13"/>
  <sheetViews>
    <sheetView workbookViewId="0">
      <selection activeCell="F11" sqref="F11"/>
    </sheetView>
  </sheetViews>
  <sheetFormatPr defaultRowHeight="12.75" x14ac:dyDescent="0.2"/>
  <sheetData>
    <row r="8" spans="4:6" x14ac:dyDescent="0.2">
      <c r="E8">
        <v>0</v>
      </c>
      <c r="F8" t="s">
        <v>549</v>
      </c>
    </row>
    <row r="9" spans="4:6" x14ac:dyDescent="0.2">
      <c r="D9" t="s">
        <v>574</v>
      </c>
      <c r="E9">
        <v>10</v>
      </c>
      <c r="F9" t="s">
        <v>550</v>
      </c>
    </row>
    <row r="10" spans="4:6" x14ac:dyDescent="0.2">
      <c r="E10">
        <v>20</v>
      </c>
      <c r="F10" t="s">
        <v>603</v>
      </c>
    </row>
    <row r="11" spans="4:6" x14ac:dyDescent="0.2">
      <c r="E11">
        <v>30</v>
      </c>
      <c r="F11" t="s">
        <v>551</v>
      </c>
    </row>
    <row r="12" spans="4:6" x14ac:dyDescent="0.2">
      <c r="E12">
        <v>40</v>
      </c>
      <c r="F12" t="s">
        <v>552</v>
      </c>
    </row>
    <row r="13" spans="4:6" x14ac:dyDescent="0.2">
      <c r="E13">
        <v>50</v>
      </c>
      <c r="F13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Sheet4</vt:lpstr>
      <vt:lpstr>DIST WIS SLAB</vt:lpstr>
      <vt:lpstr>Sheet6</vt:lpstr>
      <vt:lpstr>mtd sale</vt:lpstr>
      <vt:lpstr>Sheet1</vt:lpstr>
      <vt:lpstr>Slab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Jitendra Kumar Vyas</cp:lastModifiedBy>
  <cp:revision>1</cp:revision>
  <dcterms:created xsi:type="dcterms:W3CDTF">2021-10-25T12:04:34Z</dcterms:created>
  <dcterms:modified xsi:type="dcterms:W3CDTF">2022-01-30T06:02:17Z</dcterms:modified>
  <cp:category/>
</cp:coreProperties>
</file>